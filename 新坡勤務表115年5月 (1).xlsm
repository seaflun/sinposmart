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drawings/drawing23.xml" ContentType="application/vnd.openxmlformats-officedocument.drawing+xml"/>
  <Override PartName="/xl/ctrlProps/ctrlProp23.xml" ContentType="application/vnd.ms-excel.controlproperties+xml"/>
  <Override PartName="/xl/drawings/drawing24.xml" ContentType="application/vnd.openxmlformats-officedocument.drawing+xml"/>
  <Override PartName="/xl/ctrlProps/ctrlProp24.xml" ContentType="application/vnd.ms-excel.controlproperties+xml"/>
  <Override PartName="/xl/drawings/drawing25.xml" ContentType="application/vnd.openxmlformats-officedocument.drawing+xml"/>
  <Override PartName="/xl/ctrlProps/ctrlProp25.xml" ContentType="application/vnd.ms-excel.controlproperties+xml"/>
  <Override PartName="/xl/drawings/drawing26.xml" ContentType="application/vnd.openxmlformats-officedocument.drawing+xml"/>
  <Override PartName="/xl/ctrlProps/ctrlProp26.xml" ContentType="application/vnd.ms-excel.controlproperties+xml"/>
  <Override PartName="/xl/drawings/drawing27.xml" ContentType="application/vnd.openxmlformats-officedocument.drawing+xml"/>
  <Override PartName="/xl/ctrlProps/ctrlProp27.xml" ContentType="application/vnd.ms-excel.controlproperties+xml"/>
  <Override PartName="/xl/drawings/drawing28.xml" ContentType="application/vnd.openxmlformats-officedocument.drawing+xml"/>
  <Override PartName="/xl/ctrlProps/ctrlProp28.xml" ContentType="application/vnd.ms-excel.controlproperties+xml"/>
  <Override PartName="/xl/drawings/drawing29.xml" ContentType="application/vnd.openxmlformats-officedocument.drawing+xml"/>
  <Override PartName="/xl/ctrlProps/ctrlProp29.xml" ContentType="application/vnd.ms-excel.controlproperties+xml"/>
  <Override PartName="/xl/drawings/drawing30.xml" ContentType="application/vnd.openxmlformats-officedocument.drawing+xml"/>
  <Override PartName="/xl/ctrlProps/ctrlProp30.xml" ContentType="application/vnd.ms-excel.controlproperties+xml"/>
  <Override PartName="/xl/drawings/drawing31.xml" ContentType="application/vnd.openxmlformats-officedocument.drawing+xml"/>
  <Override PartName="/xl/ctrlProps/ctrlProp3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sinponas\nas\公務同仁用資料夾\☆★勤務表家★☆\115\5月\"/>
    </mc:Choice>
  </mc:AlternateContent>
  <xr:revisionPtr revIDLastSave="0" documentId="13_ncr:1_{102E9D33-5B76-4ABE-ABD8-3E86EAAC507C}" xr6:coauthVersionLast="47" xr6:coauthVersionMax="47" xr10:uidLastSave="{00000000-0000-0000-0000-000000000000}"/>
  <bookViews>
    <workbookView xWindow="-120" yWindow="-120" windowWidth="29040" windowHeight="15720" firstSheet="5" activeTab="20" xr2:uid="{00000000-000D-0000-FFFF-FFFF00000000}"/>
  </bookViews>
  <sheets>
    <sheet name="班別參數" sheetId="1" r:id="rId1"/>
    <sheet name="輪休基準表" sheetId="2" r:id="rId2"/>
    <sheet name="統計班別" sheetId="35" r:id="rId3"/>
    <sheet name="休息時間登打" sheetId="37" r:id="rId4"/>
    <sheet name="1號" sheetId="4" r:id="rId5"/>
    <sheet name="2號" sheetId="5" r:id="rId6"/>
    <sheet name="3號" sheetId="6" r:id="rId7"/>
    <sheet name="4號" sheetId="7" r:id="rId8"/>
    <sheet name="5號" sheetId="8" r:id="rId9"/>
    <sheet name="6號" sheetId="9" r:id="rId10"/>
    <sheet name="7號" sheetId="10" r:id="rId11"/>
    <sheet name="8號" sheetId="11" r:id="rId12"/>
    <sheet name="9號" sheetId="12" r:id="rId13"/>
    <sheet name="10號" sheetId="13" r:id="rId14"/>
    <sheet name="11號" sheetId="14" r:id="rId15"/>
    <sheet name="12號" sheetId="15" r:id="rId16"/>
    <sheet name="13號" sheetId="16" r:id="rId17"/>
    <sheet name="14號" sheetId="17" r:id="rId18"/>
    <sheet name="15號" sheetId="18" r:id="rId19"/>
    <sheet name="16號" sheetId="19" r:id="rId20"/>
    <sheet name="17號" sheetId="20" r:id="rId21"/>
    <sheet name="18號" sheetId="21" r:id="rId22"/>
    <sheet name="19號" sheetId="22" r:id="rId23"/>
    <sheet name="20號" sheetId="23" r:id="rId24"/>
    <sheet name="21號" sheetId="24" r:id="rId25"/>
    <sheet name="22號" sheetId="25" r:id="rId26"/>
    <sheet name="23號" sheetId="26" r:id="rId27"/>
    <sheet name="24號" sheetId="27" r:id="rId28"/>
    <sheet name="25號" sheetId="28" r:id="rId29"/>
    <sheet name="26號" sheetId="29" r:id="rId30"/>
    <sheet name="27號" sheetId="30" r:id="rId31"/>
    <sheet name="28號" sheetId="31" r:id="rId32"/>
    <sheet name="29號" sheetId="32" r:id="rId33"/>
    <sheet name="30號" sheetId="33" r:id="rId34"/>
    <sheet name="31號" sheetId="34" r:id="rId35"/>
    <sheet name="訓練" sheetId="3" r:id="rId36"/>
  </sheets>
  <definedNames>
    <definedName name="_xlpm.endCol" hidden="1" xlm="1">#NAME?</definedName>
    <definedName name="_xlpm.endIdx" hidden="1" xlm="1">#NAME?</definedName>
    <definedName name="_xlpm.fullRange" hidden="1" xlm="1">#NAME?</definedName>
    <definedName name="_xlpm.rowRange" hidden="1" xlm="1">#NAME?</definedName>
    <definedName name="_xlpm.startCol" hidden="1" xlm="1">#NAME?</definedName>
    <definedName name="_xlpm.startIdx" hidden="1" xlm="1">#NAME?</definedName>
    <definedName name="_xlpm.str" hidden="1" xlm="1">#NAME?</definedName>
    <definedName name="_xlpm.targetRange" hidden="1" xlm="1">#NAME?</definedName>
    <definedName name="_xlpm.上班" hidden="1" xlm="1">#NAME?</definedName>
    <definedName name="_xlpm.已排" hidden="1" xlm="1">#NAME?</definedName>
    <definedName name="_xlpm.拆分1" hidden="1" xlm="1">#NAME?</definedName>
    <definedName name="_xlpm.拆分2" hidden="1" xlm="1">#NAME?</definedName>
    <definedName name="_xlpm.查詢1" hidden="1" xlm="1">#NAME?</definedName>
    <definedName name="_xlpm.查詢2" hidden="1" xlm="1">#NAME?</definedName>
    <definedName name="_xlpm.番號" hidden="1" xlm="1">#NAME?</definedName>
    <definedName name="_xlpm.對照" hidden="1" xlm="1">#NAME?</definedName>
    <definedName name="_xlnm.Print_Area" localSheetId="13">'10號'!$B$3:$AM$36,'10號'!$AO$2:$BC$36</definedName>
    <definedName name="_xlnm.Print_Area" localSheetId="14">'11號'!$B$3:$AM$36,'11號'!$AO$2:$BC$36</definedName>
    <definedName name="_xlnm.Print_Area" localSheetId="15">'12號'!$B$3:$AM$36,'12號'!$AO$2:$BC$36</definedName>
    <definedName name="_xlnm.Print_Area" localSheetId="16">'13號'!$B$3:$AN$36,'13號'!$AP$2:$BD$36</definedName>
    <definedName name="_xlnm.Print_Area" localSheetId="17">'14號'!$B$3:$AM$36,'14號'!$AO$2:$BC$36</definedName>
    <definedName name="_xlnm.Print_Area" localSheetId="18">'15號'!$B$3:$AN$36,'15號'!$AP$2:$BD$36</definedName>
    <definedName name="_xlnm.Print_Area" localSheetId="19">'16號'!$B$3:$AM$36,'16號'!$AO$2:$BC$36</definedName>
    <definedName name="_xlnm.Print_Area" localSheetId="20">'17號'!$B$3:$AM$36,'17號'!$AO$2:$BC$36</definedName>
    <definedName name="_xlnm.Print_Area" localSheetId="21">'18號'!$B$3:$AM$36,'18號'!$AO$2:$BC$36</definedName>
    <definedName name="_xlnm.Print_Area" localSheetId="22">'19號'!$B$3:$AM$36,'19號'!$AO$2:$BC$36</definedName>
    <definedName name="_xlnm.Print_Area" localSheetId="4">'1號'!$B$3:$AM$36,'1號'!$AO$2:$BC$36</definedName>
    <definedName name="_xlnm.Print_Area" localSheetId="23">'20號'!$B$3:$AM$36,'20號'!$AO$2:$BC$36</definedName>
    <definedName name="_xlnm.Print_Area" localSheetId="24">'21號'!$B$3:$AM$36,'21號'!$AO$2:$BC$36</definedName>
    <definedName name="_xlnm.Print_Area" localSheetId="25">'22號'!$B$3:$AM$36,'22號'!$AO$2:$BC$36</definedName>
    <definedName name="_xlnm.Print_Area" localSheetId="26">'23號'!$B$3:$AM$36,'23號'!$AO$2:$BC$36</definedName>
    <definedName name="_xlnm.Print_Area" localSheetId="27">'24號'!$B$3:$AM$36,'24號'!$AO$2:$BC$36</definedName>
    <definedName name="_xlnm.Print_Area" localSheetId="28">'25號'!$B$3:$AM$36,'25號'!$AO$2:$BC$36</definedName>
    <definedName name="_xlnm.Print_Area" localSheetId="29">'26號'!$B$3:$AM$36,'26號'!$AO$2:$BC$36</definedName>
    <definedName name="_xlnm.Print_Area" localSheetId="30">'27號'!$B$3:$AM$36,'27號'!$AO$2:$BC$36</definedName>
    <definedName name="_xlnm.Print_Area" localSheetId="31">'28號'!$B$3:$AM$36,'28號'!$AO$2:$BC$36</definedName>
    <definedName name="_xlnm.Print_Area" localSheetId="32">'29號'!$B$3:$AM$36,'29號'!$AO$2:$BC$36</definedName>
    <definedName name="_xlnm.Print_Area" localSheetId="5">'2號'!$B$3:$AM$36,'2號'!$AO$2:$BC$36</definedName>
    <definedName name="_xlnm.Print_Area" localSheetId="33">'30號'!$B$3:$AM$36,'30號'!$AO$2:$BC$36</definedName>
    <definedName name="_xlnm.Print_Area" localSheetId="34">'31號'!$B$3:$AM$36,'31號'!$AO$2:$BC$36</definedName>
    <definedName name="_xlnm.Print_Area" localSheetId="6">'3號'!$B$3:$AN$36,'3號'!$AP$2:$BD$36</definedName>
    <definedName name="_xlnm.Print_Area" localSheetId="7">'4號'!$B$3:$AM$36,'4號'!$AO$2:$BC$36</definedName>
    <definedName name="_xlnm.Print_Area" localSheetId="8">'5號'!$B$3:$AM$36,'5號'!$AO$2:$BC$36</definedName>
    <definedName name="_xlnm.Print_Area" localSheetId="9">'6號'!$B$3:$AM$36,'6號'!$AO$2:$BC$36</definedName>
    <definedName name="_xlnm.Print_Area" localSheetId="10">'7號'!$B$3:$AM$36,'7號'!$AO$2:$BC$36</definedName>
    <definedName name="_xlnm.Print_Area" localSheetId="11">'8號'!$B$3:$AM$36,'8號'!$AO$2:$BC$36</definedName>
    <definedName name="_xlnm.Print_Area" localSheetId="12">'9號'!$B$3:$AM$36,'9號'!$AO$2:$BC$36</definedName>
    <definedName name="_xlnm.Print_Area" localSheetId="3">休息時間登打!$K$1:$N$32</definedName>
    <definedName name="_xlnm.Print_Area" localSheetId="1">輪休基準表!$C$3:$AH$36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T28" i="16" l="1"/>
  <c r="T29" i="16"/>
  <c r="T30" i="16"/>
  <c r="T31" i="16"/>
  <c r="T32" i="16"/>
  <c r="T33" i="16"/>
  <c r="K20" i="16"/>
  <c r="K21" i="16"/>
  <c r="K10" i="16"/>
  <c r="K11" i="16"/>
  <c r="Q10" i="16"/>
  <c r="Q11" i="16"/>
  <c r="AE18" i="14"/>
  <c r="AE17" i="14"/>
  <c r="AE16" i="14"/>
  <c r="H11" i="12"/>
  <c r="N18" i="11"/>
  <c r="N19" i="11"/>
  <c r="AS9" i="6" a="1"/>
  <c r="AS9" i="6"/>
  <c r="AS10" i="6" a="1"/>
  <c r="AS10" i="6" s="1"/>
  <c r="AS11" i="6" a="1"/>
  <c r="AS11" i="6" s="1"/>
  <c r="AS12" i="6" a="1"/>
  <c r="AS12" i="6" s="1"/>
  <c r="AS13" i="6" a="1"/>
  <c r="AS13" i="6" s="1"/>
  <c r="AS14" i="6" a="1"/>
  <c r="AS14" i="6"/>
  <c r="AS15" i="6" a="1"/>
  <c r="AS15" i="6"/>
  <c r="AS16" i="6" a="1"/>
  <c r="AS16" i="6"/>
  <c r="AS17" i="6" a="1"/>
  <c r="AS17" i="6" s="1"/>
  <c r="AS18" i="6" a="1"/>
  <c r="AS18" i="6" s="1"/>
  <c r="AS19" i="6" a="1"/>
  <c r="AS19" i="6" s="1"/>
  <c r="AS20" i="6" a="1"/>
  <c r="AS20" i="6" s="1"/>
  <c r="AS21" i="6" a="1"/>
  <c r="AS21" i="6"/>
  <c r="AS22" i="6" a="1"/>
  <c r="AS22" i="6"/>
  <c r="AS23" i="6" a="1"/>
  <c r="AS23" i="6" s="1"/>
  <c r="AS24" i="6" a="1"/>
  <c r="AS24" i="6" s="1"/>
  <c r="AS25" i="6" a="1"/>
  <c r="AS25" i="6" s="1"/>
  <c r="AS26" i="6" a="1"/>
  <c r="AS26" i="6" s="1"/>
  <c r="AS27" i="6" a="1"/>
  <c r="AS27" i="6"/>
  <c r="AS28" i="6" a="1"/>
  <c r="AS28" i="6"/>
  <c r="AS29" i="6" a="1"/>
  <c r="AS29" i="6" s="1"/>
  <c r="AS30" i="6" a="1"/>
  <c r="AS30" i="6" s="1"/>
  <c r="AS31" i="6" a="1"/>
  <c r="AS31" i="6" s="1"/>
  <c r="AS32" i="6" a="1"/>
  <c r="AS32" i="6" s="1"/>
  <c r="AS33" i="6" a="1"/>
  <c r="AS33" i="6"/>
  <c r="AS34" i="6" a="1"/>
  <c r="AS34" i="6"/>
  <c r="AS35" i="6" a="1"/>
  <c r="AS35" i="6" s="1"/>
  <c r="AS36" i="6" a="1"/>
  <c r="AS36" i="6" s="1"/>
  <c r="AS36" i="7" a="1"/>
  <c r="AS36" i="7" s="1"/>
  <c r="AS35" i="7" a="1"/>
  <c r="AS35" i="7" s="1"/>
  <c r="AS34" i="7" a="1"/>
  <c r="AS34" i="7" s="1"/>
  <c r="AS33" i="7" a="1"/>
  <c r="AS33" i="7" s="1"/>
  <c r="AS32" i="7" a="1"/>
  <c r="AS32" i="7" s="1"/>
  <c r="AS31" i="7" a="1"/>
  <c r="AS31" i="7" s="1"/>
  <c r="AS30" i="7" a="1"/>
  <c r="AS30" i="7" s="1"/>
  <c r="AS29" i="7" a="1"/>
  <c r="AS29" i="7" s="1"/>
  <c r="AS28" i="7" a="1"/>
  <c r="AS28" i="7" s="1"/>
  <c r="AS27" i="7" a="1"/>
  <c r="AS27" i="7" s="1"/>
  <c r="AS26" i="7" a="1"/>
  <c r="AS26" i="7" s="1"/>
  <c r="AS25" i="7" a="1"/>
  <c r="AS25" i="7" s="1"/>
  <c r="AS24" i="7" a="1"/>
  <c r="AS24" i="7" s="1"/>
  <c r="AS23" i="7" a="1"/>
  <c r="AS23" i="7" s="1"/>
  <c r="AS22" i="7" a="1"/>
  <c r="AS22" i="7" s="1"/>
  <c r="AS21" i="7" a="1"/>
  <c r="AS21" i="7" s="1"/>
  <c r="AS20" i="7" a="1"/>
  <c r="AS20" i="7" s="1"/>
  <c r="AS19" i="7" a="1"/>
  <c r="AS19" i="7" s="1"/>
  <c r="AS18" i="7" a="1"/>
  <c r="AS18" i="7" s="1"/>
  <c r="AS17" i="7" a="1"/>
  <c r="AS17" i="7" s="1"/>
  <c r="AS16" i="7" a="1"/>
  <c r="AS16" i="7" s="1"/>
  <c r="AS15" i="7" a="1"/>
  <c r="AS15" i="7" s="1"/>
  <c r="AS14" i="7" a="1"/>
  <c r="AS14" i="7" s="1"/>
  <c r="AS13" i="7" a="1"/>
  <c r="AS13" i="7" s="1"/>
  <c r="AS12" i="7" a="1"/>
  <c r="AS12" i="7" s="1"/>
  <c r="AS11" i="7" a="1"/>
  <c r="AS11" i="7" s="1"/>
  <c r="AS10" i="7" a="1"/>
  <c r="AS10" i="7" s="1"/>
  <c r="AS9" i="7" a="1"/>
  <c r="AS9" i="7" s="1"/>
  <c r="AS36" i="8" a="1"/>
  <c r="AS36" i="8" s="1"/>
  <c r="AS35" i="8" a="1"/>
  <c r="AS35" i="8" s="1"/>
  <c r="AS34" i="8" a="1"/>
  <c r="AS34" i="8" s="1"/>
  <c r="AS33" i="8" a="1"/>
  <c r="AS33" i="8" s="1"/>
  <c r="AS32" i="8" a="1"/>
  <c r="AS32" i="8" s="1"/>
  <c r="AS31" i="8" a="1"/>
  <c r="AS31" i="8" s="1"/>
  <c r="AS30" i="8" a="1"/>
  <c r="AS30" i="8" s="1"/>
  <c r="AS29" i="8" a="1"/>
  <c r="AS29" i="8" s="1"/>
  <c r="AS28" i="8" a="1"/>
  <c r="AS28" i="8" s="1"/>
  <c r="AS27" i="8" a="1"/>
  <c r="AS27" i="8" s="1"/>
  <c r="AS26" i="8" a="1"/>
  <c r="AS26" i="8" s="1"/>
  <c r="AS25" i="8" a="1"/>
  <c r="AS25" i="8" s="1"/>
  <c r="AS24" i="8" a="1"/>
  <c r="AS24" i="8" s="1"/>
  <c r="AS23" i="8" a="1"/>
  <c r="AS23" i="8" s="1"/>
  <c r="AS22" i="8" a="1"/>
  <c r="AS22" i="8" s="1"/>
  <c r="AS21" i="8"/>
  <c r="AS21" i="8" a="1"/>
  <c r="AS20" i="8" a="1"/>
  <c r="AS20" i="8" s="1"/>
  <c r="AS19" i="8" a="1"/>
  <c r="AS19" i="8" s="1"/>
  <c r="AS18" i="8" a="1"/>
  <c r="AS18" i="8" s="1"/>
  <c r="AS17" i="8" a="1"/>
  <c r="AS17" i="8" s="1"/>
  <c r="AS16" i="8" a="1"/>
  <c r="AS16" i="8" s="1"/>
  <c r="AS15" i="8" a="1"/>
  <c r="AS15" i="8" s="1"/>
  <c r="AS14" i="8" a="1"/>
  <c r="AS14" i="8" s="1"/>
  <c r="AS13" i="8" a="1"/>
  <c r="AS13" i="8" s="1"/>
  <c r="AS12" i="8" a="1"/>
  <c r="AS12" i="8" s="1"/>
  <c r="AS11" i="8" a="1"/>
  <c r="AS11" i="8" s="1"/>
  <c r="AS10" i="8" a="1"/>
  <c r="AS10" i="8" s="1"/>
  <c r="AS9" i="8" a="1"/>
  <c r="AS9" i="8" s="1"/>
  <c r="AS36" i="9" a="1"/>
  <c r="AS36" i="9" s="1"/>
  <c r="AS35" i="9" a="1"/>
  <c r="AS35" i="9" s="1"/>
  <c r="AS34" i="9" a="1"/>
  <c r="AS34" i="9" s="1"/>
  <c r="AS33" i="9" a="1"/>
  <c r="AS33" i="9" s="1"/>
  <c r="AS32" i="9" a="1"/>
  <c r="AS32" i="9" s="1"/>
  <c r="AS31" i="9" a="1"/>
  <c r="AS31" i="9" s="1"/>
  <c r="AS30" i="9" a="1"/>
  <c r="AS30" i="9" s="1"/>
  <c r="AS29" i="9" a="1"/>
  <c r="AS29" i="9" s="1"/>
  <c r="AS28" i="9" a="1"/>
  <c r="AS28" i="9" s="1"/>
  <c r="AS27" i="9" a="1"/>
  <c r="AS27" i="9" s="1"/>
  <c r="AS26" i="9" a="1"/>
  <c r="AS26" i="9" s="1"/>
  <c r="AS25" i="9" a="1"/>
  <c r="AS25" i="9" s="1"/>
  <c r="AS24" i="9" a="1"/>
  <c r="AS24" i="9" s="1"/>
  <c r="AS23" i="9" a="1"/>
  <c r="AS23" i="9" s="1"/>
  <c r="AS22" i="9" a="1"/>
  <c r="AS22" i="9" s="1"/>
  <c r="AS21" i="9" a="1"/>
  <c r="AS21" i="9" s="1"/>
  <c r="AS20" i="9" a="1"/>
  <c r="AS20" i="9" s="1"/>
  <c r="AS19" i="9" a="1"/>
  <c r="AS19" i="9" s="1"/>
  <c r="AS18" i="9" a="1"/>
  <c r="AS18" i="9" s="1"/>
  <c r="AS17" i="9" a="1"/>
  <c r="AS17" i="9" s="1"/>
  <c r="AS16" i="9" a="1"/>
  <c r="AS16" i="9" s="1"/>
  <c r="AS15" i="9" a="1"/>
  <c r="AS15" i="9" s="1"/>
  <c r="AS14" i="9" a="1"/>
  <c r="AS14" i="9" s="1"/>
  <c r="AS13" i="9" a="1"/>
  <c r="AS13" i="9" s="1"/>
  <c r="AS12" i="9" a="1"/>
  <c r="AS12" i="9" s="1"/>
  <c r="AS11" i="9" a="1"/>
  <c r="AS11" i="9" s="1"/>
  <c r="AS10" i="9" a="1"/>
  <c r="AS10" i="9" s="1"/>
  <c r="AS9" i="9" a="1"/>
  <c r="AS9" i="9" s="1"/>
  <c r="AS36" i="10" a="1"/>
  <c r="AS36" i="10" s="1"/>
  <c r="AS35" i="10" a="1"/>
  <c r="AS35" i="10" s="1"/>
  <c r="AS34" i="10" a="1"/>
  <c r="AS34" i="10" s="1"/>
  <c r="AS33" i="10" a="1"/>
  <c r="AS33" i="10" s="1"/>
  <c r="AS32" i="10" a="1"/>
  <c r="AS32" i="10" s="1"/>
  <c r="AS31" i="10" a="1"/>
  <c r="AS31" i="10" s="1"/>
  <c r="AS30" i="10" a="1"/>
  <c r="AS30" i="10" s="1"/>
  <c r="AS29" i="10" a="1"/>
  <c r="AS29" i="10" s="1"/>
  <c r="AS28" i="10" a="1"/>
  <c r="AS28" i="10" s="1"/>
  <c r="AS27" i="10" a="1"/>
  <c r="AS27" i="10" s="1"/>
  <c r="AS26" i="10" a="1"/>
  <c r="AS26" i="10" s="1"/>
  <c r="AS25" i="10" a="1"/>
  <c r="AS25" i="10" s="1"/>
  <c r="AS24" i="10" a="1"/>
  <c r="AS24" i="10" s="1"/>
  <c r="AS23" i="10" a="1"/>
  <c r="AS23" i="10" s="1"/>
  <c r="AS22" i="10" a="1"/>
  <c r="AS22" i="10" s="1"/>
  <c r="AS21" i="10" a="1"/>
  <c r="AS21" i="10" s="1"/>
  <c r="AS20" i="10" a="1"/>
  <c r="AS20" i="10" s="1"/>
  <c r="AS19" i="10" a="1"/>
  <c r="AS19" i="10" s="1"/>
  <c r="AS18" i="10" a="1"/>
  <c r="AS18" i="10" s="1"/>
  <c r="AS17" i="10" a="1"/>
  <c r="AS17" i="10" s="1"/>
  <c r="AS16" i="10" a="1"/>
  <c r="AS16" i="10" s="1"/>
  <c r="AS15" i="10" a="1"/>
  <c r="AS15" i="10" s="1"/>
  <c r="AS14" i="10" a="1"/>
  <c r="AS14" i="10" s="1"/>
  <c r="AS13" i="10" a="1"/>
  <c r="AS13" i="10" s="1"/>
  <c r="AS12" i="10" a="1"/>
  <c r="AS12" i="10" s="1"/>
  <c r="AS11" i="10" a="1"/>
  <c r="AS11" i="10" s="1"/>
  <c r="AS10" i="10" a="1"/>
  <c r="AS10" i="10" s="1"/>
  <c r="AS9" i="10" a="1"/>
  <c r="AS9" i="10" s="1"/>
  <c r="AS36" i="22" a="1"/>
  <c r="AS36" i="22" s="1"/>
  <c r="AS35" i="22"/>
  <c r="AS35" i="22" a="1"/>
  <c r="AS34" i="22" a="1"/>
  <c r="AS34" i="22" s="1"/>
  <c r="AS33" i="22" a="1"/>
  <c r="AS33" i="22" s="1"/>
  <c r="AS32" i="22" a="1"/>
  <c r="AS32" i="22" s="1"/>
  <c r="AS31" i="22" a="1"/>
  <c r="AS31" i="22" s="1"/>
  <c r="AS30" i="22" a="1"/>
  <c r="AS30" i="22" s="1"/>
  <c r="AS29" i="22" a="1"/>
  <c r="AS29" i="22" s="1"/>
  <c r="AS28" i="22" a="1"/>
  <c r="AS28" i="22" s="1"/>
  <c r="AS27" i="22" a="1"/>
  <c r="AS27" i="22" s="1"/>
  <c r="AS26" i="22" a="1"/>
  <c r="AS26" i="22" s="1"/>
  <c r="AS25" i="22" a="1"/>
  <c r="AS25" i="22" s="1"/>
  <c r="AS24" i="22" a="1"/>
  <c r="AS24" i="22" s="1"/>
  <c r="AS23" i="22" a="1"/>
  <c r="AS23" i="22" s="1"/>
  <c r="AS22" i="22"/>
  <c r="AS22" i="22" a="1"/>
  <c r="AS21" i="22" a="1"/>
  <c r="AS21" i="22" s="1"/>
  <c r="AS20" i="22" a="1"/>
  <c r="AS20" i="22" s="1"/>
  <c r="AS19" i="22" a="1"/>
  <c r="AS19" i="22" s="1"/>
  <c r="AS18" i="22" a="1"/>
  <c r="AS18" i="22" s="1"/>
  <c r="AS17" i="22" a="1"/>
  <c r="AS17" i="22" s="1"/>
  <c r="AS16" i="22" a="1"/>
  <c r="AS16" i="22" s="1"/>
  <c r="AS15" i="22" a="1"/>
  <c r="AS15" i="22" s="1"/>
  <c r="AS14" i="22"/>
  <c r="AS14" i="22" a="1"/>
  <c r="AS13" i="22" a="1"/>
  <c r="AS13" i="22" s="1"/>
  <c r="AS12" i="22" a="1"/>
  <c r="AS12" i="22" s="1"/>
  <c r="AS11" i="22" a="1"/>
  <c r="AS11" i="22" s="1"/>
  <c r="AS10" i="22" a="1"/>
  <c r="AS10" i="22" s="1"/>
  <c r="AS9" i="22" a="1"/>
  <c r="AS9" i="22" s="1"/>
  <c r="AS36" i="23" a="1"/>
  <c r="AS36" i="23" s="1"/>
  <c r="AS35" i="23" a="1"/>
  <c r="AS35" i="23" s="1"/>
  <c r="AS34" i="23" a="1"/>
  <c r="AS34" i="23" s="1"/>
  <c r="AS33" i="23" a="1"/>
  <c r="AS33" i="23" s="1"/>
  <c r="AS32" i="23" a="1"/>
  <c r="AS32" i="23" s="1"/>
  <c r="AS31" i="23" a="1"/>
  <c r="AS31" i="23" s="1"/>
  <c r="AS30" i="23" a="1"/>
  <c r="AS30" i="23" s="1"/>
  <c r="AS29" i="23" a="1"/>
  <c r="AS29" i="23" s="1"/>
  <c r="AS28" i="23" a="1"/>
  <c r="AS28" i="23" s="1"/>
  <c r="AS27" i="23"/>
  <c r="AS27" i="23" a="1"/>
  <c r="AS26" i="23"/>
  <c r="AS26" i="23" a="1"/>
  <c r="AS25" i="23" a="1"/>
  <c r="AS25" i="23" s="1"/>
  <c r="AS24" i="23" a="1"/>
  <c r="AS24" i="23" s="1"/>
  <c r="AS23" i="23" a="1"/>
  <c r="AS23" i="23" s="1"/>
  <c r="AS22" i="23" a="1"/>
  <c r="AS22" i="23" s="1"/>
  <c r="AS21" i="23" a="1"/>
  <c r="AS21" i="23" s="1"/>
  <c r="AS20" i="23" a="1"/>
  <c r="AS20" i="23" s="1"/>
  <c r="AS19" i="23" a="1"/>
  <c r="AS19" i="23" s="1"/>
  <c r="AS18" i="23"/>
  <c r="AS18" i="23" a="1"/>
  <c r="AS17" i="23" a="1"/>
  <c r="AS17" i="23" s="1"/>
  <c r="AS16" i="23" a="1"/>
  <c r="AS16" i="23" s="1"/>
  <c r="AS15" i="23" a="1"/>
  <c r="AS15" i="23" s="1"/>
  <c r="AS14" i="23" a="1"/>
  <c r="AS14" i="23" s="1"/>
  <c r="AS13" i="23" a="1"/>
  <c r="AS13" i="23" s="1"/>
  <c r="AS12" i="23" a="1"/>
  <c r="AS12" i="23" s="1"/>
  <c r="AS11" i="23" a="1"/>
  <c r="AS11" i="23" s="1"/>
  <c r="AS10" i="23" a="1"/>
  <c r="AS10" i="23" s="1"/>
  <c r="AS9" i="23" a="1"/>
  <c r="AS9" i="23" s="1"/>
  <c r="AS36" i="24" a="1"/>
  <c r="AS36" i="24" s="1"/>
  <c r="AS35" i="24" a="1"/>
  <c r="AS35" i="24" s="1"/>
  <c r="AS34" i="24" a="1"/>
  <c r="AS34" i="24" s="1"/>
  <c r="AS33" i="24" a="1"/>
  <c r="AS33" i="24" s="1"/>
  <c r="AS32" i="24" a="1"/>
  <c r="AS32" i="24" s="1"/>
  <c r="AS31" i="24"/>
  <c r="AS31" i="24" a="1"/>
  <c r="AS30" i="24"/>
  <c r="AS30" i="24" a="1"/>
  <c r="AS29" i="24"/>
  <c r="AS29" i="24" a="1"/>
  <c r="AS28" i="24" a="1"/>
  <c r="AS28" i="24" s="1"/>
  <c r="AS27" i="24" a="1"/>
  <c r="AS27" i="24" s="1"/>
  <c r="AS26" i="24"/>
  <c r="AS26" i="24" a="1"/>
  <c r="AS25" i="24" a="1"/>
  <c r="AS25" i="24" s="1"/>
  <c r="AS24" i="24"/>
  <c r="AS24" i="24" a="1"/>
  <c r="AS23" i="24"/>
  <c r="AS23" i="24" a="1"/>
  <c r="AS22" i="24"/>
  <c r="AS22" i="24" a="1"/>
  <c r="AS21" i="24" a="1"/>
  <c r="AS21" i="24" s="1"/>
  <c r="AS20" i="24"/>
  <c r="AS20" i="24" a="1"/>
  <c r="AS19" i="24" a="1"/>
  <c r="AS19" i="24" s="1"/>
  <c r="AS18" i="24"/>
  <c r="AS18" i="24" a="1"/>
  <c r="AS17" i="24"/>
  <c r="AS17" i="24" a="1"/>
  <c r="AS16" i="24"/>
  <c r="AS16" i="24" a="1"/>
  <c r="AS15" i="24" a="1"/>
  <c r="AS15" i="24" s="1"/>
  <c r="AS14" i="24"/>
  <c r="AS14" i="24" a="1"/>
  <c r="AS13" i="24"/>
  <c r="AS13" i="24" a="1"/>
  <c r="AS12" i="24" a="1"/>
  <c r="AS12" i="24" s="1"/>
  <c r="AS11" i="24"/>
  <c r="AS11" i="24" a="1"/>
  <c r="AS10" i="24" a="1"/>
  <c r="AS10" i="24" s="1"/>
  <c r="AS9" i="24" a="1"/>
  <c r="AS9" i="24" s="1"/>
  <c r="AS36" i="25"/>
  <c r="AS36" i="25" a="1"/>
  <c r="AS35" i="25" a="1"/>
  <c r="AS35" i="25" s="1"/>
  <c r="AS34" i="25" a="1"/>
  <c r="AS34" i="25" s="1"/>
  <c r="AS33" i="25"/>
  <c r="AS33" i="25" a="1"/>
  <c r="AS32" i="25"/>
  <c r="AS32" i="25" a="1"/>
  <c r="AS31" i="25" a="1"/>
  <c r="AS31" i="25" s="1"/>
  <c r="AS30" i="25"/>
  <c r="AS30" i="25" a="1"/>
  <c r="AS29" i="25"/>
  <c r="AS29" i="25" a="1"/>
  <c r="AS28" i="25"/>
  <c r="AS28" i="25" a="1"/>
  <c r="AS27" i="25"/>
  <c r="AS27" i="25" a="1"/>
  <c r="AS26" i="25" a="1"/>
  <c r="AS26" i="25" s="1"/>
  <c r="AS25" i="25" a="1"/>
  <c r="AS25" i="25" s="1"/>
  <c r="AS24" i="25"/>
  <c r="AS24" i="25" a="1"/>
  <c r="AS23" i="25" a="1"/>
  <c r="AS23" i="25" s="1"/>
  <c r="AS22" i="25" a="1"/>
  <c r="AS22" i="25" s="1"/>
  <c r="AS21" i="25" a="1"/>
  <c r="AS21" i="25" s="1"/>
  <c r="AS20" i="25"/>
  <c r="AS20" i="25" a="1"/>
  <c r="AS19" i="25" a="1"/>
  <c r="AS19" i="25" s="1"/>
  <c r="AS18" i="25"/>
  <c r="AS18" i="25" a="1"/>
  <c r="AS17" i="25"/>
  <c r="AS17" i="25" a="1"/>
  <c r="AS16" i="25"/>
  <c r="AS16" i="25" a="1"/>
  <c r="AS15" i="25"/>
  <c r="AS15" i="25" a="1"/>
  <c r="AS14" i="25" a="1"/>
  <c r="AS14" i="25" s="1"/>
  <c r="AS13" i="25" a="1"/>
  <c r="AS13" i="25" s="1"/>
  <c r="AS12" i="25"/>
  <c r="AS12" i="25" a="1"/>
  <c r="AS11" i="25"/>
  <c r="AS11" i="25" a="1"/>
  <c r="AS10" i="25" a="1"/>
  <c r="AS10" i="25" s="1"/>
  <c r="AS9" i="25" a="1"/>
  <c r="AS9" i="25" s="1"/>
  <c r="AS36" i="26" a="1"/>
  <c r="AS36" i="26" s="1"/>
  <c r="AS35" i="26" a="1"/>
  <c r="AS35" i="26" s="1"/>
  <c r="AS34" i="26"/>
  <c r="AS34" i="26" a="1"/>
  <c r="AS33" i="26" a="1"/>
  <c r="AS33" i="26" s="1"/>
  <c r="AS32" i="26"/>
  <c r="AS32" i="26" a="1"/>
  <c r="AS31" i="26"/>
  <c r="AS31" i="26" a="1"/>
  <c r="AS30" i="26"/>
  <c r="AS30" i="26" a="1"/>
  <c r="AS29" i="26" a="1"/>
  <c r="AS29" i="26" s="1"/>
  <c r="AS28" i="26"/>
  <c r="AS28" i="26" a="1"/>
  <c r="AS27" i="26"/>
  <c r="AS27" i="26" a="1"/>
  <c r="AS26" i="26"/>
  <c r="AS26" i="26" a="1"/>
  <c r="AS25" i="26" a="1"/>
  <c r="AS25" i="26" s="1"/>
  <c r="AS24" i="26" a="1"/>
  <c r="AS24" i="26" s="1"/>
  <c r="AS23" i="26" a="1"/>
  <c r="AS23" i="26" s="1"/>
  <c r="AS22" i="26" a="1"/>
  <c r="AS22" i="26" s="1"/>
  <c r="AS21" i="26" a="1"/>
  <c r="AS21" i="26" s="1"/>
  <c r="AS20" i="26" a="1"/>
  <c r="AS20" i="26" s="1"/>
  <c r="AS19" i="26"/>
  <c r="AS19" i="26" a="1"/>
  <c r="AS18" i="26"/>
  <c r="AS18" i="26" a="1"/>
  <c r="AS17" i="26" a="1"/>
  <c r="AS17" i="26" s="1"/>
  <c r="AS16" i="26" a="1"/>
  <c r="AS16" i="26" s="1"/>
  <c r="AS15" i="26"/>
  <c r="AS15" i="26" a="1"/>
  <c r="AS14" i="26"/>
  <c r="AS14" i="26" a="1"/>
  <c r="AS13" i="26"/>
  <c r="AS13" i="26" a="1"/>
  <c r="AS12" i="26" a="1"/>
  <c r="AS12" i="26" s="1"/>
  <c r="AS11" i="26" a="1"/>
  <c r="AS11" i="26" s="1"/>
  <c r="AS10" i="26"/>
  <c r="AS10" i="26" a="1"/>
  <c r="AS9" i="26" a="1"/>
  <c r="AS9" i="26" s="1"/>
  <c r="AS36" i="27" a="1"/>
  <c r="AS36" i="27" s="1"/>
  <c r="AS35" i="27" a="1"/>
  <c r="AS35" i="27" s="1"/>
  <c r="AS34" i="27"/>
  <c r="AS34" i="27" a="1"/>
  <c r="AS33" i="27" a="1"/>
  <c r="AS33" i="27" s="1"/>
  <c r="AS32" i="27" a="1"/>
  <c r="AS32" i="27" s="1"/>
  <c r="AS31" i="27" a="1"/>
  <c r="AS31" i="27" s="1"/>
  <c r="AS30" i="27"/>
  <c r="AS30" i="27" a="1"/>
  <c r="AS29" i="27"/>
  <c r="AS29" i="27" a="1"/>
  <c r="AS28" i="27"/>
  <c r="AS28" i="27" a="1"/>
  <c r="AS27" i="27" a="1"/>
  <c r="AS27" i="27" s="1"/>
  <c r="AS26" i="27"/>
  <c r="AS26" i="27" a="1"/>
  <c r="AS25" i="27"/>
  <c r="AS25" i="27" a="1"/>
  <c r="AS24" i="27" a="1"/>
  <c r="AS24" i="27" s="1"/>
  <c r="AS23" i="27" a="1"/>
  <c r="AS23" i="27" s="1"/>
  <c r="AS22" i="27" a="1"/>
  <c r="AS22" i="27" s="1"/>
  <c r="AS21" i="27" a="1"/>
  <c r="AS21" i="27" s="1"/>
  <c r="AS20" i="27" a="1"/>
  <c r="AS20" i="27" s="1"/>
  <c r="AS19" i="27" a="1"/>
  <c r="AS19" i="27" s="1"/>
  <c r="AS18" i="27" a="1"/>
  <c r="AS18" i="27" s="1"/>
  <c r="AS17" i="27"/>
  <c r="AS17" i="27" a="1"/>
  <c r="AS16" i="27"/>
  <c r="AS16" i="27" a="1"/>
  <c r="AS15" i="27" a="1"/>
  <c r="AS15" i="27" s="1"/>
  <c r="AS14" i="27"/>
  <c r="AS14" i="27" a="1"/>
  <c r="AS13" i="27"/>
  <c r="AS13" i="27" a="1"/>
  <c r="AS12" i="27"/>
  <c r="AS12" i="27" a="1"/>
  <c r="AS11" i="27" a="1"/>
  <c r="AS11" i="27" s="1"/>
  <c r="AS10" i="27" a="1"/>
  <c r="AS10" i="27" s="1"/>
  <c r="AS9" i="27" a="1"/>
  <c r="AS9" i="27" s="1"/>
  <c r="AS36" i="28"/>
  <c r="AS36" i="28" a="1"/>
  <c r="AS35" i="28" a="1"/>
  <c r="AS35" i="28" s="1"/>
  <c r="AS34" i="28" a="1"/>
  <c r="AS34" i="28" s="1"/>
  <c r="AS33" i="28" a="1"/>
  <c r="AS33" i="28" s="1"/>
  <c r="AS32" i="28"/>
  <c r="AS32" i="28" a="1"/>
  <c r="AS31" i="28" a="1"/>
  <c r="AS31" i="28" s="1"/>
  <c r="AS30" i="28" a="1"/>
  <c r="AS30" i="28" s="1"/>
  <c r="AS29" i="28"/>
  <c r="AS29" i="28" a="1"/>
  <c r="AS28" i="28"/>
  <c r="AS28" i="28" a="1"/>
  <c r="AS27" i="28"/>
  <c r="AS27" i="28" a="1"/>
  <c r="AS26" i="28" a="1"/>
  <c r="AS26" i="28" s="1"/>
  <c r="AS25" i="28" a="1"/>
  <c r="AS25" i="28" s="1"/>
  <c r="AS24" i="28"/>
  <c r="AS24" i="28" a="1"/>
  <c r="AS23" i="28"/>
  <c r="AS23" i="28" a="1"/>
  <c r="AS22" i="28" a="1"/>
  <c r="AS22" i="28" s="1"/>
  <c r="AS21" i="28" a="1"/>
  <c r="AS21" i="28" s="1"/>
  <c r="AS20" i="28" a="1"/>
  <c r="AS20" i="28" s="1"/>
  <c r="AS19" i="28" a="1"/>
  <c r="AS19" i="28" s="1"/>
  <c r="AS18" i="28" a="1"/>
  <c r="AS18" i="28" s="1"/>
  <c r="AS17" i="28" a="1"/>
  <c r="AS17" i="28" s="1"/>
  <c r="AS16" i="28" a="1"/>
  <c r="AS16" i="28" s="1"/>
  <c r="AS15" i="28"/>
  <c r="AS15" i="28" a="1"/>
  <c r="AS14" i="28"/>
  <c r="AS14" i="28" a="1"/>
  <c r="AS13" i="28" a="1"/>
  <c r="AS13" i="28" s="1"/>
  <c r="AS12" i="28"/>
  <c r="AS12" i="28" a="1"/>
  <c r="AS11" i="28"/>
  <c r="AS11" i="28" a="1"/>
  <c r="AS10" i="28"/>
  <c r="AS10" i="28" a="1"/>
  <c r="AS9" i="28" a="1"/>
  <c r="AS9" i="28" s="1"/>
  <c r="AS36" i="29" a="1"/>
  <c r="AS36" i="29" s="1"/>
  <c r="AS35" i="29" a="1"/>
  <c r="AS35" i="29" s="1"/>
  <c r="AS34" i="29" a="1"/>
  <c r="AS34" i="29" s="1"/>
  <c r="AS33" i="29" a="1"/>
  <c r="AS33" i="29" s="1"/>
  <c r="AS32" i="29" a="1"/>
  <c r="AS32" i="29" s="1"/>
  <c r="AS31" i="29" a="1"/>
  <c r="AS31" i="29" s="1"/>
  <c r="AS30" i="29"/>
  <c r="AS30" i="29" a="1"/>
  <c r="AS29" i="29" a="1"/>
  <c r="AS29" i="29" s="1"/>
  <c r="AS28" i="29" a="1"/>
  <c r="AS28" i="29" s="1"/>
  <c r="AS27" i="29"/>
  <c r="AS27" i="29" a="1"/>
  <c r="AS26" i="29"/>
  <c r="AS26" i="29" a="1"/>
  <c r="AS25" i="29"/>
  <c r="AS25" i="29" a="1"/>
  <c r="AS24" i="29" a="1"/>
  <c r="AS24" i="29" s="1"/>
  <c r="AS23" i="29" a="1"/>
  <c r="AS23" i="29" s="1"/>
  <c r="AS22" i="29"/>
  <c r="AS22" i="29" a="1"/>
  <c r="AS21" i="29" a="1"/>
  <c r="AS21" i="29" s="1"/>
  <c r="AS20" i="29" a="1"/>
  <c r="AS20" i="29" s="1"/>
  <c r="AS19" i="29" a="1"/>
  <c r="AS19" i="29" s="1"/>
  <c r="AS18" i="29" a="1"/>
  <c r="AS18" i="29" s="1"/>
  <c r="AS17" i="29" a="1"/>
  <c r="AS17" i="29" s="1"/>
  <c r="AS16" i="29" a="1"/>
  <c r="AS16" i="29" s="1"/>
  <c r="AS15" i="29" a="1"/>
  <c r="AS15" i="29" s="1"/>
  <c r="AS14" i="29"/>
  <c r="AS14" i="29" a="1"/>
  <c r="AS13" i="29"/>
  <c r="AS13" i="29" a="1"/>
  <c r="AS12" i="29"/>
  <c r="AS12" i="29" a="1"/>
  <c r="AS11" i="29" a="1"/>
  <c r="AS11" i="29" s="1"/>
  <c r="AS10" i="29"/>
  <c r="AS10" i="29" a="1"/>
  <c r="AS9" i="29"/>
  <c r="AS9" i="29" a="1"/>
  <c r="AS36" i="30" a="1"/>
  <c r="AS36" i="30" s="1"/>
  <c r="AS35" i="30" a="1"/>
  <c r="AS35" i="30" s="1"/>
  <c r="AS34" i="30" a="1"/>
  <c r="AS34" i="30" s="1"/>
  <c r="AS33" i="30" a="1"/>
  <c r="AS33" i="30" s="1"/>
  <c r="AS32" i="30" a="1"/>
  <c r="AS32" i="30" s="1"/>
  <c r="AS31" i="30" a="1"/>
  <c r="AS31" i="30" s="1"/>
  <c r="AS30" i="30" a="1"/>
  <c r="AS30" i="30" s="1"/>
  <c r="AS29" i="30"/>
  <c r="AS29" i="30" a="1"/>
  <c r="AS28" i="30"/>
  <c r="AS28" i="30" a="1"/>
  <c r="AS27" i="30" a="1"/>
  <c r="AS27" i="30" s="1"/>
  <c r="AS26" i="30"/>
  <c r="AS26" i="30" a="1"/>
  <c r="AS25" i="30"/>
  <c r="AS25" i="30" a="1"/>
  <c r="AS24" i="30"/>
  <c r="AS24" i="30" a="1"/>
  <c r="AS23" i="30" a="1"/>
  <c r="AS23" i="30" s="1"/>
  <c r="AS22" i="30" a="1"/>
  <c r="AS22" i="30" s="1"/>
  <c r="AS21" i="30" a="1"/>
  <c r="AS21" i="30" s="1"/>
  <c r="AS20" i="30"/>
  <c r="AS20" i="30" a="1"/>
  <c r="AS19" i="30" a="1"/>
  <c r="AS19" i="30" s="1"/>
  <c r="AS18" i="30" a="1"/>
  <c r="AS18" i="30" s="1"/>
  <c r="AS17" i="30" a="1"/>
  <c r="AS17" i="30" s="1"/>
  <c r="AS16" i="30" a="1"/>
  <c r="AS16" i="30" s="1"/>
  <c r="AS15" i="30" a="1"/>
  <c r="AS15" i="30" s="1"/>
  <c r="AS14" i="30" a="1"/>
  <c r="AS14" i="30" s="1"/>
  <c r="AS13" i="30"/>
  <c r="AS13" i="30" a="1"/>
  <c r="AS12" i="30"/>
  <c r="AS12" i="30" a="1"/>
  <c r="AS11" i="30"/>
  <c r="AS11" i="30" a="1"/>
  <c r="AS10" i="30" a="1"/>
  <c r="AS10" i="30" s="1"/>
  <c r="AS9" i="30" a="1"/>
  <c r="AS9" i="30" s="1"/>
  <c r="AS36" i="31"/>
  <c r="AS36" i="31" a="1"/>
  <c r="AS35" i="31"/>
  <c r="AS35" i="31" a="1"/>
  <c r="AS34" i="31" a="1"/>
  <c r="AS34" i="31" s="1"/>
  <c r="AS33" i="31" a="1"/>
  <c r="AS33" i="31" s="1"/>
  <c r="AS32" i="31" a="1"/>
  <c r="AS32" i="31" s="1"/>
  <c r="AS31" i="31" a="1"/>
  <c r="AS31" i="31" s="1"/>
  <c r="AS30" i="31"/>
  <c r="AS30" i="31" a="1"/>
  <c r="AS29" i="31" a="1"/>
  <c r="AS29" i="31" s="1"/>
  <c r="AS28" i="31"/>
  <c r="AS28" i="31" a="1"/>
  <c r="AS27" i="31"/>
  <c r="AS27" i="31" a="1"/>
  <c r="AS26" i="31"/>
  <c r="AS26" i="31" a="1"/>
  <c r="AS25" i="31" a="1"/>
  <c r="AS25" i="31" s="1"/>
  <c r="AS24" i="31" a="1"/>
  <c r="AS24" i="31" s="1"/>
  <c r="AS23" i="31"/>
  <c r="AS23" i="31" a="1"/>
  <c r="AS22" i="31"/>
  <c r="AS22" i="31" a="1"/>
  <c r="AS21" i="31" a="1"/>
  <c r="AS21" i="31" s="1"/>
  <c r="AS20" i="31" a="1"/>
  <c r="AS20" i="31" s="1"/>
  <c r="AS19" i="31" a="1"/>
  <c r="AS19" i="31" s="1"/>
  <c r="AS18" i="31" a="1"/>
  <c r="AS18" i="31" s="1"/>
  <c r="AS17" i="31"/>
  <c r="AS17" i="31" a="1"/>
  <c r="AS16" i="31" a="1"/>
  <c r="AS16" i="31" s="1"/>
  <c r="AS15" i="31"/>
  <c r="AS15" i="31" a="1"/>
  <c r="AS14" i="31"/>
  <c r="AS14" i="31" a="1"/>
  <c r="AS13" i="31" a="1"/>
  <c r="AS13" i="31" s="1"/>
  <c r="AS12" i="31" a="1"/>
  <c r="AS12" i="31" s="1"/>
  <c r="AS11" i="31" a="1"/>
  <c r="AS11" i="31" s="1"/>
  <c r="AS10" i="31"/>
  <c r="AS10" i="31" a="1"/>
  <c r="AS9" i="31"/>
  <c r="AS9" i="31" a="1"/>
  <c r="AS36" i="32" a="1"/>
  <c r="AS36" i="32" s="1"/>
  <c r="AS35" i="32" a="1"/>
  <c r="AS35" i="32" s="1"/>
  <c r="AS34" i="32"/>
  <c r="AS34" i="32" a="1"/>
  <c r="AS33" i="32" a="1"/>
  <c r="AS33" i="32" s="1"/>
  <c r="AS32" i="32"/>
  <c r="AS32" i="32" a="1"/>
  <c r="AS31" i="32" a="1"/>
  <c r="AS31" i="32" s="1"/>
  <c r="AS30" i="32"/>
  <c r="AS30" i="32" a="1"/>
  <c r="AS29" i="32" a="1"/>
  <c r="AS29" i="32" s="1"/>
  <c r="AS28" i="32" a="1"/>
  <c r="AS28" i="32" s="1"/>
  <c r="AS27" i="32" a="1"/>
  <c r="AS27" i="32" s="1"/>
  <c r="AS26" i="32" a="1"/>
  <c r="AS26" i="32" s="1"/>
  <c r="AS25" i="32"/>
  <c r="AS25" i="32" a="1"/>
  <c r="AS24" i="32"/>
  <c r="AS24" i="32" a="1"/>
  <c r="AS23" i="32" a="1"/>
  <c r="AS23" i="32" s="1"/>
  <c r="AS22" i="32"/>
  <c r="AS22" i="32" a="1"/>
  <c r="AS21" i="32"/>
  <c r="AS21" i="32" a="1"/>
  <c r="AS20" i="32" a="1"/>
  <c r="AS20" i="32" s="1"/>
  <c r="AS19" i="32"/>
  <c r="AS19" i="32" a="1"/>
  <c r="AS18" i="32" a="1"/>
  <c r="AS18" i="32" s="1"/>
  <c r="AS17" i="32" a="1"/>
  <c r="AS17" i="32" s="1"/>
  <c r="AS16" i="32" a="1"/>
  <c r="AS16" i="32" s="1"/>
  <c r="AS15" i="32" a="1"/>
  <c r="AS15" i="32" s="1"/>
  <c r="AS14" i="32" a="1"/>
  <c r="AS14" i="32" s="1"/>
  <c r="AS13" i="32" a="1"/>
  <c r="AS13" i="32" s="1"/>
  <c r="AS12" i="32"/>
  <c r="AS12" i="32" a="1"/>
  <c r="AS11" i="32" a="1"/>
  <c r="AS11" i="32" s="1"/>
  <c r="AS10" i="32"/>
  <c r="AS10" i="32" a="1"/>
  <c r="AS9" i="32"/>
  <c r="AS9" i="32" a="1"/>
  <c r="AS36" i="33"/>
  <c r="AS36" i="33" a="1"/>
  <c r="AS35" i="33" a="1"/>
  <c r="AS35" i="33" s="1"/>
  <c r="AS34" i="33"/>
  <c r="AS34" i="33" a="1"/>
  <c r="AS33" i="33" a="1"/>
  <c r="AS33" i="33" s="1"/>
  <c r="AS32" i="33"/>
  <c r="AS32" i="33" a="1"/>
  <c r="AS31" i="33" a="1"/>
  <c r="AS31" i="33" s="1"/>
  <c r="AS30" i="33" a="1"/>
  <c r="AS30" i="33" s="1"/>
  <c r="AS29" i="33" a="1"/>
  <c r="AS29" i="33" s="1"/>
  <c r="AS28" i="33" a="1"/>
  <c r="AS28" i="33" s="1"/>
  <c r="AS27" i="33" a="1"/>
  <c r="AS27" i="33" s="1"/>
  <c r="AS26" i="33" a="1"/>
  <c r="AS26" i="33" s="1"/>
  <c r="AS25" i="33"/>
  <c r="AS25" i="33" a="1"/>
  <c r="AS24" i="33"/>
  <c r="AS24" i="33" a="1"/>
  <c r="AS23" i="33"/>
  <c r="AS23" i="33" a="1"/>
  <c r="AS22" i="33" a="1"/>
  <c r="AS22" i="33" s="1"/>
  <c r="AS21" i="33" a="1"/>
  <c r="AS21" i="33" s="1"/>
  <c r="AS20" i="33"/>
  <c r="AS20" i="33" a="1"/>
  <c r="AS19" i="33"/>
  <c r="AS19" i="33" a="1"/>
  <c r="AS18" i="33" a="1"/>
  <c r="AS18" i="33" s="1"/>
  <c r="AS17" i="33" a="1"/>
  <c r="AS17" i="33" s="1"/>
  <c r="AS16" i="33" a="1"/>
  <c r="AS16" i="33" s="1"/>
  <c r="AS15" i="33" a="1"/>
  <c r="AS15" i="33" s="1"/>
  <c r="AS14" i="33" a="1"/>
  <c r="AS14" i="33" s="1"/>
  <c r="AS13" i="33" a="1"/>
  <c r="AS13" i="33" s="1"/>
  <c r="AS12" i="33"/>
  <c r="AS12" i="33" a="1"/>
  <c r="AS11" i="33"/>
  <c r="AS11" i="33" a="1"/>
  <c r="AS10" i="33"/>
  <c r="AS10" i="33" a="1"/>
  <c r="AS9" i="33" a="1"/>
  <c r="AS9" i="33" s="1"/>
  <c r="AS36" i="34" a="1"/>
  <c r="AS36" i="34" s="1"/>
  <c r="AS35" i="34"/>
  <c r="AS35" i="34" a="1"/>
  <c r="AS34" i="34"/>
  <c r="AS34" i="34" a="1"/>
  <c r="AS33" i="34" a="1"/>
  <c r="AS33" i="34" s="1"/>
  <c r="AS32" i="34" a="1"/>
  <c r="AS32" i="34" s="1"/>
  <c r="AS31" i="34" a="1"/>
  <c r="AS31" i="34" s="1"/>
  <c r="AS30" i="34" a="1"/>
  <c r="AS30" i="34" s="1"/>
  <c r="AS29" i="34" a="1"/>
  <c r="AS29" i="34" s="1"/>
  <c r="AS28" i="34" a="1"/>
  <c r="AS28" i="34" s="1"/>
  <c r="AS27" i="34"/>
  <c r="AS27" i="34" a="1"/>
  <c r="AS26" i="34"/>
  <c r="AS26" i="34" a="1"/>
  <c r="AS25" i="34" a="1"/>
  <c r="AS25" i="34" s="1"/>
  <c r="AS24" i="34" a="1"/>
  <c r="AS24" i="34" s="1"/>
  <c r="AS23" i="34" a="1"/>
  <c r="AS23" i="34" s="1"/>
  <c r="AS22" i="34"/>
  <c r="AS22" i="34" a="1"/>
  <c r="AS21" i="34"/>
  <c r="AS21" i="34" a="1"/>
  <c r="AS20" i="34" a="1"/>
  <c r="AS20" i="34" s="1"/>
  <c r="AS19" i="34" a="1"/>
  <c r="AS19" i="34" s="1"/>
  <c r="AS18" i="34"/>
  <c r="AS18" i="34" a="1"/>
  <c r="AS17" i="34" a="1"/>
  <c r="AS17" i="34" s="1"/>
  <c r="AS16" i="34" a="1"/>
  <c r="AS16" i="34" s="1"/>
  <c r="AS15" i="34" a="1"/>
  <c r="AS15" i="34" s="1"/>
  <c r="AS14" i="34"/>
  <c r="AS14" i="34" a="1"/>
  <c r="AS13" i="34" a="1"/>
  <c r="AS13" i="34" s="1"/>
  <c r="AS12" i="34" a="1"/>
  <c r="AS12" i="34" s="1"/>
  <c r="AS11" i="34" a="1"/>
  <c r="AS11" i="34" s="1"/>
  <c r="AS10" i="34" a="1"/>
  <c r="AS10" i="34" s="1"/>
  <c r="AS9" i="34"/>
  <c r="AS9" i="34" a="1"/>
  <c r="AS36" i="5"/>
  <c r="AS36" i="5" a="1"/>
  <c r="AS35" i="5" a="1"/>
  <c r="AS35" i="5" s="1"/>
  <c r="AS34" i="5"/>
  <c r="AS34" i="5" a="1"/>
  <c r="AS33" i="5"/>
  <c r="AS33" i="5" a="1"/>
  <c r="AS32" i="5" a="1"/>
  <c r="AS32" i="5" s="1"/>
  <c r="AS31" i="5" a="1"/>
  <c r="AS31" i="5" s="1"/>
  <c r="AS30" i="5" a="1"/>
  <c r="AS30" i="5" s="1"/>
  <c r="AS29" i="5" a="1"/>
  <c r="AS29" i="5" s="1"/>
  <c r="AS28" i="5" a="1"/>
  <c r="AS28" i="5" s="1"/>
  <c r="AS27" i="5" a="1"/>
  <c r="AS27" i="5" s="1"/>
  <c r="AS26" i="5" a="1"/>
  <c r="AS26" i="5" s="1"/>
  <c r="AS25" i="5" a="1"/>
  <c r="AS25" i="5" s="1"/>
  <c r="AS24" i="5"/>
  <c r="AS24" i="5" a="1"/>
  <c r="AS23" i="5" a="1"/>
  <c r="AS23" i="5" s="1"/>
  <c r="AS22" i="5"/>
  <c r="AS22" i="5" a="1"/>
  <c r="AS21" i="5"/>
  <c r="AS21" i="5" a="1"/>
  <c r="AS20" i="5"/>
  <c r="AS20" i="5" a="1"/>
  <c r="AS19" i="5" a="1"/>
  <c r="AS19" i="5" s="1"/>
  <c r="AS18" i="5" a="1"/>
  <c r="AS18" i="5" s="1"/>
  <c r="AS17" i="5" a="1"/>
  <c r="AS17" i="5" s="1"/>
  <c r="AS16" i="5"/>
  <c r="AS16" i="5" a="1"/>
  <c r="AS15" i="5" a="1"/>
  <c r="AS15" i="5" s="1"/>
  <c r="AS14" i="5" a="1"/>
  <c r="AS14" i="5" s="1"/>
  <c r="AS13" i="5" a="1"/>
  <c r="AS13" i="5" s="1"/>
  <c r="AS12" i="5" a="1"/>
  <c r="AS12" i="5" s="1"/>
  <c r="AS11" i="5" a="1"/>
  <c r="AS11" i="5" s="1"/>
  <c r="AS10" i="5" a="1"/>
  <c r="AS10" i="5" s="1"/>
  <c r="AS9" i="5"/>
  <c r="AS9" i="5" a="1"/>
  <c r="G20" i="4"/>
  <c r="AS10" i="4" s="1" a="1"/>
  <c r="AS10" i="4" s="1"/>
  <c r="AS12" i="4" a="1"/>
  <c r="AS12" i="4" s="1"/>
  <c r="AS13" i="4" a="1"/>
  <c r="AS13" i="4" s="1"/>
  <c r="AS18" i="4" a="1"/>
  <c r="AS18" i="4" s="1"/>
  <c r="AS19" i="4" a="1"/>
  <c r="AS19" i="4" s="1"/>
  <c r="AS20" i="4" a="1"/>
  <c r="AS20" i="4" s="1"/>
  <c r="AS21" i="4" a="1"/>
  <c r="AS21" i="4" s="1"/>
  <c r="AS22" i="4" a="1"/>
  <c r="AS22" i="4" s="1"/>
  <c r="AS23" i="4" a="1"/>
  <c r="AS23" i="4" s="1"/>
  <c r="AS24" i="4" a="1"/>
  <c r="AS24" i="4" s="1"/>
  <c r="AS25" i="4" a="1"/>
  <c r="AS25" i="4" s="1"/>
  <c r="AS26" i="4" a="1"/>
  <c r="AS26" i="4" s="1"/>
  <c r="AS27" i="4" a="1"/>
  <c r="AS27" i="4" s="1"/>
  <c r="AS28" i="4" a="1"/>
  <c r="AS28" i="4" s="1"/>
  <c r="AS29" i="4" a="1"/>
  <c r="AS29" i="4" s="1"/>
  <c r="AS30" i="4" a="1"/>
  <c r="AS30" i="4" s="1"/>
  <c r="AS31" i="4" a="1"/>
  <c r="AS31" i="4" s="1"/>
  <c r="AS32" i="4" a="1"/>
  <c r="AS32" i="4" s="1"/>
  <c r="AS33" i="4" a="1"/>
  <c r="AS33" i="4" s="1"/>
  <c r="AS34" i="4" a="1"/>
  <c r="AS34" i="4" s="1"/>
  <c r="AS35" i="4" a="1"/>
  <c r="AS35" i="4" s="1"/>
  <c r="AS36" i="4" a="1"/>
  <c r="AS36" i="4" s="1"/>
  <c r="AS9" i="4" a="1"/>
  <c r="AS9" i="4" s="1"/>
  <c r="G23" i="4"/>
  <c r="O10" i="9"/>
  <c r="P12" i="6"/>
  <c r="R12" i="6"/>
  <c r="U12" i="6"/>
  <c r="V12" i="6"/>
  <c r="X12" i="6"/>
  <c r="AF12" i="6"/>
  <c r="O13" i="6"/>
  <c r="P13" i="6"/>
  <c r="R13" i="6"/>
  <c r="U13" i="6"/>
  <c r="V13" i="6"/>
  <c r="X13" i="6"/>
  <c r="Y13" i="6"/>
  <c r="AF13" i="6"/>
  <c r="AF8" i="4" a="1"/>
  <c r="AF8" i="4" s="1"/>
  <c r="H21" i="7"/>
  <c r="H16" i="7"/>
  <c r="H11" i="7"/>
  <c r="H21" i="8"/>
  <c r="H16" i="8"/>
  <c r="H11" i="8"/>
  <c r="H21" i="9"/>
  <c r="H16" i="9"/>
  <c r="H11" i="9"/>
  <c r="H21" i="10"/>
  <c r="H16" i="10"/>
  <c r="H11" i="10"/>
  <c r="H21" i="11"/>
  <c r="H16" i="11"/>
  <c r="H11" i="11"/>
  <c r="H21" i="12"/>
  <c r="H16" i="12"/>
  <c r="H21" i="13"/>
  <c r="H16" i="13"/>
  <c r="H11" i="13"/>
  <c r="H21" i="14"/>
  <c r="H16" i="14"/>
  <c r="H11" i="14"/>
  <c r="H21" i="15"/>
  <c r="H16" i="15"/>
  <c r="H11" i="15"/>
  <c r="H21" i="17"/>
  <c r="H16" i="17"/>
  <c r="H11" i="17"/>
  <c r="H21" i="19"/>
  <c r="H16" i="19"/>
  <c r="H11" i="19"/>
  <c r="H21" i="20"/>
  <c r="H16" i="20"/>
  <c r="H11" i="20"/>
  <c r="H21" i="21"/>
  <c r="H16" i="21"/>
  <c r="H11" i="21"/>
  <c r="H21" i="22"/>
  <c r="H16" i="22"/>
  <c r="H11" i="22"/>
  <c r="H21" i="23"/>
  <c r="H16" i="23"/>
  <c r="H11" i="23"/>
  <c r="H21" i="24"/>
  <c r="H16" i="24"/>
  <c r="H11" i="24"/>
  <c r="H21" i="25"/>
  <c r="H16" i="25"/>
  <c r="H11" i="25"/>
  <c r="H21" i="26"/>
  <c r="H16" i="26"/>
  <c r="H11" i="26"/>
  <c r="H21" i="27"/>
  <c r="H16" i="27"/>
  <c r="H11" i="27"/>
  <c r="H21" i="28"/>
  <c r="H16" i="28"/>
  <c r="H11" i="28"/>
  <c r="H21" i="29"/>
  <c r="H16" i="29"/>
  <c r="H11" i="29"/>
  <c r="H21" i="30"/>
  <c r="H16" i="30"/>
  <c r="H11" i="30"/>
  <c r="H21" i="31"/>
  <c r="H16" i="31"/>
  <c r="H11" i="31"/>
  <c r="H21" i="32"/>
  <c r="H16" i="32"/>
  <c r="H11" i="32"/>
  <c r="H21" i="33"/>
  <c r="H16" i="33"/>
  <c r="H11" i="33"/>
  <c r="H21" i="34"/>
  <c r="H16" i="34"/>
  <c r="H11" i="34"/>
  <c r="H21" i="5"/>
  <c r="H16" i="5"/>
  <c r="H11" i="5"/>
  <c r="AC89" i="1" a="1"/>
  <c r="AC89" i="1" s="1"/>
  <c r="AC88" i="1" a="1"/>
  <c r="AC88" i="1" s="1"/>
  <c r="AC87" i="1" a="1"/>
  <c r="AC87" i="1" s="1"/>
  <c r="AC86" i="1" a="1"/>
  <c r="AC86" i="1" s="1"/>
  <c r="AC85" i="1" a="1"/>
  <c r="AC85" i="1" s="1"/>
  <c r="AC84" i="1" a="1"/>
  <c r="AC84" i="1" s="1"/>
  <c r="AC83" i="1" a="1"/>
  <c r="AC83" i="1" s="1"/>
  <c r="AC82" i="1" a="1"/>
  <c r="AC82" i="1" s="1"/>
  <c r="AC81" i="1" a="1"/>
  <c r="AC81" i="1" s="1"/>
  <c r="AC80" i="1" a="1"/>
  <c r="AC80" i="1" s="1"/>
  <c r="AC79" i="1" a="1"/>
  <c r="AC79" i="1" s="1"/>
  <c r="AC78" i="1" a="1"/>
  <c r="AC78" i="1" s="1"/>
  <c r="AC77" i="1" a="1"/>
  <c r="AC77" i="1" s="1"/>
  <c r="AC76" i="1" a="1"/>
  <c r="AC76" i="1" s="1"/>
  <c r="AC75" i="1" a="1"/>
  <c r="AC75" i="1" s="1"/>
  <c r="AC74" i="1" a="1"/>
  <c r="AC74" i="1" s="1"/>
  <c r="AC73" i="1" a="1"/>
  <c r="AC73" i="1" s="1"/>
  <c r="AC72" i="1" a="1"/>
  <c r="AC72" i="1" s="1"/>
  <c r="AC71" i="1" a="1"/>
  <c r="AC71" i="1" s="1"/>
  <c r="AC70" i="1" a="1"/>
  <c r="AC70" i="1" s="1"/>
  <c r="AC69" i="1" a="1"/>
  <c r="AC69" i="1" s="1"/>
  <c r="AC68" i="1" a="1"/>
  <c r="AC68" i="1" s="1"/>
  <c r="AC67" i="1" a="1"/>
  <c r="AC67" i="1" s="1"/>
  <c r="AC66" i="1" a="1"/>
  <c r="AC66" i="1" s="1"/>
  <c r="AC62" i="1" a="1"/>
  <c r="AC62" i="1" s="1"/>
  <c r="AC61" i="1" a="1"/>
  <c r="AC61" i="1" s="1"/>
  <c r="AC60" i="1" a="1"/>
  <c r="AC60" i="1" s="1"/>
  <c r="AC59" i="1" a="1"/>
  <c r="AC59" i="1" s="1"/>
  <c r="AC58" i="1" a="1"/>
  <c r="AC58" i="1" s="1"/>
  <c r="AC57" i="1" a="1"/>
  <c r="AC57" i="1" s="1"/>
  <c r="AC56" i="1" a="1"/>
  <c r="AC56" i="1" s="1"/>
  <c r="AC55" i="1" a="1"/>
  <c r="AC55" i="1" s="1"/>
  <c r="AC54" i="1" a="1"/>
  <c r="AC54" i="1" s="1"/>
  <c r="AC53" i="1" a="1"/>
  <c r="AC53" i="1" s="1"/>
  <c r="AC52" i="1" a="1"/>
  <c r="AC52" i="1" s="1"/>
  <c r="AC51" i="1" a="1"/>
  <c r="AC51" i="1" s="1"/>
  <c r="AC50" i="1" a="1"/>
  <c r="AC50" i="1" s="1"/>
  <c r="AC49" i="1" a="1"/>
  <c r="AC49" i="1" s="1"/>
  <c r="AC48" i="1" a="1"/>
  <c r="AC48" i="1" s="1"/>
  <c r="AC47" i="1" a="1"/>
  <c r="AC47" i="1" s="1"/>
  <c r="AC46" i="1" a="1"/>
  <c r="AC46" i="1" s="1"/>
  <c r="AC45" i="1" a="1"/>
  <c r="AC45" i="1" s="1"/>
  <c r="AC44" i="1" a="1"/>
  <c r="AC44" i="1" s="1"/>
  <c r="AC43" i="1" a="1"/>
  <c r="AC43" i="1" s="1"/>
  <c r="AC42" i="1" a="1"/>
  <c r="AC42" i="1" s="1"/>
  <c r="AC41" i="1" a="1"/>
  <c r="AC41" i="1" s="1"/>
  <c r="AC40" i="1" a="1"/>
  <c r="AC40" i="1" s="1"/>
  <c r="AC39" i="1" a="1"/>
  <c r="AC39" i="1" s="1"/>
  <c r="AC116" i="1" a="1"/>
  <c r="AC116" i="1" s="1"/>
  <c r="AC115" i="1" a="1"/>
  <c r="AC115" i="1" s="1"/>
  <c r="AC114" i="1" a="1"/>
  <c r="AC114" i="1" s="1"/>
  <c r="AC113" i="1" a="1"/>
  <c r="AC113" i="1" s="1"/>
  <c r="AC112" i="1" a="1"/>
  <c r="AC112" i="1" s="1"/>
  <c r="AC111" i="1" a="1"/>
  <c r="AC111" i="1" s="1"/>
  <c r="AC110" i="1" a="1"/>
  <c r="AC110" i="1" s="1"/>
  <c r="AC109" i="1" a="1"/>
  <c r="AC109" i="1" s="1"/>
  <c r="AC108" i="1" a="1"/>
  <c r="AC108" i="1" s="1"/>
  <c r="AC107" i="1" a="1"/>
  <c r="AC107" i="1" s="1"/>
  <c r="AC106" i="1" a="1"/>
  <c r="AC106" i="1" s="1"/>
  <c r="AC105" i="1" a="1"/>
  <c r="AC105" i="1" s="1"/>
  <c r="AC104" i="1" a="1"/>
  <c r="AC104" i="1" s="1"/>
  <c r="AC103" i="1" a="1"/>
  <c r="AC103" i="1" s="1"/>
  <c r="AC102" i="1" a="1"/>
  <c r="AC102" i="1" s="1"/>
  <c r="AC101" i="1" a="1"/>
  <c r="AC101" i="1" s="1"/>
  <c r="AC100" i="1" a="1"/>
  <c r="AC100" i="1" s="1"/>
  <c r="AC99" i="1" a="1"/>
  <c r="AC99" i="1" s="1"/>
  <c r="AC98" i="1" a="1"/>
  <c r="AC98" i="1" s="1"/>
  <c r="AC97" i="1" a="1"/>
  <c r="AC97" i="1" s="1"/>
  <c r="AC96" i="1" a="1"/>
  <c r="AC96" i="1" s="1"/>
  <c r="AC95" i="1" a="1"/>
  <c r="AC95" i="1" s="1"/>
  <c r="AC94" i="1" a="1"/>
  <c r="AC94" i="1" s="1"/>
  <c r="AC93" i="1" a="1"/>
  <c r="AC93" i="1" s="1"/>
  <c r="AC143" i="1" a="1"/>
  <c r="AC143" i="1" s="1"/>
  <c r="AC142" i="1" a="1"/>
  <c r="AC142" i="1" s="1"/>
  <c r="AC141" i="1" a="1"/>
  <c r="AC141" i="1" s="1"/>
  <c r="AC140" i="1" a="1"/>
  <c r="AC140" i="1" s="1"/>
  <c r="AC139" i="1" a="1"/>
  <c r="AC139" i="1" s="1"/>
  <c r="AC138" i="1" a="1"/>
  <c r="AC138" i="1" s="1"/>
  <c r="AC137" i="1" a="1"/>
  <c r="AC137" i="1" s="1"/>
  <c r="AC136" i="1" a="1"/>
  <c r="AC136" i="1" s="1"/>
  <c r="AC135" i="1" a="1"/>
  <c r="AC135" i="1" s="1"/>
  <c r="AC134" i="1" a="1"/>
  <c r="AC134" i="1" s="1"/>
  <c r="AC133" i="1" a="1"/>
  <c r="AC133" i="1" s="1"/>
  <c r="AC132" i="1" a="1"/>
  <c r="AC132" i="1" s="1"/>
  <c r="AC131" i="1" a="1"/>
  <c r="AC131" i="1" s="1"/>
  <c r="AC130" i="1" a="1"/>
  <c r="AC130" i="1" s="1"/>
  <c r="AC129" i="1" a="1"/>
  <c r="AC129" i="1" s="1"/>
  <c r="AC128" i="1" a="1"/>
  <c r="AC128" i="1" s="1"/>
  <c r="AC127" i="1" a="1"/>
  <c r="AC127" i="1" s="1"/>
  <c r="AC126" i="1" a="1"/>
  <c r="AC126" i="1" s="1"/>
  <c r="AC125" i="1" a="1"/>
  <c r="AC125" i="1" s="1"/>
  <c r="AC124" i="1" a="1"/>
  <c r="AC124" i="1" s="1"/>
  <c r="AC123" i="1" a="1"/>
  <c r="AC123" i="1" s="1"/>
  <c r="AC122" i="1" a="1"/>
  <c r="AC122" i="1" s="1"/>
  <c r="AC121" i="1" a="1"/>
  <c r="AC121" i="1" s="1"/>
  <c r="AC120" i="1" a="1"/>
  <c r="AC120" i="1" s="1"/>
  <c r="AC170" i="1" a="1"/>
  <c r="AC170" i="1" s="1"/>
  <c r="AC169" i="1" a="1"/>
  <c r="AC169" i="1" s="1"/>
  <c r="AC168" i="1" a="1"/>
  <c r="AC168" i="1" s="1"/>
  <c r="AC167" i="1" a="1"/>
  <c r="AC167" i="1" s="1"/>
  <c r="AC166" i="1" a="1"/>
  <c r="AC166" i="1" s="1"/>
  <c r="AC165" i="1" a="1"/>
  <c r="AC165" i="1" s="1"/>
  <c r="AC164" i="1" a="1"/>
  <c r="AC164" i="1" s="1"/>
  <c r="AC163" i="1" a="1"/>
  <c r="AC163" i="1" s="1"/>
  <c r="AC162" i="1" a="1"/>
  <c r="AC162" i="1" s="1"/>
  <c r="AC161" i="1" a="1"/>
  <c r="AC161" i="1" s="1"/>
  <c r="AC160" i="1" a="1"/>
  <c r="AC160" i="1" s="1"/>
  <c r="AC159" i="1" a="1"/>
  <c r="AC159" i="1" s="1"/>
  <c r="AC158" i="1" a="1"/>
  <c r="AC158" i="1" s="1"/>
  <c r="AC157" i="1" a="1"/>
  <c r="AC157" i="1" s="1"/>
  <c r="AC156" i="1" a="1"/>
  <c r="AC156" i="1" s="1"/>
  <c r="AC155" i="1" a="1"/>
  <c r="AC155" i="1" s="1"/>
  <c r="AC154" i="1" a="1"/>
  <c r="AC154" i="1" s="1"/>
  <c r="AC153" i="1" a="1"/>
  <c r="AC153" i="1" s="1"/>
  <c r="AC152" i="1" a="1"/>
  <c r="AC152" i="1" s="1"/>
  <c r="AC151" i="1" a="1"/>
  <c r="AC151" i="1" s="1"/>
  <c r="AC150" i="1" a="1"/>
  <c r="AC150" i="1" s="1"/>
  <c r="AC149" i="1" a="1"/>
  <c r="AC149" i="1" s="1"/>
  <c r="AC148" i="1" a="1"/>
  <c r="AC148" i="1" s="1"/>
  <c r="AC147" i="1" a="1"/>
  <c r="AC147" i="1" s="1"/>
  <c r="AC197" i="1" a="1"/>
  <c r="AC197" i="1" s="1"/>
  <c r="AC196" i="1" a="1"/>
  <c r="AC196" i="1" s="1"/>
  <c r="AC195" i="1" a="1"/>
  <c r="AC195" i="1" s="1"/>
  <c r="AC194" i="1" a="1"/>
  <c r="AC194" i="1" s="1"/>
  <c r="AC193" i="1" a="1"/>
  <c r="AC193" i="1" s="1"/>
  <c r="AC192" i="1" a="1"/>
  <c r="AC192" i="1" s="1"/>
  <c r="AC191" i="1" a="1"/>
  <c r="AC191" i="1" s="1"/>
  <c r="AC190" i="1" a="1"/>
  <c r="AC190" i="1" s="1"/>
  <c r="AC189" i="1" a="1"/>
  <c r="AC189" i="1" s="1"/>
  <c r="AC188" i="1" a="1"/>
  <c r="AC188" i="1" s="1"/>
  <c r="AC187" i="1" a="1"/>
  <c r="AC187" i="1" s="1"/>
  <c r="AC186" i="1" a="1"/>
  <c r="AC186" i="1" s="1"/>
  <c r="AC185" i="1" a="1"/>
  <c r="AC185" i="1" s="1"/>
  <c r="AC184" i="1" a="1"/>
  <c r="AC184" i="1" s="1"/>
  <c r="AC183" i="1" a="1"/>
  <c r="AC183" i="1" s="1"/>
  <c r="AC182" i="1" a="1"/>
  <c r="AC182" i="1" s="1"/>
  <c r="AC181" i="1" a="1"/>
  <c r="AC181" i="1" s="1"/>
  <c r="AC180" i="1" a="1"/>
  <c r="AC180" i="1" s="1"/>
  <c r="AC179" i="1" a="1"/>
  <c r="AC179" i="1" s="1"/>
  <c r="AC178" i="1" a="1"/>
  <c r="AC178" i="1" s="1"/>
  <c r="AC177" i="1" a="1"/>
  <c r="AC177" i="1" s="1"/>
  <c r="AC176" i="1" a="1"/>
  <c r="AC176" i="1" s="1"/>
  <c r="AC175" i="1" a="1"/>
  <c r="AC175" i="1" s="1"/>
  <c r="AC174" i="1" a="1"/>
  <c r="AC174" i="1" s="1"/>
  <c r="AC224" i="1" a="1"/>
  <c r="AC224" i="1" s="1"/>
  <c r="AC223" i="1" a="1"/>
  <c r="AC223" i="1" s="1"/>
  <c r="AC222" i="1" a="1"/>
  <c r="AC222" i="1" s="1"/>
  <c r="AC221" i="1" a="1"/>
  <c r="AC221" i="1" s="1"/>
  <c r="AC220" i="1" a="1"/>
  <c r="AC220" i="1" s="1"/>
  <c r="AC219" i="1" a="1"/>
  <c r="AC219" i="1" s="1"/>
  <c r="AC218" i="1" a="1"/>
  <c r="AC218" i="1" s="1"/>
  <c r="AC217" i="1" a="1"/>
  <c r="AC217" i="1" s="1"/>
  <c r="AC216" i="1" a="1"/>
  <c r="AC216" i="1" s="1"/>
  <c r="AC215" i="1" a="1"/>
  <c r="AC215" i="1" s="1"/>
  <c r="AC214" i="1" a="1"/>
  <c r="AC214" i="1" s="1"/>
  <c r="AC213" i="1" a="1"/>
  <c r="AC213" i="1" s="1"/>
  <c r="AC212" i="1" a="1"/>
  <c r="AC212" i="1" s="1"/>
  <c r="AC211" i="1" a="1"/>
  <c r="AC211" i="1" s="1"/>
  <c r="AC210" i="1" a="1"/>
  <c r="AC210" i="1" s="1"/>
  <c r="AC209" i="1" a="1"/>
  <c r="AC209" i="1" s="1"/>
  <c r="AC208" i="1" a="1"/>
  <c r="AC208" i="1" s="1"/>
  <c r="AC207" i="1" a="1"/>
  <c r="AC207" i="1" s="1"/>
  <c r="AC206" i="1" a="1"/>
  <c r="AC206" i="1" s="1"/>
  <c r="AC205" i="1" a="1"/>
  <c r="AC205" i="1" s="1"/>
  <c r="AC204" i="1" a="1"/>
  <c r="AC204" i="1" s="1"/>
  <c r="AC203" i="1" a="1"/>
  <c r="AC203" i="1" s="1"/>
  <c r="AC202" i="1" a="1"/>
  <c r="AC202" i="1" s="1"/>
  <c r="AC201" i="1" a="1"/>
  <c r="AC201" i="1" s="1"/>
  <c r="AC251" i="1" a="1"/>
  <c r="AC251" i="1" s="1"/>
  <c r="AC250" i="1" a="1"/>
  <c r="AC250" i="1" s="1"/>
  <c r="AC249" i="1" a="1"/>
  <c r="AC249" i="1" s="1"/>
  <c r="AC248" i="1" a="1"/>
  <c r="AC248" i="1" s="1"/>
  <c r="AC247" i="1" a="1"/>
  <c r="AC247" i="1" s="1"/>
  <c r="AC246" i="1" a="1"/>
  <c r="AC246" i="1" s="1"/>
  <c r="AC245" i="1" a="1"/>
  <c r="AC245" i="1" s="1"/>
  <c r="AC244" i="1" a="1"/>
  <c r="AC244" i="1" s="1"/>
  <c r="AC243" i="1" a="1"/>
  <c r="AC243" i="1" s="1"/>
  <c r="AC242" i="1" a="1"/>
  <c r="AC242" i="1" s="1"/>
  <c r="AC241" i="1" a="1"/>
  <c r="AC241" i="1" s="1"/>
  <c r="AC240" i="1" a="1"/>
  <c r="AC240" i="1" s="1"/>
  <c r="AC239" i="1" a="1"/>
  <c r="AC239" i="1" s="1"/>
  <c r="AC238" i="1" a="1"/>
  <c r="AC238" i="1" s="1"/>
  <c r="AC237" i="1" a="1"/>
  <c r="AC237" i="1" s="1"/>
  <c r="AC236" i="1" a="1"/>
  <c r="AC236" i="1" s="1"/>
  <c r="AC235" i="1" a="1"/>
  <c r="AC235" i="1" s="1"/>
  <c r="AC234" i="1" a="1"/>
  <c r="AC234" i="1" s="1"/>
  <c r="AC233" i="1" a="1"/>
  <c r="AC233" i="1" s="1"/>
  <c r="AC232" i="1" a="1"/>
  <c r="AC232" i="1" s="1"/>
  <c r="AC231" i="1" a="1"/>
  <c r="AC231" i="1" s="1"/>
  <c r="AC230" i="1" a="1"/>
  <c r="AC230" i="1" s="1"/>
  <c r="AC229" i="1" a="1"/>
  <c r="AC229" i="1" s="1"/>
  <c r="AC228" i="1" a="1"/>
  <c r="AC228" i="1" s="1"/>
  <c r="AC278" i="1" a="1"/>
  <c r="AC278" i="1" s="1"/>
  <c r="AC277" i="1" a="1"/>
  <c r="AC277" i="1" s="1"/>
  <c r="AC276" i="1" a="1"/>
  <c r="AC276" i="1" s="1"/>
  <c r="AC275" i="1" a="1"/>
  <c r="AC275" i="1" s="1"/>
  <c r="AC274" i="1" a="1"/>
  <c r="AC274" i="1" s="1"/>
  <c r="AC273" i="1" a="1"/>
  <c r="AC273" i="1" s="1"/>
  <c r="AC272" i="1" a="1"/>
  <c r="AC272" i="1" s="1"/>
  <c r="AC271" i="1" a="1"/>
  <c r="AC271" i="1" s="1"/>
  <c r="AC270" i="1" a="1"/>
  <c r="AC270" i="1" s="1"/>
  <c r="AC269" i="1" a="1"/>
  <c r="AC269" i="1" s="1"/>
  <c r="AC268" i="1" a="1"/>
  <c r="AC268" i="1" s="1"/>
  <c r="AC267" i="1" a="1"/>
  <c r="AC267" i="1" s="1"/>
  <c r="AC266" i="1" a="1"/>
  <c r="AC266" i="1" s="1"/>
  <c r="AC265" i="1" a="1"/>
  <c r="AC265" i="1" s="1"/>
  <c r="AC264" i="1" a="1"/>
  <c r="AC264" i="1" s="1"/>
  <c r="AC263" i="1" a="1"/>
  <c r="AC263" i="1" s="1"/>
  <c r="AC262" i="1" a="1"/>
  <c r="AC262" i="1" s="1"/>
  <c r="AC261" i="1" a="1"/>
  <c r="AC261" i="1" s="1"/>
  <c r="AC260" i="1" a="1"/>
  <c r="AC260" i="1" s="1"/>
  <c r="AC259" i="1" a="1"/>
  <c r="AC259" i="1" s="1"/>
  <c r="AC258" i="1" a="1"/>
  <c r="AC258" i="1" s="1"/>
  <c r="AC257" i="1" a="1"/>
  <c r="AC257" i="1" s="1"/>
  <c r="AC256" i="1" a="1"/>
  <c r="AC256" i="1" s="1"/>
  <c r="AC255" i="1" a="1"/>
  <c r="AC255" i="1" s="1"/>
  <c r="AC305" i="1" a="1"/>
  <c r="AC305" i="1" s="1"/>
  <c r="AC304" i="1" a="1"/>
  <c r="AC304" i="1" s="1"/>
  <c r="AC303" i="1" a="1"/>
  <c r="AC303" i="1" s="1"/>
  <c r="AC302" i="1" a="1"/>
  <c r="AC302" i="1" s="1"/>
  <c r="AC301" i="1" a="1"/>
  <c r="AC301" i="1" s="1"/>
  <c r="AC300" i="1" a="1"/>
  <c r="AC300" i="1" s="1"/>
  <c r="AC299" i="1" a="1"/>
  <c r="AC299" i="1" s="1"/>
  <c r="AC298" i="1" a="1"/>
  <c r="AC298" i="1" s="1"/>
  <c r="AC297" i="1" a="1"/>
  <c r="AC297" i="1" s="1"/>
  <c r="AC296" i="1" a="1"/>
  <c r="AC296" i="1" s="1"/>
  <c r="AC295" i="1" a="1"/>
  <c r="AC295" i="1" s="1"/>
  <c r="AC294" i="1" a="1"/>
  <c r="AC294" i="1" s="1"/>
  <c r="AC293" i="1" a="1"/>
  <c r="AC293" i="1" s="1"/>
  <c r="AC292" i="1" a="1"/>
  <c r="AC292" i="1" s="1"/>
  <c r="AC291" i="1" a="1"/>
  <c r="AC291" i="1" s="1"/>
  <c r="AC290" i="1" a="1"/>
  <c r="AC290" i="1" s="1"/>
  <c r="AC289" i="1" a="1"/>
  <c r="AC289" i="1" s="1"/>
  <c r="AC288" i="1" a="1"/>
  <c r="AC288" i="1" s="1"/>
  <c r="AC287" i="1" a="1"/>
  <c r="AC287" i="1" s="1"/>
  <c r="AC286" i="1" a="1"/>
  <c r="AC286" i="1" s="1"/>
  <c r="AC285" i="1" a="1"/>
  <c r="AC285" i="1" s="1"/>
  <c r="AC284" i="1" a="1"/>
  <c r="AC284" i="1" s="1"/>
  <c r="AC283" i="1" a="1"/>
  <c r="AC283" i="1" s="1"/>
  <c r="AC282" i="1" a="1"/>
  <c r="AC282" i="1" s="1"/>
  <c r="AC310" i="1" a="1"/>
  <c r="AC310" i="1" s="1"/>
  <c r="AC311" i="1" a="1"/>
  <c r="AC311" i="1" s="1"/>
  <c r="AC312" i="1" a="1"/>
  <c r="AC312" i="1" s="1"/>
  <c r="AC313" i="1" a="1"/>
  <c r="AC313" i="1" s="1"/>
  <c r="AC314" i="1" a="1"/>
  <c r="AC314" i="1" s="1"/>
  <c r="AC315" i="1" a="1"/>
  <c r="AC315" i="1" s="1"/>
  <c r="AC316" i="1" a="1"/>
  <c r="AC316" i="1" s="1"/>
  <c r="AC317" i="1" a="1"/>
  <c r="AC317" i="1" s="1"/>
  <c r="AC318" i="1" a="1"/>
  <c r="AC318" i="1" s="1"/>
  <c r="AC319" i="1" a="1"/>
  <c r="AC319" i="1" s="1"/>
  <c r="AC320" i="1" a="1"/>
  <c r="AC320" i="1" s="1"/>
  <c r="AC321" i="1" a="1"/>
  <c r="AC321" i="1"/>
  <c r="AC322" i="1" a="1"/>
  <c r="AC322" i="1" s="1"/>
  <c r="AC323" i="1" a="1"/>
  <c r="AC323" i="1" s="1"/>
  <c r="AC324" i="1" a="1"/>
  <c r="AC324" i="1" s="1"/>
  <c r="AC325" i="1" a="1"/>
  <c r="AC325" i="1" s="1"/>
  <c r="AC326" i="1" a="1"/>
  <c r="AC326" i="1" s="1"/>
  <c r="AC327" i="1" a="1"/>
  <c r="AC327" i="1" s="1"/>
  <c r="AC328" i="1" a="1"/>
  <c r="AC328" i="1" s="1"/>
  <c r="AC329" i="1" a="1"/>
  <c r="AC329" i="1" s="1"/>
  <c r="AC330" i="1" a="1"/>
  <c r="AC330" i="1" s="1"/>
  <c r="AC331" i="1" a="1"/>
  <c r="AC331" i="1" s="1"/>
  <c r="AC332" i="1" a="1"/>
  <c r="AC332" i="1" s="1"/>
  <c r="AC309" i="1" a="1"/>
  <c r="AC309" i="1" s="1"/>
  <c r="Z311" i="1"/>
  <c r="AA311" i="1"/>
  <c r="AB311" i="1"/>
  <c r="Z312" i="1"/>
  <c r="AA312" i="1"/>
  <c r="AB312" i="1"/>
  <c r="Z313" i="1"/>
  <c r="AA313" i="1"/>
  <c r="AB313" i="1"/>
  <c r="Z314" i="1"/>
  <c r="AA314" i="1"/>
  <c r="AB314" i="1"/>
  <c r="Z315" i="1"/>
  <c r="AA315" i="1"/>
  <c r="AB315" i="1"/>
  <c r="Z316" i="1"/>
  <c r="AA316" i="1"/>
  <c r="AB316" i="1"/>
  <c r="Z317" i="1"/>
  <c r="AA317" i="1"/>
  <c r="AB317" i="1"/>
  <c r="AB310" i="1"/>
  <c r="AA310" i="1"/>
  <c r="Z310" i="1"/>
  <c r="Z284" i="1"/>
  <c r="AA284" i="1"/>
  <c r="Z285" i="1"/>
  <c r="AA285" i="1"/>
  <c r="Z286" i="1"/>
  <c r="AA286" i="1"/>
  <c r="Z287" i="1"/>
  <c r="AA287" i="1"/>
  <c r="Z288" i="1"/>
  <c r="AA288" i="1"/>
  <c r="Z289" i="1"/>
  <c r="AA289" i="1"/>
  <c r="Z290" i="1"/>
  <c r="AA290" i="1"/>
  <c r="Z291" i="1"/>
  <c r="AA291" i="1"/>
  <c r="Z292" i="1"/>
  <c r="AA292" i="1"/>
  <c r="Z293" i="1"/>
  <c r="AA293" i="1"/>
  <c r="Z294" i="1"/>
  <c r="AA294" i="1"/>
  <c r="AA283" i="1"/>
  <c r="Z283" i="1"/>
  <c r="AB284" i="1"/>
  <c r="AB285" i="1"/>
  <c r="AB286" i="1"/>
  <c r="AB287" i="1"/>
  <c r="AB288" i="1"/>
  <c r="AB289" i="1"/>
  <c r="AB290" i="1"/>
  <c r="AB291" i="1"/>
  <c r="AB292" i="1"/>
  <c r="AB293" i="1"/>
  <c r="AB294" i="1"/>
  <c r="AB283" i="1"/>
  <c r="X332" i="1"/>
  <c r="F332" i="1"/>
  <c r="A332" i="1"/>
  <c r="X331" i="1"/>
  <c r="F331" i="1"/>
  <c r="A331" i="1"/>
  <c r="X330" i="1"/>
  <c r="F330" i="1"/>
  <c r="A330" i="1"/>
  <c r="X329" i="1"/>
  <c r="F329" i="1"/>
  <c r="A329" i="1"/>
  <c r="X328" i="1"/>
  <c r="F328" i="1"/>
  <c r="A328" i="1"/>
  <c r="X327" i="1"/>
  <c r="F327" i="1"/>
  <c r="A327" i="1"/>
  <c r="X326" i="1"/>
  <c r="F326" i="1"/>
  <c r="A326" i="1"/>
  <c r="X325" i="1"/>
  <c r="F325" i="1"/>
  <c r="A325" i="1"/>
  <c r="X324" i="1"/>
  <c r="F324" i="1"/>
  <c r="A324" i="1"/>
  <c r="X323" i="1"/>
  <c r="F323" i="1"/>
  <c r="A323" i="1"/>
  <c r="X322" i="1"/>
  <c r="F322" i="1"/>
  <c r="A322" i="1"/>
  <c r="X321" i="1"/>
  <c r="F321" i="1"/>
  <c r="A321" i="1"/>
  <c r="X320" i="1"/>
  <c r="F320" i="1"/>
  <c r="A320" i="1"/>
  <c r="X319" i="1"/>
  <c r="F319" i="1"/>
  <c r="A319" i="1"/>
  <c r="X318" i="1"/>
  <c r="F318" i="1"/>
  <c r="A318" i="1"/>
  <c r="X317" i="1"/>
  <c r="F317" i="1"/>
  <c r="A317" i="1"/>
  <c r="X316" i="1"/>
  <c r="F316" i="1"/>
  <c r="A316" i="1"/>
  <c r="X315" i="1"/>
  <c r="F315" i="1"/>
  <c r="A315" i="1"/>
  <c r="X314" i="1"/>
  <c r="F314" i="1"/>
  <c r="A314" i="1"/>
  <c r="X313" i="1"/>
  <c r="F313" i="1"/>
  <c r="A313" i="1"/>
  <c r="X312" i="1"/>
  <c r="F312" i="1"/>
  <c r="A312" i="1"/>
  <c r="X311" i="1"/>
  <c r="F311" i="1"/>
  <c r="A311" i="1"/>
  <c r="X310" i="1"/>
  <c r="F310" i="1"/>
  <c r="A310" i="1"/>
  <c r="X309" i="1"/>
  <c r="F309" i="1"/>
  <c r="A309" i="1"/>
  <c r="AS17" i="4" l="1" a="1"/>
  <c r="AS17" i="4" s="1"/>
  <c r="AS16" i="4" a="1"/>
  <c r="AS16" i="4" s="1"/>
  <c r="AS15" i="4" a="1"/>
  <c r="AS15" i="4" s="1"/>
  <c r="AS14" i="4" a="1"/>
  <c r="AS14" i="4" s="1"/>
  <c r="AS11" i="4" a="1"/>
  <c r="AS11" i="4" s="1"/>
  <c r="A1" i="37"/>
  <c r="A2" i="37"/>
  <c r="H2" i="37" s="1"/>
  <c r="B745" i="37"/>
  <c r="A745" i="37"/>
  <c r="H745" i="37" s="1"/>
  <c r="H744" i="37"/>
  <c r="B744" i="37"/>
  <c r="A744" i="37"/>
  <c r="B743" i="37"/>
  <c r="A743" i="37"/>
  <c r="B742" i="37"/>
  <c r="A742" i="37"/>
  <c r="H742" i="37" s="1"/>
  <c r="B741" i="37"/>
  <c r="A741" i="37"/>
  <c r="H741" i="37" s="1"/>
  <c r="B740" i="37"/>
  <c r="A740" i="37"/>
  <c r="B739" i="37"/>
  <c r="A739" i="37"/>
  <c r="H739" i="37" s="1"/>
  <c r="H738" i="37"/>
  <c r="B738" i="37"/>
  <c r="A738" i="37"/>
  <c r="B737" i="37"/>
  <c r="A737" i="37"/>
  <c r="B736" i="37"/>
  <c r="A736" i="37"/>
  <c r="H736" i="37" s="1"/>
  <c r="B735" i="37"/>
  <c r="A735" i="37"/>
  <c r="H735" i="37" s="1"/>
  <c r="B734" i="37"/>
  <c r="A734" i="37"/>
  <c r="B733" i="37"/>
  <c r="A733" i="37"/>
  <c r="H733" i="37" s="1"/>
  <c r="H732" i="37"/>
  <c r="B732" i="37"/>
  <c r="A732" i="37"/>
  <c r="B731" i="37"/>
  <c r="A731" i="37"/>
  <c r="B730" i="37"/>
  <c r="A730" i="37"/>
  <c r="H730" i="37" s="1"/>
  <c r="B729" i="37"/>
  <c r="A729" i="37"/>
  <c r="H729" i="37" s="1"/>
  <c r="B728" i="37"/>
  <c r="A728" i="37"/>
  <c r="B727" i="37"/>
  <c r="A727" i="37"/>
  <c r="H727" i="37" s="1"/>
  <c r="H726" i="37"/>
  <c r="B726" i="37"/>
  <c r="A726" i="37"/>
  <c r="B725" i="37"/>
  <c r="A725" i="37"/>
  <c r="B724" i="37"/>
  <c r="A724" i="37"/>
  <c r="H724" i="37" s="1"/>
  <c r="B723" i="37"/>
  <c r="A723" i="37"/>
  <c r="H723" i="37" s="1"/>
  <c r="B722" i="37"/>
  <c r="A722" i="37"/>
  <c r="B721" i="37"/>
  <c r="A721" i="37"/>
  <c r="H721" i="37" s="1"/>
  <c r="H720" i="37"/>
  <c r="B720" i="37"/>
  <c r="A720" i="37"/>
  <c r="B719" i="37"/>
  <c r="A719" i="37"/>
  <c r="B718" i="37"/>
  <c r="A718" i="37"/>
  <c r="H718" i="37" s="1"/>
  <c r="B717" i="37"/>
  <c r="A717" i="37"/>
  <c r="H717" i="37" s="1"/>
  <c r="B716" i="37"/>
  <c r="A716" i="37"/>
  <c r="B715" i="37"/>
  <c r="A715" i="37"/>
  <c r="H715" i="37" s="1"/>
  <c r="H714" i="37"/>
  <c r="B714" i="37"/>
  <c r="A714" i="37"/>
  <c r="B713" i="37"/>
  <c r="A713" i="37"/>
  <c r="B712" i="37"/>
  <c r="A712" i="37"/>
  <c r="H712" i="37" s="1"/>
  <c r="B711" i="37"/>
  <c r="A711" i="37"/>
  <c r="H711" i="37" s="1"/>
  <c r="B710" i="37"/>
  <c r="A710" i="37"/>
  <c r="B709" i="37"/>
  <c r="A709" i="37"/>
  <c r="H709" i="37" s="1"/>
  <c r="H708" i="37"/>
  <c r="B708" i="37"/>
  <c r="A708" i="37"/>
  <c r="B707" i="37"/>
  <c r="A707" i="37"/>
  <c r="B706" i="37"/>
  <c r="A706" i="37"/>
  <c r="H706" i="37" s="1"/>
  <c r="B705" i="37"/>
  <c r="A705" i="37"/>
  <c r="H705" i="37" s="1"/>
  <c r="B704" i="37"/>
  <c r="A704" i="37"/>
  <c r="B703" i="37"/>
  <c r="A703" i="37"/>
  <c r="H703" i="37" s="1"/>
  <c r="H702" i="37"/>
  <c r="B702" i="37"/>
  <c r="A702" i="37"/>
  <c r="B701" i="37"/>
  <c r="A701" i="37"/>
  <c r="B700" i="37"/>
  <c r="A700" i="37"/>
  <c r="H700" i="37" s="1"/>
  <c r="B699" i="37"/>
  <c r="A699" i="37"/>
  <c r="B698" i="37"/>
  <c r="A698" i="37"/>
  <c r="B697" i="37"/>
  <c r="A697" i="37"/>
  <c r="H697" i="37" s="1"/>
  <c r="H696" i="37"/>
  <c r="B696" i="37"/>
  <c r="A696" i="37"/>
  <c r="B695" i="37"/>
  <c r="A695" i="37"/>
  <c r="B694" i="37"/>
  <c r="A694" i="37"/>
  <c r="H694" i="37" s="1"/>
  <c r="B693" i="37"/>
  <c r="A693" i="37"/>
  <c r="B692" i="37"/>
  <c r="A692" i="37"/>
  <c r="B691" i="37"/>
  <c r="A691" i="37"/>
  <c r="H691" i="37" s="1"/>
  <c r="H690" i="37"/>
  <c r="B690" i="37"/>
  <c r="A690" i="37"/>
  <c r="B689" i="37"/>
  <c r="A689" i="37"/>
  <c r="B688" i="37"/>
  <c r="A688" i="37"/>
  <c r="H688" i="37" s="1"/>
  <c r="B687" i="37"/>
  <c r="A687" i="37"/>
  <c r="B686" i="37"/>
  <c r="A686" i="37"/>
  <c r="B685" i="37"/>
  <c r="A685" i="37"/>
  <c r="H685" i="37" s="1"/>
  <c r="B684" i="37"/>
  <c r="A684" i="37"/>
  <c r="B683" i="37"/>
  <c r="A683" i="37"/>
  <c r="B682" i="37"/>
  <c r="A682" i="37"/>
  <c r="H682" i="37" s="1"/>
  <c r="B681" i="37"/>
  <c r="A681" i="37"/>
  <c r="B680" i="37"/>
  <c r="A680" i="37"/>
  <c r="B679" i="37"/>
  <c r="A679" i="37"/>
  <c r="H679" i="37" s="1"/>
  <c r="B678" i="37"/>
  <c r="A678" i="37"/>
  <c r="B677" i="37"/>
  <c r="A677" i="37"/>
  <c r="B676" i="37"/>
  <c r="A676" i="37"/>
  <c r="H676" i="37" s="1"/>
  <c r="B675" i="37"/>
  <c r="A675" i="37"/>
  <c r="B674" i="37"/>
  <c r="A674" i="37"/>
  <c r="B673" i="37"/>
  <c r="A673" i="37"/>
  <c r="H673" i="37" s="1"/>
  <c r="H672" i="37"/>
  <c r="B672" i="37"/>
  <c r="A672" i="37"/>
  <c r="B671" i="37"/>
  <c r="A671" i="37"/>
  <c r="B670" i="37"/>
  <c r="A670" i="37"/>
  <c r="H670" i="37" s="1"/>
  <c r="B669" i="37"/>
  <c r="A669" i="37"/>
  <c r="B668" i="37"/>
  <c r="A668" i="37"/>
  <c r="B667" i="37"/>
  <c r="A667" i="37"/>
  <c r="H666" i="37"/>
  <c r="B666" i="37"/>
  <c r="A666" i="37"/>
  <c r="B665" i="37"/>
  <c r="A665" i="37"/>
  <c r="B664" i="37"/>
  <c r="A664" i="37"/>
  <c r="H664" i="37" s="1"/>
  <c r="B663" i="37"/>
  <c r="A663" i="37"/>
  <c r="B662" i="37"/>
  <c r="A662" i="37"/>
  <c r="B661" i="37"/>
  <c r="A661" i="37"/>
  <c r="B660" i="37"/>
  <c r="A660" i="37"/>
  <c r="B659" i="37"/>
  <c r="A659" i="37"/>
  <c r="B658" i="37"/>
  <c r="A658" i="37"/>
  <c r="H658" i="37" s="1"/>
  <c r="B657" i="37"/>
  <c r="A657" i="37"/>
  <c r="B656" i="37"/>
  <c r="A656" i="37"/>
  <c r="B655" i="37"/>
  <c r="A655" i="37"/>
  <c r="B654" i="37"/>
  <c r="A654" i="37"/>
  <c r="B653" i="37"/>
  <c r="A653" i="37"/>
  <c r="B652" i="37"/>
  <c r="A652" i="37"/>
  <c r="H652" i="37" s="1"/>
  <c r="B651" i="37"/>
  <c r="A651" i="37"/>
  <c r="B650" i="37"/>
  <c r="A650" i="37"/>
  <c r="B649" i="37"/>
  <c r="A649" i="37"/>
  <c r="H648" i="37"/>
  <c r="B648" i="37"/>
  <c r="A648" i="37"/>
  <c r="B647" i="37"/>
  <c r="A647" i="37"/>
  <c r="B646" i="37"/>
  <c r="A646" i="37"/>
  <c r="H646" i="37" s="1"/>
  <c r="B645" i="37"/>
  <c r="A645" i="37"/>
  <c r="B644" i="37"/>
  <c r="A644" i="37"/>
  <c r="B643" i="37"/>
  <c r="A643" i="37"/>
  <c r="B642" i="37"/>
  <c r="A642" i="37"/>
  <c r="B641" i="37"/>
  <c r="A641" i="37"/>
  <c r="B640" i="37"/>
  <c r="A640" i="37"/>
  <c r="H640" i="37" s="1"/>
  <c r="B639" i="37"/>
  <c r="A639" i="37"/>
  <c r="B638" i="37"/>
  <c r="A638" i="37"/>
  <c r="B637" i="37"/>
  <c r="A637" i="37"/>
  <c r="B636" i="37"/>
  <c r="A636" i="37"/>
  <c r="B635" i="37"/>
  <c r="A635" i="37"/>
  <c r="B634" i="37"/>
  <c r="A634" i="37"/>
  <c r="H634" i="37" s="1"/>
  <c r="B633" i="37"/>
  <c r="A633" i="37"/>
  <c r="B632" i="37"/>
  <c r="A632" i="37"/>
  <c r="B631" i="37"/>
  <c r="A631" i="37"/>
  <c r="H630" i="37"/>
  <c r="B630" i="37"/>
  <c r="A630" i="37"/>
  <c r="B629" i="37"/>
  <c r="A629" i="37"/>
  <c r="B628" i="37"/>
  <c r="A628" i="37"/>
  <c r="H628" i="37" s="1"/>
  <c r="B627" i="37"/>
  <c r="A627" i="37"/>
  <c r="B626" i="37"/>
  <c r="A626" i="37"/>
  <c r="B625" i="37"/>
  <c r="A625" i="37"/>
  <c r="B624" i="37"/>
  <c r="A624" i="37"/>
  <c r="B623" i="37"/>
  <c r="A623" i="37"/>
  <c r="B622" i="37"/>
  <c r="A622" i="37"/>
  <c r="H622" i="37" s="1"/>
  <c r="B621" i="37"/>
  <c r="A621" i="37"/>
  <c r="B620" i="37"/>
  <c r="A620" i="37"/>
  <c r="B619" i="37"/>
  <c r="A619" i="37"/>
  <c r="B618" i="37"/>
  <c r="A618" i="37"/>
  <c r="H618" i="37" s="1"/>
  <c r="B617" i="37"/>
  <c r="A617" i="37"/>
  <c r="H617" i="37" s="1"/>
  <c r="B616" i="37"/>
  <c r="A616" i="37"/>
  <c r="H615" i="37"/>
  <c r="B615" i="37"/>
  <c r="A615" i="37"/>
  <c r="B614" i="37"/>
  <c r="A614" i="37"/>
  <c r="H613" i="37"/>
  <c r="B613" i="37"/>
  <c r="A613" i="37"/>
  <c r="B612" i="37"/>
  <c r="A612" i="37"/>
  <c r="H612" i="37" s="1"/>
  <c r="B611" i="37"/>
  <c r="A611" i="37"/>
  <c r="H611" i="37" s="1"/>
  <c r="B610" i="37"/>
  <c r="A610" i="37"/>
  <c r="H609" i="37"/>
  <c r="B609" i="37"/>
  <c r="A609" i="37"/>
  <c r="B608" i="37"/>
  <c r="A608" i="37"/>
  <c r="H607" i="37"/>
  <c r="B607" i="37"/>
  <c r="A607" i="37"/>
  <c r="B606" i="37"/>
  <c r="A606" i="37"/>
  <c r="H606" i="37" s="1"/>
  <c r="B605" i="37"/>
  <c r="A605" i="37"/>
  <c r="H605" i="37" s="1"/>
  <c r="B604" i="37"/>
  <c r="A604" i="37"/>
  <c r="H603" i="37"/>
  <c r="B603" i="37"/>
  <c r="A603" i="37"/>
  <c r="B602" i="37"/>
  <c r="A602" i="37"/>
  <c r="H601" i="37"/>
  <c r="B601" i="37"/>
  <c r="A601" i="37"/>
  <c r="B600" i="37"/>
  <c r="A600" i="37"/>
  <c r="H600" i="37" s="1"/>
  <c r="B599" i="37"/>
  <c r="A599" i="37"/>
  <c r="H599" i="37" s="1"/>
  <c r="B598" i="37"/>
  <c r="A598" i="37"/>
  <c r="H597" i="37"/>
  <c r="B597" i="37"/>
  <c r="A597" i="37"/>
  <c r="B596" i="37"/>
  <c r="A596" i="37"/>
  <c r="H595" i="37"/>
  <c r="B595" i="37"/>
  <c r="A595" i="37"/>
  <c r="B594" i="37"/>
  <c r="A594" i="37"/>
  <c r="H594" i="37" s="1"/>
  <c r="B593" i="37"/>
  <c r="A593" i="37"/>
  <c r="H593" i="37" s="1"/>
  <c r="B592" i="37"/>
  <c r="A592" i="37"/>
  <c r="H591" i="37"/>
  <c r="B591" i="37"/>
  <c r="A591" i="37"/>
  <c r="B590" i="37"/>
  <c r="A590" i="37"/>
  <c r="H589" i="37"/>
  <c r="B589" i="37"/>
  <c r="A589" i="37"/>
  <c r="B588" i="37"/>
  <c r="A588" i="37"/>
  <c r="H588" i="37" s="1"/>
  <c r="B587" i="37"/>
  <c r="A587" i="37"/>
  <c r="H587" i="37" s="1"/>
  <c r="B586" i="37"/>
  <c r="A586" i="37"/>
  <c r="B585" i="37"/>
  <c r="A585" i="37"/>
  <c r="B584" i="37"/>
  <c r="A584" i="37"/>
  <c r="H583" i="37"/>
  <c r="B583" i="37"/>
  <c r="A583" i="37"/>
  <c r="B582" i="37"/>
  <c r="A582" i="37"/>
  <c r="H582" i="37" s="1"/>
  <c r="B581" i="37"/>
  <c r="A581" i="37"/>
  <c r="H581" i="37" s="1"/>
  <c r="B580" i="37"/>
  <c r="A580" i="37"/>
  <c r="H579" i="37"/>
  <c r="B579" i="37"/>
  <c r="A579" i="37"/>
  <c r="B578" i="37"/>
  <c r="A578" i="37"/>
  <c r="B577" i="37"/>
  <c r="A577" i="37"/>
  <c r="B576" i="37"/>
  <c r="A576" i="37"/>
  <c r="H576" i="37" s="1"/>
  <c r="B575" i="37"/>
  <c r="A575" i="37"/>
  <c r="H575" i="37" s="1"/>
  <c r="B574" i="37"/>
  <c r="A574" i="37"/>
  <c r="H573" i="37"/>
  <c r="B573" i="37"/>
  <c r="A573" i="37"/>
  <c r="B572" i="37"/>
  <c r="A572" i="37"/>
  <c r="H571" i="37"/>
  <c r="B571" i="37"/>
  <c r="A571" i="37"/>
  <c r="B570" i="37"/>
  <c r="A570" i="37"/>
  <c r="B569" i="37"/>
  <c r="A569" i="37"/>
  <c r="H569" i="37" s="1"/>
  <c r="B568" i="37"/>
  <c r="A568" i="37"/>
  <c r="B567" i="37"/>
  <c r="A567" i="37"/>
  <c r="B566" i="37"/>
  <c r="A566" i="37"/>
  <c r="H565" i="37"/>
  <c r="B565" i="37"/>
  <c r="A565" i="37"/>
  <c r="B564" i="37"/>
  <c r="A564" i="37"/>
  <c r="B563" i="37"/>
  <c r="A563" i="37"/>
  <c r="H563" i="37" s="1"/>
  <c r="B562" i="37"/>
  <c r="A562" i="37"/>
  <c r="B561" i="37"/>
  <c r="A561" i="37"/>
  <c r="H560" i="37"/>
  <c r="B560" i="37"/>
  <c r="A560" i="37"/>
  <c r="H559" i="37"/>
  <c r="B559" i="37"/>
  <c r="A559" i="37"/>
  <c r="B558" i="37"/>
  <c r="A558" i="37"/>
  <c r="B557" i="37"/>
  <c r="A557" i="37"/>
  <c r="H557" i="37" s="1"/>
  <c r="B556" i="37"/>
  <c r="A556" i="37"/>
  <c r="B555" i="37"/>
  <c r="A555" i="37"/>
  <c r="H554" i="37"/>
  <c r="B554" i="37"/>
  <c r="A554" i="37"/>
  <c r="H553" i="37"/>
  <c r="B553" i="37"/>
  <c r="A553" i="37"/>
  <c r="B552" i="37"/>
  <c r="A552" i="37"/>
  <c r="B551" i="37"/>
  <c r="A551" i="37"/>
  <c r="H551" i="37" s="1"/>
  <c r="B550" i="37"/>
  <c r="A550" i="37"/>
  <c r="B549" i="37"/>
  <c r="A549" i="37"/>
  <c r="H548" i="37"/>
  <c r="B548" i="37"/>
  <c r="A548" i="37"/>
  <c r="H547" i="37"/>
  <c r="B547" i="37"/>
  <c r="A547" i="37"/>
  <c r="H546" i="37"/>
  <c r="B546" i="37"/>
  <c r="A546" i="37"/>
  <c r="B545" i="37"/>
  <c r="A545" i="37"/>
  <c r="H544" i="37"/>
  <c r="B544" i="37"/>
  <c r="A544" i="37"/>
  <c r="H543" i="37"/>
  <c r="B543" i="37"/>
  <c r="A543" i="37"/>
  <c r="H542" i="37"/>
  <c r="B542" i="37"/>
  <c r="A542" i="37"/>
  <c r="B541" i="37"/>
  <c r="A541" i="37"/>
  <c r="H541" i="37" s="1"/>
  <c r="H540" i="37"/>
  <c r="B540" i="37"/>
  <c r="A540" i="37"/>
  <c r="B539" i="37"/>
  <c r="A539" i="37"/>
  <c r="H539" i="37" s="1"/>
  <c r="H538" i="37"/>
  <c r="B538" i="37"/>
  <c r="A538" i="37"/>
  <c r="B537" i="37"/>
  <c r="A537" i="37"/>
  <c r="B536" i="37"/>
  <c r="A536" i="37"/>
  <c r="H536" i="37" s="1"/>
  <c r="H535" i="37"/>
  <c r="B535" i="37"/>
  <c r="A535" i="37"/>
  <c r="H534" i="37"/>
  <c r="B534" i="37"/>
  <c r="A534" i="37"/>
  <c r="B533" i="37"/>
  <c r="A533" i="37"/>
  <c r="H533" i="37" s="1"/>
  <c r="B532" i="37"/>
  <c r="A532" i="37"/>
  <c r="H532" i="37" s="1"/>
  <c r="H531" i="37"/>
  <c r="B531" i="37"/>
  <c r="A531" i="37"/>
  <c r="B530" i="37"/>
  <c r="A530" i="37"/>
  <c r="B529" i="37"/>
  <c r="A529" i="37"/>
  <c r="H528" i="37"/>
  <c r="B528" i="37"/>
  <c r="A528" i="37"/>
  <c r="B527" i="37"/>
  <c r="A527" i="37"/>
  <c r="B526" i="37"/>
  <c r="A526" i="37"/>
  <c r="B525" i="37"/>
  <c r="A525" i="37"/>
  <c r="B524" i="37"/>
  <c r="A524" i="37"/>
  <c r="B523" i="37"/>
  <c r="A523" i="37"/>
  <c r="H522" i="37"/>
  <c r="B522" i="37"/>
  <c r="A522" i="37"/>
  <c r="B521" i="37"/>
  <c r="A521" i="37"/>
  <c r="B520" i="37"/>
  <c r="A520" i="37"/>
  <c r="B519" i="37"/>
  <c r="A519" i="37"/>
  <c r="B518" i="37"/>
  <c r="A518" i="37"/>
  <c r="B517" i="37"/>
  <c r="A517" i="37"/>
  <c r="H516" i="37"/>
  <c r="B516" i="37"/>
  <c r="A516" i="37"/>
  <c r="B515" i="37"/>
  <c r="A515" i="37"/>
  <c r="B514" i="37"/>
  <c r="A514" i="37"/>
  <c r="B513" i="37"/>
  <c r="A513" i="37"/>
  <c r="B512" i="37"/>
  <c r="A512" i="37"/>
  <c r="B511" i="37"/>
  <c r="A511" i="37"/>
  <c r="H510" i="37"/>
  <c r="B510" i="37"/>
  <c r="A510" i="37"/>
  <c r="B509" i="37"/>
  <c r="A509" i="37"/>
  <c r="B508" i="37"/>
  <c r="A508" i="37"/>
  <c r="B507" i="37"/>
  <c r="A507" i="37"/>
  <c r="B506" i="37"/>
  <c r="A506" i="37"/>
  <c r="B505" i="37"/>
  <c r="A505" i="37"/>
  <c r="H504" i="37"/>
  <c r="B504" i="37"/>
  <c r="A504" i="37"/>
  <c r="B503" i="37"/>
  <c r="A503" i="37"/>
  <c r="B502" i="37"/>
  <c r="A502" i="37"/>
  <c r="B501" i="37"/>
  <c r="A501" i="37"/>
  <c r="B500" i="37"/>
  <c r="A500" i="37"/>
  <c r="B499" i="37"/>
  <c r="A499" i="37"/>
  <c r="H498" i="37"/>
  <c r="B498" i="37"/>
  <c r="A498" i="37"/>
  <c r="B497" i="37"/>
  <c r="A497" i="37"/>
  <c r="B496" i="37"/>
  <c r="A496" i="37"/>
  <c r="H496" i="37" s="1"/>
  <c r="B495" i="37"/>
  <c r="A495" i="37"/>
  <c r="H494" i="37"/>
  <c r="B494" i="37"/>
  <c r="A494" i="37"/>
  <c r="B493" i="37"/>
  <c r="A493" i="37"/>
  <c r="H492" i="37"/>
  <c r="B492" i="37"/>
  <c r="A492" i="37"/>
  <c r="B491" i="37"/>
  <c r="A491" i="37"/>
  <c r="B490" i="37"/>
  <c r="A490" i="37"/>
  <c r="H490" i="37" s="1"/>
  <c r="B489" i="37"/>
  <c r="A489" i="37"/>
  <c r="B488" i="37"/>
  <c r="A488" i="37"/>
  <c r="B487" i="37"/>
  <c r="A487" i="37"/>
  <c r="H486" i="37"/>
  <c r="B486" i="37"/>
  <c r="A486" i="37"/>
  <c r="B485" i="37"/>
  <c r="A485" i="37"/>
  <c r="B484" i="37"/>
  <c r="A484" i="37"/>
  <c r="H484" i="37" s="1"/>
  <c r="B483" i="37"/>
  <c r="A483" i="37"/>
  <c r="H482" i="37"/>
  <c r="B482" i="37"/>
  <c r="A482" i="37"/>
  <c r="B481" i="37"/>
  <c r="A481" i="37"/>
  <c r="B480" i="37"/>
  <c r="A480" i="37"/>
  <c r="B479" i="37"/>
  <c r="A479" i="37"/>
  <c r="H479" i="37" s="1"/>
  <c r="B478" i="37"/>
  <c r="A478" i="37"/>
  <c r="B477" i="37"/>
  <c r="A477" i="37"/>
  <c r="H476" i="37"/>
  <c r="B476" i="37"/>
  <c r="A476" i="37"/>
  <c r="H475" i="37"/>
  <c r="B475" i="37"/>
  <c r="A475" i="37"/>
  <c r="H474" i="37"/>
  <c r="B474" i="37"/>
  <c r="A474" i="37"/>
  <c r="B473" i="37"/>
  <c r="A473" i="37"/>
  <c r="H473" i="37" s="1"/>
  <c r="B472" i="37"/>
  <c r="A472" i="37"/>
  <c r="H472" i="37" s="1"/>
  <c r="B471" i="37"/>
  <c r="A471" i="37"/>
  <c r="B470" i="37"/>
  <c r="A470" i="37"/>
  <c r="H469" i="37"/>
  <c r="B469" i="37"/>
  <c r="A469" i="37"/>
  <c r="B468" i="37"/>
  <c r="A468" i="37"/>
  <c r="B467" i="37"/>
  <c r="A467" i="37"/>
  <c r="B466" i="37"/>
  <c r="A466" i="37"/>
  <c r="H466" i="37" s="1"/>
  <c r="H465" i="37"/>
  <c r="B465" i="37"/>
  <c r="A465" i="37"/>
  <c r="B464" i="37"/>
  <c r="A464" i="37"/>
  <c r="H463" i="37"/>
  <c r="B463" i="37"/>
  <c r="A463" i="37"/>
  <c r="B462" i="37"/>
  <c r="A462" i="37"/>
  <c r="H462" i="37" s="1"/>
  <c r="B461" i="37"/>
  <c r="A461" i="37"/>
  <c r="H461" i="37" s="1"/>
  <c r="H460" i="37"/>
  <c r="B460" i="37"/>
  <c r="A460" i="37"/>
  <c r="H459" i="37"/>
  <c r="B459" i="37"/>
  <c r="A459" i="37"/>
  <c r="H458" i="37"/>
  <c r="B458" i="37"/>
  <c r="A458" i="37"/>
  <c r="H457" i="37"/>
  <c r="B457" i="37"/>
  <c r="A457" i="37"/>
  <c r="H456" i="37"/>
  <c r="B456" i="37"/>
  <c r="A456" i="37"/>
  <c r="B455" i="37"/>
  <c r="A455" i="37"/>
  <c r="H455" i="37" s="1"/>
  <c r="H454" i="37"/>
  <c r="B454" i="37"/>
  <c r="A454" i="37"/>
  <c r="B453" i="37"/>
  <c r="A453" i="37"/>
  <c r="H452" i="37"/>
  <c r="B452" i="37"/>
  <c r="A452" i="37"/>
  <c r="H451" i="37"/>
  <c r="B451" i="37"/>
  <c r="A451" i="37"/>
  <c r="B450" i="37"/>
  <c r="A450" i="37"/>
  <c r="B449" i="37"/>
  <c r="A449" i="37"/>
  <c r="B448" i="37"/>
  <c r="A448" i="37"/>
  <c r="H448" i="37" s="1"/>
  <c r="B447" i="37"/>
  <c r="A447" i="37"/>
  <c r="H446" i="37"/>
  <c r="B446" i="37"/>
  <c r="A446" i="37"/>
  <c r="B445" i="37"/>
  <c r="A445" i="37"/>
  <c r="B444" i="37"/>
  <c r="A444" i="37"/>
  <c r="H444" i="37" s="1"/>
  <c r="B443" i="37"/>
  <c r="A443" i="37"/>
  <c r="H443" i="37" s="1"/>
  <c r="H442" i="37"/>
  <c r="B442" i="37"/>
  <c r="A442" i="37"/>
  <c r="H441" i="37"/>
  <c r="B441" i="37"/>
  <c r="A441" i="37"/>
  <c r="H440" i="37"/>
  <c r="B440" i="37"/>
  <c r="A440" i="37"/>
  <c r="B439" i="37"/>
  <c r="A439" i="37"/>
  <c r="H439" i="37" s="1"/>
  <c r="B438" i="37"/>
  <c r="A438" i="37"/>
  <c r="H438" i="37" s="1"/>
  <c r="B437" i="37"/>
  <c r="A437" i="37"/>
  <c r="H436" i="37"/>
  <c r="B436" i="37"/>
  <c r="A436" i="37"/>
  <c r="H435" i="37"/>
  <c r="B435" i="37"/>
  <c r="A435" i="37"/>
  <c r="H434" i="37"/>
  <c r="B434" i="37"/>
  <c r="A434" i="37"/>
  <c r="B433" i="37"/>
  <c r="A433" i="37"/>
  <c r="H433" i="37" s="1"/>
  <c r="B432" i="37"/>
  <c r="A432" i="37"/>
  <c r="H432" i="37" s="1"/>
  <c r="B431" i="37"/>
  <c r="A431" i="37"/>
  <c r="H430" i="37"/>
  <c r="B430" i="37"/>
  <c r="A430" i="37"/>
  <c r="B429" i="37"/>
  <c r="A429" i="37"/>
  <c r="H428" i="37"/>
  <c r="B428" i="37"/>
  <c r="A428" i="37"/>
  <c r="B427" i="37"/>
  <c r="A427" i="37"/>
  <c r="H427" i="37" s="1"/>
  <c r="B426" i="37"/>
  <c r="A426" i="37"/>
  <c r="H426" i="37" s="1"/>
  <c r="B425" i="37"/>
  <c r="A425" i="37"/>
  <c r="H424" i="37"/>
  <c r="B424" i="37"/>
  <c r="A424" i="37"/>
  <c r="B423" i="37"/>
  <c r="A423" i="37"/>
  <c r="H422" i="37"/>
  <c r="B422" i="37"/>
  <c r="A422" i="37"/>
  <c r="B421" i="37"/>
  <c r="A421" i="37"/>
  <c r="H421" i="37" s="1"/>
  <c r="B420" i="37"/>
  <c r="A420" i="37"/>
  <c r="H420" i="37" s="1"/>
  <c r="B419" i="37"/>
  <c r="A419" i="37"/>
  <c r="B418" i="37"/>
  <c r="A418" i="37"/>
  <c r="H417" i="37"/>
  <c r="B417" i="37"/>
  <c r="A417" i="37"/>
  <c r="H416" i="37"/>
  <c r="B416" i="37"/>
  <c r="A416" i="37"/>
  <c r="B415" i="37"/>
  <c r="A415" i="37"/>
  <c r="H415" i="37" s="1"/>
  <c r="B414" i="37"/>
  <c r="A414" i="37"/>
  <c r="H414" i="37" s="1"/>
  <c r="B413" i="37"/>
  <c r="A413" i="37"/>
  <c r="H412" i="37"/>
  <c r="B412" i="37"/>
  <c r="A412" i="37"/>
  <c r="H411" i="37"/>
  <c r="B411" i="37"/>
  <c r="A411" i="37"/>
  <c r="H410" i="37"/>
  <c r="B410" i="37"/>
  <c r="A410" i="37"/>
  <c r="B409" i="37"/>
  <c r="A409" i="37"/>
  <c r="B408" i="37"/>
  <c r="A408" i="37"/>
  <c r="H408" i="37" s="1"/>
  <c r="B407" i="37"/>
  <c r="A407" i="37"/>
  <c r="H406" i="37"/>
  <c r="B406" i="37"/>
  <c r="A406" i="37"/>
  <c r="B405" i="37"/>
  <c r="A405" i="37"/>
  <c r="H404" i="37"/>
  <c r="B404" i="37"/>
  <c r="A404" i="37"/>
  <c r="B403" i="37"/>
  <c r="A403" i="37"/>
  <c r="H403" i="37" s="1"/>
  <c r="B402" i="37"/>
  <c r="A402" i="37"/>
  <c r="B401" i="37"/>
  <c r="A401" i="37"/>
  <c r="B400" i="37"/>
  <c r="A400" i="37"/>
  <c r="B399" i="37"/>
  <c r="A399" i="37"/>
  <c r="H398" i="37"/>
  <c r="B398" i="37"/>
  <c r="A398" i="37"/>
  <c r="H397" i="37"/>
  <c r="B397" i="37"/>
  <c r="A397" i="37"/>
  <c r="B396" i="37"/>
  <c r="A396" i="37"/>
  <c r="B395" i="37"/>
  <c r="A395" i="37"/>
  <c r="H395" i="37" s="1"/>
  <c r="H394" i="37"/>
  <c r="B394" i="37"/>
  <c r="A394" i="37"/>
  <c r="B393" i="37"/>
  <c r="A393" i="37"/>
  <c r="B392" i="37"/>
  <c r="A392" i="37"/>
  <c r="B391" i="37"/>
  <c r="A391" i="37"/>
  <c r="H391" i="37" s="1"/>
  <c r="B390" i="37"/>
  <c r="A390" i="37"/>
  <c r="H390" i="37" s="1"/>
  <c r="B389" i="37"/>
  <c r="A389" i="37"/>
  <c r="B388" i="37"/>
  <c r="A388" i="37"/>
  <c r="H387" i="37"/>
  <c r="B387" i="37"/>
  <c r="A387" i="37"/>
  <c r="B386" i="37"/>
  <c r="A386" i="37"/>
  <c r="H385" i="37"/>
  <c r="B385" i="37"/>
  <c r="A385" i="37"/>
  <c r="H384" i="37"/>
  <c r="B384" i="37"/>
  <c r="A384" i="37"/>
  <c r="B383" i="37"/>
  <c r="A383" i="37"/>
  <c r="H383" i="37" s="1"/>
  <c r="H382" i="37"/>
  <c r="B382" i="37"/>
  <c r="A382" i="37"/>
  <c r="B381" i="37"/>
  <c r="A381" i="37"/>
  <c r="B380" i="37"/>
  <c r="A380" i="37"/>
  <c r="H379" i="37"/>
  <c r="B379" i="37"/>
  <c r="A379" i="37"/>
  <c r="H378" i="37"/>
  <c r="B378" i="37"/>
  <c r="A378" i="37"/>
  <c r="B377" i="37"/>
  <c r="A377" i="37"/>
  <c r="B376" i="37"/>
  <c r="A376" i="37"/>
  <c r="B375" i="37"/>
  <c r="A375" i="37"/>
  <c r="B374" i="37"/>
  <c r="A374" i="37"/>
  <c r="H373" i="37"/>
  <c r="B373" i="37"/>
  <c r="A373" i="37"/>
  <c r="B372" i="37"/>
  <c r="A372" i="37"/>
  <c r="H372" i="37" s="1"/>
  <c r="B371" i="37"/>
  <c r="A371" i="37"/>
  <c r="H371" i="37" s="1"/>
  <c r="B370" i="37"/>
  <c r="A370" i="37"/>
  <c r="H370" i="37" s="1"/>
  <c r="B369" i="37"/>
  <c r="A369" i="37"/>
  <c r="B368" i="37"/>
  <c r="A368" i="37"/>
  <c r="B367" i="37"/>
  <c r="A367" i="37"/>
  <c r="B366" i="37"/>
  <c r="A366" i="37"/>
  <c r="H366" i="37" s="1"/>
  <c r="B365" i="37"/>
  <c r="A365" i="37"/>
  <c r="H365" i="37" s="1"/>
  <c r="H364" i="37"/>
  <c r="B364" i="37"/>
  <c r="A364" i="37"/>
  <c r="B363" i="37"/>
  <c r="A363" i="37"/>
  <c r="B362" i="37"/>
  <c r="A362" i="37"/>
  <c r="H361" i="37"/>
  <c r="B361" i="37"/>
  <c r="A361" i="37"/>
  <c r="B360" i="37"/>
  <c r="A360" i="37"/>
  <c r="H360" i="37" s="1"/>
  <c r="B359" i="37"/>
  <c r="A359" i="37"/>
  <c r="H359" i="37" s="1"/>
  <c r="H358" i="37"/>
  <c r="B358" i="37"/>
  <c r="A358" i="37"/>
  <c r="B357" i="37"/>
  <c r="A357" i="37"/>
  <c r="B356" i="37"/>
  <c r="A356" i="37"/>
  <c r="H355" i="37"/>
  <c r="B355" i="37"/>
  <c r="A355" i="37"/>
  <c r="B354" i="37"/>
  <c r="A354" i="37"/>
  <c r="B353" i="37"/>
  <c r="A353" i="37"/>
  <c r="H353" i="37" s="1"/>
  <c r="B352" i="37"/>
  <c r="A352" i="37"/>
  <c r="B351" i="37"/>
  <c r="A351" i="37"/>
  <c r="B350" i="37"/>
  <c r="A350" i="37"/>
  <c r="H350" i="37" s="1"/>
  <c r="B349" i="37"/>
  <c r="A349" i="37"/>
  <c r="B348" i="37"/>
  <c r="A348" i="37"/>
  <c r="B347" i="37"/>
  <c r="A347" i="37"/>
  <c r="H346" i="37"/>
  <c r="B346" i="37"/>
  <c r="A346" i="37"/>
  <c r="H345" i="37"/>
  <c r="B345" i="37"/>
  <c r="A345" i="37"/>
  <c r="B344" i="37"/>
  <c r="A344" i="37"/>
  <c r="H344" i="37" s="1"/>
  <c r="H343" i="37"/>
  <c r="B343" i="37"/>
  <c r="A343" i="37"/>
  <c r="B342" i="37"/>
  <c r="A342" i="37"/>
  <c r="B341" i="37"/>
  <c r="A341" i="37"/>
  <c r="H341" i="37" s="1"/>
  <c r="B340" i="37"/>
  <c r="A340" i="37"/>
  <c r="B339" i="37"/>
  <c r="A339" i="37"/>
  <c r="B338" i="37"/>
  <c r="A338" i="37"/>
  <c r="H338" i="37" s="1"/>
  <c r="H337" i="37"/>
  <c r="B337" i="37"/>
  <c r="A337" i="37"/>
  <c r="B336" i="37"/>
  <c r="A336" i="37"/>
  <c r="B335" i="37"/>
  <c r="A335" i="37"/>
  <c r="B334" i="37"/>
  <c r="A334" i="37"/>
  <c r="H334" i="37" s="1"/>
  <c r="H333" i="37"/>
  <c r="B333" i="37"/>
  <c r="A333" i="37"/>
  <c r="B332" i="37"/>
  <c r="A332" i="37"/>
  <c r="B331" i="37"/>
  <c r="A331" i="37"/>
  <c r="H331" i="37" s="1"/>
  <c r="H330" i="37"/>
  <c r="B330" i="37"/>
  <c r="A330" i="37"/>
  <c r="B329" i="37"/>
  <c r="A329" i="37"/>
  <c r="H328" i="37"/>
  <c r="B328" i="37"/>
  <c r="A328" i="37"/>
  <c r="H327" i="37"/>
  <c r="B327" i="37"/>
  <c r="A327" i="37"/>
  <c r="B326" i="37"/>
  <c r="A326" i="37"/>
  <c r="H326" i="37" s="1"/>
  <c r="H325" i="37"/>
  <c r="B325" i="37"/>
  <c r="A325" i="37"/>
  <c r="H324" i="37"/>
  <c r="B324" i="37"/>
  <c r="A324" i="37"/>
  <c r="B323" i="37"/>
  <c r="A323" i="37"/>
  <c r="H323" i="37" s="1"/>
  <c r="B322" i="37"/>
  <c r="A322" i="37"/>
  <c r="B321" i="37"/>
  <c r="A321" i="37"/>
  <c r="B320" i="37"/>
  <c r="A320" i="37"/>
  <c r="H320" i="37" s="1"/>
  <c r="H319" i="37"/>
  <c r="B319" i="37"/>
  <c r="A319" i="37"/>
  <c r="B318" i="37"/>
  <c r="A318" i="37"/>
  <c r="B317" i="37"/>
  <c r="A317" i="37"/>
  <c r="B316" i="37"/>
  <c r="A316" i="37"/>
  <c r="H316" i="37" s="1"/>
  <c r="H315" i="37"/>
  <c r="B315" i="37"/>
  <c r="A315" i="37"/>
  <c r="B314" i="37"/>
  <c r="A314" i="37"/>
  <c r="B313" i="37"/>
  <c r="A313" i="37"/>
  <c r="H312" i="37"/>
  <c r="B312" i="37"/>
  <c r="A312" i="37"/>
  <c r="H311" i="37"/>
  <c r="B311" i="37"/>
  <c r="A311" i="37"/>
  <c r="B310" i="37"/>
  <c r="A310" i="37"/>
  <c r="H309" i="37"/>
  <c r="B309" i="37"/>
  <c r="A309" i="37"/>
  <c r="H308" i="37"/>
  <c r="B308" i="37"/>
  <c r="A308" i="37"/>
  <c r="H307" i="37"/>
  <c r="B307" i="37"/>
  <c r="A307" i="37"/>
  <c r="H306" i="37"/>
  <c r="B306" i="37"/>
  <c r="A306" i="37"/>
  <c r="H305" i="37"/>
  <c r="B305" i="37"/>
  <c r="A305" i="37"/>
  <c r="B304" i="37"/>
  <c r="A304" i="37"/>
  <c r="H303" i="37"/>
  <c r="B303" i="37"/>
  <c r="A303" i="37"/>
  <c r="H302" i="37"/>
  <c r="B302" i="37"/>
  <c r="A302" i="37"/>
  <c r="B301" i="37"/>
  <c r="A301" i="37"/>
  <c r="H300" i="37"/>
  <c r="B300" i="37"/>
  <c r="A300" i="37"/>
  <c r="H299" i="37"/>
  <c r="B299" i="37"/>
  <c r="A299" i="37"/>
  <c r="B298" i="37"/>
  <c r="A298" i="37"/>
  <c r="H297" i="37"/>
  <c r="B297" i="37"/>
  <c r="A297" i="37"/>
  <c r="H296" i="37"/>
  <c r="B296" i="37"/>
  <c r="A296" i="37"/>
  <c r="H295" i="37"/>
  <c r="B295" i="37"/>
  <c r="A295" i="37"/>
  <c r="H294" i="37"/>
  <c r="B294" i="37"/>
  <c r="A294" i="37"/>
  <c r="H293" i="37"/>
  <c r="B293" i="37"/>
  <c r="A293" i="37"/>
  <c r="B292" i="37"/>
  <c r="A292" i="37"/>
  <c r="H291" i="37"/>
  <c r="B291" i="37"/>
  <c r="A291" i="37"/>
  <c r="H290" i="37"/>
  <c r="B290" i="37"/>
  <c r="A290" i="37"/>
  <c r="H289" i="37"/>
  <c r="B289" i="37"/>
  <c r="A289" i="37"/>
  <c r="H288" i="37"/>
  <c r="B288" i="37"/>
  <c r="A288" i="37"/>
  <c r="H287" i="37"/>
  <c r="B287" i="37"/>
  <c r="A287" i="37"/>
  <c r="B286" i="37"/>
  <c r="A286" i="37"/>
  <c r="H285" i="37"/>
  <c r="B285" i="37"/>
  <c r="A285" i="37"/>
  <c r="H284" i="37"/>
  <c r="B284" i="37"/>
  <c r="A284" i="37"/>
  <c r="B283" i="37"/>
  <c r="A283" i="37"/>
  <c r="H282" i="37"/>
  <c r="B282" i="37"/>
  <c r="A282" i="37"/>
  <c r="H281" i="37"/>
  <c r="B281" i="37"/>
  <c r="A281" i="37"/>
  <c r="B280" i="37"/>
  <c r="A280" i="37"/>
  <c r="H279" i="37"/>
  <c r="B279" i="37"/>
  <c r="A279" i="37"/>
  <c r="H278" i="37"/>
  <c r="B278" i="37"/>
  <c r="A278" i="37"/>
  <c r="B277" i="37"/>
  <c r="A277" i="37"/>
  <c r="H276" i="37"/>
  <c r="B276" i="37"/>
  <c r="A276" i="37"/>
  <c r="H275" i="37"/>
  <c r="B275" i="37"/>
  <c r="A275" i="37"/>
  <c r="B274" i="37"/>
  <c r="A274" i="37"/>
  <c r="H273" i="37"/>
  <c r="B273" i="37"/>
  <c r="A273" i="37"/>
  <c r="H272" i="37"/>
  <c r="B272" i="37"/>
  <c r="A272" i="37"/>
  <c r="H271" i="37"/>
  <c r="B271" i="37"/>
  <c r="A271" i="37"/>
  <c r="H270" i="37"/>
  <c r="B270" i="37"/>
  <c r="A270" i="37"/>
  <c r="H269" i="37"/>
  <c r="B269" i="37"/>
  <c r="A269" i="37"/>
  <c r="B268" i="37"/>
  <c r="A268" i="37"/>
  <c r="H267" i="37"/>
  <c r="B267" i="37"/>
  <c r="A267" i="37"/>
  <c r="H266" i="37"/>
  <c r="B266" i="37"/>
  <c r="A266" i="37"/>
  <c r="B265" i="37"/>
  <c r="A265" i="37"/>
  <c r="H264" i="37"/>
  <c r="B264" i="37"/>
  <c r="A264" i="37"/>
  <c r="H263" i="37"/>
  <c r="B263" i="37"/>
  <c r="A263" i="37"/>
  <c r="B262" i="37"/>
  <c r="A262" i="37"/>
  <c r="H261" i="37"/>
  <c r="B261" i="37"/>
  <c r="A261" i="37"/>
  <c r="H260" i="37"/>
  <c r="B260" i="37"/>
  <c r="A260" i="37"/>
  <c r="B259" i="37"/>
  <c r="A259" i="37"/>
  <c r="B258" i="37"/>
  <c r="A258" i="37"/>
  <c r="H257" i="37"/>
  <c r="B257" i="37"/>
  <c r="A257" i="37"/>
  <c r="B256" i="37"/>
  <c r="A256" i="37"/>
  <c r="H255" i="37"/>
  <c r="B255" i="37"/>
  <c r="A255" i="37"/>
  <c r="H254" i="37"/>
  <c r="B254" i="37"/>
  <c r="A254" i="37"/>
  <c r="B253" i="37"/>
  <c r="A253" i="37"/>
  <c r="B252" i="37"/>
  <c r="A252" i="37"/>
  <c r="H252" i="37" s="1"/>
  <c r="B251" i="37"/>
  <c r="A251" i="37"/>
  <c r="B250" i="37"/>
  <c r="A250" i="37"/>
  <c r="H249" i="37"/>
  <c r="B249" i="37"/>
  <c r="A249" i="37"/>
  <c r="H248" i="37"/>
  <c r="B248" i="37"/>
  <c r="A248" i="37"/>
  <c r="H247" i="37"/>
  <c r="B247" i="37"/>
  <c r="A247" i="37"/>
  <c r="H246" i="37"/>
  <c r="B246" i="37"/>
  <c r="A246" i="37"/>
  <c r="B245" i="37"/>
  <c r="A245" i="37"/>
  <c r="H244" i="37"/>
  <c r="B244" i="37"/>
  <c r="A244" i="37"/>
  <c r="H243" i="37"/>
  <c r="B243" i="37"/>
  <c r="A243" i="37"/>
  <c r="H242" i="37"/>
  <c r="B242" i="37"/>
  <c r="A242" i="37"/>
  <c r="H241" i="37"/>
  <c r="B241" i="37"/>
  <c r="A241" i="37"/>
  <c r="H240" i="37"/>
  <c r="B240" i="37"/>
  <c r="A240" i="37"/>
  <c r="H239" i="37"/>
  <c r="B239" i="37"/>
  <c r="A239" i="37"/>
  <c r="H238" i="37"/>
  <c r="B238" i="37"/>
  <c r="A238" i="37"/>
  <c r="B237" i="37"/>
  <c r="A237" i="37"/>
  <c r="H237" i="37" s="1"/>
  <c r="H236" i="37"/>
  <c r="B236" i="37"/>
  <c r="A236" i="37"/>
  <c r="H235" i="37"/>
  <c r="B235" i="37"/>
  <c r="A235" i="37"/>
  <c r="H234" i="37"/>
  <c r="B234" i="37"/>
  <c r="A234" i="37"/>
  <c r="H233" i="37"/>
  <c r="B233" i="37"/>
  <c r="A233" i="37"/>
  <c r="H232" i="37"/>
  <c r="B232" i="37"/>
  <c r="A232" i="37"/>
  <c r="B231" i="37"/>
  <c r="A231" i="37"/>
  <c r="H231" i="37" s="1"/>
  <c r="B230" i="37"/>
  <c r="A230" i="37"/>
  <c r="H229" i="37"/>
  <c r="B229" i="37"/>
  <c r="A229" i="37"/>
  <c r="B228" i="37"/>
  <c r="A228" i="37"/>
  <c r="B227" i="37"/>
  <c r="A227" i="37"/>
  <c r="H227" i="37" s="1"/>
  <c r="H226" i="37"/>
  <c r="B226" i="37"/>
  <c r="A226" i="37"/>
  <c r="B225" i="37"/>
  <c r="A225" i="37"/>
  <c r="B224" i="37"/>
  <c r="A224" i="37"/>
  <c r="H224" i="37" s="1"/>
  <c r="H223" i="37"/>
  <c r="B223" i="37"/>
  <c r="A223" i="37"/>
  <c r="B222" i="37"/>
  <c r="A222" i="37"/>
  <c r="B221" i="37"/>
  <c r="A221" i="37"/>
  <c r="H221" i="37" s="1"/>
  <c r="H220" i="37"/>
  <c r="B220" i="37"/>
  <c r="A220" i="37"/>
  <c r="B219" i="37"/>
  <c r="A219" i="37"/>
  <c r="B218" i="37"/>
  <c r="A218" i="37"/>
  <c r="H218" i="37" s="1"/>
  <c r="H217" i="37"/>
  <c r="B217" i="37"/>
  <c r="A217" i="37"/>
  <c r="B216" i="37"/>
  <c r="A216" i="37"/>
  <c r="B215" i="37"/>
  <c r="A215" i="37"/>
  <c r="H215" i="37" s="1"/>
  <c r="H214" i="37"/>
  <c r="B214" i="37"/>
  <c r="A214" i="37"/>
  <c r="H213" i="37"/>
  <c r="B213" i="37"/>
  <c r="A213" i="37"/>
  <c r="B212" i="37"/>
  <c r="A212" i="37"/>
  <c r="H211" i="37"/>
  <c r="B211" i="37"/>
  <c r="A211" i="37"/>
  <c r="B210" i="37"/>
  <c r="A210" i="37"/>
  <c r="B209" i="37"/>
  <c r="A209" i="37"/>
  <c r="H209" i="37" s="1"/>
  <c r="H208" i="37"/>
  <c r="B208" i="37"/>
  <c r="A208" i="37"/>
  <c r="H207" i="37"/>
  <c r="B207" i="37"/>
  <c r="A207" i="37"/>
  <c r="B206" i="37"/>
  <c r="A206" i="37"/>
  <c r="H205" i="37"/>
  <c r="B205" i="37"/>
  <c r="A205" i="37"/>
  <c r="B204" i="37"/>
  <c r="A204" i="37"/>
  <c r="B203" i="37"/>
  <c r="A203" i="37"/>
  <c r="H203" i="37" s="1"/>
  <c r="B202" i="37"/>
  <c r="A202" i="37"/>
  <c r="H202" i="37" s="1"/>
  <c r="H201" i="37"/>
  <c r="B201" i="37"/>
  <c r="A201" i="37"/>
  <c r="B200" i="37"/>
  <c r="A200" i="37"/>
  <c r="H199" i="37"/>
  <c r="B199" i="37"/>
  <c r="A199" i="37"/>
  <c r="B198" i="37"/>
  <c r="A198" i="37"/>
  <c r="B197" i="37"/>
  <c r="A197" i="37"/>
  <c r="H197" i="37" s="1"/>
  <c r="B196" i="37"/>
  <c r="A196" i="37"/>
  <c r="H196" i="37" s="1"/>
  <c r="B195" i="37"/>
  <c r="A195" i="37"/>
  <c r="B194" i="37"/>
  <c r="A194" i="37"/>
  <c r="B193" i="37"/>
  <c r="A193" i="37"/>
  <c r="H193" i="37" s="1"/>
  <c r="B192" i="37"/>
  <c r="A192" i="37"/>
  <c r="B191" i="37"/>
  <c r="A191" i="37"/>
  <c r="H191" i="37" s="1"/>
  <c r="B190" i="37"/>
  <c r="A190" i="37"/>
  <c r="H190" i="37" s="1"/>
  <c r="B189" i="37"/>
  <c r="A189" i="37"/>
  <c r="B188" i="37"/>
  <c r="A188" i="37"/>
  <c r="B187" i="37"/>
  <c r="A187" i="37"/>
  <c r="B186" i="37"/>
  <c r="A186" i="37"/>
  <c r="B185" i="37"/>
  <c r="A185" i="37"/>
  <c r="H185" i="37" s="1"/>
  <c r="B184" i="37"/>
  <c r="A184" i="37"/>
  <c r="H184" i="37" s="1"/>
  <c r="H183" i="37"/>
  <c r="B183" i="37"/>
  <c r="A183" i="37"/>
  <c r="B182" i="37"/>
  <c r="A182" i="37"/>
  <c r="H181" i="37"/>
  <c r="B181" i="37"/>
  <c r="A181" i="37"/>
  <c r="B180" i="37"/>
  <c r="A180" i="37"/>
  <c r="B179" i="37"/>
  <c r="A179" i="37"/>
  <c r="H179" i="37" s="1"/>
  <c r="B178" i="37"/>
  <c r="A178" i="37"/>
  <c r="B177" i="37"/>
  <c r="A177" i="37"/>
  <c r="B176" i="37"/>
  <c r="A176" i="37"/>
  <c r="B175" i="37"/>
  <c r="A175" i="37"/>
  <c r="H175" i="37" s="1"/>
  <c r="H174" i="37"/>
  <c r="B174" i="37"/>
  <c r="A174" i="37"/>
  <c r="B173" i="37"/>
  <c r="A173" i="37"/>
  <c r="H173" i="37" s="1"/>
  <c r="B172" i="37"/>
  <c r="A172" i="37"/>
  <c r="H172" i="37" s="1"/>
  <c r="H171" i="37"/>
  <c r="B171" i="37"/>
  <c r="A171" i="37"/>
  <c r="B170" i="37"/>
  <c r="A170" i="37"/>
  <c r="B169" i="37"/>
  <c r="A169" i="37"/>
  <c r="H169" i="37" s="1"/>
  <c r="H168" i="37"/>
  <c r="B168" i="37"/>
  <c r="A168" i="37"/>
  <c r="B167" i="37"/>
  <c r="A167" i="37"/>
  <c r="H167" i="37" s="1"/>
  <c r="B166" i="37"/>
  <c r="A166" i="37"/>
  <c r="H166" i="37" s="1"/>
  <c r="H165" i="37"/>
  <c r="B165" i="37"/>
  <c r="A165" i="37"/>
  <c r="B164" i="37"/>
  <c r="A164" i="37"/>
  <c r="B163" i="37"/>
  <c r="A163" i="37"/>
  <c r="H163" i="37" s="1"/>
  <c r="H162" i="37"/>
  <c r="B162" i="37"/>
  <c r="A162" i="37"/>
  <c r="B161" i="37"/>
  <c r="A161" i="37"/>
  <c r="H161" i="37" s="1"/>
  <c r="B160" i="37"/>
  <c r="A160" i="37"/>
  <c r="H160" i="37" s="1"/>
  <c r="H159" i="37"/>
  <c r="B159" i="37"/>
  <c r="A159" i="37"/>
  <c r="B158" i="37"/>
  <c r="A158" i="37"/>
  <c r="B157" i="37"/>
  <c r="A157" i="37"/>
  <c r="H156" i="37"/>
  <c r="B156" i="37"/>
  <c r="A156" i="37"/>
  <c r="B155" i="37"/>
  <c r="A155" i="37"/>
  <c r="B154" i="37"/>
  <c r="A154" i="37"/>
  <c r="H154" i="37" s="1"/>
  <c r="B153" i="37"/>
  <c r="A153" i="37"/>
  <c r="B152" i="37"/>
  <c r="A152" i="37"/>
  <c r="H151" i="37"/>
  <c r="B151" i="37"/>
  <c r="A151" i="37"/>
  <c r="B150" i="37"/>
  <c r="A150" i="37"/>
  <c r="H149" i="37"/>
  <c r="B149" i="37"/>
  <c r="A149" i="37"/>
  <c r="B148" i="37"/>
  <c r="A148" i="37"/>
  <c r="B147" i="37"/>
  <c r="A147" i="37"/>
  <c r="B146" i="37"/>
  <c r="A146" i="37"/>
  <c r="H146" i="37" s="1"/>
  <c r="B145" i="37"/>
  <c r="A145" i="37"/>
  <c r="H144" i="37"/>
  <c r="B144" i="37"/>
  <c r="A144" i="37"/>
  <c r="B143" i="37"/>
  <c r="A143" i="37"/>
  <c r="H142" i="37"/>
  <c r="B142" i="37"/>
  <c r="A142" i="37"/>
  <c r="B141" i="37"/>
  <c r="A141" i="37"/>
  <c r="B140" i="37"/>
  <c r="A140" i="37"/>
  <c r="H139" i="37"/>
  <c r="B139" i="37"/>
  <c r="A139" i="37"/>
  <c r="B138" i="37"/>
  <c r="A138" i="37"/>
  <c r="B137" i="37"/>
  <c r="A137" i="37"/>
  <c r="H137" i="37" s="1"/>
  <c r="H136" i="37"/>
  <c r="B136" i="37"/>
  <c r="A136" i="37"/>
  <c r="B135" i="37"/>
  <c r="A135" i="37"/>
  <c r="B134" i="37"/>
  <c r="A134" i="37"/>
  <c r="H133" i="37"/>
  <c r="B133" i="37"/>
  <c r="A133" i="37"/>
  <c r="B132" i="37"/>
  <c r="A132" i="37"/>
  <c r="B131" i="37"/>
  <c r="A131" i="37"/>
  <c r="H131" i="37" s="1"/>
  <c r="H130" i="37"/>
  <c r="B130" i="37"/>
  <c r="A130" i="37"/>
  <c r="B129" i="37"/>
  <c r="A129" i="37"/>
  <c r="B128" i="37"/>
  <c r="A128" i="37"/>
  <c r="H128" i="37" s="1"/>
  <c r="H127" i="37"/>
  <c r="B127" i="37"/>
  <c r="A127" i="37"/>
  <c r="H126" i="37"/>
  <c r="B126" i="37"/>
  <c r="A126" i="37"/>
  <c r="H125" i="37"/>
  <c r="B125" i="37"/>
  <c r="A125" i="37"/>
  <c r="H124" i="37"/>
  <c r="B124" i="37"/>
  <c r="A124" i="37"/>
  <c r="B123" i="37"/>
  <c r="A123" i="37"/>
  <c r="B122" i="37"/>
  <c r="A122" i="37"/>
  <c r="H122" i="37" s="1"/>
  <c r="H121" i="37"/>
  <c r="B121" i="37"/>
  <c r="A121" i="37"/>
  <c r="H120" i="37"/>
  <c r="B120" i="37"/>
  <c r="A120" i="37"/>
  <c r="H119" i="37"/>
  <c r="B119" i="37"/>
  <c r="A119" i="37"/>
  <c r="H118" i="37"/>
  <c r="B118" i="37"/>
  <c r="A118" i="37"/>
  <c r="B117" i="37"/>
  <c r="A117" i="37"/>
  <c r="B116" i="37"/>
  <c r="A116" i="37"/>
  <c r="H116" i="37" s="1"/>
  <c r="H115" i="37"/>
  <c r="B115" i="37"/>
  <c r="A115" i="37"/>
  <c r="H114" i="37"/>
  <c r="B114" i="37"/>
  <c r="A114" i="37"/>
  <c r="H113" i="37"/>
  <c r="B113" i="37"/>
  <c r="A113" i="37"/>
  <c r="H112" i="37"/>
  <c r="B112" i="37"/>
  <c r="A112" i="37"/>
  <c r="B111" i="37"/>
  <c r="A111" i="37"/>
  <c r="B110" i="37"/>
  <c r="A110" i="37"/>
  <c r="H110" i="37" s="1"/>
  <c r="H109" i="37"/>
  <c r="B109" i="37"/>
  <c r="A109" i="37"/>
  <c r="H108" i="37"/>
  <c r="B108" i="37"/>
  <c r="A108" i="37"/>
  <c r="H107" i="37"/>
  <c r="B107" i="37"/>
  <c r="A107" i="37"/>
  <c r="B106" i="37"/>
  <c r="A106" i="37"/>
  <c r="B105" i="37"/>
  <c r="A105" i="37"/>
  <c r="B104" i="37"/>
  <c r="A104" i="37"/>
  <c r="H104" i="37" s="1"/>
  <c r="B103" i="37"/>
  <c r="A103" i="37"/>
  <c r="B102" i="37"/>
  <c r="A102" i="37"/>
  <c r="B101" i="37"/>
  <c r="A101" i="37"/>
  <c r="H101" i="37" s="1"/>
  <c r="H100" i="37"/>
  <c r="B100" i="37"/>
  <c r="A100" i="37"/>
  <c r="B99" i="37"/>
  <c r="A99" i="37"/>
  <c r="H99" i="37" s="1"/>
  <c r="H98" i="37"/>
  <c r="B98" i="37"/>
  <c r="A98" i="37"/>
  <c r="H97" i="37"/>
  <c r="B97" i="37"/>
  <c r="A97" i="37"/>
  <c r="H96" i="37"/>
  <c r="B96" i="37"/>
  <c r="A96" i="37"/>
  <c r="B95" i="37"/>
  <c r="A95" i="37"/>
  <c r="B94" i="37"/>
  <c r="A94" i="37"/>
  <c r="H94" i="37" s="1"/>
  <c r="B93" i="37"/>
  <c r="A93" i="37"/>
  <c r="H93" i="37" s="1"/>
  <c r="B92" i="37"/>
  <c r="A92" i="37"/>
  <c r="H92" i="37" s="1"/>
  <c r="H91" i="37"/>
  <c r="B91" i="37"/>
  <c r="A91" i="37"/>
  <c r="B90" i="37"/>
  <c r="A90" i="37"/>
  <c r="H89" i="37"/>
  <c r="B89" i="37"/>
  <c r="A89" i="37"/>
  <c r="B88" i="37"/>
  <c r="A88" i="37"/>
  <c r="B87" i="37"/>
  <c r="A87" i="37"/>
  <c r="H87" i="37" s="1"/>
  <c r="H86" i="37"/>
  <c r="B86" i="37"/>
  <c r="A86" i="37"/>
  <c r="B85" i="37"/>
  <c r="A85" i="37"/>
  <c r="B84" i="37"/>
  <c r="A84" i="37"/>
  <c r="H83" i="37"/>
  <c r="B83" i="37"/>
  <c r="A83" i="37"/>
  <c r="B82" i="37"/>
  <c r="A82" i="37"/>
  <c r="H81" i="37"/>
  <c r="B81" i="37"/>
  <c r="A81" i="37"/>
  <c r="H80" i="37"/>
  <c r="B80" i="37"/>
  <c r="A80" i="37"/>
  <c r="B79" i="37"/>
  <c r="A79" i="37"/>
  <c r="B78" i="37"/>
  <c r="A78" i="37"/>
  <c r="H77" i="37"/>
  <c r="B77" i="37"/>
  <c r="A77" i="37"/>
  <c r="B76" i="37"/>
  <c r="A76" i="37"/>
  <c r="H75" i="37"/>
  <c r="B75" i="37"/>
  <c r="A75" i="37"/>
  <c r="H74" i="37"/>
  <c r="B74" i="37"/>
  <c r="A74" i="37"/>
  <c r="B73" i="37"/>
  <c r="A73" i="37"/>
  <c r="B72" i="37"/>
  <c r="A72" i="37"/>
  <c r="H71" i="37"/>
  <c r="B71" i="37"/>
  <c r="A71" i="37"/>
  <c r="B70" i="37"/>
  <c r="A70" i="37"/>
  <c r="H69" i="37"/>
  <c r="B69" i="37"/>
  <c r="A69" i="37"/>
  <c r="H68" i="37"/>
  <c r="B68" i="37"/>
  <c r="A68" i="37"/>
  <c r="B67" i="37"/>
  <c r="A67" i="37"/>
  <c r="B66" i="37"/>
  <c r="A66" i="37"/>
  <c r="H65" i="37"/>
  <c r="B65" i="37"/>
  <c r="A65" i="37"/>
  <c r="B64" i="37"/>
  <c r="A64" i="37"/>
  <c r="H63" i="37"/>
  <c r="B63" i="37"/>
  <c r="A63" i="37"/>
  <c r="H62" i="37"/>
  <c r="B62" i="37"/>
  <c r="A62" i="37"/>
  <c r="B61" i="37"/>
  <c r="A61" i="37"/>
  <c r="B60" i="37"/>
  <c r="A60" i="37"/>
  <c r="H59" i="37"/>
  <c r="B59" i="37"/>
  <c r="A59" i="37"/>
  <c r="B58" i="37"/>
  <c r="A58" i="37"/>
  <c r="H57" i="37"/>
  <c r="B57" i="37"/>
  <c r="A57" i="37"/>
  <c r="H56" i="37"/>
  <c r="B56" i="37"/>
  <c r="A56" i="37"/>
  <c r="B55" i="37"/>
  <c r="A55" i="37"/>
  <c r="B54" i="37"/>
  <c r="A54" i="37"/>
  <c r="H53" i="37"/>
  <c r="B53" i="37"/>
  <c r="A53" i="37"/>
  <c r="B52" i="37"/>
  <c r="A52" i="37"/>
  <c r="H51" i="37"/>
  <c r="B51" i="37"/>
  <c r="A51" i="37"/>
  <c r="H50" i="37"/>
  <c r="B50" i="37"/>
  <c r="A50" i="37"/>
  <c r="B49" i="37"/>
  <c r="A49" i="37"/>
  <c r="B48" i="37"/>
  <c r="A48" i="37"/>
  <c r="H47" i="37"/>
  <c r="B47" i="37"/>
  <c r="A47" i="37"/>
  <c r="B46" i="37"/>
  <c r="A46" i="37"/>
  <c r="H45" i="37"/>
  <c r="B45" i="37"/>
  <c r="A45" i="37"/>
  <c r="H44" i="37"/>
  <c r="B44" i="37"/>
  <c r="A44" i="37"/>
  <c r="B43" i="37"/>
  <c r="A43" i="37"/>
  <c r="B42" i="37"/>
  <c r="A42" i="37"/>
  <c r="H41" i="37"/>
  <c r="B41" i="37"/>
  <c r="A41" i="37"/>
  <c r="B40" i="37"/>
  <c r="A40" i="37"/>
  <c r="H39" i="37"/>
  <c r="B39" i="37"/>
  <c r="A39" i="37"/>
  <c r="H38" i="37"/>
  <c r="B38" i="37"/>
  <c r="A38" i="37"/>
  <c r="B37" i="37"/>
  <c r="A37" i="37"/>
  <c r="B36" i="37"/>
  <c r="A36" i="37"/>
  <c r="H35" i="37"/>
  <c r="B35" i="37"/>
  <c r="A35" i="37"/>
  <c r="B34" i="37"/>
  <c r="A34" i="37"/>
  <c r="H33" i="37"/>
  <c r="B33" i="37"/>
  <c r="A33" i="37"/>
  <c r="H32" i="37"/>
  <c r="B32" i="37"/>
  <c r="A32" i="37"/>
  <c r="B31" i="37"/>
  <c r="A31" i="37"/>
  <c r="H30" i="37"/>
  <c r="B30" i="37"/>
  <c r="A30" i="37"/>
  <c r="H29" i="37"/>
  <c r="B29" i="37"/>
  <c r="A29" i="37"/>
  <c r="B28" i="37"/>
  <c r="A28" i="37"/>
  <c r="B27" i="37"/>
  <c r="A27" i="37"/>
  <c r="H27" i="37" s="1"/>
  <c r="H26" i="37"/>
  <c r="B26" i="37"/>
  <c r="A26" i="37"/>
  <c r="H25" i="37"/>
  <c r="B25" i="37"/>
  <c r="A25" i="37"/>
  <c r="H24" i="37"/>
  <c r="B24" i="37"/>
  <c r="A24" i="37"/>
  <c r="B23" i="37"/>
  <c r="A23" i="37"/>
  <c r="H23" i="37" s="1"/>
  <c r="H22" i="37"/>
  <c r="B22" i="37"/>
  <c r="A22" i="37"/>
  <c r="H21" i="37"/>
  <c r="B21" i="37"/>
  <c r="A21" i="37"/>
  <c r="H20" i="37"/>
  <c r="B20" i="37"/>
  <c r="A20" i="37"/>
  <c r="B19" i="37"/>
  <c r="A19" i="37"/>
  <c r="H19" i="37" s="1"/>
  <c r="H18" i="37"/>
  <c r="B18" i="37"/>
  <c r="A18" i="37"/>
  <c r="H17" i="37"/>
  <c r="B17" i="37"/>
  <c r="A17" i="37"/>
  <c r="B16" i="37"/>
  <c r="A16" i="37"/>
  <c r="B15" i="37"/>
  <c r="A15" i="37"/>
  <c r="H15" i="37" s="1"/>
  <c r="H14" i="37"/>
  <c r="B14" i="37"/>
  <c r="A14" i="37"/>
  <c r="H13" i="37"/>
  <c r="B13" i="37"/>
  <c r="A13" i="37"/>
  <c r="H12" i="37"/>
  <c r="B12" i="37"/>
  <c r="A12" i="37"/>
  <c r="B11" i="37"/>
  <c r="A11" i="37"/>
  <c r="H11" i="37" s="1"/>
  <c r="H10" i="37"/>
  <c r="B10" i="37"/>
  <c r="A10" i="37"/>
  <c r="H9" i="37"/>
  <c r="B9" i="37"/>
  <c r="A9" i="37"/>
  <c r="B8" i="37"/>
  <c r="A8" i="37"/>
  <c r="B7" i="37"/>
  <c r="A7" i="37"/>
  <c r="H7" i="37" s="1"/>
  <c r="H6" i="37"/>
  <c r="B6" i="37"/>
  <c r="A6" i="37"/>
  <c r="B5" i="37"/>
  <c r="A5" i="37"/>
  <c r="B4" i="37"/>
  <c r="A4" i="37"/>
  <c r="H4" i="37" s="1"/>
  <c r="B3" i="37"/>
  <c r="A3" i="37"/>
  <c r="H3" i="37" s="1"/>
  <c r="B2" i="37"/>
  <c r="AK6" i="2" a="1"/>
  <c r="AK6" i="2" s="1"/>
  <c r="AF8" i="31" s="1" a="1"/>
  <c r="AF8" i="31" s="1"/>
  <c r="AY2" i="35"/>
  <c r="AZ2" i="35"/>
  <c r="BA2" i="35"/>
  <c r="BB2" i="35"/>
  <c r="BC2" i="35"/>
  <c r="BD2" i="35"/>
  <c r="BE2" i="35"/>
  <c r="BF2" i="35"/>
  <c r="BG2" i="35"/>
  <c r="BH2" i="35"/>
  <c r="BI2" i="35"/>
  <c r="BJ2" i="35"/>
  <c r="BK2" i="35"/>
  <c r="BL2" i="35"/>
  <c r="BM2" i="35"/>
  <c r="BN2" i="35"/>
  <c r="BO2" i="35"/>
  <c r="BP2" i="35"/>
  <c r="BQ2" i="35"/>
  <c r="BR2" i="35"/>
  <c r="BS2" i="35"/>
  <c r="BT2" i="35"/>
  <c r="BU2" i="35"/>
  <c r="BV2" i="35"/>
  <c r="BW2" i="35"/>
  <c r="BX2" i="35"/>
  <c r="BY2" i="35"/>
  <c r="BZ2" i="35"/>
  <c r="CA2" i="35"/>
  <c r="CB2" i="35"/>
  <c r="AX2" i="35"/>
  <c r="H31" i="37" l="1"/>
  <c r="H78" i="37"/>
  <c r="H134" i="37"/>
  <c r="H36" i="37"/>
  <c r="H58" i="37"/>
  <c r="H70" i="37"/>
  <c r="H5" i="37"/>
  <c r="H66" i="37"/>
  <c r="H140" i="37"/>
  <c r="H48" i="37"/>
  <c r="H46" i="37"/>
  <c r="H28" i="37"/>
  <c r="H54" i="37"/>
  <c r="H76" i="37"/>
  <c r="H88" i="37"/>
  <c r="H105" i="37"/>
  <c r="H34" i="37"/>
  <c r="H84" i="37"/>
  <c r="H16" i="37"/>
  <c r="H42" i="37"/>
  <c r="H64" i="37"/>
  <c r="H102" i="37"/>
  <c r="H111" i="37"/>
  <c r="H72" i="37"/>
  <c r="H132" i="37"/>
  <c r="H106" i="37"/>
  <c r="H117" i="37"/>
  <c r="H8" i="37"/>
  <c r="H52" i="37"/>
  <c r="H103" i="37"/>
  <c r="H123" i="37"/>
  <c r="H60" i="37"/>
  <c r="H129" i="37"/>
  <c r="H138" i="37"/>
  <c r="H82" i="37"/>
  <c r="H40" i="37"/>
  <c r="H90" i="37"/>
  <c r="H187" i="37"/>
  <c r="H95" i="37"/>
  <c r="H153" i="37"/>
  <c r="H178" i="37"/>
  <c r="H37" i="37"/>
  <c r="H43" i="37"/>
  <c r="H49" i="37"/>
  <c r="H55" i="37"/>
  <c r="H61" i="37"/>
  <c r="H67" i="37"/>
  <c r="H73" i="37"/>
  <c r="H79" i="37"/>
  <c r="H85" i="37"/>
  <c r="H141" i="37"/>
  <c r="H157" i="37"/>
  <c r="H150" i="37"/>
  <c r="H329" i="37"/>
  <c r="H135" i="37"/>
  <c r="H145" i="37"/>
  <c r="H148" i="37"/>
  <c r="H180" i="37"/>
  <c r="H198" i="37"/>
  <c r="H204" i="37"/>
  <c r="H210" i="37"/>
  <c r="H274" i="37"/>
  <c r="H313" i="37"/>
  <c r="H357" i="37"/>
  <c r="H143" i="37"/>
  <c r="H155" i="37"/>
  <c r="H182" i="37"/>
  <c r="H200" i="37"/>
  <c r="H206" i="37"/>
  <c r="H216" i="37"/>
  <c r="H277" i="37"/>
  <c r="H335" i="37"/>
  <c r="H147" i="37"/>
  <c r="H212" i="37"/>
  <c r="H225" i="37"/>
  <c r="H230" i="37"/>
  <c r="H258" i="37"/>
  <c r="H314" i="37"/>
  <c r="H152" i="37"/>
  <c r="H186" i="37"/>
  <c r="H262" i="37"/>
  <c r="H188" i="37"/>
  <c r="H189" i="37"/>
  <c r="H256" i="37"/>
  <c r="H301" i="37"/>
  <c r="H332" i="37"/>
  <c r="H265" i="37"/>
  <c r="H158" i="37"/>
  <c r="H192" i="37"/>
  <c r="H253" i="37"/>
  <c r="H164" i="37"/>
  <c r="H170" i="37"/>
  <c r="H176" i="37"/>
  <c r="H286" i="37"/>
  <c r="H177" i="37"/>
  <c r="H194" i="37"/>
  <c r="H195" i="37"/>
  <c r="H219" i="37"/>
  <c r="H447" i="37"/>
  <c r="H222" i="37"/>
  <c r="H228" i="37"/>
  <c r="H317" i="37"/>
  <c r="H336" i="37"/>
  <c r="H352" i="37"/>
  <c r="H339" i="37"/>
  <c r="H318" i="37"/>
  <c r="H342" i="37"/>
  <c r="H349" i="37"/>
  <c r="H375" i="37"/>
  <c r="H321" i="37"/>
  <c r="H363" i="37"/>
  <c r="H268" i="37"/>
  <c r="H292" i="37"/>
  <c r="H245" i="37"/>
  <c r="H250" i="37"/>
  <c r="H283" i="37"/>
  <c r="H347" i="37"/>
  <c r="H259" i="37"/>
  <c r="H280" i="37"/>
  <c r="H351" i="37"/>
  <c r="H400" i="37"/>
  <c r="H500" i="37"/>
  <c r="H251" i="37"/>
  <c r="H356" i="37"/>
  <c r="H429" i="37"/>
  <c r="H322" i="37"/>
  <c r="H340" i="37"/>
  <c r="H348" i="37"/>
  <c r="H389" i="37"/>
  <c r="H392" i="37"/>
  <c r="H298" i="37"/>
  <c r="H304" i="37"/>
  <c r="H310" i="37"/>
  <c r="H369" i="37"/>
  <c r="H376" i="37"/>
  <c r="H478" i="37"/>
  <c r="H502" i="37"/>
  <c r="H362" i="37"/>
  <c r="H377" i="37"/>
  <c r="H393" i="37"/>
  <c r="H396" i="37"/>
  <c r="H405" i="37"/>
  <c r="H423" i="37"/>
  <c r="H402" i="37"/>
  <c r="H409" i="37"/>
  <c r="H367" i="37"/>
  <c r="H471" i="37"/>
  <c r="H368" i="37"/>
  <c r="H413" i="37"/>
  <c r="H354" i="37"/>
  <c r="H489" i="37"/>
  <c r="H507" i="37"/>
  <c r="H515" i="37"/>
  <c r="H381" i="37"/>
  <c r="H374" i="37"/>
  <c r="H380" i="37"/>
  <c r="H386" i="37"/>
  <c r="H497" i="37"/>
  <c r="H524" i="37"/>
  <c r="H401" i="37"/>
  <c r="H449" i="37"/>
  <c r="H493" i="37"/>
  <c r="H418" i="37"/>
  <c r="H467" i="37"/>
  <c r="H419" i="37"/>
  <c r="H437" i="37"/>
  <c r="H388" i="37"/>
  <c r="H399" i="37"/>
  <c r="H425" i="37"/>
  <c r="H431" i="37"/>
  <c r="H450" i="37"/>
  <c r="H464" i="37"/>
  <c r="H480" i="37"/>
  <c r="H574" i="37"/>
  <c r="H445" i="37"/>
  <c r="H580" i="37"/>
  <c r="H407" i="37"/>
  <c r="H453" i="37"/>
  <c r="H488" i="37"/>
  <c r="H495" i="37"/>
  <c r="H483" i="37"/>
  <c r="H508" i="37"/>
  <c r="H545" i="37"/>
  <c r="H564" i="37"/>
  <c r="H598" i="37"/>
  <c r="H686" i="37"/>
  <c r="H468" i="37"/>
  <c r="H485" i="37"/>
  <c r="H520" i="37"/>
  <c r="H537" i="37"/>
  <c r="H558" i="37"/>
  <c r="H525" i="37"/>
  <c r="H561" i="37"/>
  <c r="H616" i="37"/>
  <c r="H509" i="37"/>
  <c r="H512" i="37"/>
  <c r="H552" i="37"/>
  <c r="H499" i="37"/>
  <c r="H501" i="37"/>
  <c r="H503" i="37"/>
  <c r="H513" i="37"/>
  <c r="H555" i="37"/>
  <c r="H604" i="37"/>
  <c r="H710" i="37"/>
  <c r="H487" i="37"/>
  <c r="H518" i="37"/>
  <c r="H521" i="37"/>
  <c r="H526" i="37"/>
  <c r="H572" i="37"/>
  <c r="H470" i="37"/>
  <c r="H477" i="37"/>
  <c r="H506" i="37"/>
  <c r="H549" i="37"/>
  <c r="H491" i="37"/>
  <c r="H505" i="37"/>
  <c r="H514" i="37"/>
  <c r="H527" i="37"/>
  <c r="H570" i="37"/>
  <c r="H481" i="37"/>
  <c r="H519" i="37"/>
  <c r="H577" i="37"/>
  <c r="H610" i="37"/>
  <c r="H530" i="37"/>
  <c r="H638" i="37"/>
  <c r="H660" i="37"/>
  <c r="H681" i="37"/>
  <c r="H511" i="37"/>
  <c r="H517" i="37"/>
  <c r="H523" i="37"/>
  <c r="H529" i="37"/>
  <c r="H620" i="37"/>
  <c r="H642" i="37"/>
  <c r="H578" i="37"/>
  <c r="H665" i="37"/>
  <c r="H687" i="37"/>
  <c r="H624" i="37"/>
  <c r="H654" i="37"/>
  <c r="H669" i="37"/>
  <c r="H728" i="37"/>
  <c r="H566" i="37"/>
  <c r="H585" i="37"/>
  <c r="H647" i="37"/>
  <c r="H567" i="37"/>
  <c r="H586" i="37"/>
  <c r="H636" i="37"/>
  <c r="H568" i="37"/>
  <c r="H629" i="37"/>
  <c r="H678" i="37"/>
  <c r="H550" i="37"/>
  <c r="H556" i="37"/>
  <c r="H562" i="37"/>
  <c r="H684" i="37"/>
  <c r="H592" i="37"/>
  <c r="H656" i="37"/>
  <c r="H584" i="37"/>
  <c r="H590" i="37"/>
  <c r="H596" i="37"/>
  <c r="H602" i="37"/>
  <c r="H608" i="37"/>
  <c r="H614" i="37"/>
  <c r="H631" i="37"/>
  <c r="H633" i="37"/>
  <c r="H649" i="37"/>
  <c r="H651" i="37"/>
  <c r="H667" i="37"/>
  <c r="H671" i="37"/>
  <c r="H626" i="37"/>
  <c r="H635" i="37"/>
  <c r="H644" i="37"/>
  <c r="H653" i="37"/>
  <c r="H662" i="37"/>
  <c r="H674" i="37"/>
  <c r="H692" i="37"/>
  <c r="H704" i="37"/>
  <c r="H722" i="37"/>
  <c r="H740" i="37"/>
  <c r="H619" i="37"/>
  <c r="H621" i="37"/>
  <c r="H637" i="37"/>
  <c r="H639" i="37"/>
  <c r="H655" i="37"/>
  <c r="H657" i="37"/>
  <c r="H668" i="37"/>
  <c r="H675" i="37"/>
  <c r="H693" i="37"/>
  <c r="H698" i="37"/>
  <c r="H623" i="37"/>
  <c r="H632" i="37"/>
  <c r="H641" i="37"/>
  <c r="H650" i="37"/>
  <c r="H659" i="37"/>
  <c r="H680" i="37"/>
  <c r="H716" i="37"/>
  <c r="H734" i="37"/>
  <c r="H699" i="37"/>
  <c r="H625" i="37"/>
  <c r="H627" i="37"/>
  <c r="H643" i="37"/>
  <c r="H645" i="37"/>
  <c r="H661" i="37"/>
  <c r="H663" i="37"/>
  <c r="H677" i="37"/>
  <c r="H683" i="37"/>
  <c r="H689" i="37"/>
  <c r="H695" i="37"/>
  <c r="H701" i="37"/>
  <c r="H707" i="37"/>
  <c r="H713" i="37"/>
  <c r="H719" i="37"/>
  <c r="H725" i="37"/>
  <c r="H731" i="37"/>
  <c r="H737" i="37"/>
  <c r="H743" i="37"/>
  <c r="AH8" i="32" a="1"/>
  <c r="AH8" i="32" s="1"/>
  <c r="AF8" i="32" a="1"/>
  <c r="AF8" i="32" s="1"/>
  <c r="AJ8" i="29" a="1"/>
  <c r="AJ8" i="29" s="1"/>
  <c r="AL8" i="26" a="1"/>
  <c r="AL8" i="26" s="1"/>
  <c r="AF8" i="28" a="1"/>
  <c r="AF8" i="28" s="1"/>
  <c r="AF8" i="13" a="1"/>
  <c r="AF8" i="13" s="1"/>
  <c r="AH8" i="31" a="1"/>
  <c r="AH8" i="31" s="1"/>
  <c r="AH8" i="19" a="1"/>
  <c r="AH8" i="19" s="1"/>
  <c r="AL8" i="28" a="1"/>
  <c r="AL8" i="28" s="1"/>
  <c r="AL8" i="22" a="1"/>
  <c r="AL8" i="22" s="1"/>
  <c r="AF8" i="33" a="1"/>
  <c r="AF8" i="33" s="1"/>
  <c r="AF8" i="30" a="1"/>
  <c r="AF8" i="30" s="1"/>
  <c r="AF8" i="27" a="1"/>
  <c r="AF8" i="27" s="1"/>
  <c r="AF8" i="24" a="1"/>
  <c r="AF8" i="24" s="1"/>
  <c r="AF8" i="21" a="1"/>
  <c r="AF8" i="21" s="1"/>
  <c r="AG8" i="18" a="1"/>
  <c r="AG8" i="18" s="1"/>
  <c r="AF8" i="15" a="1"/>
  <c r="AF8" i="15" s="1"/>
  <c r="AF8" i="12" a="1"/>
  <c r="AF8" i="12" s="1"/>
  <c r="AF8" i="9" a="1"/>
  <c r="AF8" i="9" s="1"/>
  <c r="AI8" i="6" a="1"/>
  <c r="AI8" i="6" s="1"/>
  <c r="AM8" i="6" a="1"/>
  <c r="AM8" i="6" s="1"/>
  <c r="AF8" i="5" a="1"/>
  <c r="AF8" i="5" s="1"/>
  <c r="AF8" i="22" a="1"/>
  <c r="AF8" i="22" s="1"/>
  <c r="AH8" i="5" a="1"/>
  <c r="AH8" i="5" s="1"/>
  <c r="AH8" i="25" a="1"/>
  <c r="AH8" i="25" s="1"/>
  <c r="AL8" i="31" a="1"/>
  <c r="AL8" i="31" s="1"/>
  <c r="AH8" i="4" a="1"/>
  <c r="AH8" i="4" s="1"/>
  <c r="AH8" i="33" a="1"/>
  <c r="AH8" i="33" s="1"/>
  <c r="AH8" i="30" a="1"/>
  <c r="AH8" i="30" s="1"/>
  <c r="AH8" i="27" a="1"/>
  <c r="AH8" i="27" s="1"/>
  <c r="AH8" i="24" a="1"/>
  <c r="AH8" i="24" s="1"/>
  <c r="AH8" i="21" a="1"/>
  <c r="AH8" i="21" s="1"/>
  <c r="AI8" i="18" a="1"/>
  <c r="AI8" i="18" s="1"/>
  <c r="AH8" i="15" a="1"/>
  <c r="AH8" i="15" s="1"/>
  <c r="AH8" i="12" a="1"/>
  <c r="AH8" i="12" s="1"/>
  <c r="AH8" i="9" a="1"/>
  <c r="AH8" i="9" s="1"/>
  <c r="AL8" i="30" a="1"/>
  <c r="AL8" i="30" s="1"/>
  <c r="AJ8" i="32" a="1"/>
  <c r="AJ8" i="32" s="1"/>
  <c r="AL8" i="29" a="1"/>
  <c r="AL8" i="29" s="1"/>
  <c r="AF8" i="25" a="1"/>
  <c r="AF8" i="25" s="1"/>
  <c r="AF8" i="10" a="1"/>
  <c r="AF8" i="10" s="1"/>
  <c r="AH8" i="28" a="1"/>
  <c r="AH8" i="28" s="1"/>
  <c r="AL8" i="34" a="1"/>
  <c r="AL8" i="34" s="1"/>
  <c r="AL8" i="25" a="1"/>
  <c r="AL8" i="25" s="1"/>
  <c r="AJ8" i="4" a="1"/>
  <c r="AJ8" i="4" s="1"/>
  <c r="AJ8" i="33" a="1"/>
  <c r="AJ8" i="33" s="1"/>
  <c r="AJ8" i="30" a="1"/>
  <c r="AJ8" i="30" s="1"/>
  <c r="AJ8" i="27" a="1"/>
  <c r="AJ8" i="27" s="1"/>
  <c r="AJ8" i="24" a="1"/>
  <c r="AJ8" i="24" s="1"/>
  <c r="AJ8" i="21" a="1"/>
  <c r="AJ8" i="21" s="1"/>
  <c r="AK8" i="18" a="1"/>
  <c r="AK8" i="18" s="1"/>
  <c r="AJ8" i="15" a="1"/>
  <c r="AJ8" i="15" s="1"/>
  <c r="AJ8" i="12" a="1"/>
  <c r="AJ8" i="12" s="1"/>
  <c r="AJ8" i="9" a="1"/>
  <c r="AJ8" i="9" s="1"/>
  <c r="AL8" i="27" a="1"/>
  <c r="AL8" i="27" s="1"/>
  <c r="AL8" i="24" a="1"/>
  <c r="AL8" i="24" s="1"/>
  <c r="AL8" i="21" a="1"/>
  <c r="AL8" i="21" s="1"/>
  <c r="AM8" i="18" a="1"/>
  <c r="AM8" i="18" s="1"/>
  <c r="AL8" i="15" a="1"/>
  <c r="AL8" i="15" s="1"/>
  <c r="AL8" i="12" a="1"/>
  <c r="AL8" i="12" s="1"/>
  <c r="AL8" i="9" a="1"/>
  <c r="AL8" i="9" s="1"/>
  <c r="AF8" i="29" a="1"/>
  <c r="AF8" i="29" s="1"/>
  <c r="AF8" i="26" a="1"/>
  <c r="AF8" i="26" s="1"/>
  <c r="AF8" i="23" a="1"/>
  <c r="AF8" i="23" s="1"/>
  <c r="AF8" i="20" a="1"/>
  <c r="AF8" i="20" s="1"/>
  <c r="AF8" i="17" a="1"/>
  <c r="AF8" i="17" s="1"/>
  <c r="AF8" i="14" a="1"/>
  <c r="AF8" i="14" s="1"/>
  <c r="AF8" i="11" a="1"/>
  <c r="AF8" i="11" s="1"/>
  <c r="AF8" i="8" a="1"/>
  <c r="AF8" i="8" s="1"/>
  <c r="AH8" i="29" a="1"/>
  <c r="AH8" i="29" s="1"/>
  <c r="AH8" i="26" a="1"/>
  <c r="AH8" i="26" s="1"/>
  <c r="AH8" i="23" a="1"/>
  <c r="AH8" i="23" s="1"/>
  <c r="AH8" i="20" a="1"/>
  <c r="AH8" i="20" s="1"/>
  <c r="AH8" i="17" a="1"/>
  <c r="AH8" i="17" s="1"/>
  <c r="AH8" i="14" a="1"/>
  <c r="AH8" i="14" s="1"/>
  <c r="AH8" i="11" a="1"/>
  <c r="AH8" i="11" s="1"/>
  <c r="AH8" i="8" a="1"/>
  <c r="AH8" i="8" s="1"/>
  <c r="AL8" i="33" a="1"/>
  <c r="AL8" i="33" s="1"/>
  <c r="AJ8" i="26" a="1"/>
  <c r="AJ8" i="26" s="1"/>
  <c r="AJ8" i="23" a="1"/>
  <c r="AJ8" i="23" s="1"/>
  <c r="AJ8" i="20" a="1"/>
  <c r="AJ8" i="20" s="1"/>
  <c r="AJ8" i="17" a="1"/>
  <c r="AJ8" i="17" s="1"/>
  <c r="AJ8" i="14" a="1"/>
  <c r="AJ8" i="14" s="1"/>
  <c r="AJ8" i="11" a="1"/>
  <c r="AJ8" i="11" s="1"/>
  <c r="AJ8" i="8" a="1"/>
  <c r="AJ8" i="8" s="1"/>
  <c r="AL8" i="4" a="1"/>
  <c r="AL8" i="4" s="1"/>
  <c r="AL8" i="23" a="1"/>
  <c r="AL8" i="23" s="1"/>
  <c r="AL8" i="20" a="1"/>
  <c r="AL8" i="20" s="1"/>
  <c r="AL8" i="17" a="1"/>
  <c r="AL8" i="17" s="1"/>
  <c r="AL8" i="14" a="1"/>
  <c r="AL8" i="14" s="1"/>
  <c r="AL8" i="11" a="1"/>
  <c r="AL8" i="11" s="1"/>
  <c r="AL8" i="8" a="1"/>
  <c r="AL8" i="8" s="1"/>
  <c r="AF8" i="7" a="1"/>
  <c r="AF8" i="7" s="1"/>
  <c r="AG8" i="6" a="1"/>
  <c r="AG8" i="6" s="1"/>
  <c r="AG8" i="16" a="1"/>
  <c r="AG8" i="16" s="1"/>
  <c r="AH8" i="13" a="1"/>
  <c r="AH8" i="13" s="1"/>
  <c r="AH8" i="10" a="1"/>
  <c r="AH8" i="10" s="1"/>
  <c r="AH8" i="7" a="1"/>
  <c r="AH8" i="7" s="1"/>
  <c r="AK8" i="6" a="1"/>
  <c r="AK8" i="6" s="1"/>
  <c r="AL8" i="32" a="1"/>
  <c r="AL8" i="32" s="1"/>
  <c r="AF8" i="34" a="1"/>
  <c r="AF8" i="34" s="1"/>
  <c r="AF8" i="19" a="1"/>
  <c r="AF8" i="19" s="1"/>
  <c r="AH8" i="34" a="1"/>
  <c r="AH8" i="34" s="1"/>
  <c r="AH8" i="22" a="1"/>
  <c r="AH8" i="22" s="1"/>
  <c r="AI8" i="16" a="1"/>
  <c r="AI8" i="16" s="1"/>
  <c r="AJ8" i="5" a="1"/>
  <c r="AJ8" i="5" s="1"/>
  <c r="AJ8" i="34" a="1"/>
  <c r="AJ8" i="34" s="1"/>
  <c r="AJ8" i="31" a="1"/>
  <c r="AJ8" i="31" s="1"/>
  <c r="AJ8" i="28" a="1"/>
  <c r="AJ8" i="28" s="1"/>
  <c r="AJ8" i="25" a="1"/>
  <c r="AJ8" i="25" s="1"/>
  <c r="AJ8" i="22" a="1"/>
  <c r="AJ8" i="22" s="1"/>
  <c r="AJ8" i="19" a="1"/>
  <c r="AJ8" i="19" s="1"/>
  <c r="AK8" i="16" a="1"/>
  <c r="AK8" i="16" s="1"/>
  <c r="AJ8" i="13" a="1"/>
  <c r="AJ8" i="13" s="1"/>
  <c r="AJ8" i="10" a="1"/>
  <c r="AJ8" i="10" s="1"/>
  <c r="AJ8" i="7" a="1"/>
  <c r="AJ8" i="7" s="1"/>
  <c r="AL8" i="5" a="1"/>
  <c r="AL8" i="5" s="1"/>
  <c r="AL8" i="19" a="1"/>
  <c r="AL8" i="19" s="1"/>
  <c r="AM8" i="16" a="1"/>
  <c r="AM8" i="16" s="1"/>
  <c r="AL8" i="13" a="1"/>
  <c r="AL8" i="13" s="1"/>
  <c r="AL8" i="10" a="1"/>
  <c r="AL8" i="10" s="1"/>
  <c r="AL8" i="7" a="1"/>
  <c r="AL8" i="7" s="1"/>
  <c r="AX1" i="35" a="1"/>
  <c r="AX1" i="35" s="1"/>
  <c r="K1" i="35"/>
  <c r="C1" i="35" a="1"/>
  <c r="C1" i="35" s="1"/>
  <c r="C3" i="37" a="1"/>
  <c r="C304" i="37" a="1"/>
  <c r="C393" i="37" a="1"/>
  <c r="C462" i="37" a="1"/>
  <c r="C75" i="37" a="1"/>
  <c r="C456" i="37" a="1"/>
  <c r="C174" i="37" a="1"/>
  <c r="C710" i="37" a="1"/>
  <c r="C289" i="37" a="1"/>
  <c r="C55" i="37" a="1"/>
  <c r="C285" i="37" a="1"/>
  <c r="C628" i="37" a="1"/>
  <c r="C653" i="37" a="1"/>
  <c r="C12" i="37" a="1"/>
  <c r="C372" i="37" a="1"/>
  <c r="C408" i="37" a="1"/>
  <c r="C590" i="37" a="1"/>
  <c r="C694" i="37" a="1"/>
  <c r="C149" i="37" a="1"/>
  <c r="C27" i="37" a="1"/>
  <c r="C392" i="37" a="1"/>
  <c r="C690" i="37" a="1"/>
  <c r="C67" i="37" a="1"/>
  <c r="C357" i="37" a="1"/>
  <c r="C659" i="37" a="1"/>
  <c r="C606" i="37" a="1"/>
  <c r="C338" i="37" a="1"/>
  <c r="C616" i="37" a="1"/>
  <c r="C314" i="37" a="1"/>
  <c r="C533" i="37" a="1"/>
  <c r="C145" i="37" a="1"/>
  <c r="C187" i="37" a="1"/>
  <c r="C250" i="37" a="1"/>
  <c r="C705" i="37" a="1"/>
  <c r="C116" i="37" a="1"/>
  <c r="C516" i="37" a="1"/>
  <c r="C350" i="37" a="1"/>
  <c r="C665" i="37" a="1"/>
  <c r="C621" i="37" a="1"/>
  <c r="C722" i="37" a="1"/>
  <c r="C2" i="37" a="1"/>
  <c r="C92" i="37" a="1"/>
  <c r="C504" i="37" a="1"/>
  <c r="C624" i="37" a="1"/>
  <c r="C574" i="37" a="1"/>
  <c r="C354" i="37" a="1"/>
  <c r="C406" i="37" a="1"/>
  <c r="C382" i="37" a="1"/>
  <c r="C102" i="37" a="1"/>
  <c r="C686" i="37" a="1"/>
  <c r="C535" i="37" a="1"/>
  <c r="C582" i="37" a="1"/>
  <c r="C65" i="37" a="1"/>
  <c r="C355" i="37" a="1"/>
  <c r="C243" i="37" a="1"/>
  <c r="C269" i="37" a="1"/>
  <c r="C454" i="37" a="1"/>
  <c r="C640" i="37" a="1"/>
  <c r="C448" i="37" a="1"/>
  <c r="C271" i="37" a="1"/>
  <c r="C696" i="37" a="1"/>
  <c r="C69" i="37" a="1"/>
  <c r="C568" i="37" a="1"/>
  <c r="C59" i="37" a="1"/>
  <c r="C54" i="37" a="1"/>
  <c r="C89" i="37" a="1"/>
  <c r="C317" i="37" a="1"/>
  <c r="C618" i="37" a="1"/>
  <c r="C298" i="37" a="1"/>
  <c r="C39" i="37" a="1"/>
  <c r="C684" i="37" a="1"/>
  <c r="C348" i="37" a="1"/>
  <c r="C122" i="37" a="1"/>
  <c r="C17" i="37" a="1"/>
  <c r="C738" i="37" a="1"/>
  <c r="C707" i="37" a="1"/>
  <c r="C637" i="37" a="1"/>
  <c r="C329" i="37" a="1"/>
  <c r="C262" i="37" a="1"/>
  <c r="C377" i="37" a="1"/>
  <c r="C322" i="37" a="1"/>
  <c r="C139" i="37" a="1"/>
  <c r="C117" i="37" a="1"/>
  <c r="C708" i="37" a="1"/>
  <c r="C681" i="37" a="1"/>
  <c r="C441" i="37" a="1"/>
  <c r="C630" i="37" a="1"/>
  <c r="C181" i="37" a="1"/>
  <c r="C597" i="37" a="1"/>
  <c r="C483" i="37" a="1"/>
  <c r="C42" i="37" a="1"/>
  <c r="C25" i="37" a="1"/>
  <c r="C291" i="37" a="1"/>
  <c r="C739" i="37" a="1"/>
  <c r="C434" i="37" a="1"/>
  <c r="C143" i="37" a="1"/>
  <c r="C121" i="37" a="1"/>
  <c r="C666" i="37" a="1"/>
  <c r="C196" i="37" a="1"/>
  <c r="C545" i="37" a="1"/>
  <c r="C258" i="37" a="1"/>
  <c r="C607" i="37" a="1"/>
  <c r="C604" i="37" a="1"/>
  <c r="C424" i="37" a="1"/>
  <c r="C321" i="37" a="1"/>
  <c r="C316" i="37" a="1"/>
  <c r="C331" i="37" a="1"/>
  <c r="C437" i="37" a="1"/>
  <c r="C14" i="37" a="1"/>
  <c r="C218" i="37" a="1"/>
  <c r="C580" i="37" a="1"/>
  <c r="C98" i="37" a="1"/>
  <c r="C704" i="37" a="1"/>
  <c r="C652" i="37" a="1"/>
  <c r="C200" i="37" a="1"/>
  <c r="C622" i="37" a="1"/>
  <c r="C685" i="37" a="1"/>
  <c r="C555" i="37" a="1"/>
  <c r="C169" i="37" a="1"/>
  <c r="C405" i="37" a="1"/>
  <c r="C153" i="37" a="1"/>
  <c r="C267" i="37" a="1"/>
  <c r="C126" i="37" a="1"/>
  <c r="C494" i="37" a="1"/>
  <c r="C742" i="37" a="1"/>
  <c r="C536" i="37" a="1"/>
  <c r="C193" i="37" a="1"/>
  <c r="C629" i="37" a="1"/>
  <c r="C541" i="37" a="1"/>
  <c r="C572" i="37" a="1"/>
  <c r="C426" i="37" a="1"/>
  <c r="C170" i="37" a="1"/>
  <c r="C20" i="37" a="1"/>
  <c r="C534" i="37" a="1"/>
  <c r="C662" i="37" a="1"/>
  <c r="C505" i="37" a="1"/>
  <c r="C340" i="37" a="1"/>
  <c r="C744" i="37" a="1"/>
  <c r="C678" i="37" a="1"/>
  <c r="C276" i="37" a="1"/>
  <c r="C225" i="37" a="1"/>
  <c r="C201" i="37" a="1"/>
  <c r="C290" i="37" a="1"/>
  <c r="C387" i="37" a="1"/>
  <c r="C401" i="37" a="1"/>
  <c r="C207" i="37" a="1"/>
  <c r="C86" i="37" a="1"/>
  <c r="C472" i="37" a="1"/>
  <c r="C214" i="37" a="1"/>
  <c r="C4" i="37" a="1"/>
  <c r="C313" i="37" a="1"/>
  <c r="C364" i="37" a="1"/>
  <c r="C476" i="37" a="1"/>
  <c r="C543" i="37" a="1"/>
  <c r="C48" i="37" a="1"/>
  <c r="C443" i="37" a="1"/>
  <c r="C592" i="37" a="1"/>
  <c r="C128" i="37" a="1"/>
  <c r="C183" i="37" a="1"/>
  <c r="C252" i="37" a="1"/>
  <c r="C226" i="37" a="1"/>
  <c r="C31" i="37" a="1"/>
  <c r="C658" i="37" a="1"/>
  <c r="C723" i="37" a="1"/>
  <c r="C277" i="37" a="1"/>
  <c r="C192" i="37" a="1"/>
  <c r="C16" i="37" a="1"/>
  <c r="C439" i="37" a="1"/>
  <c r="C328" i="37" a="1"/>
  <c r="C184" i="37" a="1"/>
  <c r="C50" i="37" a="1"/>
  <c r="C141" i="37" a="1"/>
  <c r="C114" i="37" a="1"/>
  <c r="C137" i="37" a="1"/>
  <c r="C720" i="37" a="1"/>
  <c r="C553" i="37" a="1"/>
  <c r="C366" i="37" a="1"/>
  <c r="C561" i="37" a="1"/>
  <c r="C730" i="37" a="1"/>
  <c r="C175" i="37" a="1"/>
  <c r="C471" i="37" a="1"/>
  <c r="C549" i="37" a="1"/>
  <c r="C539" i="37" a="1"/>
  <c r="C365" i="37" a="1"/>
  <c r="C578" i="37" a="1"/>
  <c r="C645" i="37" a="1"/>
  <c r="C288" i="37" a="1"/>
  <c r="C235" i="37" a="1"/>
  <c r="C692" i="37" a="1"/>
  <c r="C70" i="37" a="1"/>
  <c r="C490" i="37" a="1"/>
  <c r="C515" i="37" a="1"/>
  <c r="C601" i="37" a="1"/>
  <c r="C261" i="37" a="1"/>
  <c r="C179" i="37" a="1"/>
  <c r="C498" i="37" a="1"/>
  <c r="C213" i="37" a="1"/>
  <c r="C22" i="37" a="1"/>
  <c r="C397" i="37" a="1"/>
  <c r="C146" i="37" a="1"/>
  <c r="C452" i="37" a="1"/>
  <c r="C127" i="37" a="1"/>
  <c r="C79" i="37" a="1"/>
  <c r="C396" i="37" a="1"/>
  <c r="C319" i="37" a="1"/>
  <c r="C97" i="37" a="1"/>
  <c r="C254" i="37" a="1"/>
  <c r="C163" i="37" a="1"/>
  <c r="C90" i="37" a="1"/>
  <c r="C669" i="37" a="1"/>
  <c r="C68" i="37" a="1"/>
  <c r="C83" i="37" a="1"/>
  <c r="C466" i="37" a="1"/>
  <c r="C129" i="37" a="1"/>
  <c r="C159" i="37" a="1"/>
  <c r="C577" i="37" a="1"/>
  <c r="C215" i="37" a="1"/>
  <c r="C513" i="37" a="1"/>
  <c r="C310" i="37" a="1"/>
  <c r="C564" i="37" a="1"/>
  <c r="C8" i="37" a="1"/>
  <c r="C499" i="37" a="1"/>
  <c r="C112" i="37" a="1"/>
  <c r="C674" i="37" a="1"/>
  <c r="C78" i="37" a="1"/>
  <c r="C465" i="37" a="1"/>
  <c r="C650" i="37" a="1"/>
  <c r="C419" i="37" a="1"/>
  <c r="C363" i="37" a="1"/>
  <c r="C537" i="37" a="1"/>
  <c r="C584" i="37" a="1"/>
  <c r="C599" i="37" a="1"/>
  <c r="C38" i="37" a="1"/>
  <c r="C255" i="37" a="1"/>
  <c r="C740" i="37" a="1"/>
  <c r="C21" i="37" a="1"/>
  <c r="C341" i="37" a="1"/>
  <c r="C84" i="37" a="1"/>
  <c r="C489" i="37" a="1"/>
  <c r="C579" i="37" a="1"/>
  <c r="C713" i="37" a="1"/>
  <c r="C563" i="37" a="1"/>
  <c r="C293" i="37" a="1"/>
  <c r="C380" i="37" a="1"/>
  <c r="C571" i="37" a="1"/>
  <c r="C642" i="37" a="1"/>
  <c r="C106" i="37" a="1"/>
  <c r="C646" i="37" a="1"/>
  <c r="C557" i="37" a="1"/>
  <c r="C60" i="37" a="1"/>
  <c r="C457" i="37" a="1"/>
  <c r="C481" i="37" a="1"/>
  <c r="C404" i="37" a="1"/>
  <c r="C80" i="37" a="1"/>
  <c r="C736" i="37" a="1"/>
  <c r="C197" i="37" a="1"/>
  <c r="C495" i="37" a="1"/>
  <c r="C379" i="37" a="1"/>
  <c r="C530" i="37" a="1"/>
  <c r="C284" i="37" a="1"/>
  <c r="C266" i="37" a="1"/>
  <c r="C323" i="37" a="1"/>
  <c r="C721" i="37" a="1"/>
  <c r="C33" i="37" a="1"/>
  <c r="C488" i="37" a="1"/>
  <c r="C224" i="37" a="1"/>
  <c r="C9" i="37" a="1"/>
  <c r="C330" i="37" a="1"/>
  <c r="C13" i="37" a="1"/>
  <c r="C352" i="37" a="1"/>
  <c r="C719" i="37" a="1"/>
  <c r="C676" i="37" a="1"/>
  <c r="C71" i="37" a="1"/>
  <c r="C166" i="37" a="1"/>
  <c r="C333" i="37" a="1"/>
  <c r="C570" i="37" a="1"/>
  <c r="C155" i="37" a="1"/>
  <c r="C432" i="37" a="1"/>
  <c r="C272" i="37" a="1"/>
  <c r="C517" i="37" a="1"/>
  <c r="C468" i="37" a="1"/>
  <c r="C729" i="37" a="1"/>
  <c r="C326" i="37" a="1"/>
  <c r="C251" i="37" a="1"/>
  <c r="C62" i="37" a="1"/>
  <c r="C402" i="37" a="1"/>
  <c r="C550" i="37" a="1"/>
  <c r="C202" i="37" a="1"/>
  <c r="C318" i="37" a="1"/>
  <c r="C743" i="37" a="1"/>
  <c r="C688" i="37" a="1"/>
  <c r="C512" i="37" a="1"/>
  <c r="C120" i="37" a="1"/>
  <c r="C115" i="37" a="1"/>
  <c r="C383" i="37" a="1"/>
  <c r="C647" i="37" a="1"/>
  <c r="C586" i="37" a="1"/>
  <c r="C635" i="37" a="1"/>
  <c r="C492" i="37" a="1"/>
  <c r="C725" i="37" a="1"/>
  <c r="C103" i="37" a="1"/>
  <c r="C162" i="37" a="1"/>
  <c r="C623" i="37" a="1"/>
  <c r="C180" i="37" a="1"/>
  <c r="C206" i="37" a="1"/>
  <c r="C566" i="37" a="1"/>
  <c r="C715" i="37" a="1"/>
  <c r="C667" i="37" a="1"/>
  <c r="C176" i="37" a="1"/>
  <c r="C460" i="37" a="1"/>
  <c r="C339" i="37" a="1"/>
  <c r="C358" i="37" a="1"/>
  <c r="C475" i="37" a="1"/>
  <c r="C77" i="37" a="1"/>
  <c r="C210" i="37" a="1"/>
  <c r="C670" i="37" a="1"/>
  <c r="C430" i="37" a="1"/>
  <c r="C36" i="37" a="1"/>
  <c r="C160" i="37" a="1"/>
  <c r="C249" i="37" a="1"/>
  <c r="C74" i="37" a="1"/>
  <c r="C702" i="37" a="1"/>
  <c r="C631" i="37" a="1"/>
  <c r="C449" i="37" a="1"/>
  <c r="C656" i="37" a="1"/>
  <c r="C205" i="37" a="1"/>
  <c r="C741" i="37" a="1"/>
  <c r="C649" i="37" a="1"/>
  <c r="C699" i="37" a="1"/>
  <c r="C53" i="37" a="1"/>
  <c r="C576" i="37" a="1"/>
  <c r="C270" i="37" a="1"/>
  <c r="C415" i="37" a="1"/>
  <c r="C63" i="37" a="1"/>
  <c r="C391" i="37" a="1"/>
  <c r="C335" i="37" a="1"/>
  <c r="C312" i="37" a="1"/>
  <c r="C300" i="37" a="1"/>
  <c r="C596" i="37" a="1"/>
  <c r="C638" i="37" a="1"/>
  <c r="C230" i="37" a="1"/>
  <c r="C104" i="37" a="1"/>
  <c r="C6" i="37" a="1"/>
  <c r="C217" i="37" a="1"/>
  <c r="C307" i="37" a="1"/>
  <c r="C295" i="37" a="1"/>
  <c r="C43" i="37" a="1"/>
  <c r="C320" i="37" a="1"/>
  <c r="C245" i="37" a="1"/>
  <c r="C282" i="37" a="1"/>
  <c r="C238" i="37" a="1"/>
  <c r="C671" i="37" a="1"/>
  <c r="C294" i="37" a="1"/>
  <c r="C221" i="37" a="1"/>
  <c r="C532" i="37" a="1"/>
  <c r="C130" i="37" a="1"/>
  <c r="C342" i="37" a="1"/>
  <c r="C487" i="37" a="1"/>
  <c r="C691" i="37" a="1"/>
  <c r="C138" i="37" a="1"/>
  <c r="C345" i="37" a="1"/>
  <c r="C491" i="37" a="1"/>
  <c r="C66" i="37" a="1"/>
  <c r="C15" i="37" a="1"/>
  <c r="C558" i="37" a="1"/>
  <c r="C500" i="37" a="1"/>
  <c r="C164" i="37" a="1"/>
  <c r="C232" i="37" a="1"/>
  <c r="C506" i="37" a="1"/>
  <c r="C518" i="37" a="1"/>
  <c r="C268" i="37" a="1"/>
  <c r="C172" i="37" a="1"/>
  <c r="C394" i="37" a="1"/>
  <c r="C507" i="37" a="1"/>
  <c r="C375" i="37" a="1"/>
  <c r="C525" i="37" a="1"/>
  <c r="C464" i="37" a="1"/>
  <c r="C593" i="37" a="1"/>
  <c r="C732" i="37" a="1"/>
  <c r="C257" i="37" a="1"/>
  <c r="C478" i="37" a="1"/>
  <c r="C508" i="37" a="1"/>
  <c r="C403" i="37" a="1"/>
  <c r="C420" i="37" a="1"/>
  <c r="C107" i="37" a="1"/>
  <c r="C124" i="37" a="1"/>
  <c r="C627" i="37" a="1"/>
  <c r="C259" i="37" a="1"/>
  <c r="C37" i="37" a="1"/>
  <c r="C724" i="37" a="1"/>
  <c r="C144" i="37" a="1"/>
  <c r="C733" i="37" a="1"/>
  <c r="C706" i="37" a="1"/>
  <c r="C661" i="37" a="1"/>
  <c r="C384" i="37" a="1"/>
  <c r="C486" i="37" a="1"/>
  <c r="C105" i="37" a="1"/>
  <c r="C308" i="37" a="1"/>
  <c r="C697" i="37" a="1"/>
  <c r="C538" i="37" a="1"/>
  <c r="C147" i="37" a="1"/>
  <c r="C615" i="37" a="1"/>
  <c r="C620" i="37" a="1"/>
  <c r="C19" i="37" a="1"/>
  <c r="C212" i="37" a="1"/>
  <c r="C119" i="37" a="1"/>
  <c r="C641" i="37" a="1"/>
  <c r="C370" i="37" a="1"/>
  <c r="C731" i="37" a="1"/>
  <c r="C474" i="37" a="1"/>
  <c r="C633" i="37" a="1"/>
  <c r="C301" i="37" a="1"/>
  <c r="C297" i="37" a="1"/>
  <c r="C663" i="37" a="1"/>
  <c r="C46" i="37" a="1"/>
  <c r="C458" i="37" a="1"/>
  <c r="C689" i="37" a="1"/>
  <c r="C585" i="37" a="1"/>
  <c r="C484" i="37" a="1"/>
  <c r="C311" i="37" a="1"/>
  <c r="C275" i="37" a="1"/>
  <c r="C91" i="37" a="1"/>
  <c r="C150" i="37" a="1"/>
  <c r="C600" i="37" a="1"/>
  <c r="C256" i="37" a="1"/>
  <c r="C714" i="37" a="1"/>
  <c r="C231" i="37" a="1"/>
  <c r="C362" i="37" a="1"/>
  <c r="C374" i="37" a="1"/>
  <c r="C208" i="37" a="1"/>
  <c r="C177" i="37" a="1"/>
  <c r="C737" i="37" a="1"/>
  <c r="C602" i="37" a="1"/>
  <c r="C10" i="37" a="1"/>
  <c r="C418" i="37" a="1"/>
  <c r="C151" i="37" a="1"/>
  <c r="C605" i="37" a="1"/>
  <c r="C51" i="37" a="1"/>
  <c r="C417" i="37" a="1"/>
  <c r="C473" i="37" a="1"/>
  <c r="C427" i="37" a="1"/>
  <c r="C40" i="37" a="1"/>
  <c r="C222" i="37" a="1"/>
  <c r="C588" i="37" a="1"/>
  <c r="C519" i="37" a="1"/>
  <c r="C367" i="37" a="1"/>
  <c r="C229" i="37" a="1"/>
  <c r="C148" i="37" a="1"/>
  <c r="C431" i="37" a="1"/>
  <c r="C248" i="37" a="1"/>
  <c r="C64" i="37" a="1"/>
  <c r="C73" i="37" a="1"/>
  <c r="C209" i="37" a="1"/>
  <c r="C227" i="37" a="1"/>
  <c r="C58" i="37" a="1"/>
  <c r="C496" i="37" a="1"/>
  <c r="C368" i="37" a="1"/>
  <c r="C353" i="37" a="1"/>
  <c r="C521" i="37" a="1"/>
  <c r="C459" i="37" a="1"/>
  <c r="C337" i="37" a="1"/>
  <c r="C470" i="37" a="1"/>
  <c r="C134" i="37" a="1"/>
  <c r="C502" i="37" a="1"/>
  <c r="C113" i="37" a="1"/>
  <c r="C82" i="37" a="1"/>
  <c r="C609" i="37" a="1"/>
  <c r="C236" i="37" a="1"/>
  <c r="C386" i="37" a="1"/>
  <c r="C726" i="37" a="1"/>
  <c r="C542" i="37" a="1"/>
  <c r="C636" i="37" a="1"/>
  <c r="C514" i="37" a="1"/>
  <c r="C411" i="37" a="1"/>
  <c r="C189" i="37" a="1"/>
  <c r="C413" i="37" a="1"/>
  <c r="C23" i="37" a="1"/>
  <c r="C347" i="37" a="1"/>
  <c r="C156" i="37" a="1"/>
  <c r="C423" i="37" a="1"/>
  <c r="C651" i="37" a="1"/>
  <c r="C260" i="37" a="1"/>
  <c r="C132" i="37" a="1"/>
  <c r="C123" i="37" a="1"/>
  <c r="C219" i="37" a="1"/>
  <c r="C501" i="37" a="1"/>
  <c r="C381" i="37" a="1"/>
  <c r="C632" i="37" a="1"/>
  <c r="C100" i="37" a="1"/>
  <c r="C161" i="37" a="1"/>
  <c r="C556" i="37" a="1"/>
  <c r="C234" i="37" a="1"/>
  <c r="C479" i="37" a="1"/>
  <c r="C544" i="37" a="1"/>
  <c r="C634" i="37" a="1"/>
  <c r="C93" i="37" a="1"/>
  <c r="C303" i="37" a="1"/>
  <c r="C531" i="37" a="1"/>
  <c r="C173" i="37" a="1"/>
  <c r="C701" i="37" a="1"/>
  <c r="C552" i="37" a="1"/>
  <c r="C281" i="37" a="1"/>
  <c r="C315" i="37" a="1"/>
  <c r="C683" i="37" a="1"/>
  <c r="C349" i="37" a="1"/>
  <c r="C614" i="37" a="1"/>
  <c r="C438" i="37" a="1"/>
  <c r="C223" i="37" a="1"/>
  <c r="C551" i="37" a="1"/>
  <c r="C668" i="37" a="1"/>
  <c r="C390" i="37" a="1"/>
  <c r="C242" i="37" a="1"/>
  <c r="C421" i="37" a="1"/>
  <c r="C287" i="37" a="1"/>
  <c r="C451" i="37" a="1"/>
  <c r="C195" i="37" a="1"/>
  <c r="C399" i="37" a="1"/>
  <c r="C511" i="37" a="1"/>
  <c r="C47" i="37" a="1"/>
  <c r="C735" i="37" a="1"/>
  <c r="C562" i="37" a="1"/>
  <c r="C302" i="37" a="1"/>
  <c r="C509" i="37" a="1"/>
  <c r="C444" i="37" a="1"/>
  <c r="C591" i="37" a="1"/>
  <c r="C81" i="37" a="1"/>
  <c r="C385" i="37" a="1"/>
  <c r="C503" i="37" a="1"/>
  <c r="C425" i="37" a="1"/>
  <c r="C265" i="37" a="1"/>
  <c r="C712" i="37" a="1"/>
  <c r="C324" i="37" a="1"/>
  <c r="C344" i="37" a="1"/>
  <c r="C191" i="37" a="1"/>
  <c r="C567" i="37" a="1"/>
  <c r="C283" i="37" a="1"/>
  <c r="C111" i="37" a="1"/>
  <c r="C233" i="37" a="1"/>
  <c r="C263" i="37" a="1"/>
  <c r="C453" i="37" a="1"/>
  <c r="C24" i="37" a="1"/>
  <c r="C188" i="37" a="1"/>
  <c r="C450" i="37" a="1"/>
  <c r="C677" i="37" a="1"/>
  <c r="C617" i="37" a="1"/>
  <c r="C648" i="37" a="1"/>
  <c r="C45" i="37" a="1"/>
  <c r="C510" i="37" a="1"/>
  <c r="C389" i="37" a="1"/>
  <c r="C247" i="37" a="1"/>
  <c r="C99" i="37" a="1"/>
  <c r="C158" i="37" a="1"/>
  <c r="C131" i="37" a="1"/>
  <c r="C26" i="37" a="1"/>
  <c r="C644" i="37" a="1"/>
  <c r="C96" i="37" a="1"/>
  <c r="C410" i="37" a="1"/>
  <c r="C565" i="37" a="1"/>
  <c r="C306" i="37" a="1"/>
  <c r="C461" i="37" a="1"/>
  <c r="C292" i="37" a="1"/>
  <c r="C57" i="37" a="1"/>
  <c r="C168" i="37" a="1"/>
  <c r="C595" i="37" a="1"/>
  <c r="C569" i="37" a="1"/>
  <c r="C575" i="37" a="1"/>
  <c r="C378" i="37" a="1"/>
  <c r="C493" i="37" a="1"/>
  <c r="C546" i="37" a="1"/>
  <c r="C467" i="37" a="1"/>
  <c r="C253" i="37" a="1"/>
  <c r="C435" i="37" a="1"/>
  <c r="C626" i="37" a="1"/>
  <c r="C152" i="37" a="1"/>
  <c r="C61" i="37" a="1"/>
  <c r="C679" i="37" a="1"/>
  <c r="C30" i="37" a="1"/>
  <c r="C554" i="37" a="1"/>
  <c r="C142" i="37" a="1"/>
  <c r="C88" i="37" a="1"/>
  <c r="C734" i="37" a="1"/>
  <c r="C698" i="37" a="1"/>
  <c r="C440" i="37" a="1"/>
  <c r="C351" i="37" a="1"/>
  <c r="C700" i="37" a="1"/>
  <c r="C118" i="37" a="1"/>
  <c r="C325" i="37" a="1"/>
  <c r="C522" i="37" a="1"/>
  <c r="C497" i="37" a="1"/>
  <c r="C369" i="37" a="1"/>
  <c r="C654" i="37" a="1"/>
  <c r="C41" i="37" a="1"/>
  <c r="C376" i="37" a="1"/>
  <c r="C29" i="37" a="1"/>
  <c r="C278" i="37" a="1"/>
  <c r="C611" i="37" a="1"/>
  <c r="C5" i="37" a="1"/>
  <c r="C664" i="37" a="1"/>
  <c r="C594" i="37" a="1"/>
  <c r="C108" i="37" a="1"/>
  <c r="C560" i="37" a="1"/>
  <c r="C109" i="37" a="1"/>
  <c r="C136" i="37" a="1"/>
  <c r="C447" i="37" a="1"/>
  <c r="C442" i="37" a="1"/>
  <c r="C327" i="37" a="1"/>
  <c r="C95" i="37" a="1"/>
  <c r="C34" i="37" a="1"/>
  <c r="C286" i="37" a="1"/>
  <c r="C240" i="37" a="1"/>
  <c r="C178" i="37" a="1"/>
  <c r="C360" i="37" a="1"/>
  <c r="C203" i="37" a="1"/>
  <c r="C409" i="37" a="1"/>
  <c r="C194" i="37" a="1"/>
  <c r="C657" i="37" a="1"/>
  <c r="C198" i="37" a="1"/>
  <c r="C280" i="37" a="1"/>
  <c r="C299" i="37" a="1"/>
  <c r="C35" i="37" a="1"/>
  <c r="C199" i="37" a="1"/>
  <c r="C85" i="37" a="1"/>
  <c r="C154" i="37" a="1"/>
  <c r="C72" i="37" a="1"/>
  <c r="C216" i="37" a="1"/>
  <c r="C204" i="37" a="1"/>
  <c r="C135" i="37" a="1"/>
  <c r="C445" i="37" a="1"/>
  <c r="C296" i="37" a="1"/>
  <c r="C18" i="37" a="1"/>
  <c r="C395" i="37" a="1"/>
  <c r="C520" i="37" a="1"/>
  <c r="C241" i="37" a="1"/>
  <c r="C87" i="37" a="1"/>
  <c r="C356" i="37" a="1"/>
  <c r="C528" i="37" a="1"/>
  <c r="C52" i="37" a="1"/>
  <c r="C523" i="37" a="1"/>
  <c r="C133" i="37" a="1"/>
  <c r="C527" i="37" a="1"/>
  <c r="C190" i="37" a="1"/>
  <c r="C309" i="37" a="1"/>
  <c r="C480" i="37" a="1"/>
  <c r="C745" i="37" a="1"/>
  <c r="C398" i="37" a="1"/>
  <c r="C625" i="37" a="1"/>
  <c r="C482" i="37" a="1"/>
  <c r="C589" i="37" a="1"/>
  <c r="C56" i="37" a="1"/>
  <c r="C336" i="37" a="1"/>
  <c r="C446" i="37" a="1"/>
  <c r="C11" i="37" a="1"/>
  <c r="C463" i="37" a="1"/>
  <c r="C32" i="37" a="1"/>
  <c r="C279" i="37" a="1"/>
  <c r="C28" i="37" a="1"/>
  <c r="C361" i="37" a="1"/>
  <c r="C371" i="37" a="1"/>
  <c r="C703" i="37" a="1"/>
  <c r="C559" i="37" a="1"/>
  <c r="C693" i="37" a="1"/>
  <c r="C407" i="37" a="1"/>
  <c r="C675" i="37" a="1"/>
  <c r="C608" i="37" a="1"/>
  <c r="C485" i="37" a="1"/>
  <c r="C274" i="37" a="1"/>
  <c r="C7" i="37" a="1"/>
  <c r="C167" i="37" a="1"/>
  <c r="C709" i="37" a="1"/>
  <c r="C76" i="37" a="1"/>
  <c r="C603" i="37" a="1"/>
  <c r="C264" i="37" a="1"/>
  <c r="C540" i="37" a="1"/>
  <c r="C343" i="37" a="1"/>
  <c r="C246" i="37" a="1"/>
  <c r="C244" i="37" a="1"/>
  <c r="C469" i="37" a="1"/>
  <c r="C598" i="37" a="1"/>
  <c r="C412" i="37" a="1"/>
  <c r="C332" i="37" a="1"/>
  <c r="C436" i="37" a="1"/>
  <c r="C717" i="37" a="1"/>
  <c r="C157" i="37" a="1"/>
  <c r="C718" i="37" a="1"/>
  <c r="C220" i="37" a="1"/>
  <c r="C680" i="37" a="1"/>
  <c r="C388" i="37" a="1"/>
  <c r="C660" i="37" a="1"/>
  <c r="C186" i="37" a="1"/>
  <c r="C414" i="37" a="1"/>
  <c r="C228" i="37" a="1"/>
  <c r="C548" i="37" a="1"/>
  <c r="C237" i="37" a="1"/>
  <c r="C583" i="37" a="1"/>
  <c r="C101" i="37" a="1"/>
  <c r="C610" i="37" a="1"/>
  <c r="C334" i="37" a="1"/>
  <c r="C49" i="37" a="1"/>
  <c r="C125" i="37" a="1"/>
  <c r="C727" i="37" a="1"/>
  <c r="C373" i="37" a="1"/>
  <c r="C524" i="37" a="1"/>
  <c r="C94" i="37" a="1"/>
  <c r="C182" i="37" a="1"/>
  <c r="C687" i="37" a="1"/>
  <c r="C639" i="37" a="1"/>
  <c r="C673" i="37" a="1"/>
  <c r="C711" i="37" a="1"/>
  <c r="C433" i="37" a="1"/>
  <c r="C581" i="37" a="1"/>
  <c r="C211" i="37" a="1"/>
  <c r="C477" i="37" a="1"/>
  <c r="C346" i="37" a="1"/>
  <c r="C529" i="37" a="1"/>
  <c r="C526" i="37" a="1"/>
  <c r="C672" i="37" a="1"/>
  <c r="C416" i="37" a="1"/>
  <c r="C682" i="37" a="1"/>
  <c r="C44" i="37" a="1"/>
  <c r="C171" i="37" a="1"/>
  <c r="C716" i="37" a="1"/>
  <c r="C305" i="37" a="1"/>
  <c r="C612" i="37" a="1"/>
  <c r="C400" i="37" a="1"/>
  <c r="C573" i="37" a="1"/>
  <c r="C619" i="37" a="1"/>
  <c r="C110" i="37" a="1"/>
  <c r="C185" i="37" a="1"/>
  <c r="C239" i="37" a="1"/>
  <c r="C455" i="37" a="1"/>
  <c r="C613" i="37" a="1"/>
  <c r="C643" i="37" a="1"/>
  <c r="C422" i="37" a="1"/>
  <c r="C587" i="37" a="1"/>
  <c r="C273" i="37" a="1"/>
  <c r="C655" i="37" a="1"/>
  <c r="C165" i="37" a="1"/>
  <c r="C429" i="37" a="1"/>
  <c r="C140" i="37" a="1"/>
  <c r="C359" i="37" a="1"/>
  <c r="C695" i="37" a="1"/>
  <c r="C728" i="37" a="1"/>
  <c r="C547" i="37" a="1"/>
  <c r="C428" i="37" a="1"/>
  <c r="C515" i="37" l="1"/>
  <c r="C37" i="37"/>
  <c r="C90" i="37"/>
  <c r="C182" i="37"/>
  <c r="C167" i="37"/>
  <c r="C229" i="37"/>
  <c r="C537" i="37"/>
  <c r="C120" i="37"/>
  <c r="C101" i="37"/>
  <c r="C109" i="37"/>
  <c r="C14" i="37"/>
  <c r="C42" i="37"/>
  <c r="C156" i="37"/>
  <c r="C219" i="37"/>
  <c r="C339" i="37"/>
  <c r="C365" i="37"/>
  <c r="C472" i="37"/>
  <c r="C261" i="37"/>
  <c r="C31" i="37"/>
  <c r="C118" i="37"/>
  <c r="C446" i="37"/>
  <c r="C492" i="37"/>
  <c r="C245" i="37"/>
  <c r="C33" i="37"/>
  <c r="C103" i="37"/>
  <c r="C38" i="37"/>
  <c r="C148" i="37"/>
  <c r="C293" i="37"/>
  <c r="C179" i="37"/>
  <c r="C390" i="37"/>
  <c r="C483" i="37"/>
  <c r="C45" i="37"/>
  <c r="C144" i="37"/>
  <c r="C136" i="37"/>
  <c r="C150" i="37"/>
  <c r="C195" i="37"/>
  <c r="C269" i="37"/>
  <c r="C288" i="37"/>
  <c r="C445" i="37"/>
  <c r="C201" i="37"/>
  <c r="C514" i="37"/>
  <c r="C10" i="37"/>
  <c r="C164" i="37"/>
  <c r="C178" i="37"/>
  <c r="C226" i="37"/>
  <c r="C302" i="37"/>
  <c r="C385" i="37"/>
  <c r="C324" i="37"/>
  <c r="C217" i="37"/>
  <c r="C170" i="37"/>
  <c r="C157" i="37"/>
  <c r="C119" i="37"/>
  <c r="C248" i="37"/>
  <c r="C311" i="37"/>
  <c r="C526" i="37"/>
  <c r="C567" i="37"/>
  <c r="C202" i="37"/>
  <c r="C158" i="37"/>
  <c r="C73" i="37"/>
  <c r="C127" i="37"/>
  <c r="C71" i="37"/>
  <c r="C166" i="37"/>
  <c r="C131" i="37"/>
  <c r="C533" i="37"/>
  <c r="C223" i="37"/>
  <c r="C105" i="37"/>
  <c r="C79" i="37"/>
  <c r="C175" i="37"/>
  <c r="C190" i="37"/>
  <c r="C256" i="37"/>
  <c r="C437" i="37"/>
  <c r="C611" i="37"/>
  <c r="C360" i="37"/>
  <c r="C273" i="37"/>
  <c r="C479" i="37"/>
  <c r="C598" i="37"/>
  <c r="C576" i="37"/>
  <c r="C43" i="37"/>
  <c r="C16" i="37"/>
  <c r="C5" i="37"/>
  <c r="C100" i="37"/>
  <c r="C110" i="37"/>
  <c r="C7" i="37"/>
  <c r="C66" i="37"/>
  <c r="C198" i="37"/>
  <c r="C214" i="37"/>
  <c r="C165" i="37"/>
  <c r="C155" i="37"/>
  <c r="C192" i="37"/>
  <c r="C326" i="37"/>
  <c r="C206" i="37"/>
  <c r="C241" i="37"/>
  <c r="C203" i="37"/>
  <c r="C383" i="37"/>
  <c r="C327" i="37"/>
  <c r="C252" i="37"/>
  <c r="C334" i="37"/>
  <c r="C426" i="37"/>
  <c r="C337" i="37"/>
  <c r="C412" i="37"/>
  <c r="C292" i="37"/>
  <c r="C297" i="37"/>
  <c r="C407" i="37"/>
  <c r="C451" i="37"/>
  <c r="C570" i="37"/>
  <c r="C442" i="37"/>
  <c r="C486" i="37"/>
  <c r="C634" i="37"/>
  <c r="C462" i="37"/>
  <c r="C453" i="37"/>
  <c r="C448" i="37"/>
  <c r="C435" i="37"/>
  <c r="C652" i="37"/>
  <c r="C409" i="37"/>
  <c r="C489" i="37"/>
  <c r="C525" i="37"/>
  <c r="C535" i="37"/>
  <c r="C524" i="37"/>
  <c r="C566" i="37"/>
  <c r="C542" i="37"/>
  <c r="C735" i="37"/>
  <c r="C610" i="37"/>
  <c r="C665" i="37"/>
  <c r="C609" i="37"/>
  <c r="C602" i="37"/>
  <c r="C664" i="37"/>
  <c r="C637" i="37"/>
  <c r="C741" i="37"/>
  <c r="C600" i="37"/>
  <c r="C710" i="37"/>
  <c r="C733" i="37"/>
  <c r="C726" i="37"/>
  <c r="C719" i="37"/>
  <c r="C724" i="37"/>
  <c r="C300" i="37"/>
  <c r="C268" i="37"/>
  <c r="C422" i="37"/>
  <c r="C443" i="37"/>
  <c r="C411" i="37"/>
  <c r="C565" i="37"/>
  <c r="C12" i="37"/>
  <c r="C117" i="37"/>
  <c r="C69" i="37"/>
  <c r="C65" i="37"/>
  <c r="C22" i="37"/>
  <c r="C41" i="37"/>
  <c r="C89" i="37"/>
  <c r="C176" i="37"/>
  <c r="C46" i="37"/>
  <c r="C82" i="37"/>
  <c r="C13" i="37"/>
  <c r="C75" i="37"/>
  <c r="C104" i="37"/>
  <c r="C62" i="37"/>
  <c r="C116" i="37"/>
  <c r="C11" i="37"/>
  <c r="C72" i="37"/>
  <c r="C194" i="37"/>
  <c r="C204" i="37"/>
  <c r="C251" i="37"/>
  <c r="C216" i="37"/>
  <c r="C168" i="37"/>
  <c r="C188" i="37"/>
  <c r="C247" i="37"/>
  <c r="C329" i="37"/>
  <c r="C212" i="37"/>
  <c r="C287" i="37"/>
  <c r="C333" i="37"/>
  <c r="C209" i="37"/>
  <c r="C388" i="37"/>
  <c r="C363" i="37"/>
  <c r="C277" i="37"/>
  <c r="C313" i="37"/>
  <c r="C338" i="37"/>
  <c r="C258" i="37"/>
  <c r="C348" i="37"/>
  <c r="C434" i="37"/>
  <c r="C298" i="37"/>
  <c r="C231" i="37"/>
  <c r="C303" i="37"/>
  <c r="C376" i="37"/>
  <c r="C449" i="37"/>
  <c r="C480" i="37"/>
  <c r="C457" i="37"/>
  <c r="C441" i="37"/>
  <c r="C455" i="37"/>
  <c r="C415" i="37"/>
  <c r="C507" i="37"/>
  <c r="C645" i="37"/>
  <c r="C531" i="37"/>
  <c r="C544" i="37"/>
  <c r="C530" i="37"/>
  <c r="C643" i="37"/>
  <c r="C571" i="37"/>
  <c r="C546" i="37"/>
  <c r="C669" i="37"/>
  <c r="C615" i="37"/>
  <c r="C711" i="37"/>
  <c r="C608" i="37"/>
  <c r="C639" i="37"/>
  <c r="C630" i="37"/>
  <c r="C606" i="37"/>
  <c r="C716" i="37"/>
  <c r="C739" i="37"/>
  <c r="C732" i="37"/>
  <c r="C725" i="37"/>
  <c r="C332" i="37"/>
  <c r="C382" i="37"/>
  <c r="C569" i="37"/>
  <c r="C722" i="37"/>
  <c r="C745" i="37"/>
  <c r="C738" i="37"/>
  <c r="C731" i="37"/>
  <c r="C730" i="37"/>
  <c r="C410" i="37"/>
  <c r="C35" i="37"/>
  <c r="C81" i="37"/>
  <c r="C240" i="37"/>
  <c r="C246" i="37"/>
  <c r="C234" i="37"/>
  <c r="C215" i="37"/>
  <c r="C372" i="37"/>
  <c r="C345" i="37"/>
  <c r="C299" i="37"/>
  <c r="C304" i="37"/>
  <c r="C397" i="37"/>
  <c r="C510" i="37"/>
  <c r="C488" i="37"/>
  <c r="C475" i="37"/>
  <c r="C493" i="37"/>
  <c r="C636" i="37"/>
  <c r="C673" i="37"/>
  <c r="C614" i="37"/>
  <c r="C577" i="37"/>
  <c r="C612" i="37"/>
  <c r="C98" i="37"/>
  <c r="C8" i="37"/>
  <c r="C18" i="37"/>
  <c r="C32" i="37"/>
  <c r="C52" i="37"/>
  <c r="C21" i="37"/>
  <c r="C87" i="37"/>
  <c r="C68" i="37"/>
  <c r="C128" i="37"/>
  <c r="C19" i="37"/>
  <c r="C84" i="37"/>
  <c r="C254" i="37"/>
  <c r="C140" i="37"/>
  <c r="C347" i="37"/>
  <c r="C321" i="37"/>
  <c r="C284" i="37"/>
  <c r="C174" i="37"/>
  <c r="C253" i="37"/>
  <c r="C230" i="37"/>
  <c r="C224" i="37"/>
  <c r="C352" i="37"/>
  <c r="C281" i="37"/>
  <c r="C221" i="37"/>
  <c r="C357" i="37"/>
  <c r="C283" i="37"/>
  <c r="C331" i="37"/>
  <c r="C356" i="37"/>
  <c r="C270" i="37"/>
  <c r="C323" i="37"/>
  <c r="C238" i="37"/>
  <c r="C310" i="37"/>
  <c r="C243" i="37"/>
  <c r="C325" i="37"/>
  <c r="C438" i="37"/>
  <c r="C527" i="37"/>
  <c r="C413" i="37"/>
  <c r="C375" i="37"/>
  <c r="C406" i="37"/>
  <c r="C367" i="37"/>
  <c r="C502" i="37"/>
  <c r="C470" i="37"/>
  <c r="C495" i="37"/>
  <c r="C452" i="37"/>
  <c r="C468" i="37"/>
  <c r="C484" i="37"/>
  <c r="C427" i="37"/>
  <c r="C549" i="37"/>
  <c r="C593" i="37"/>
  <c r="C551" i="37"/>
  <c r="C499" i="37"/>
  <c r="C658" i="37"/>
  <c r="C550" i="37"/>
  <c r="C676" i="37"/>
  <c r="C631" i="37"/>
  <c r="C729" i="37"/>
  <c r="C626" i="37"/>
  <c r="C583" i="37"/>
  <c r="C655" i="37"/>
  <c r="C666" i="37"/>
  <c r="C618" i="37"/>
  <c r="C688" i="37"/>
  <c r="C728" i="37"/>
  <c r="C672" i="37"/>
  <c r="C744" i="37"/>
  <c r="C737" i="37"/>
  <c r="C402" i="37"/>
  <c r="C2" i="37"/>
  <c r="C6" i="37"/>
  <c r="C141" i="37"/>
  <c r="C78" i="37"/>
  <c r="C171" i="37"/>
  <c r="C263" i="37"/>
  <c r="C336" i="37"/>
  <c r="C395" i="37"/>
  <c r="C232" i="37"/>
  <c r="C309" i="37"/>
  <c r="C361" i="37"/>
  <c r="C425" i="37"/>
  <c r="C485" i="37"/>
  <c r="C573" i="37"/>
  <c r="C539" i="37"/>
  <c r="C616" i="37"/>
  <c r="C685" i="37"/>
  <c r="C28" i="37"/>
  <c r="C30" i="37"/>
  <c r="C95" i="37"/>
  <c r="C88" i="37"/>
  <c r="C129" i="37"/>
  <c r="C97" i="37"/>
  <c r="C25" i="37"/>
  <c r="C108" i="37"/>
  <c r="C23" i="37"/>
  <c r="C106" i="37"/>
  <c r="C145" i="37"/>
  <c r="C163" i="37"/>
  <c r="C149" i="37"/>
  <c r="C275" i="37"/>
  <c r="C177" i="37"/>
  <c r="C107" i="37"/>
  <c r="C308" i="37"/>
  <c r="C142" i="37"/>
  <c r="C211" i="37"/>
  <c r="C260" i="37"/>
  <c r="C236" i="37"/>
  <c r="C233" i="37"/>
  <c r="C370" i="37"/>
  <c r="C315" i="37"/>
  <c r="C318" i="37"/>
  <c r="C227" i="37"/>
  <c r="C432" i="37"/>
  <c r="C358" i="37"/>
  <c r="C276" i="37"/>
  <c r="C330" i="37"/>
  <c r="C305" i="37"/>
  <c r="C244" i="37"/>
  <c r="C322" i="37"/>
  <c r="C249" i="37"/>
  <c r="C343" i="37"/>
  <c r="C622" i="37"/>
  <c r="C424" i="37"/>
  <c r="C381" i="37"/>
  <c r="C373" i="37"/>
  <c r="C519" i="37"/>
  <c r="C431" i="37"/>
  <c r="C473" i="37"/>
  <c r="C497" i="37"/>
  <c r="C520" i="37"/>
  <c r="C456" i="37"/>
  <c r="C494" i="37"/>
  <c r="C433" i="37"/>
  <c r="C532" i="37"/>
  <c r="C536" i="37"/>
  <c r="C555" i="37"/>
  <c r="C599" i="37"/>
  <c r="C557" i="37"/>
  <c r="C505" i="37"/>
  <c r="C553" i="37"/>
  <c r="C654" i="37"/>
  <c r="C620" i="37"/>
  <c r="C691" i="37"/>
  <c r="C633" i="37"/>
  <c r="C635" i="37"/>
  <c r="C589" i="37"/>
  <c r="C657" i="37"/>
  <c r="C668" i="37"/>
  <c r="C623" i="37"/>
  <c r="C734" i="37"/>
  <c r="C678" i="37"/>
  <c r="C671" i="37"/>
  <c r="C743" i="37"/>
  <c r="C736" i="37"/>
  <c r="C393" i="37"/>
  <c r="C123" i="37"/>
  <c r="C17" i="37"/>
  <c r="C122" i="37"/>
  <c r="C15" i="37"/>
  <c r="C134" i="37"/>
  <c r="C218" i="37"/>
  <c r="C290" i="37"/>
  <c r="C264" i="37"/>
  <c r="C237" i="37"/>
  <c r="C466" i="37"/>
  <c r="C447" i="37"/>
  <c r="C421" i="37"/>
  <c r="C648" i="37"/>
  <c r="C53" i="37"/>
  <c r="C61" i="37"/>
  <c r="C67" i="37"/>
  <c r="C132" i="37"/>
  <c r="C58" i="37"/>
  <c r="C146" i="37"/>
  <c r="C29" i="37"/>
  <c r="C114" i="37"/>
  <c r="C74" i="37"/>
  <c r="C154" i="37"/>
  <c r="C27" i="37"/>
  <c r="C112" i="37"/>
  <c r="C153" i="37"/>
  <c r="C169" i="37"/>
  <c r="C344" i="37"/>
  <c r="C186" i="37"/>
  <c r="C113" i="37"/>
  <c r="C181" i="37"/>
  <c r="C151" i="37"/>
  <c r="C213" i="37"/>
  <c r="C242" i="37"/>
  <c r="C239" i="37"/>
  <c r="C362" i="37"/>
  <c r="C368" i="37"/>
  <c r="C459" i="37"/>
  <c r="C289" i="37"/>
  <c r="C351" i="37"/>
  <c r="C374" i="37"/>
  <c r="C282" i="37"/>
  <c r="C341" i="37"/>
  <c r="C371" i="37"/>
  <c r="C250" i="37"/>
  <c r="C340" i="37"/>
  <c r="C255" i="37"/>
  <c r="C359" i="37"/>
  <c r="C391" i="37"/>
  <c r="C430" i="37"/>
  <c r="C387" i="37"/>
  <c r="C379" i="37"/>
  <c r="C522" i="37"/>
  <c r="C477" i="37"/>
  <c r="C504" i="37"/>
  <c r="C575" i="37"/>
  <c r="C465" i="37"/>
  <c r="C482" i="37"/>
  <c r="C496" i="37"/>
  <c r="C439" i="37"/>
  <c r="C541" i="37"/>
  <c r="C540" i="37"/>
  <c r="C561" i="37"/>
  <c r="C605" i="37"/>
  <c r="C563" i="37"/>
  <c r="C511" i="37"/>
  <c r="C538" i="37"/>
  <c r="C556" i="37"/>
  <c r="C694" i="37"/>
  <c r="C624" i="37"/>
  <c r="C644" i="37"/>
  <c r="C595" i="37"/>
  <c r="C670" i="37"/>
  <c r="C699" i="37"/>
  <c r="C740" i="37"/>
  <c r="C684" i="37"/>
  <c r="C677" i="37"/>
  <c r="C517" i="37"/>
  <c r="C547" i="37"/>
  <c r="C559" i="37"/>
  <c r="C681" i="37"/>
  <c r="C629" i="37"/>
  <c r="C649" i="37"/>
  <c r="C642" i="37"/>
  <c r="C653" i="37"/>
  <c r="C601" i="37"/>
  <c r="C675" i="37"/>
  <c r="C632" i="37"/>
  <c r="C674" i="37"/>
  <c r="C697" i="37"/>
  <c r="C690" i="37"/>
  <c r="C683" i="37"/>
  <c r="C706" i="37"/>
  <c r="C742" i="37"/>
  <c r="C93" i="37"/>
  <c r="C83" i="37"/>
  <c r="C49" i="37"/>
  <c r="C26" i="37"/>
  <c r="C102" i="37"/>
  <c r="C138" i="37"/>
  <c r="C64" i="37"/>
  <c r="C92" i="37"/>
  <c r="C39" i="37"/>
  <c r="C126" i="37"/>
  <c r="C80" i="37"/>
  <c r="C94" i="37"/>
  <c r="C36" i="37"/>
  <c r="C124" i="37"/>
  <c r="C160" i="37"/>
  <c r="C125" i="37"/>
  <c r="C199" i="37"/>
  <c r="C161" i="37"/>
  <c r="C222" i="37"/>
  <c r="C278" i="37"/>
  <c r="C349" i="37"/>
  <c r="C328" i="37"/>
  <c r="C317" i="37"/>
  <c r="C259" i="37"/>
  <c r="C295" i="37"/>
  <c r="C386" i="37"/>
  <c r="C294" i="37"/>
  <c r="C353" i="37"/>
  <c r="C262" i="37"/>
  <c r="C267" i="37"/>
  <c r="C380" i="37"/>
  <c r="C392" i="37"/>
  <c r="C418" i="37"/>
  <c r="C460" i="37"/>
  <c r="C394" i="37"/>
  <c r="C521" i="37"/>
  <c r="C389" i="37"/>
  <c r="C508" i="37"/>
  <c r="C558" i="37"/>
  <c r="C405" i="37"/>
  <c r="C476" i="37"/>
  <c r="C501" i="37"/>
  <c r="C450" i="37"/>
  <c r="C572" i="37"/>
  <c r="C617" i="37"/>
  <c r="C578" i="37"/>
  <c r="C523" i="37"/>
  <c r="C581" i="37"/>
  <c r="C562" i="37"/>
  <c r="C638" i="37"/>
  <c r="C700" i="37"/>
  <c r="C651" i="37"/>
  <c r="C660" i="37"/>
  <c r="C662" i="37"/>
  <c r="C607" i="37"/>
  <c r="C693" i="37"/>
  <c r="C641" i="37"/>
  <c r="C680" i="37"/>
  <c r="C703" i="37"/>
  <c r="C696" i="37"/>
  <c r="C689" i="37"/>
  <c r="C528" i="37"/>
  <c r="C503" i="37"/>
  <c r="C574" i="37"/>
  <c r="C529" i="37"/>
  <c r="C679" i="37"/>
  <c r="C613" i="37"/>
  <c r="C686" i="37"/>
  <c r="C695" i="37"/>
  <c r="C121" i="37"/>
  <c r="C34" i="37"/>
  <c r="C44" i="37"/>
  <c r="C86" i="37"/>
  <c r="C133" i="37"/>
  <c r="C130" i="37"/>
  <c r="C48" i="37"/>
  <c r="C187" i="37"/>
  <c r="C172" i="37"/>
  <c r="C208" i="37"/>
  <c r="C152" i="37"/>
  <c r="C137" i="37"/>
  <c r="C205" i="37"/>
  <c r="C173" i="37"/>
  <c r="C185" i="37"/>
  <c r="C350" i="37"/>
  <c r="C346" i="37"/>
  <c r="C335" i="37"/>
  <c r="C265" i="37"/>
  <c r="C301" i="37"/>
  <c r="C440" i="37"/>
  <c r="C306" i="37"/>
  <c r="C369" i="37"/>
  <c r="C319" i="37"/>
  <c r="C419" i="37"/>
  <c r="C274" i="37"/>
  <c r="C279" i="37"/>
  <c r="C420" i="37"/>
  <c r="C416" i="37"/>
  <c r="C428" i="37"/>
  <c r="C500" i="37"/>
  <c r="C401" i="37"/>
  <c r="C396" i="37"/>
  <c r="C454" i="37"/>
  <c r="C545" i="37"/>
  <c r="C461" i="37"/>
  <c r="C417" i="37"/>
  <c r="C509" i="37"/>
  <c r="C513" i="37"/>
  <c r="C467" i="37"/>
  <c r="C627" i="37"/>
  <c r="C580" i="37"/>
  <c r="C506" i="37"/>
  <c r="C543" i="37"/>
  <c r="C625" i="37"/>
  <c r="C579" i="37"/>
  <c r="C647" i="37"/>
  <c r="C591" i="37"/>
  <c r="C667" i="37"/>
  <c r="C584" i="37"/>
  <c r="C682" i="37"/>
  <c r="C619" i="37"/>
  <c r="C582" i="37"/>
  <c r="C650" i="37"/>
  <c r="C692" i="37"/>
  <c r="C715" i="37"/>
  <c r="C708" i="37"/>
  <c r="C701" i="37"/>
  <c r="C47" i="37"/>
  <c r="C51" i="37"/>
  <c r="C20" i="37"/>
  <c r="C85" i="37"/>
  <c r="C24" i="37"/>
  <c r="C55" i="37"/>
  <c r="C111" i="37"/>
  <c r="C57" i="37"/>
  <c r="C9" i="37"/>
  <c r="C50" i="37"/>
  <c r="C135" i="37"/>
  <c r="C54" i="37"/>
  <c r="C196" i="37"/>
  <c r="C180" i="37"/>
  <c r="C210" i="37"/>
  <c r="C184" i="37"/>
  <c r="C159" i="37"/>
  <c r="C143" i="37"/>
  <c r="C207" i="37"/>
  <c r="C225" i="37"/>
  <c r="C355" i="37"/>
  <c r="C266" i="37"/>
  <c r="C191" i="37"/>
  <c r="C364" i="37"/>
  <c r="C354" i="37"/>
  <c r="C342" i="37"/>
  <c r="C487" i="37"/>
  <c r="C312" i="37"/>
  <c r="C280" i="37"/>
  <c r="C498" i="37"/>
  <c r="C285" i="37"/>
  <c r="C378" i="37"/>
  <c r="C436" i="37"/>
  <c r="C516" i="37"/>
  <c r="C408" i="37"/>
  <c r="C474" i="37"/>
  <c r="C400" i="37"/>
  <c r="C463" i="37"/>
  <c r="C564" i="37"/>
  <c r="C469" i="37"/>
  <c r="C423" i="37"/>
  <c r="C552" i="37"/>
  <c r="C471" i="37"/>
  <c r="C587" i="37"/>
  <c r="C717" i="37"/>
  <c r="C512" i="37"/>
  <c r="C534" i="37"/>
  <c r="C554" i="37"/>
  <c r="C604" i="37"/>
  <c r="C656" i="37"/>
  <c r="C597" i="37"/>
  <c r="C590" i="37"/>
  <c r="C628" i="37"/>
  <c r="C621" i="37"/>
  <c r="C723" i="37"/>
  <c r="C588" i="37"/>
  <c r="C659" i="37"/>
  <c r="C698" i="37"/>
  <c r="C721" i="37"/>
  <c r="C714" i="37"/>
  <c r="C707" i="37"/>
  <c r="C718" i="37"/>
  <c r="C399" i="37"/>
  <c r="C444" i="37"/>
  <c r="C568" i="37"/>
  <c r="C464" i="37"/>
  <c r="C661" i="37"/>
  <c r="C586" i="37"/>
  <c r="C585" i="37"/>
  <c r="C687" i="37"/>
  <c r="C705" i="37"/>
  <c r="C709" i="37"/>
  <c r="C702" i="37"/>
  <c r="C712" i="37"/>
  <c r="C70" i="37"/>
  <c r="C115" i="37"/>
  <c r="C99" i="37"/>
  <c r="C59" i="37"/>
  <c r="C4" i="37"/>
  <c r="C77" i="37"/>
  <c r="C40" i="37"/>
  <c r="C76" i="37"/>
  <c r="C296" i="37"/>
  <c r="C63" i="37"/>
  <c r="C96" i="37"/>
  <c r="C56" i="37"/>
  <c r="C91" i="37"/>
  <c r="C139" i="37"/>
  <c r="C3" i="37"/>
  <c r="C60" i="37"/>
  <c r="C220" i="37"/>
  <c r="C189" i="37"/>
  <c r="C228" i="37"/>
  <c r="C193" i="37"/>
  <c r="C162" i="37"/>
  <c r="C147" i="37"/>
  <c r="C183" i="37"/>
  <c r="C314" i="37"/>
  <c r="C200" i="37"/>
  <c r="C272" i="37"/>
  <c r="C257" i="37"/>
  <c r="C235" i="37"/>
  <c r="C197" i="37"/>
  <c r="C271" i="37"/>
  <c r="C307" i="37"/>
  <c r="C320" i="37"/>
  <c r="C316" i="37"/>
  <c r="C398" i="37"/>
  <c r="C377" i="37"/>
  <c r="C286" i="37"/>
  <c r="C366" i="37"/>
  <c r="C291" i="37"/>
  <c r="C384" i="37"/>
  <c r="C404" i="37"/>
  <c r="C491" i="37"/>
  <c r="C414" i="37"/>
  <c r="C481" i="37"/>
  <c r="C458" i="37"/>
  <c r="C640" i="37"/>
  <c r="C490" i="37"/>
  <c r="C429" i="37"/>
  <c r="C403" i="37"/>
  <c r="C478" i="37"/>
  <c r="C592" i="37"/>
  <c r="C518" i="37"/>
  <c r="C548" i="37"/>
  <c r="C560" i="37"/>
  <c r="C663" i="37"/>
  <c r="C603" i="37"/>
  <c r="C596" i="37"/>
  <c r="C646" i="37"/>
  <c r="C594" i="37"/>
  <c r="C704" i="37"/>
  <c r="C727" i="37"/>
  <c r="C720" i="37"/>
  <c r="C713" i="37"/>
  <c r="A3" i="35" a="1"/>
  <c r="X305" i="1"/>
  <c r="F305" i="1"/>
  <c r="A305" i="1"/>
  <c r="X304" i="1"/>
  <c r="F304" i="1"/>
  <c r="A304" i="1"/>
  <c r="X303" i="1"/>
  <c r="F303" i="1"/>
  <c r="A303" i="1"/>
  <c r="X302" i="1"/>
  <c r="F302" i="1"/>
  <c r="A302" i="1"/>
  <c r="X301" i="1"/>
  <c r="F301" i="1"/>
  <c r="A301" i="1"/>
  <c r="X300" i="1"/>
  <c r="F300" i="1"/>
  <c r="A300" i="1"/>
  <c r="X299" i="1"/>
  <c r="F299" i="1"/>
  <c r="A299" i="1"/>
  <c r="X298" i="1"/>
  <c r="F298" i="1"/>
  <c r="A298" i="1"/>
  <c r="X297" i="1"/>
  <c r="F297" i="1"/>
  <c r="A297" i="1"/>
  <c r="X296" i="1"/>
  <c r="F296" i="1"/>
  <c r="A296" i="1"/>
  <c r="X295" i="1"/>
  <c r="F295" i="1"/>
  <c r="A295" i="1"/>
  <c r="X294" i="1"/>
  <c r="F294" i="1"/>
  <c r="A294" i="1"/>
  <c r="X293" i="1"/>
  <c r="F293" i="1"/>
  <c r="A293" i="1"/>
  <c r="X292" i="1"/>
  <c r="F292" i="1"/>
  <c r="A292" i="1"/>
  <c r="X291" i="1"/>
  <c r="F291" i="1"/>
  <c r="A291" i="1"/>
  <c r="X290" i="1"/>
  <c r="F290" i="1"/>
  <c r="A290" i="1"/>
  <c r="X289" i="1"/>
  <c r="F289" i="1"/>
  <c r="A289" i="1"/>
  <c r="X288" i="1"/>
  <c r="F288" i="1"/>
  <c r="A288" i="1"/>
  <c r="X287" i="1"/>
  <c r="F287" i="1"/>
  <c r="A287" i="1"/>
  <c r="X286" i="1"/>
  <c r="F286" i="1"/>
  <c r="A286" i="1"/>
  <c r="X285" i="1"/>
  <c r="F285" i="1"/>
  <c r="A285" i="1"/>
  <c r="X284" i="1"/>
  <c r="F284" i="1"/>
  <c r="A284" i="1"/>
  <c r="X283" i="1"/>
  <c r="F283" i="1"/>
  <c r="A283" i="1"/>
  <c r="X282" i="1"/>
  <c r="F282" i="1"/>
  <c r="A282" i="1"/>
  <c r="N15" i="35" l="1"/>
  <c r="N27" i="35"/>
  <c r="N4" i="35"/>
  <c r="N16" i="35"/>
  <c r="N28" i="35"/>
  <c r="N5" i="35"/>
  <c r="N17" i="35"/>
  <c r="N29" i="35"/>
  <c r="N6" i="35"/>
  <c r="N18" i="35"/>
  <c r="N30" i="35"/>
  <c r="N19" i="35"/>
  <c r="N3" i="35"/>
  <c r="N8" i="35"/>
  <c r="N20" i="35"/>
  <c r="N26" i="35"/>
  <c r="N7" i="35"/>
  <c r="N9" i="35"/>
  <c r="N21" i="35"/>
  <c r="N22" i="35"/>
  <c r="N11" i="35"/>
  <c r="N23" i="35"/>
  <c r="N12" i="35"/>
  <c r="N24" i="35"/>
  <c r="N13" i="35"/>
  <c r="N25" i="35"/>
  <c r="N14" i="35"/>
  <c r="N10" i="35"/>
  <c r="A3" i="35"/>
  <c r="AW24" i="34" a="1"/>
  <c r="AW24" i="34" s="1"/>
  <c r="AX24" i="34" s="1" a="1"/>
  <c r="AX24" i="34" s="1"/>
  <c r="AW23" i="34" a="1"/>
  <c r="AW23" i="34" s="1"/>
  <c r="AX23" i="34" s="1" a="1"/>
  <c r="AX23" i="34" s="1"/>
  <c r="AW22" i="34" a="1"/>
  <c r="AW22" i="34" s="1"/>
  <c r="AX22" i="34" s="1" a="1"/>
  <c r="AX22" i="34" s="1"/>
  <c r="AW21" i="34" a="1"/>
  <c r="AW21" i="34" s="1"/>
  <c r="AW20" i="34" a="1"/>
  <c r="AW20" i="34" s="1"/>
  <c r="AW19" i="34" a="1"/>
  <c r="AW19" i="34" s="1"/>
  <c r="AW18" i="34" a="1"/>
  <c r="AW18" i="34" s="1"/>
  <c r="AW17" i="34" a="1"/>
  <c r="AW17" i="34" s="1"/>
  <c r="AW16" i="34" a="1"/>
  <c r="AW16" i="34" s="1"/>
  <c r="AW15" i="34" a="1"/>
  <c r="AW15" i="34" s="1"/>
  <c r="AW14" i="34" a="1"/>
  <c r="AW14" i="34" s="1"/>
  <c r="AW13" i="34" a="1"/>
  <c r="AW13" i="34" s="1"/>
  <c r="AW12" i="34" a="1"/>
  <c r="AW12" i="34" s="1"/>
  <c r="AW11" i="34" a="1"/>
  <c r="AW11" i="34" s="1"/>
  <c r="AW10" i="34" a="1"/>
  <c r="AW10" i="34" s="1"/>
  <c r="AW9" i="34" a="1"/>
  <c r="AW9" i="34" s="1"/>
  <c r="AO9" i="34" a="1"/>
  <c r="AP3" i="34"/>
  <c r="AO3" i="34"/>
  <c r="AW24" i="33" a="1"/>
  <c r="AW24" i="33" s="1"/>
  <c r="AX24" i="33" s="1" a="1"/>
  <c r="AX24" i="33" s="1"/>
  <c r="AW23" i="33" a="1"/>
  <c r="AW23" i="33" s="1"/>
  <c r="AX23" i="33" s="1" a="1"/>
  <c r="AX23" i="33" s="1"/>
  <c r="AW22" i="33" a="1"/>
  <c r="AW22" i="33" s="1"/>
  <c r="AX22" i="33" s="1" a="1"/>
  <c r="AX22" i="33" s="1"/>
  <c r="AW21" i="33" a="1"/>
  <c r="AW21" i="33" s="1"/>
  <c r="AW20" i="33" a="1"/>
  <c r="AW20" i="33" s="1"/>
  <c r="AW19" i="33" a="1"/>
  <c r="AW19" i="33" s="1"/>
  <c r="AW18" i="33" a="1"/>
  <c r="AW18" i="33" s="1"/>
  <c r="AW17" i="33" a="1"/>
  <c r="AW17" i="33" s="1"/>
  <c r="AW16" i="33" a="1"/>
  <c r="AW16" i="33" s="1"/>
  <c r="AW15" i="33" a="1"/>
  <c r="AW15" i="33" s="1"/>
  <c r="AW14" i="33" a="1"/>
  <c r="AW14" i="33" s="1"/>
  <c r="AW13" i="33" a="1"/>
  <c r="AW13" i="33" s="1"/>
  <c r="AW12" i="33" a="1"/>
  <c r="AW12" i="33" s="1"/>
  <c r="AW11" i="33" a="1"/>
  <c r="AW11" i="33" s="1"/>
  <c r="AW10" i="33" a="1"/>
  <c r="AW10" i="33" s="1"/>
  <c r="AW9" i="33" a="1"/>
  <c r="AW9" i="33" s="1"/>
  <c r="AO9" i="33" a="1"/>
  <c r="AP3" i="33"/>
  <c r="AO3" i="33"/>
  <c r="AW24" i="32" a="1"/>
  <c r="AW24" i="32" s="1"/>
  <c r="AX24" i="32" s="1" a="1"/>
  <c r="AX24" i="32" s="1"/>
  <c r="AW23" i="32" a="1"/>
  <c r="AW23" i="32" s="1"/>
  <c r="AX23" i="32" s="1" a="1"/>
  <c r="AX23" i="32" s="1"/>
  <c r="AW22" i="32" a="1"/>
  <c r="AW22" i="32" s="1"/>
  <c r="AX22" i="32" s="1" a="1"/>
  <c r="AX22" i="32" s="1"/>
  <c r="AW21" i="32" a="1"/>
  <c r="AW21" i="32" s="1"/>
  <c r="AW20" i="32" a="1"/>
  <c r="AW20" i="32" s="1"/>
  <c r="AW19" i="32" a="1"/>
  <c r="AW19" i="32" s="1"/>
  <c r="AW18" i="32" a="1"/>
  <c r="AW18" i="32" s="1"/>
  <c r="AW17" i="32" a="1"/>
  <c r="AW17" i="32" s="1"/>
  <c r="AW16" i="32" a="1"/>
  <c r="AW16" i="32" s="1"/>
  <c r="AW15" i="32" a="1"/>
  <c r="AW15" i="32" s="1"/>
  <c r="AW14" i="32" a="1"/>
  <c r="AW14" i="32" s="1"/>
  <c r="AW13" i="32" a="1"/>
  <c r="AW13" i="32" s="1"/>
  <c r="AW12" i="32" a="1"/>
  <c r="AW12" i="32" s="1"/>
  <c r="AW11" i="32" a="1"/>
  <c r="AW11" i="32" s="1"/>
  <c r="AW10" i="32" a="1"/>
  <c r="AW10" i="32" s="1"/>
  <c r="AW9" i="32" a="1"/>
  <c r="AW9" i="32" s="1"/>
  <c r="AO9" i="32" a="1"/>
  <c r="AP3" i="32"/>
  <c r="AO3" i="32"/>
  <c r="AW24" i="31" a="1"/>
  <c r="AW24" i="31" s="1"/>
  <c r="AX24" i="31" s="1" a="1"/>
  <c r="AX24" i="31" s="1"/>
  <c r="AW23" i="31" a="1"/>
  <c r="AW23" i="31" s="1"/>
  <c r="AX23" i="31" s="1" a="1"/>
  <c r="AX23" i="31" s="1"/>
  <c r="AW22" i="31" a="1"/>
  <c r="AW22" i="31" s="1"/>
  <c r="AX22" i="31" s="1" a="1"/>
  <c r="AX22" i="31" s="1"/>
  <c r="AW21" i="31" a="1"/>
  <c r="AW21" i="31" s="1"/>
  <c r="AW20" i="31" a="1"/>
  <c r="AW20" i="31" s="1"/>
  <c r="AW19" i="31" a="1"/>
  <c r="AW19" i="31" s="1"/>
  <c r="AW18" i="31" a="1"/>
  <c r="AW18" i="31" s="1"/>
  <c r="AW17" i="31" a="1"/>
  <c r="AW17" i="31" s="1"/>
  <c r="AW16" i="31" a="1"/>
  <c r="AW16" i="31" s="1"/>
  <c r="AW15" i="31" a="1"/>
  <c r="AW15" i="31" s="1"/>
  <c r="AW14" i="31" a="1"/>
  <c r="AW14" i="31" s="1"/>
  <c r="AW13" i="31" a="1"/>
  <c r="AW13" i="31" s="1"/>
  <c r="AW12" i="31" a="1"/>
  <c r="AW12" i="31" s="1"/>
  <c r="AW11" i="31" a="1"/>
  <c r="AW11" i="31" s="1"/>
  <c r="AW10" i="31" a="1"/>
  <c r="AW10" i="31" s="1"/>
  <c r="AW9" i="31" a="1"/>
  <c r="AW9" i="31" s="1"/>
  <c r="AO9" i="31" a="1"/>
  <c r="AP3" i="31"/>
  <c r="AO3" i="31"/>
  <c r="AW24" i="30" a="1"/>
  <c r="AW24" i="30" s="1"/>
  <c r="AX24" i="30" s="1" a="1"/>
  <c r="AX24" i="30" s="1"/>
  <c r="AW23" i="30" a="1"/>
  <c r="AW23" i="30" s="1"/>
  <c r="AX23" i="30" s="1" a="1"/>
  <c r="AX23" i="30" s="1"/>
  <c r="AW22" i="30" a="1"/>
  <c r="AW22" i="30" s="1"/>
  <c r="AX22" i="30" s="1" a="1"/>
  <c r="AX22" i="30" s="1"/>
  <c r="AW21" i="30" a="1"/>
  <c r="AW21" i="30" s="1"/>
  <c r="AW20" i="30" a="1"/>
  <c r="AW20" i="30" s="1"/>
  <c r="AW19" i="30" a="1"/>
  <c r="AW19" i="30" s="1"/>
  <c r="AW18" i="30" a="1"/>
  <c r="AW18" i="30" s="1"/>
  <c r="AW17" i="30" a="1"/>
  <c r="AW17" i="30" s="1"/>
  <c r="AW16" i="30" a="1"/>
  <c r="AW16" i="30" s="1"/>
  <c r="AW15" i="30" a="1"/>
  <c r="AW15" i="30" s="1"/>
  <c r="AW14" i="30" a="1"/>
  <c r="AW14" i="30" s="1"/>
  <c r="AW13" i="30" a="1"/>
  <c r="AW13" i="30" s="1"/>
  <c r="AW12" i="30" a="1"/>
  <c r="AW12" i="30" s="1"/>
  <c r="AW11" i="30" a="1"/>
  <c r="AW11" i="30" s="1"/>
  <c r="AW10" i="30" a="1"/>
  <c r="AW10" i="30" s="1"/>
  <c r="AW9" i="30" a="1"/>
  <c r="AW9" i="30" s="1"/>
  <c r="AO9" i="30" a="1"/>
  <c r="AP3" i="30"/>
  <c r="AO3" i="30"/>
  <c r="AW24" i="29" a="1"/>
  <c r="AW24" i="29" s="1"/>
  <c r="AX24" i="29" s="1" a="1"/>
  <c r="AX24" i="29" s="1"/>
  <c r="AW23" i="29" a="1"/>
  <c r="AW23" i="29" s="1"/>
  <c r="AX23" i="29" s="1" a="1"/>
  <c r="AX23" i="29" s="1"/>
  <c r="AW22" i="29" a="1"/>
  <c r="AW22" i="29" s="1"/>
  <c r="AX22" i="29" s="1" a="1"/>
  <c r="AX22" i="29" s="1"/>
  <c r="AW21" i="29" a="1"/>
  <c r="AW21" i="29" s="1"/>
  <c r="AW20" i="29" a="1"/>
  <c r="AW20" i="29" s="1"/>
  <c r="AW19" i="29" a="1"/>
  <c r="AW19" i="29" s="1"/>
  <c r="AW18" i="29" a="1"/>
  <c r="AW18" i="29" s="1"/>
  <c r="AW17" i="29" a="1"/>
  <c r="AW17" i="29" s="1"/>
  <c r="AW16" i="29" a="1"/>
  <c r="AW16" i="29" s="1"/>
  <c r="AW15" i="29" a="1"/>
  <c r="AW15" i="29" s="1"/>
  <c r="AW14" i="29" a="1"/>
  <c r="AW14" i="29" s="1"/>
  <c r="AW13" i="29" a="1"/>
  <c r="AW13" i="29" s="1"/>
  <c r="AW12" i="29" a="1"/>
  <c r="AW12" i="29" s="1"/>
  <c r="AW11" i="29" a="1"/>
  <c r="AW11" i="29" s="1"/>
  <c r="AW10" i="29" a="1"/>
  <c r="AW10" i="29" s="1"/>
  <c r="AW9" i="29" a="1"/>
  <c r="AW9" i="29" s="1"/>
  <c r="AO9" i="29" a="1"/>
  <c r="AP3" i="29"/>
  <c r="AO3" i="29"/>
  <c r="AW24" i="28" a="1"/>
  <c r="AW24" i="28" s="1"/>
  <c r="AX24" i="28" s="1" a="1"/>
  <c r="AX24" i="28" s="1"/>
  <c r="AW23" i="28" a="1"/>
  <c r="AW23" i="28" s="1"/>
  <c r="AX23" i="28" s="1" a="1"/>
  <c r="AX23" i="28" s="1"/>
  <c r="AW22" i="28" a="1"/>
  <c r="AW22" i="28" s="1"/>
  <c r="AX22" i="28" s="1" a="1"/>
  <c r="AX22" i="28" s="1"/>
  <c r="AW21" i="28" a="1"/>
  <c r="AW21" i="28" s="1"/>
  <c r="AW20" i="28" a="1"/>
  <c r="AW20" i="28" s="1"/>
  <c r="AW19" i="28" a="1"/>
  <c r="AW19" i="28" s="1"/>
  <c r="AW18" i="28" a="1"/>
  <c r="AW18" i="28" s="1"/>
  <c r="AW17" i="28" a="1"/>
  <c r="AW17" i="28" s="1"/>
  <c r="AW16" i="28" a="1"/>
  <c r="AW16" i="28" s="1"/>
  <c r="AW15" i="28" a="1"/>
  <c r="AW15" i="28" s="1"/>
  <c r="AW14" i="28" a="1"/>
  <c r="AW14" i="28" s="1"/>
  <c r="AW13" i="28" a="1"/>
  <c r="AW13" i="28" s="1"/>
  <c r="AW12" i="28" a="1"/>
  <c r="AW12" i="28" s="1"/>
  <c r="AW11" i="28" a="1"/>
  <c r="AW11" i="28" s="1"/>
  <c r="AW10" i="28" a="1"/>
  <c r="AW10" i="28" s="1"/>
  <c r="AW9" i="28" a="1"/>
  <c r="AW9" i="28" s="1"/>
  <c r="AO9" i="28" a="1"/>
  <c r="AP3" i="28"/>
  <c r="AO3" i="28"/>
  <c r="AW24" i="27" a="1"/>
  <c r="AW24" i="27" s="1"/>
  <c r="AX24" i="27" s="1" a="1"/>
  <c r="AX24" i="27" s="1"/>
  <c r="AW23" i="27" a="1"/>
  <c r="AW23" i="27" s="1"/>
  <c r="AX23" i="27" s="1" a="1"/>
  <c r="AX23" i="27" s="1"/>
  <c r="AW22" i="27" a="1"/>
  <c r="AW22" i="27" s="1"/>
  <c r="AX22" i="27" s="1" a="1"/>
  <c r="AX22" i="27" s="1"/>
  <c r="AW21" i="27" a="1"/>
  <c r="AW21" i="27" s="1"/>
  <c r="AW20" i="27" a="1"/>
  <c r="AW20" i="27" s="1"/>
  <c r="AW19" i="27" a="1"/>
  <c r="AW19" i="27" s="1"/>
  <c r="AW18" i="27" a="1"/>
  <c r="AW18" i="27" s="1"/>
  <c r="AW17" i="27" a="1"/>
  <c r="AW17" i="27" s="1"/>
  <c r="AW16" i="27" a="1"/>
  <c r="AW16" i="27" s="1"/>
  <c r="AW15" i="27" a="1"/>
  <c r="AW15" i="27" s="1"/>
  <c r="AW14" i="27" a="1"/>
  <c r="AW14" i="27" s="1"/>
  <c r="AW13" i="27" a="1"/>
  <c r="AW13" i="27" s="1"/>
  <c r="AW12" i="27" a="1"/>
  <c r="AW12" i="27" s="1"/>
  <c r="AW11" i="27" a="1"/>
  <c r="AW11" i="27" s="1"/>
  <c r="AW10" i="27" a="1"/>
  <c r="AW10" i="27" s="1"/>
  <c r="AW9" i="27" a="1"/>
  <c r="AW9" i="27" s="1"/>
  <c r="AO9" i="27" a="1"/>
  <c r="AP3" i="27"/>
  <c r="AO3" i="27"/>
  <c r="AW24" i="26" a="1"/>
  <c r="AW24" i="26" s="1"/>
  <c r="AX24" i="26" s="1" a="1"/>
  <c r="AX24" i="26" s="1"/>
  <c r="AW23" i="26" a="1"/>
  <c r="AW23" i="26" s="1"/>
  <c r="AX23" i="26" s="1" a="1"/>
  <c r="AX23" i="26" s="1"/>
  <c r="AW22" i="26" a="1"/>
  <c r="AW22" i="26" s="1"/>
  <c r="AX22" i="26" s="1" a="1"/>
  <c r="AX22" i="26" s="1"/>
  <c r="AW21" i="26" a="1"/>
  <c r="AW21" i="26" s="1"/>
  <c r="AW20" i="26" a="1"/>
  <c r="AW20" i="26" s="1"/>
  <c r="AW19" i="26" a="1"/>
  <c r="AW19" i="26" s="1"/>
  <c r="AW18" i="26" a="1"/>
  <c r="AW18" i="26" s="1"/>
  <c r="AW17" i="26" a="1"/>
  <c r="AW17" i="26" s="1"/>
  <c r="AW16" i="26" a="1"/>
  <c r="AW16" i="26" s="1"/>
  <c r="AW15" i="26" a="1"/>
  <c r="AW15" i="26" s="1"/>
  <c r="AW14" i="26" a="1"/>
  <c r="AW14" i="26" s="1"/>
  <c r="AW13" i="26" a="1"/>
  <c r="AW13" i="26" s="1"/>
  <c r="AW12" i="26" a="1"/>
  <c r="AW12" i="26" s="1"/>
  <c r="AW11" i="26" a="1"/>
  <c r="AW11" i="26" s="1"/>
  <c r="AW10" i="26" a="1"/>
  <c r="AW10" i="26" s="1"/>
  <c r="AW9" i="26" a="1"/>
  <c r="AW9" i="26" s="1"/>
  <c r="AO9" i="26" a="1"/>
  <c r="AP3" i="26"/>
  <c r="AO3" i="26"/>
  <c r="AW24" i="25" a="1"/>
  <c r="AW24" i="25" s="1"/>
  <c r="AX24" i="25" s="1" a="1"/>
  <c r="AX24" i="25" s="1"/>
  <c r="AW23" i="25" a="1"/>
  <c r="AW23" i="25" s="1"/>
  <c r="AX23" i="25" s="1" a="1"/>
  <c r="AX23" i="25" s="1"/>
  <c r="AW22" i="25" a="1"/>
  <c r="AW22" i="25" s="1"/>
  <c r="AX22" i="25" s="1" a="1"/>
  <c r="AX22" i="25" s="1"/>
  <c r="AW21" i="25" a="1"/>
  <c r="AW21" i="25" s="1"/>
  <c r="AW20" i="25" a="1"/>
  <c r="AW20" i="25" s="1"/>
  <c r="AW19" i="25" a="1"/>
  <c r="AW19" i="25" s="1"/>
  <c r="AW18" i="25" a="1"/>
  <c r="AW18" i="25" s="1"/>
  <c r="AW17" i="25" a="1"/>
  <c r="AW17" i="25" s="1"/>
  <c r="AW16" i="25" a="1"/>
  <c r="AW16" i="25" s="1"/>
  <c r="AW15" i="25" a="1"/>
  <c r="AW15" i="25" s="1"/>
  <c r="AW14" i="25" a="1"/>
  <c r="AW14" i="25" s="1"/>
  <c r="AW13" i="25" a="1"/>
  <c r="AW13" i="25" s="1"/>
  <c r="AW12" i="25" a="1"/>
  <c r="AW12" i="25" s="1"/>
  <c r="AW11" i="25" a="1"/>
  <c r="AW11" i="25" s="1"/>
  <c r="AW10" i="25" a="1"/>
  <c r="AW10" i="25" s="1"/>
  <c r="AW9" i="25" a="1"/>
  <c r="AW9" i="25" s="1"/>
  <c r="AO9" i="25" a="1"/>
  <c r="AP3" i="25"/>
  <c r="AO3" i="25"/>
  <c r="AW24" i="24" a="1"/>
  <c r="AW24" i="24" s="1"/>
  <c r="AX24" i="24" s="1" a="1"/>
  <c r="AX24" i="24" s="1"/>
  <c r="AW23" i="24" a="1"/>
  <c r="AW23" i="24" s="1"/>
  <c r="AX23" i="24" s="1" a="1"/>
  <c r="AX23" i="24" s="1"/>
  <c r="AW22" i="24" a="1"/>
  <c r="AW22" i="24" s="1"/>
  <c r="AX22" i="24" s="1" a="1"/>
  <c r="AX22" i="24" s="1"/>
  <c r="AW21" i="24" a="1"/>
  <c r="AW21" i="24" s="1"/>
  <c r="AW20" i="24" a="1"/>
  <c r="AW20" i="24" s="1"/>
  <c r="AW19" i="24" a="1"/>
  <c r="AW19" i="24" s="1"/>
  <c r="AW18" i="24" a="1"/>
  <c r="AW18" i="24" s="1"/>
  <c r="AW17" i="24" a="1"/>
  <c r="AW17" i="24" s="1"/>
  <c r="AW16" i="24" a="1"/>
  <c r="AW16" i="24" s="1"/>
  <c r="AW15" i="24" a="1"/>
  <c r="AW15" i="24" s="1"/>
  <c r="AW14" i="24" a="1"/>
  <c r="AW14" i="24" s="1"/>
  <c r="AW13" i="24" a="1"/>
  <c r="AW13" i="24" s="1"/>
  <c r="AW12" i="24" a="1"/>
  <c r="AW12" i="24" s="1"/>
  <c r="AW11" i="24" a="1"/>
  <c r="AW11" i="24" s="1"/>
  <c r="AW10" i="24" a="1"/>
  <c r="AW10" i="24" s="1"/>
  <c r="AW9" i="24" a="1"/>
  <c r="AW9" i="24" s="1"/>
  <c r="AO9" i="24" a="1"/>
  <c r="AP3" i="24"/>
  <c r="AO3" i="24"/>
  <c r="AW24" i="23" a="1"/>
  <c r="AW24" i="23" s="1"/>
  <c r="AX24" i="23" s="1" a="1"/>
  <c r="AX24" i="23" s="1"/>
  <c r="AW23" i="23" a="1"/>
  <c r="AW23" i="23" s="1"/>
  <c r="AX23" i="23" s="1" a="1"/>
  <c r="AX23" i="23" s="1"/>
  <c r="AW22" i="23" a="1"/>
  <c r="AW22" i="23" s="1"/>
  <c r="AX22" i="23" s="1" a="1"/>
  <c r="AX22" i="23" s="1"/>
  <c r="AW21" i="23" a="1"/>
  <c r="AW21" i="23" s="1"/>
  <c r="AW20" i="23" a="1"/>
  <c r="AW20" i="23" s="1"/>
  <c r="AW19" i="23" a="1"/>
  <c r="AW19" i="23" s="1"/>
  <c r="AW18" i="23" a="1"/>
  <c r="AW18" i="23" s="1"/>
  <c r="AW17" i="23" a="1"/>
  <c r="AW17" i="23" s="1"/>
  <c r="AW16" i="23" a="1"/>
  <c r="AW16" i="23" s="1"/>
  <c r="AW15" i="23" a="1"/>
  <c r="AW15" i="23" s="1"/>
  <c r="AW14" i="23" a="1"/>
  <c r="AW14" i="23" s="1"/>
  <c r="AW13" i="23" a="1"/>
  <c r="AW13" i="23" s="1"/>
  <c r="AW12" i="23" a="1"/>
  <c r="AW12" i="23" s="1"/>
  <c r="AW11" i="23" a="1"/>
  <c r="AW11" i="23" s="1"/>
  <c r="AW10" i="23" a="1"/>
  <c r="AW10" i="23" s="1"/>
  <c r="AW9" i="23" a="1"/>
  <c r="AW9" i="23" s="1"/>
  <c r="AO9" i="23" a="1"/>
  <c r="AP3" i="23"/>
  <c r="AO3" i="23"/>
  <c r="AW24" i="22" a="1"/>
  <c r="AW24" i="22" s="1"/>
  <c r="AX24" i="22" s="1" a="1"/>
  <c r="AX24" i="22" s="1"/>
  <c r="AW23" i="22" a="1"/>
  <c r="AW23" i="22" s="1"/>
  <c r="AX23" i="22" s="1" a="1"/>
  <c r="AX23" i="22" s="1"/>
  <c r="AW22" i="22" a="1"/>
  <c r="AW22" i="22" s="1"/>
  <c r="AX22" i="22" s="1" a="1"/>
  <c r="AX22" i="22" s="1"/>
  <c r="AW21" i="22" a="1"/>
  <c r="AW21" i="22" s="1"/>
  <c r="AW20" i="22" a="1"/>
  <c r="AW20" i="22" s="1"/>
  <c r="AW19" i="22" a="1"/>
  <c r="AW19" i="22" s="1"/>
  <c r="AW18" i="22" a="1"/>
  <c r="AW18" i="22" s="1"/>
  <c r="AW17" i="22" a="1"/>
  <c r="AW17" i="22" s="1"/>
  <c r="AW16" i="22" a="1"/>
  <c r="AW16" i="22" s="1"/>
  <c r="AW15" i="22" a="1"/>
  <c r="AW15" i="22" s="1"/>
  <c r="AW14" i="22" a="1"/>
  <c r="AW14" i="22" s="1"/>
  <c r="AW13" i="22" a="1"/>
  <c r="AW13" i="22" s="1"/>
  <c r="AW12" i="22" a="1"/>
  <c r="AW12" i="22" s="1"/>
  <c r="AW11" i="22" a="1"/>
  <c r="AW11" i="22" s="1"/>
  <c r="AW10" i="22" a="1"/>
  <c r="AW10" i="22" s="1"/>
  <c r="AW9" i="22" a="1"/>
  <c r="AW9" i="22" s="1"/>
  <c r="AO9" i="22" a="1"/>
  <c r="AP3" i="22"/>
  <c r="AO3" i="22"/>
  <c r="AW24" i="21" a="1"/>
  <c r="AW24" i="21" s="1"/>
  <c r="AX24" i="21" s="1" a="1"/>
  <c r="AX24" i="21" s="1"/>
  <c r="AW23" i="21" a="1"/>
  <c r="AW23" i="21" s="1"/>
  <c r="AX23" i="21" s="1" a="1"/>
  <c r="AX23" i="21" s="1"/>
  <c r="AW22" i="21" a="1"/>
  <c r="AW22" i="21" s="1"/>
  <c r="AX22" i="21" s="1" a="1"/>
  <c r="AX22" i="21" s="1"/>
  <c r="AW21" i="21" a="1"/>
  <c r="AW21" i="21" s="1"/>
  <c r="AW20" i="21" a="1"/>
  <c r="AW20" i="21" s="1"/>
  <c r="AW19" i="21" a="1"/>
  <c r="AW19" i="21" s="1"/>
  <c r="AW18" i="21" a="1"/>
  <c r="AW18" i="21" s="1"/>
  <c r="AW17" i="21" a="1"/>
  <c r="AW17" i="21" s="1"/>
  <c r="AW16" i="21" a="1"/>
  <c r="AW16" i="21" s="1"/>
  <c r="AW15" i="21" a="1"/>
  <c r="AW15" i="21" s="1"/>
  <c r="AW14" i="21" a="1"/>
  <c r="AW14" i="21" s="1"/>
  <c r="AW13" i="21" a="1"/>
  <c r="AW13" i="21" s="1"/>
  <c r="AW12" i="21" a="1"/>
  <c r="AW12" i="21" s="1"/>
  <c r="AW11" i="21" a="1"/>
  <c r="AW11" i="21" s="1"/>
  <c r="AW10" i="21" a="1"/>
  <c r="AW10" i="21" s="1"/>
  <c r="AW9" i="21" a="1"/>
  <c r="AW9" i="21" s="1"/>
  <c r="AO9" i="21" a="1"/>
  <c r="AP3" i="21"/>
  <c r="AO3" i="21"/>
  <c r="AW24" i="20" a="1"/>
  <c r="AW24" i="20" s="1"/>
  <c r="AX24" i="20" s="1" a="1"/>
  <c r="AX24" i="20" s="1"/>
  <c r="AW23" i="20" a="1"/>
  <c r="AW23" i="20" s="1"/>
  <c r="AX23" i="20" s="1" a="1"/>
  <c r="AX23" i="20" s="1"/>
  <c r="AW22" i="20" a="1"/>
  <c r="AW22" i="20" s="1"/>
  <c r="AX22" i="20" s="1" a="1"/>
  <c r="AX22" i="20" s="1"/>
  <c r="AW21" i="20" a="1"/>
  <c r="AW21" i="20" s="1"/>
  <c r="AW20" i="20" a="1"/>
  <c r="AW20" i="20" s="1"/>
  <c r="AW19" i="20" a="1"/>
  <c r="AW19" i="20" s="1"/>
  <c r="AW18" i="20" a="1"/>
  <c r="AW18" i="20" s="1"/>
  <c r="AW17" i="20" a="1"/>
  <c r="AW17" i="20" s="1"/>
  <c r="AW16" i="20" a="1"/>
  <c r="AW16" i="20" s="1"/>
  <c r="AW15" i="20" a="1"/>
  <c r="AW15" i="20" s="1"/>
  <c r="AW14" i="20" a="1"/>
  <c r="AW14" i="20" s="1"/>
  <c r="AW13" i="20" a="1"/>
  <c r="AW13" i="20" s="1"/>
  <c r="AW12" i="20" a="1"/>
  <c r="AW12" i="20" s="1"/>
  <c r="AW11" i="20" a="1"/>
  <c r="AW11" i="20" s="1"/>
  <c r="AW10" i="20" a="1"/>
  <c r="AW10" i="20" s="1"/>
  <c r="AW9" i="20" a="1"/>
  <c r="AW9" i="20" s="1"/>
  <c r="AO9" i="20" a="1"/>
  <c r="AP3" i="20"/>
  <c r="AO3" i="20"/>
  <c r="AW24" i="19" a="1"/>
  <c r="AW24" i="19" s="1"/>
  <c r="AX24" i="19" s="1" a="1"/>
  <c r="AX24" i="19" s="1"/>
  <c r="AW23" i="19" a="1"/>
  <c r="AW23" i="19" s="1"/>
  <c r="AX23" i="19" s="1" a="1"/>
  <c r="AX23" i="19" s="1"/>
  <c r="AW22" i="19" a="1"/>
  <c r="AW22" i="19" s="1"/>
  <c r="AX22" i="19" s="1" a="1"/>
  <c r="AX22" i="19" s="1"/>
  <c r="AW21" i="19" a="1"/>
  <c r="AW21" i="19" s="1"/>
  <c r="AW20" i="19" a="1"/>
  <c r="AW20" i="19" s="1"/>
  <c r="AW19" i="19" a="1"/>
  <c r="AW19" i="19" s="1"/>
  <c r="AW18" i="19" a="1"/>
  <c r="AW18" i="19" s="1"/>
  <c r="AW17" i="19" a="1"/>
  <c r="AW17" i="19" s="1"/>
  <c r="AW16" i="19" a="1"/>
  <c r="AW16" i="19" s="1"/>
  <c r="AW15" i="19" a="1"/>
  <c r="AW15" i="19" s="1"/>
  <c r="AW14" i="19" a="1"/>
  <c r="AW14" i="19" s="1"/>
  <c r="AW13" i="19" a="1"/>
  <c r="AW13" i="19" s="1"/>
  <c r="AW12" i="19" a="1"/>
  <c r="AW12" i="19" s="1"/>
  <c r="AW11" i="19" a="1"/>
  <c r="AW11" i="19" s="1"/>
  <c r="AW10" i="19" a="1"/>
  <c r="AW10" i="19" s="1"/>
  <c r="AW9" i="19" a="1"/>
  <c r="AW9" i="19" s="1"/>
  <c r="AO9" i="19" a="1"/>
  <c r="AP3" i="19"/>
  <c r="AO3" i="19"/>
  <c r="AX24" i="18" a="1"/>
  <c r="AX24" i="18" s="1"/>
  <c r="AY24" i="18" s="1" a="1"/>
  <c r="AY24" i="18" s="1"/>
  <c r="AX23" i="18" a="1"/>
  <c r="AX23" i="18" s="1"/>
  <c r="AY23" i="18" s="1" a="1"/>
  <c r="AY23" i="18" s="1"/>
  <c r="AX22" i="18" a="1"/>
  <c r="AX22" i="18" s="1"/>
  <c r="AY22" i="18" s="1" a="1"/>
  <c r="AY22" i="18" s="1"/>
  <c r="AX21" i="18" a="1"/>
  <c r="AX21" i="18" s="1"/>
  <c r="AX20" i="18" a="1"/>
  <c r="AX20" i="18" s="1"/>
  <c r="AX19" i="18" a="1"/>
  <c r="AX19" i="18" s="1"/>
  <c r="AX18" i="18" a="1"/>
  <c r="AX18" i="18" s="1"/>
  <c r="AX17" i="18" a="1"/>
  <c r="AX17" i="18" s="1"/>
  <c r="AX16" i="18" a="1"/>
  <c r="AX16" i="18" s="1"/>
  <c r="AX15" i="18" a="1"/>
  <c r="AX15" i="18" s="1"/>
  <c r="AX14" i="18" a="1"/>
  <c r="AX14" i="18" s="1"/>
  <c r="AX13" i="18" a="1"/>
  <c r="AX13" i="18" s="1"/>
  <c r="AX12" i="18" a="1"/>
  <c r="AX12" i="18" s="1"/>
  <c r="AX11" i="18" a="1"/>
  <c r="AX11" i="18" s="1"/>
  <c r="AX10" i="18" a="1"/>
  <c r="AX10" i="18" s="1"/>
  <c r="AX9" i="18" a="1"/>
  <c r="AX9" i="18" s="1"/>
  <c r="AP9" i="18" a="1"/>
  <c r="AQ3" i="18"/>
  <c r="AP3" i="18"/>
  <c r="AW24" i="17" a="1"/>
  <c r="AW24" i="17" s="1"/>
  <c r="AX24" i="17" s="1" a="1"/>
  <c r="AX24" i="17" s="1"/>
  <c r="AW23" i="17" a="1"/>
  <c r="AW23" i="17" s="1"/>
  <c r="AX23" i="17" s="1" a="1"/>
  <c r="AX23" i="17" s="1"/>
  <c r="AW22" i="17" a="1"/>
  <c r="AW22" i="17" s="1"/>
  <c r="AX22" i="17" s="1" a="1"/>
  <c r="AX22" i="17" s="1"/>
  <c r="AW21" i="17" a="1"/>
  <c r="AW21" i="17" s="1"/>
  <c r="AW20" i="17" a="1"/>
  <c r="AW20" i="17" s="1"/>
  <c r="AW19" i="17" a="1"/>
  <c r="AW19" i="17" s="1"/>
  <c r="AW18" i="17" a="1"/>
  <c r="AW18" i="17" s="1"/>
  <c r="AW17" i="17" a="1"/>
  <c r="AW17" i="17" s="1"/>
  <c r="AW16" i="17" a="1"/>
  <c r="AW16" i="17" s="1"/>
  <c r="AW15" i="17" a="1"/>
  <c r="AW15" i="17" s="1"/>
  <c r="AW14" i="17" a="1"/>
  <c r="AW14" i="17" s="1"/>
  <c r="AW13" i="17" a="1"/>
  <c r="AW13" i="17" s="1"/>
  <c r="AW12" i="17" a="1"/>
  <c r="AW12" i="17" s="1"/>
  <c r="AW11" i="17" a="1"/>
  <c r="AW11" i="17" s="1"/>
  <c r="AW10" i="17" a="1"/>
  <c r="AW10" i="17" s="1"/>
  <c r="AW9" i="17" a="1"/>
  <c r="AW9" i="17" s="1"/>
  <c r="AO9" i="17" a="1"/>
  <c r="AP3" i="17"/>
  <c r="AO3" i="17"/>
  <c r="AX24" i="16" a="1"/>
  <c r="AX24" i="16" s="1"/>
  <c r="AY24" i="16" s="1" a="1"/>
  <c r="AY24" i="16" s="1"/>
  <c r="AX23" i="16" a="1"/>
  <c r="AX23" i="16" s="1"/>
  <c r="AY23" i="16" s="1" a="1"/>
  <c r="AY23" i="16" s="1"/>
  <c r="AX22" i="16" a="1"/>
  <c r="AX22" i="16" s="1"/>
  <c r="AY22" i="16" s="1" a="1"/>
  <c r="AY22" i="16" s="1"/>
  <c r="AX21" i="16" a="1"/>
  <c r="AX21" i="16" s="1"/>
  <c r="AX20" i="16" a="1"/>
  <c r="AX20" i="16" s="1"/>
  <c r="AX19" i="16" a="1"/>
  <c r="AX19" i="16" s="1"/>
  <c r="AX18" i="16" a="1"/>
  <c r="AX18" i="16" s="1"/>
  <c r="AX17" i="16" a="1"/>
  <c r="AX17" i="16" s="1"/>
  <c r="AX16" i="16" a="1"/>
  <c r="AX16" i="16" s="1"/>
  <c r="AX15" i="16" a="1"/>
  <c r="AX15" i="16" s="1"/>
  <c r="AX14" i="16" a="1"/>
  <c r="AX14" i="16" s="1"/>
  <c r="AX13" i="16" a="1"/>
  <c r="AX13" i="16" s="1"/>
  <c r="AX12" i="16" a="1"/>
  <c r="AX12" i="16" s="1"/>
  <c r="AX11" i="16" a="1"/>
  <c r="AX11" i="16" s="1"/>
  <c r="AX10" i="16" a="1"/>
  <c r="AX10" i="16" s="1"/>
  <c r="AX9" i="16" a="1"/>
  <c r="AX9" i="16" s="1"/>
  <c r="AP9" i="16" a="1"/>
  <c r="AQ3" i="16"/>
  <c r="AP3" i="16"/>
  <c r="AW24" i="15" a="1"/>
  <c r="AW24" i="15" s="1"/>
  <c r="AX24" i="15" s="1" a="1"/>
  <c r="AX24" i="15" s="1"/>
  <c r="AW23" i="15" a="1"/>
  <c r="AW23" i="15" s="1"/>
  <c r="AX23" i="15" s="1" a="1"/>
  <c r="AX23" i="15" s="1"/>
  <c r="AW22" i="15" a="1"/>
  <c r="AW22" i="15" s="1"/>
  <c r="AX22" i="15" s="1" a="1"/>
  <c r="AX22" i="15" s="1"/>
  <c r="AW21" i="15" a="1"/>
  <c r="AW21" i="15" s="1"/>
  <c r="AW20" i="15" a="1"/>
  <c r="AW20" i="15" s="1"/>
  <c r="AW19" i="15" a="1"/>
  <c r="AW19" i="15" s="1"/>
  <c r="AW18" i="15" a="1"/>
  <c r="AW18" i="15" s="1"/>
  <c r="AW17" i="15" a="1"/>
  <c r="AW17" i="15" s="1"/>
  <c r="AW16" i="15" a="1"/>
  <c r="AW16" i="15" s="1"/>
  <c r="AW15" i="15" a="1"/>
  <c r="AW15" i="15" s="1"/>
  <c r="AW14" i="15" a="1"/>
  <c r="AW14" i="15" s="1"/>
  <c r="AW13" i="15" a="1"/>
  <c r="AW13" i="15" s="1"/>
  <c r="AW12" i="15" a="1"/>
  <c r="AW12" i="15" s="1"/>
  <c r="AW11" i="15" a="1"/>
  <c r="AW11" i="15" s="1"/>
  <c r="AW10" i="15" a="1"/>
  <c r="AW10" i="15" s="1"/>
  <c r="AW9" i="15" a="1"/>
  <c r="AW9" i="15" s="1"/>
  <c r="AO9" i="15" a="1"/>
  <c r="AP3" i="15"/>
  <c r="AO3" i="15"/>
  <c r="AW24" i="14" a="1"/>
  <c r="AW24" i="14" s="1"/>
  <c r="AX24" i="14" s="1" a="1"/>
  <c r="AX24" i="14" s="1"/>
  <c r="AW23" i="14" a="1"/>
  <c r="AW23" i="14" s="1"/>
  <c r="AX23" i="14" s="1" a="1"/>
  <c r="AX23" i="14" s="1"/>
  <c r="AW22" i="14" a="1"/>
  <c r="AW22" i="14" s="1"/>
  <c r="AX22" i="14" s="1" a="1"/>
  <c r="AX22" i="14" s="1"/>
  <c r="AW21" i="14" a="1"/>
  <c r="AW21" i="14" s="1"/>
  <c r="AW20" i="14" a="1"/>
  <c r="AW20" i="14" s="1"/>
  <c r="AW19" i="14" a="1"/>
  <c r="AW19" i="14" s="1"/>
  <c r="AW18" i="14" a="1"/>
  <c r="AW18" i="14" s="1"/>
  <c r="AW17" i="14" a="1"/>
  <c r="AW17" i="14" s="1"/>
  <c r="AW16" i="14" a="1"/>
  <c r="AW16" i="14" s="1"/>
  <c r="AW15" i="14" a="1"/>
  <c r="AW15" i="14" s="1"/>
  <c r="AW14" i="14" a="1"/>
  <c r="AW14" i="14" s="1"/>
  <c r="AW13" i="14" a="1"/>
  <c r="AW13" i="14" s="1"/>
  <c r="AW12" i="14" a="1"/>
  <c r="AW12" i="14" s="1"/>
  <c r="AW11" i="14" a="1"/>
  <c r="AW11" i="14" s="1"/>
  <c r="AW10" i="14" a="1"/>
  <c r="AW10" i="14" s="1"/>
  <c r="AW9" i="14" a="1"/>
  <c r="AW9" i="14" s="1"/>
  <c r="AO9" i="14" a="1"/>
  <c r="AP3" i="14"/>
  <c r="AO3" i="14"/>
  <c r="AW24" i="13" a="1"/>
  <c r="AW24" i="13" s="1"/>
  <c r="AX24" i="13" s="1" a="1"/>
  <c r="AX24" i="13" s="1"/>
  <c r="AW23" i="13" a="1"/>
  <c r="AW23" i="13" s="1"/>
  <c r="AX23" i="13" s="1" a="1"/>
  <c r="AX23" i="13" s="1"/>
  <c r="AW22" i="13" a="1"/>
  <c r="AW22" i="13" s="1"/>
  <c r="AX22" i="13" s="1" a="1"/>
  <c r="AX22" i="13" s="1"/>
  <c r="AW21" i="13" a="1"/>
  <c r="AW21" i="13" s="1"/>
  <c r="AW20" i="13" a="1"/>
  <c r="AW20" i="13" s="1"/>
  <c r="AW19" i="13" a="1"/>
  <c r="AW19" i="13" s="1"/>
  <c r="AW18" i="13" a="1"/>
  <c r="AW18" i="13" s="1"/>
  <c r="AW17" i="13" a="1"/>
  <c r="AW17" i="13" s="1"/>
  <c r="AW16" i="13" a="1"/>
  <c r="AW16" i="13" s="1"/>
  <c r="AW15" i="13" a="1"/>
  <c r="AW15" i="13" s="1"/>
  <c r="AW14" i="13" a="1"/>
  <c r="AW14" i="13" s="1"/>
  <c r="AW13" i="13" a="1"/>
  <c r="AW13" i="13" s="1"/>
  <c r="AW12" i="13" a="1"/>
  <c r="AW12" i="13" s="1"/>
  <c r="AW11" i="13" a="1"/>
  <c r="AW11" i="13" s="1"/>
  <c r="AW10" i="13" a="1"/>
  <c r="AW10" i="13" s="1"/>
  <c r="AW9" i="13" a="1"/>
  <c r="AW9" i="13" s="1"/>
  <c r="AO9" i="13" a="1"/>
  <c r="AP3" i="13"/>
  <c r="AO3" i="13"/>
  <c r="AW24" i="12" a="1"/>
  <c r="AW24" i="12" s="1"/>
  <c r="AX24" i="12" s="1" a="1"/>
  <c r="AX24" i="12" s="1"/>
  <c r="AW23" i="12" a="1"/>
  <c r="AW23" i="12" s="1"/>
  <c r="AX23" i="12" s="1" a="1"/>
  <c r="AX23" i="12" s="1"/>
  <c r="AW22" i="12" a="1"/>
  <c r="AW22" i="12" s="1"/>
  <c r="AX22" i="12" s="1" a="1"/>
  <c r="AX22" i="12" s="1"/>
  <c r="AW21" i="12" a="1"/>
  <c r="AW21" i="12" s="1"/>
  <c r="AW20" i="12" a="1"/>
  <c r="AW20" i="12" s="1"/>
  <c r="AW19" i="12" a="1"/>
  <c r="AW19" i="12" s="1"/>
  <c r="AW18" i="12" a="1"/>
  <c r="AW18" i="12" s="1"/>
  <c r="AW17" i="12" a="1"/>
  <c r="AW17" i="12" s="1"/>
  <c r="AW16" i="12" a="1"/>
  <c r="AW16" i="12" s="1"/>
  <c r="AW15" i="12" a="1"/>
  <c r="AW15" i="12" s="1"/>
  <c r="AW14" i="12" a="1"/>
  <c r="AW14" i="12" s="1"/>
  <c r="AW13" i="12" a="1"/>
  <c r="AW13" i="12" s="1"/>
  <c r="AW12" i="12" a="1"/>
  <c r="AW12" i="12" s="1"/>
  <c r="AW11" i="12" a="1"/>
  <c r="AW11" i="12" s="1"/>
  <c r="AW10" i="12" a="1"/>
  <c r="AW10" i="12" s="1"/>
  <c r="AW9" i="12" a="1"/>
  <c r="AW9" i="12" s="1"/>
  <c r="AO9" i="12" a="1"/>
  <c r="AP3" i="12"/>
  <c r="AO3" i="12"/>
  <c r="AW24" i="11" a="1"/>
  <c r="AW24" i="11" s="1"/>
  <c r="AX24" i="11" s="1" a="1"/>
  <c r="AX24" i="11" s="1"/>
  <c r="AW23" i="11" a="1"/>
  <c r="AW23" i="11" s="1"/>
  <c r="AX23" i="11" s="1" a="1"/>
  <c r="AX23" i="11" s="1"/>
  <c r="AW22" i="11" a="1"/>
  <c r="AW22" i="11" s="1"/>
  <c r="AX22" i="11" s="1" a="1"/>
  <c r="AX22" i="11" s="1"/>
  <c r="AW21" i="11" a="1"/>
  <c r="AW21" i="11" s="1"/>
  <c r="AW20" i="11" a="1"/>
  <c r="AW20" i="11" s="1"/>
  <c r="AW19" i="11" a="1"/>
  <c r="AW19" i="11" s="1"/>
  <c r="AW18" i="11" a="1"/>
  <c r="AW18" i="11" s="1"/>
  <c r="AW17" i="11" a="1"/>
  <c r="AW17" i="11" s="1"/>
  <c r="AW16" i="11" a="1"/>
  <c r="AW16" i="11" s="1"/>
  <c r="AW15" i="11" a="1"/>
  <c r="AW15" i="11" s="1"/>
  <c r="AW14" i="11" a="1"/>
  <c r="AW14" i="11" s="1"/>
  <c r="AW13" i="11" a="1"/>
  <c r="AW13" i="11" s="1"/>
  <c r="AW12" i="11" a="1"/>
  <c r="AW12" i="11" s="1"/>
  <c r="AW11" i="11" a="1"/>
  <c r="AW11" i="11" s="1"/>
  <c r="AW10" i="11" a="1"/>
  <c r="AW10" i="11" s="1"/>
  <c r="AW9" i="11" a="1"/>
  <c r="AW9" i="11" s="1"/>
  <c r="AO9" i="11" a="1"/>
  <c r="AP3" i="11"/>
  <c r="AO3" i="11"/>
  <c r="AW24" i="10" a="1"/>
  <c r="AW24" i="10" s="1"/>
  <c r="AX24" i="10" s="1" a="1"/>
  <c r="AX24" i="10" s="1"/>
  <c r="AW23" i="10" a="1"/>
  <c r="AW23" i="10" s="1"/>
  <c r="AX23" i="10" s="1" a="1"/>
  <c r="AX23" i="10" s="1"/>
  <c r="AW22" i="10" a="1"/>
  <c r="AW22" i="10" s="1"/>
  <c r="AX22" i="10" s="1" a="1"/>
  <c r="AX22" i="10" s="1"/>
  <c r="AW21" i="10" a="1"/>
  <c r="AW21" i="10" s="1"/>
  <c r="AW20" i="10" a="1"/>
  <c r="AW20" i="10" s="1"/>
  <c r="AW19" i="10" a="1"/>
  <c r="AW19" i="10" s="1"/>
  <c r="AW18" i="10" a="1"/>
  <c r="AW18" i="10" s="1"/>
  <c r="AW17" i="10" a="1"/>
  <c r="AW17" i="10" s="1"/>
  <c r="AW16" i="10" a="1"/>
  <c r="AW16" i="10" s="1"/>
  <c r="AW15" i="10" a="1"/>
  <c r="AW15" i="10" s="1"/>
  <c r="AW14" i="10" a="1"/>
  <c r="AW14" i="10" s="1"/>
  <c r="AW13" i="10" a="1"/>
  <c r="AW13" i="10" s="1"/>
  <c r="AW12" i="10" a="1"/>
  <c r="AW12" i="10" s="1"/>
  <c r="AW11" i="10" a="1"/>
  <c r="AW11" i="10" s="1"/>
  <c r="AW10" i="10" a="1"/>
  <c r="AW10" i="10" s="1"/>
  <c r="AW9" i="10" a="1"/>
  <c r="AW9" i="10" s="1"/>
  <c r="AO9" i="10" a="1"/>
  <c r="AP3" i="10"/>
  <c r="AO3" i="10"/>
  <c r="AW24" i="9" a="1"/>
  <c r="AW24" i="9" s="1"/>
  <c r="AX24" i="9" s="1" a="1"/>
  <c r="AX24" i="9" s="1"/>
  <c r="AW23" i="9" a="1"/>
  <c r="AW23" i="9" s="1"/>
  <c r="AX23" i="9" s="1" a="1"/>
  <c r="AX23" i="9" s="1"/>
  <c r="AW22" i="9" a="1"/>
  <c r="AW22" i="9" s="1"/>
  <c r="AX22" i="9" s="1" a="1"/>
  <c r="AX22" i="9" s="1"/>
  <c r="AW21" i="9" a="1"/>
  <c r="AW21" i="9" s="1"/>
  <c r="AW20" i="9" a="1"/>
  <c r="AW20" i="9" s="1"/>
  <c r="AW19" i="9" a="1"/>
  <c r="AW19" i="9" s="1"/>
  <c r="AW18" i="9" a="1"/>
  <c r="AW18" i="9" s="1"/>
  <c r="AW17" i="9" a="1"/>
  <c r="AW17" i="9" s="1"/>
  <c r="AW16" i="9" a="1"/>
  <c r="AW16" i="9" s="1"/>
  <c r="AW15" i="9" a="1"/>
  <c r="AW15" i="9" s="1"/>
  <c r="AW14" i="9" a="1"/>
  <c r="AW14" i="9" s="1"/>
  <c r="AW13" i="9" a="1"/>
  <c r="AW13" i="9" s="1"/>
  <c r="AW12" i="9" a="1"/>
  <c r="AW12" i="9" s="1"/>
  <c r="AW11" i="9" a="1"/>
  <c r="AW11" i="9" s="1"/>
  <c r="AW10" i="9" a="1"/>
  <c r="AW10" i="9" s="1"/>
  <c r="AW9" i="9" a="1"/>
  <c r="AW9" i="9" s="1"/>
  <c r="AO9" i="9" a="1"/>
  <c r="AP3" i="9"/>
  <c r="AO3" i="9"/>
  <c r="AW24" i="8" a="1"/>
  <c r="AW24" i="8" s="1"/>
  <c r="AX24" i="8" s="1" a="1"/>
  <c r="AX24" i="8" s="1"/>
  <c r="AW23" i="8" a="1"/>
  <c r="AW23" i="8" s="1"/>
  <c r="AX23" i="8" s="1" a="1"/>
  <c r="AX23" i="8" s="1"/>
  <c r="AW22" i="8" a="1"/>
  <c r="AW22" i="8" s="1"/>
  <c r="AX22" i="8" s="1" a="1"/>
  <c r="AX22" i="8" s="1"/>
  <c r="AW21" i="8" a="1"/>
  <c r="AW21" i="8" s="1"/>
  <c r="AW20" i="8" a="1"/>
  <c r="AW20" i="8" s="1"/>
  <c r="AW19" i="8" a="1"/>
  <c r="AW19" i="8" s="1"/>
  <c r="AW18" i="8" a="1"/>
  <c r="AW18" i="8" s="1"/>
  <c r="AW17" i="8" a="1"/>
  <c r="AW17" i="8" s="1"/>
  <c r="AW16" i="8" a="1"/>
  <c r="AW16" i="8" s="1"/>
  <c r="AW15" i="8" a="1"/>
  <c r="AW15" i="8" s="1"/>
  <c r="AW14" i="8" a="1"/>
  <c r="AW14" i="8" s="1"/>
  <c r="AW13" i="8" a="1"/>
  <c r="AW13" i="8" s="1"/>
  <c r="AW12" i="8" a="1"/>
  <c r="AW12" i="8" s="1"/>
  <c r="AW11" i="8" a="1"/>
  <c r="AW11" i="8" s="1"/>
  <c r="AW10" i="8" a="1"/>
  <c r="AW10" i="8" s="1"/>
  <c r="AW9" i="8" a="1"/>
  <c r="AW9" i="8" s="1"/>
  <c r="AO9" i="8" a="1"/>
  <c r="AP3" i="8"/>
  <c r="AO3" i="8"/>
  <c r="AW24" i="7" a="1"/>
  <c r="AW24" i="7" s="1"/>
  <c r="AX24" i="7" s="1" a="1"/>
  <c r="AX24" i="7" s="1"/>
  <c r="AW23" i="7" a="1"/>
  <c r="AW23" i="7" s="1"/>
  <c r="AX23" i="7" s="1" a="1"/>
  <c r="AX23" i="7" s="1"/>
  <c r="AW22" i="7" a="1"/>
  <c r="AW22" i="7" s="1"/>
  <c r="AX22" i="7" s="1" a="1"/>
  <c r="AX22" i="7" s="1"/>
  <c r="AW21" i="7" a="1"/>
  <c r="AW21" i="7" s="1"/>
  <c r="AW20" i="7" a="1"/>
  <c r="AW20" i="7" s="1"/>
  <c r="AW19" i="7" a="1"/>
  <c r="AW19" i="7" s="1"/>
  <c r="AW18" i="7" a="1"/>
  <c r="AW18" i="7" s="1"/>
  <c r="AW17" i="7" a="1"/>
  <c r="AW17" i="7" s="1"/>
  <c r="AW16" i="7" a="1"/>
  <c r="AW16" i="7" s="1"/>
  <c r="AW15" i="7" a="1"/>
  <c r="AW15" i="7" s="1"/>
  <c r="AW14" i="7" a="1"/>
  <c r="AW14" i="7" s="1"/>
  <c r="AW13" i="7" a="1"/>
  <c r="AW13" i="7" s="1"/>
  <c r="AW12" i="7" a="1"/>
  <c r="AW12" i="7" s="1"/>
  <c r="AW11" i="7" a="1"/>
  <c r="AW11" i="7" s="1"/>
  <c r="AW10" i="7" a="1"/>
  <c r="AW10" i="7" s="1"/>
  <c r="AW9" i="7" a="1"/>
  <c r="AW9" i="7" s="1"/>
  <c r="AO9" i="7" a="1"/>
  <c r="AP3" i="7"/>
  <c r="AO3" i="7"/>
  <c r="AX24" i="6" a="1"/>
  <c r="AX24" i="6" s="1"/>
  <c r="AY24" i="6" s="1" a="1"/>
  <c r="AY24" i="6" s="1"/>
  <c r="AX23" i="6" a="1"/>
  <c r="AX23" i="6" s="1"/>
  <c r="AY23" i="6" s="1" a="1"/>
  <c r="AY23" i="6" s="1"/>
  <c r="AX22" i="6" a="1"/>
  <c r="AX22" i="6" s="1"/>
  <c r="AY22" i="6" s="1" a="1"/>
  <c r="AY22" i="6" s="1"/>
  <c r="AX21" i="6" a="1"/>
  <c r="AX21" i="6" s="1"/>
  <c r="AX20" i="6" a="1"/>
  <c r="AX20" i="6" s="1"/>
  <c r="AX19" i="6" a="1"/>
  <c r="AX19" i="6" s="1"/>
  <c r="AX18" i="6" a="1"/>
  <c r="AX18" i="6" s="1"/>
  <c r="AX17" i="6" a="1"/>
  <c r="AX17" i="6" s="1"/>
  <c r="AX16" i="6" a="1"/>
  <c r="AX16" i="6" s="1"/>
  <c r="AX15" i="6" a="1"/>
  <c r="AX15" i="6" s="1"/>
  <c r="AX14" i="6" a="1"/>
  <c r="AX14" i="6" s="1"/>
  <c r="AX13" i="6" a="1"/>
  <c r="AX13" i="6" s="1"/>
  <c r="AX12" i="6" a="1"/>
  <c r="AX12" i="6" s="1"/>
  <c r="AX11" i="6" a="1"/>
  <c r="AX11" i="6" s="1"/>
  <c r="AX10" i="6" a="1"/>
  <c r="AX10" i="6" s="1"/>
  <c r="AX9" i="6" a="1"/>
  <c r="AX9" i="6" s="1"/>
  <c r="AP9" i="6" a="1"/>
  <c r="AQ3" i="6"/>
  <c r="AP3" i="6"/>
  <c r="AW24" i="5" a="1"/>
  <c r="AW24" i="5" s="1"/>
  <c r="AX24" i="5" s="1" a="1"/>
  <c r="AX24" i="5" s="1"/>
  <c r="AW23" i="5" a="1"/>
  <c r="AW23" i="5" s="1"/>
  <c r="AX23" i="5" s="1" a="1"/>
  <c r="AX23" i="5" s="1"/>
  <c r="AW22" i="5" a="1"/>
  <c r="AW22" i="5" s="1"/>
  <c r="AX22" i="5" s="1" a="1"/>
  <c r="AX22" i="5" s="1"/>
  <c r="AW21" i="5" a="1"/>
  <c r="AW21" i="5" s="1"/>
  <c r="AW20" i="5" a="1"/>
  <c r="AW20" i="5" s="1"/>
  <c r="AW19" i="5" a="1"/>
  <c r="AW19" i="5" s="1"/>
  <c r="AW18" i="5" a="1"/>
  <c r="AW18" i="5" s="1"/>
  <c r="AW17" i="5" a="1"/>
  <c r="AW17" i="5" s="1"/>
  <c r="AW16" i="5" a="1"/>
  <c r="AW16" i="5" s="1"/>
  <c r="AW15" i="5" a="1"/>
  <c r="AW15" i="5" s="1"/>
  <c r="AW14" i="5" a="1"/>
  <c r="AW14" i="5" s="1"/>
  <c r="AW13" i="5" a="1"/>
  <c r="AW13" i="5" s="1"/>
  <c r="AW12" i="5" a="1"/>
  <c r="AW12" i="5" s="1"/>
  <c r="AW11" i="5" a="1"/>
  <c r="AW11" i="5" s="1"/>
  <c r="AW10" i="5" a="1"/>
  <c r="AW10" i="5" s="1"/>
  <c r="AW9" i="5" a="1"/>
  <c r="AW9" i="5" s="1"/>
  <c r="AO9" i="5" a="1"/>
  <c r="AP3" i="5"/>
  <c r="AO3" i="5"/>
  <c r="A197" i="1"/>
  <c r="A89" i="1"/>
  <c r="AO9" i="17" l="1"/>
  <c r="AO9" i="11"/>
  <c r="AO9" i="33"/>
  <c r="AO9" i="10"/>
  <c r="AO9" i="14"/>
  <c r="AO9" i="7"/>
  <c r="AO9" i="9"/>
  <c r="AO9" i="20"/>
  <c r="AO9" i="34"/>
  <c r="AO9" i="5"/>
  <c r="AO9" i="13"/>
  <c r="AO9" i="12"/>
  <c r="AO9" i="15"/>
  <c r="AP9" i="16"/>
  <c r="AP9" i="18"/>
  <c r="AO9" i="31"/>
  <c r="AO9" i="28"/>
  <c r="AO9" i="8"/>
  <c r="AO9" i="27"/>
  <c r="AO9" i="21"/>
  <c r="AO9" i="26"/>
  <c r="AO9" i="30"/>
  <c r="AO9" i="24"/>
  <c r="AR3" i="14"/>
  <c r="AR3" i="11"/>
  <c r="AS3" i="16"/>
  <c r="B3" i="16" s="1"/>
  <c r="AR3" i="30"/>
  <c r="B3" i="30" s="1"/>
  <c r="AR3" i="31"/>
  <c r="B3" i="31" s="1"/>
  <c r="AR3" i="13"/>
  <c r="AR3" i="19"/>
  <c r="B3" i="19" s="1"/>
  <c r="AR3" i="21"/>
  <c r="B3" i="21" s="1"/>
  <c r="AR3" i="28"/>
  <c r="AR3" i="25"/>
  <c r="AR3" i="27"/>
  <c r="AS3" i="18"/>
  <c r="B3" i="18" s="1"/>
  <c r="AR3" i="22"/>
  <c r="B3" i="22" s="1"/>
  <c r="AR3" i="12"/>
  <c r="AR3" i="29"/>
  <c r="AR3" i="34"/>
  <c r="B3" i="34" s="1"/>
  <c r="AR3" i="5"/>
  <c r="AR3" i="17"/>
  <c r="B3" i="17" s="1"/>
  <c r="AR3" i="32"/>
  <c r="B3" i="32" s="1"/>
  <c r="AR3" i="9"/>
  <c r="B3" i="9" s="1"/>
  <c r="AS3" i="6"/>
  <c r="AR3" i="7"/>
  <c r="B3" i="7" s="1"/>
  <c r="AR3" i="10"/>
  <c r="B3" i="10" s="1"/>
  <c r="AR3" i="23"/>
  <c r="AR3" i="8"/>
  <c r="B3" i="8" s="1"/>
  <c r="AR3" i="33"/>
  <c r="B3" i="33" s="1"/>
  <c r="AR3" i="15"/>
  <c r="B3" i="15" s="1"/>
  <c r="AR3" i="20"/>
  <c r="B3" i="20" s="1"/>
  <c r="AR3" i="24"/>
  <c r="AR3" i="26"/>
  <c r="B3" i="26" s="1"/>
  <c r="AO9" i="32"/>
  <c r="AO9" i="29"/>
  <c r="AO9" i="25"/>
  <c r="AO9" i="23"/>
  <c r="AO9" i="22"/>
  <c r="AO9" i="19"/>
  <c r="AP9" i="6"/>
  <c r="AO9" i="4" a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55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28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01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74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47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20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93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66" i="1"/>
  <c r="A40" i="1"/>
  <c r="A41" i="1"/>
  <c r="E25" i="1" s="1"/>
  <c r="A42" i="1"/>
  <c r="A43" i="1"/>
  <c r="E26" i="1" s="1"/>
  <c r="A44" i="1"/>
  <c r="A45" i="1"/>
  <c r="E27" i="1" s="1"/>
  <c r="A46" i="1"/>
  <c r="A47" i="1"/>
  <c r="E28" i="1" s="1"/>
  <c r="A48" i="1"/>
  <c r="A49" i="1"/>
  <c r="E29" i="1" s="1"/>
  <c r="A50" i="1"/>
  <c r="A51" i="1"/>
  <c r="E30" i="1" s="1"/>
  <c r="A52" i="1"/>
  <c r="A53" i="1"/>
  <c r="E31" i="1" s="1"/>
  <c r="A54" i="1"/>
  <c r="A55" i="1"/>
  <c r="E32" i="1" s="1"/>
  <c r="A56" i="1"/>
  <c r="A57" i="1"/>
  <c r="E33" i="1" s="1"/>
  <c r="A58" i="1"/>
  <c r="A59" i="1"/>
  <c r="E34" i="1" s="1"/>
  <c r="A60" i="1"/>
  <c r="A61" i="1"/>
  <c r="E35" i="1" s="1"/>
  <c r="A62" i="1"/>
  <c r="A39" i="1"/>
  <c r="AW24" i="4" a="1"/>
  <c r="AW24" i="4" s="1"/>
  <c r="AX24" i="4" s="1" a="1"/>
  <c r="AX24" i="4" s="1"/>
  <c r="AW23" i="4" a="1"/>
  <c r="AW23" i="4" s="1"/>
  <c r="AX23" i="4" s="1" a="1"/>
  <c r="AX23" i="4" s="1"/>
  <c r="AW22" i="4" a="1"/>
  <c r="AW22" i="4" s="1"/>
  <c r="AX22" i="4" s="1" a="1"/>
  <c r="AX22" i="4" s="1"/>
  <c r="AW21" i="4" a="1"/>
  <c r="AW21" i="4" s="1"/>
  <c r="AW20" i="4" a="1"/>
  <c r="AW20" i="4" s="1"/>
  <c r="AW19" i="4" a="1"/>
  <c r="AW19" i="4" s="1"/>
  <c r="AW18" i="4" a="1"/>
  <c r="AW18" i="4" s="1"/>
  <c r="AW17" i="4" a="1"/>
  <c r="AW17" i="4" s="1"/>
  <c r="AW16" i="4" a="1"/>
  <c r="AW16" i="4" s="1"/>
  <c r="AW15" i="4" a="1"/>
  <c r="AW15" i="4" s="1"/>
  <c r="AW14" i="4" a="1"/>
  <c r="AW14" i="4" s="1"/>
  <c r="AW13" i="4" a="1"/>
  <c r="AW13" i="4" s="1"/>
  <c r="AW12" i="4" a="1"/>
  <c r="AW12" i="4" s="1"/>
  <c r="AW11" i="4" a="1"/>
  <c r="AW11" i="4" s="1"/>
  <c r="AW10" i="4" a="1"/>
  <c r="AW10" i="4" s="1"/>
  <c r="AW9" i="4" a="1"/>
  <c r="AW9" i="4" s="1"/>
  <c r="AP3" i="4"/>
  <c r="AO3" i="4"/>
  <c r="C3" i="2"/>
  <c r="X278" i="1"/>
  <c r="F278" i="1"/>
  <c r="X277" i="1"/>
  <c r="F277" i="1"/>
  <c r="X276" i="1"/>
  <c r="F276" i="1"/>
  <c r="X275" i="1"/>
  <c r="F275" i="1"/>
  <c r="X274" i="1"/>
  <c r="F274" i="1"/>
  <c r="X273" i="1"/>
  <c r="F273" i="1"/>
  <c r="X272" i="1"/>
  <c r="F272" i="1"/>
  <c r="X271" i="1"/>
  <c r="F271" i="1"/>
  <c r="X270" i="1"/>
  <c r="F270" i="1"/>
  <c r="X269" i="1"/>
  <c r="F269" i="1"/>
  <c r="X268" i="1"/>
  <c r="F268" i="1"/>
  <c r="X267" i="1"/>
  <c r="F267" i="1"/>
  <c r="AB266" i="1"/>
  <c r="AA266" i="1"/>
  <c r="Z266" i="1"/>
  <c r="X266" i="1"/>
  <c r="F266" i="1"/>
  <c r="AB265" i="1"/>
  <c r="AA265" i="1"/>
  <c r="Z265" i="1"/>
  <c r="X265" i="1"/>
  <c r="F265" i="1"/>
  <c r="AB264" i="1"/>
  <c r="AA264" i="1"/>
  <c r="Z264" i="1"/>
  <c r="X264" i="1"/>
  <c r="F264" i="1"/>
  <c r="AB263" i="1"/>
  <c r="AA263" i="1"/>
  <c r="Z263" i="1"/>
  <c r="X263" i="1"/>
  <c r="F263" i="1"/>
  <c r="AB262" i="1"/>
  <c r="AA262" i="1"/>
  <c r="Z262" i="1"/>
  <c r="X262" i="1"/>
  <c r="F262" i="1"/>
  <c r="AB261" i="1"/>
  <c r="AA261" i="1"/>
  <c r="Z261" i="1"/>
  <c r="X261" i="1"/>
  <c r="F261" i="1"/>
  <c r="AB260" i="1"/>
  <c r="AA260" i="1"/>
  <c r="Z260" i="1"/>
  <c r="X260" i="1"/>
  <c r="F260" i="1"/>
  <c r="AB259" i="1"/>
  <c r="AA259" i="1"/>
  <c r="Z259" i="1"/>
  <c r="X259" i="1"/>
  <c r="F259" i="1"/>
  <c r="AB258" i="1"/>
  <c r="AA258" i="1"/>
  <c r="Z258" i="1"/>
  <c r="X258" i="1"/>
  <c r="F258" i="1"/>
  <c r="AB257" i="1"/>
  <c r="AA257" i="1"/>
  <c r="Z257" i="1"/>
  <c r="X257" i="1"/>
  <c r="F257" i="1"/>
  <c r="AB256" i="1"/>
  <c r="AA256" i="1"/>
  <c r="Z256" i="1"/>
  <c r="X256" i="1"/>
  <c r="F256" i="1"/>
  <c r="X255" i="1"/>
  <c r="F255" i="1"/>
  <c r="X251" i="1"/>
  <c r="F251" i="1"/>
  <c r="X250" i="1"/>
  <c r="F250" i="1"/>
  <c r="X249" i="1"/>
  <c r="F249" i="1"/>
  <c r="X248" i="1"/>
  <c r="F248" i="1"/>
  <c r="X247" i="1"/>
  <c r="F247" i="1"/>
  <c r="X246" i="1"/>
  <c r="F246" i="1"/>
  <c r="X245" i="1"/>
  <c r="F245" i="1"/>
  <c r="X244" i="1"/>
  <c r="F244" i="1"/>
  <c r="X243" i="1"/>
  <c r="F243" i="1"/>
  <c r="X242" i="1"/>
  <c r="F242" i="1"/>
  <c r="X241" i="1"/>
  <c r="F241" i="1"/>
  <c r="X240" i="1"/>
  <c r="F240" i="1"/>
  <c r="AB239" i="1"/>
  <c r="AA239" i="1"/>
  <c r="Z239" i="1"/>
  <c r="X239" i="1"/>
  <c r="F239" i="1"/>
  <c r="AB238" i="1"/>
  <c r="AA238" i="1"/>
  <c r="Z238" i="1"/>
  <c r="X238" i="1"/>
  <c r="F238" i="1"/>
  <c r="AB237" i="1"/>
  <c r="AA237" i="1"/>
  <c r="Z237" i="1"/>
  <c r="X237" i="1"/>
  <c r="F237" i="1"/>
  <c r="AB236" i="1"/>
  <c r="AA236" i="1"/>
  <c r="Z236" i="1"/>
  <c r="X236" i="1"/>
  <c r="F236" i="1"/>
  <c r="AB235" i="1"/>
  <c r="AA235" i="1"/>
  <c r="Z235" i="1"/>
  <c r="X235" i="1"/>
  <c r="F235" i="1"/>
  <c r="AB234" i="1"/>
  <c r="AA234" i="1"/>
  <c r="Z234" i="1"/>
  <c r="X234" i="1"/>
  <c r="F234" i="1"/>
  <c r="AB233" i="1"/>
  <c r="AA233" i="1"/>
  <c r="Z233" i="1"/>
  <c r="X233" i="1"/>
  <c r="F233" i="1"/>
  <c r="AB232" i="1"/>
  <c r="AA232" i="1"/>
  <c r="Z232" i="1"/>
  <c r="X232" i="1"/>
  <c r="F232" i="1"/>
  <c r="AB231" i="1"/>
  <c r="AA231" i="1"/>
  <c r="Z231" i="1"/>
  <c r="X231" i="1"/>
  <c r="F231" i="1"/>
  <c r="AB230" i="1"/>
  <c r="AA230" i="1"/>
  <c r="Z230" i="1"/>
  <c r="X230" i="1"/>
  <c r="F230" i="1"/>
  <c r="AB229" i="1"/>
  <c r="AA229" i="1"/>
  <c r="Z229" i="1"/>
  <c r="X229" i="1"/>
  <c r="F229" i="1"/>
  <c r="X228" i="1"/>
  <c r="F228" i="1"/>
  <c r="X224" i="1"/>
  <c r="F224" i="1"/>
  <c r="X223" i="1"/>
  <c r="F223" i="1"/>
  <c r="X222" i="1"/>
  <c r="F222" i="1"/>
  <c r="X221" i="1"/>
  <c r="F221" i="1"/>
  <c r="X220" i="1"/>
  <c r="F220" i="1"/>
  <c r="X219" i="1"/>
  <c r="F219" i="1"/>
  <c r="X218" i="1"/>
  <c r="F218" i="1"/>
  <c r="X217" i="1"/>
  <c r="F217" i="1"/>
  <c r="X216" i="1"/>
  <c r="F216" i="1"/>
  <c r="X215" i="1"/>
  <c r="F215" i="1"/>
  <c r="X214" i="1"/>
  <c r="F214" i="1"/>
  <c r="X213" i="1"/>
  <c r="F213" i="1"/>
  <c r="AB212" i="1"/>
  <c r="AA212" i="1"/>
  <c r="Z212" i="1"/>
  <c r="X212" i="1"/>
  <c r="F212" i="1"/>
  <c r="AB211" i="1"/>
  <c r="AA211" i="1"/>
  <c r="Z211" i="1"/>
  <c r="X211" i="1"/>
  <c r="F211" i="1"/>
  <c r="AB210" i="1"/>
  <c r="AA210" i="1"/>
  <c r="Z210" i="1"/>
  <c r="X210" i="1"/>
  <c r="F210" i="1"/>
  <c r="AB209" i="1"/>
  <c r="AA209" i="1"/>
  <c r="Z209" i="1"/>
  <c r="X209" i="1"/>
  <c r="F209" i="1"/>
  <c r="AB208" i="1"/>
  <c r="AA208" i="1"/>
  <c r="Z208" i="1"/>
  <c r="X208" i="1"/>
  <c r="F208" i="1"/>
  <c r="AB207" i="1"/>
  <c r="AA207" i="1"/>
  <c r="Z207" i="1"/>
  <c r="X207" i="1"/>
  <c r="F207" i="1"/>
  <c r="AB206" i="1"/>
  <c r="AA206" i="1"/>
  <c r="Z206" i="1"/>
  <c r="X206" i="1"/>
  <c r="F206" i="1"/>
  <c r="AB205" i="1"/>
  <c r="AA205" i="1"/>
  <c r="Z205" i="1"/>
  <c r="X205" i="1"/>
  <c r="F205" i="1"/>
  <c r="AB204" i="1"/>
  <c r="AA204" i="1"/>
  <c r="Z204" i="1"/>
  <c r="X204" i="1"/>
  <c r="F204" i="1"/>
  <c r="AB203" i="1"/>
  <c r="AA203" i="1"/>
  <c r="Z203" i="1"/>
  <c r="X203" i="1"/>
  <c r="F203" i="1"/>
  <c r="AB202" i="1"/>
  <c r="AA202" i="1"/>
  <c r="Z202" i="1"/>
  <c r="X202" i="1"/>
  <c r="F202" i="1"/>
  <c r="X201" i="1"/>
  <c r="F201" i="1"/>
  <c r="X197" i="1"/>
  <c r="F197" i="1"/>
  <c r="X196" i="1"/>
  <c r="F196" i="1"/>
  <c r="X195" i="1"/>
  <c r="F195" i="1"/>
  <c r="X194" i="1"/>
  <c r="F194" i="1"/>
  <c r="X193" i="1"/>
  <c r="F193" i="1"/>
  <c r="X192" i="1"/>
  <c r="F192" i="1"/>
  <c r="X191" i="1"/>
  <c r="F191" i="1"/>
  <c r="X190" i="1"/>
  <c r="F190" i="1"/>
  <c r="X189" i="1"/>
  <c r="F189" i="1"/>
  <c r="X188" i="1"/>
  <c r="F188" i="1"/>
  <c r="X187" i="1"/>
  <c r="F187" i="1"/>
  <c r="X186" i="1"/>
  <c r="F186" i="1"/>
  <c r="X185" i="1"/>
  <c r="F185" i="1"/>
  <c r="AB184" i="1"/>
  <c r="AA184" i="1"/>
  <c r="Z184" i="1"/>
  <c r="X184" i="1"/>
  <c r="F184" i="1"/>
  <c r="AB183" i="1"/>
  <c r="AA183" i="1"/>
  <c r="Z183" i="1"/>
  <c r="X183" i="1"/>
  <c r="F183" i="1"/>
  <c r="AB182" i="1"/>
  <c r="AA182" i="1"/>
  <c r="Z182" i="1"/>
  <c r="X182" i="1"/>
  <c r="F182" i="1"/>
  <c r="AB181" i="1"/>
  <c r="AA181" i="1"/>
  <c r="Z181" i="1"/>
  <c r="X181" i="1"/>
  <c r="F181" i="1"/>
  <c r="AB180" i="1"/>
  <c r="AA180" i="1"/>
  <c r="Z180" i="1"/>
  <c r="X180" i="1"/>
  <c r="F180" i="1"/>
  <c r="AB179" i="1"/>
  <c r="AA179" i="1"/>
  <c r="Z179" i="1"/>
  <c r="X179" i="1"/>
  <c r="F179" i="1"/>
  <c r="AB178" i="1"/>
  <c r="AA178" i="1"/>
  <c r="Z178" i="1"/>
  <c r="X178" i="1"/>
  <c r="F178" i="1"/>
  <c r="AB177" i="1"/>
  <c r="AA177" i="1"/>
  <c r="Z177" i="1"/>
  <c r="X177" i="1"/>
  <c r="F177" i="1"/>
  <c r="AB176" i="1"/>
  <c r="AA176" i="1"/>
  <c r="Z176" i="1"/>
  <c r="X176" i="1"/>
  <c r="F176" i="1"/>
  <c r="AB175" i="1"/>
  <c r="AA175" i="1"/>
  <c r="Z175" i="1"/>
  <c r="X175" i="1"/>
  <c r="F175" i="1"/>
  <c r="X174" i="1"/>
  <c r="F174" i="1"/>
  <c r="X170" i="1"/>
  <c r="F170" i="1"/>
  <c r="X169" i="1"/>
  <c r="F169" i="1"/>
  <c r="X168" i="1"/>
  <c r="F168" i="1"/>
  <c r="X167" i="1"/>
  <c r="F167" i="1"/>
  <c r="X166" i="1"/>
  <c r="F166" i="1"/>
  <c r="X165" i="1"/>
  <c r="F165" i="1"/>
  <c r="X164" i="1"/>
  <c r="F164" i="1"/>
  <c r="X163" i="1"/>
  <c r="F163" i="1"/>
  <c r="X162" i="1"/>
  <c r="F162" i="1"/>
  <c r="X161" i="1"/>
  <c r="F161" i="1"/>
  <c r="X160" i="1"/>
  <c r="F160" i="1"/>
  <c r="X159" i="1"/>
  <c r="F159" i="1"/>
  <c r="X158" i="1"/>
  <c r="F158" i="1"/>
  <c r="AB157" i="1"/>
  <c r="AA157" i="1"/>
  <c r="Z157" i="1"/>
  <c r="X157" i="1"/>
  <c r="F157" i="1"/>
  <c r="AB156" i="1"/>
  <c r="AA156" i="1"/>
  <c r="Z156" i="1"/>
  <c r="X156" i="1"/>
  <c r="F156" i="1"/>
  <c r="AB155" i="1"/>
  <c r="AA155" i="1"/>
  <c r="Z155" i="1"/>
  <c r="X155" i="1"/>
  <c r="F155" i="1"/>
  <c r="AB154" i="1"/>
  <c r="AA154" i="1"/>
  <c r="Z154" i="1"/>
  <c r="X154" i="1"/>
  <c r="F154" i="1"/>
  <c r="AB153" i="1"/>
  <c r="AA153" i="1"/>
  <c r="Z153" i="1"/>
  <c r="X153" i="1"/>
  <c r="F153" i="1"/>
  <c r="AB152" i="1"/>
  <c r="AA152" i="1"/>
  <c r="Z152" i="1"/>
  <c r="X152" i="1"/>
  <c r="F152" i="1"/>
  <c r="AB151" i="1"/>
  <c r="AA151" i="1"/>
  <c r="Z151" i="1"/>
  <c r="X151" i="1"/>
  <c r="F151" i="1"/>
  <c r="AB150" i="1"/>
  <c r="AA150" i="1"/>
  <c r="Z150" i="1"/>
  <c r="X150" i="1"/>
  <c r="F150" i="1"/>
  <c r="AB149" i="1"/>
  <c r="AA149" i="1"/>
  <c r="Z149" i="1"/>
  <c r="X149" i="1"/>
  <c r="F149" i="1"/>
  <c r="AB148" i="1"/>
  <c r="AA148" i="1"/>
  <c r="Z148" i="1"/>
  <c r="X148" i="1"/>
  <c r="F148" i="1"/>
  <c r="X147" i="1"/>
  <c r="F147" i="1"/>
  <c r="X143" i="1"/>
  <c r="F143" i="1"/>
  <c r="X142" i="1"/>
  <c r="F142" i="1"/>
  <c r="X141" i="1"/>
  <c r="F141" i="1"/>
  <c r="X140" i="1"/>
  <c r="F140" i="1"/>
  <c r="X139" i="1"/>
  <c r="F139" i="1"/>
  <c r="X138" i="1"/>
  <c r="F138" i="1"/>
  <c r="X137" i="1"/>
  <c r="F137" i="1"/>
  <c r="X136" i="1"/>
  <c r="F136" i="1"/>
  <c r="X135" i="1"/>
  <c r="F135" i="1"/>
  <c r="X134" i="1"/>
  <c r="F134" i="1"/>
  <c r="X133" i="1"/>
  <c r="F133" i="1"/>
  <c r="X132" i="1"/>
  <c r="F132" i="1"/>
  <c r="X131" i="1"/>
  <c r="F131" i="1"/>
  <c r="AB130" i="1"/>
  <c r="AA130" i="1"/>
  <c r="Z130" i="1"/>
  <c r="X130" i="1"/>
  <c r="F130" i="1"/>
  <c r="AB129" i="1"/>
  <c r="AA129" i="1"/>
  <c r="Z129" i="1"/>
  <c r="X129" i="1"/>
  <c r="F129" i="1"/>
  <c r="AB128" i="1"/>
  <c r="AA128" i="1"/>
  <c r="Z128" i="1"/>
  <c r="X128" i="1"/>
  <c r="F128" i="1"/>
  <c r="AB127" i="1"/>
  <c r="AA127" i="1"/>
  <c r="Z127" i="1"/>
  <c r="X127" i="1"/>
  <c r="F127" i="1"/>
  <c r="AB126" i="1"/>
  <c r="AA126" i="1"/>
  <c r="Z126" i="1"/>
  <c r="X126" i="1"/>
  <c r="F126" i="1"/>
  <c r="AB125" i="1"/>
  <c r="AA125" i="1"/>
  <c r="Z125" i="1"/>
  <c r="X125" i="1"/>
  <c r="F125" i="1"/>
  <c r="AB124" i="1"/>
  <c r="AA124" i="1"/>
  <c r="Z124" i="1"/>
  <c r="X124" i="1"/>
  <c r="F124" i="1"/>
  <c r="AB123" i="1"/>
  <c r="AA123" i="1"/>
  <c r="Z123" i="1"/>
  <c r="X123" i="1"/>
  <c r="F123" i="1"/>
  <c r="AB122" i="1"/>
  <c r="AA122" i="1"/>
  <c r="Z122" i="1"/>
  <c r="X122" i="1"/>
  <c r="F122" i="1"/>
  <c r="AB121" i="1"/>
  <c r="AA121" i="1"/>
  <c r="Z121" i="1"/>
  <c r="X121" i="1"/>
  <c r="F121" i="1"/>
  <c r="X120" i="1"/>
  <c r="F120" i="1"/>
  <c r="X116" i="1"/>
  <c r="F116" i="1"/>
  <c r="X115" i="1"/>
  <c r="F115" i="1"/>
  <c r="X114" i="1"/>
  <c r="F114" i="1"/>
  <c r="X113" i="1"/>
  <c r="F113" i="1"/>
  <c r="X112" i="1"/>
  <c r="F112" i="1"/>
  <c r="X111" i="1"/>
  <c r="F111" i="1"/>
  <c r="X110" i="1"/>
  <c r="F110" i="1"/>
  <c r="X109" i="1"/>
  <c r="F109" i="1"/>
  <c r="X108" i="1"/>
  <c r="F108" i="1"/>
  <c r="X107" i="1"/>
  <c r="F107" i="1"/>
  <c r="X106" i="1"/>
  <c r="F106" i="1"/>
  <c r="X105" i="1"/>
  <c r="F105" i="1"/>
  <c r="X104" i="1"/>
  <c r="F104" i="1"/>
  <c r="X103" i="1"/>
  <c r="F103" i="1"/>
  <c r="AB102" i="1"/>
  <c r="AA102" i="1"/>
  <c r="Z102" i="1"/>
  <c r="X102" i="1"/>
  <c r="F102" i="1"/>
  <c r="AB101" i="1"/>
  <c r="AA101" i="1"/>
  <c r="Z101" i="1"/>
  <c r="X101" i="1"/>
  <c r="F101" i="1"/>
  <c r="AB100" i="1"/>
  <c r="AA100" i="1"/>
  <c r="Z100" i="1"/>
  <c r="X100" i="1"/>
  <c r="F100" i="1"/>
  <c r="AB99" i="1"/>
  <c r="AA99" i="1"/>
  <c r="Z99" i="1"/>
  <c r="X99" i="1"/>
  <c r="F99" i="1"/>
  <c r="AB98" i="1"/>
  <c r="AA98" i="1"/>
  <c r="Z98" i="1"/>
  <c r="X98" i="1"/>
  <c r="F98" i="1"/>
  <c r="AB97" i="1"/>
  <c r="AA97" i="1"/>
  <c r="Z97" i="1"/>
  <c r="X97" i="1"/>
  <c r="F97" i="1"/>
  <c r="AB96" i="1"/>
  <c r="AA96" i="1"/>
  <c r="Z96" i="1"/>
  <c r="X96" i="1"/>
  <c r="F96" i="1"/>
  <c r="AB95" i="1"/>
  <c r="AA95" i="1"/>
  <c r="Z95" i="1"/>
  <c r="X95" i="1"/>
  <c r="F95" i="1"/>
  <c r="AB94" i="1"/>
  <c r="AA94" i="1"/>
  <c r="Z94" i="1"/>
  <c r="X94" i="1"/>
  <c r="F94" i="1"/>
  <c r="X93" i="1"/>
  <c r="F93" i="1"/>
  <c r="X89" i="1"/>
  <c r="F89" i="1"/>
  <c r="X88" i="1"/>
  <c r="F88" i="1"/>
  <c r="X87" i="1"/>
  <c r="F87" i="1"/>
  <c r="X86" i="1"/>
  <c r="F86" i="1"/>
  <c r="X85" i="1"/>
  <c r="F85" i="1"/>
  <c r="X84" i="1"/>
  <c r="F84" i="1"/>
  <c r="X83" i="1"/>
  <c r="F83" i="1"/>
  <c r="X82" i="1"/>
  <c r="F82" i="1"/>
  <c r="X81" i="1"/>
  <c r="F81" i="1"/>
  <c r="X80" i="1"/>
  <c r="F80" i="1"/>
  <c r="X79" i="1"/>
  <c r="F79" i="1"/>
  <c r="X78" i="1"/>
  <c r="F78" i="1"/>
  <c r="X77" i="1"/>
  <c r="F77" i="1"/>
  <c r="X76" i="1"/>
  <c r="F76" i="1"/>
  <c r="AB75" i="1"/>
  <c r="AA75" i="1"/>
  <c r="Z75" i="1"/>
  <c r="X75" i="1"/>
  <c r="F75" i="1"/>
  <c r="AB74" i="1"/>
  <c r="AA74" i="1"/>
  <c r="Z74" i="1"/>
  <c r="X74" i="1"/>
  <c r="F74" i="1"/>
  <c r="AB73" i="1"/>
  <c r="AA73" i="1"/>
  <c r="Z73" i="1"/>
  <c r="X73" i="1"/>
  <c r="F73" i="1"/>
  <c r="AB72" i="1"/>
  <c r="AA72" i="1"/>
  <c r="Z72" i="1"/>
  <c r="X72" i="1"/>
  <c r="F72" i="1"/>
  <c r="AB71" i="1"/>
  <c r="AA71" i="1"/>
  <c r="Z71" i="1"/>
  <c r="X71" i="1"/>
  <c r="F71" i="1"/>
  <c r="AB70" i="1"/>
  <c r="AA70" i="1"/>
  <c r="Z70" i="1"/>
  <c r="X70" i="1"/>
  <c r="F70" i="1"/>
  <c r="AB69" i="1"/>
  <c r="AA69" i="1"/>
  <c r="Z69" i="1"/>
  <c r="X69" i="1"/>
  <c r="F69" i="1"/>
  <c r="AB68" i="1"/>
  <c r="AA68" i="1"/>
  <c r="Z68" i="1"/>
  <c r="X68" i="1"/>
  <c r="F68" i="1"/>
  <c r="AB67" i="1"/>
  <c r="AA67" i="1"/>
  <c r="Z67" i="1"/>
  <c r="X67" i="1"/>
  <c r="F67" i="1"/>
  <c r="X66" i="1"/>
  <c r="F66" i="1"/>
  <c r="X62" i="1"/>
  <c r="F62" i="1"/>
  <c r="X61" i="1"/>
  <c r="F61" i="1"/>
  <c r="X60" i="1"/>
  <c r="F60" i="1"/>
  <c r="X59" i="1"/>
  <c r="F59" i="1"/>
  <c r="X58" i="1"/>
  <c r="F58" i="1"/>
  <c r="X57" i="1"/>
  <c r="F57" i="1"/>
  <c r="X56" i="1"/>
  <c r="F56" i="1"/>
  <c r="X55" i="1"/>
  <c r="F55" i="1"/>
  <c r="X54" i="1"/>
  <c r="F54" i="1"/>
  <c r="X53" i="1"/>
  <c r="F53" i="1"/>
  <c r="X52" i="1"/>
  <c r="F52" i="1"/>
  <c r="X51" i="1"/>
  <c r="F51" i="1"/>
  <c r="X50" i="1"/>
  <c r="F50" i="1"/>
  <c r="X49" i="1"/>
  <c r="F49" i="1"/>
  <c r="AB48" i="1"/>
  <c r="AA48" i="1"/>
  <c r="Z48" i="1"/>
  <c r="X48" i="1"/>
  <c r="F48" i="1"/>
  <c r="AB47" i="1"/>
  <c r="AA47" i="1"/>
  <c r="Z47" i="1"/>
  <c r="X47" i="1"/>
  <c r="F47" i="1"/>
  <c r="AB46" i="1"/>
  <c r="AA46" i="1"/>
  <c r="Z46" i="1"/>
  <c r="X46" i="1"/>
  <c r="F46" i="1"/>
  <c r="AB45" i="1"/>
  <c r="AA45" i="1"/>
  <c r="Z45" i="1"/>
  <c r="X45" i="1"/>
  <c r="F45" i="1"/>
  <c r="AB44" i="1"/>
  <c r="AA44" i="1"/>
  <c r="Z44" i="1"/>
  <c r="X44" i="1"/>
  <c r="F44" i="1"/>
  <c r="AB43" i="1"/>
  <c r="AA43" i="1"/>
  <c r="Z43" i="1"/>
  <c r="X43" i="1"/>
  <c r="F43" i="1"/>
  <c r="AB42" i="1"/>
  <c r="AA42" i="1"/>
  <c r="Z42" i="1"/>
  <c r="X42" i="1"/>
  <c r="F42" i="1"/>
  <c r="AB41" i="1"/>
  <c r="AA41" i="1"/>
  <c r="Z41" i="1"/>
  <c r="X41" i="1"/>
  <c r="F41" i="1"/>
  <c r="AB40" i="1"/>
  <c r="AA40" i="1"/>
  <c r="Z40" i="1"/>
  <c r="X40" i="1"/>
  <c r="F40" i="1"/>
  <c r="X39" i="1"/>
  <c r="F39" i="1"/>
  <c r="G2" i="1"/>
  <c r="C36" i="2" s="1"/>
  <c r="O24" i="1" l="1"/>
  <c r="O26" i="1"/>
  <c r="O27" i="1"/>
  <c r="O28" i="1"/>
  <c r="O29" i="1"/>
  <c r="O33" i="1"/>
  <c r="O34" i="1"/>
  <c r="O31" i="1"/>
  <c r="O32" i="1"/>
  <c r="O30" i="1"/>
  <c r="O25" i="1"/>
  <c r="O35" i="1"/>
  <c r="F24" i="1"/>
  <c r="F31" i="1"/>
  <c r="G24" i="1"/>
  <c r="G31" i="1"/>
  <c r="F25" i="1"/>
  <c r="F32" i="1"/>
  <c r="G25" i="1"/>
  <c r="G32" i="1"/>
  <c r="F26" i="1"/>
  <c r="F33" i="1"/>
  <c r="F27" i="1"/>
  <c r="G33" i="1"/>
  <c r="G27" i="1"/>
  <c r="F34" i="1"/>
  <c r="F28" i="1"/>
  <c r="G34" i="1"/>
  <c r="F35" i="1"/>
  <c r="G28" i="1"/>
  <c r="F29" i="1"/>
  <c r="G35" i="1"/>
  <c r="E24" i="1"/>
  <c r="F30" i="1"/>
  <c r="G30" i="1"/>
  <c r="G29" i="1"/>
  <c r="D36" i="2"/>
  <c r="AH36" i="2"/>
  <c r="I25" i="1"/>
  <c r="I29" i="1"/>
  <c r="L30" i="1"/>
  <c r="I33" i="1"/>
  <c r="L34" i="1"/>
  <c r="J25" i="1"/>
  <c r="J29" i="1"/>
  <c r="M30" i="1"/>
  <c r="J33" i="1"/>
  <c r="H24" i="1"/>
  <c r="K25" i="1"/>
  <c r="N26" i="1"/>
  <c r="H28" i="1"/>
  <c r="K29" i="1"/>
  <c r="N30" i="1"/>
  <c r="H32" i="1"/>
  <c r="K33" i="1"/>
  <c r="N34" i="1"/>
  <c r="I28" i="1"/>
  <c r="I24" i="1"/>
  <c r="L25" i="1"/>
  <c r="L29" i="1"/>
  <c r="J24" i="1"/>
  <c r="M25" i="1"/>
  <c r="J28" i="1"/>
  <c r="K24" i="1"/>
  <c r="N25" i="1"/>
  <c r="H27" i="1"/>
  <c r="K28" i="1"/>
  <c r="N29" i="1"/>
  <c r="H31" i="1"/>
  <c r="K32" i="1"/>
  <c r="N33" i="1"/>
  <c r="H35" i="1"/>
  <c r="I27" i="1"/>
  <c r="L28" i="1"/>
  <c r="I31" i="1"/>
  <c r="L32" i="1"/>
  <c r="I35" i="1"/>
  <c r="L33" i="1"/>
  <c r="J32" i="1"/>
  <c r="L24" i="1"/>
  <c r="M24" i="1"/>
  <c r="G26" i="1"/>
  <c r="J27" i="1"/>
  <c r="M28" i="1"/>
  <c r="J31" i="1"/>
  <c r="M32" i="1"/>
  <c r="J35" i="1"/>
  <c r="M35" i="1"/>
  <c r="M29" i="1"/>
  <c r="M33" i="1"/>
  <c r="N24" i="1"/>
  <c r="H26" i="1"/>
  <c r="K27" i="1"/>
  <c r="N28" i="1"/>
  <c r="H30" i="1"/>
  <c r="K31" i="1"/>
  <c r="N32" i="1"/>
  <c r="H34" i="1"/>
  <c r="K35" i="1"/>
  <c r="I26" i="1"/>
  <c r="J26" i="1"/>
  <c r="M31" i="1"/>
  <c r="L27" i="1"/>
  <c r="I30" i="1"/>
  <c r="L31" i="1"/>
  <c r="I34" i="1"/>
  <c r="L35" i="1"/>
  <c r="M27" i="1"/>
  <c r="J30" i="1"/>
  <c r="J34" i="1"/>
  <c r="I32" i="1"/>
  <c r="H25" i="1"/>
  <c r="K26" i="1"/>
  <c r="N27" i="1"/>
  <c r="H29" i="1"/>
  <c r="K30" i="1"/>
  <c r="N31" i="1"/>
  <c r="H33" i="1"/>
  <c r="K34" i="1"/>
  <c r="N35" i="1"/>
  <c r="L26" i="1"/>
  <c r="M26" i="1"/>
  <c r="M34" i="1"/>
  <c r="AV7" i="4" a="1"/>
  <c r="AV7" i="4" s="1"/>
  <c r="AV7" i="33" a="1"/>
  <c r="AV7" i="33" s="1"/>
  <c r="AV7" i="7" a="1"/>
  <c r="AV7" i="7" s="1"/>
  <c r="AW7" i="18" a="1"/>
  <c r="AW7" i="18" s="1"/>
  <c r="AV7" i="23" a="1"/>
  <c r="AV7" i="23" s="1"/>
  <c r="AV7" i="10" a="1"/>
  <c r="AV7" i="10" s="1"/>
  <c r="AV7" i="9" a="1"/>
  <c r="AV7" i="9" s="1"/>
  <c r="AV7" i="34" a="1"/>
  <c r="AV7" i="34" s="1"/>
  <c r="AV7" i="29" a="1"/>
  <c r="AV7" i="29" s="1"/>
  <c r="AV7" i="12" a="1"/>
  <c r="AV7" i="12" s="1"/>
  <c r="AV7" i="5" a="1"/>
  <c r="AV7" i="5" s="1"/>
  <c r="AV7" i="32" a="1"/>
  <c r="AV7" i="32" s="1"/>
  <c r="AV7" i="17" a="1"/>
  <c r="AV7" i="17" s="1"/>
  <c r="AV7" i="14" a="1"/>
  <c r="AV7" i="14" s="1"/>
  <c r="AV7" i="22" a="1"/>
  <c r="AV7" i="22" s="1"/>
  <c r="AV7" i="27" a="1"/>
  <c r="AV7" i="27" s="1"/>
  <c r="AV7" i="25" a="1"/>
  <c r="AV7" i="25" s="1"/>
  <c r="AV7" i="28" a="1"/>
  <c r="AV7" i="28" s="1"/>
  <c r="AV7" i="21" a="1"/>
  <c r="AV7" i="21" s="1"/>
  <c r="AV7" i="19" a="1"/>
  <c r="AV7" i="19" s="1"/>
  <c r="AV7" i="13" a="1"/>
  <c r="AV7" i="13" s="1"/>
  <c r="AV7" i="31" a="1"/>
  <c r="AV7" i="31" s="1"/>
  <c r="AV7" i="30" a="1"/>
  <c r="AV7" i="30" s="1"/>
  <c r="AW7" i="16" a="1"/>
  <c r="AW7" i="16" s="1"/>
  <c r="AV7" i="11" a="1"/>
  <c r="AV7" i="11" s="1"/>
  <c r="AV7" i="8" a="1"/>
  <c r="AV7" i="8" s="1"/>
  <c r="AV7" i="26" a="1"/>
  <c r="AV7" i="26" s="1"/>
  <c r="AV7" i="24" a="1"/>
  <c r="AV7" i="24" s="1"/>
  <c r="AV7" i="20" a="1"/>
  <c r="AV7" i="20" s="1"/>
  <c r="AV7" i="15" a="1"/>
  <c r="AV7" i="15" s="1"/>
  <c r="AW7" i="6" a="1"/>
  <c r="AW7" i="6" s="1"/>
  <c r="AY3" i="28"/>
  <c r="AY4" i="28"/>
  <c r="AY2" i="28"/>
  <c r="B3" i="28"/>
  <c r="AY3" i="17"/>
  <c r="AY4" i="17"/>
  <c r="AY2" i="17"/>
  <c r="AY4" i="23"/>
  <c r="AY2" i="23"/>
  <c r="AY3" i="23"/>
  <c r="B3" i="23"/>
  <c r="AR3" i="4"/>
  <c r="AY3" i="26"/>
  <c r="AY4" i="26"/>
  <c r="AY2" i="26"/>
  <c r="AY3" i="29"/>
  <c r="AY4" i="29"/>
  <c r="AY2" i="29"/>
  <c r="B3" i="29"/>
  <c r="AZ2" i="6"/>
  <c r="I11" i="6" s="1"/>
  <c r="AZ3" i="6"/>
  <c r="I16" i="6" s="1"/>
  <c r="AZ4" i="6"/>
  <c r="I21" i="6" s="1"/>
  <c r="B3" i="6"/>
  <c r="AY3" i="13"/>
  <c r="AY4" i="13"/>
  <c r="AY2" i="13"/>
  <c r="AZ2" i="18"/>
  <c r="I11" i="18" s="1"/>
  <c r="AZ3" i="18"/>
  <c r="I16" i="18" s="1"/>
  <c r="AZ4" i="18"/>
  <c r="I21" i="18" s="1"/>
  <c r="B3" i="13"/>
  <c r="AY4" i="24"/>
  <c r="AY2" i="24"/>
  <c r="AY3" i="24"/>
  <c r="AY3" i="5"/>
  <c r="AY4" i="5"/>
  <c r="AY2" i="5"/>
  <c r="AY3" i="27"/>
  <c r="AY4" i="27"/>
  <c r="AY2" i="27"/>
  <c r="B3" i="24"/>
  <c r="AY4" i="10"/>
  <c r="AY2" i="10"/>
  <c r="AY3" i="10"/>
  <c r="B3" i="5"/>
  <c r="B3" i="27"/>
  <c r="AY2" i="31"/>
  <c r="AY3" i="31"/>
  <c r="AY4" i="31"/>
  <c r="AY3" i="25"/>
  <c r="AY4" i="25"/>
  <c r="AY2" i="25"/>
  <c r="AY4" i="20"/>
  <c r="AY2" i="20"/>
  <c r="AY3" i="20"/>
  <c r="AY2" i="7"/>
  <c r="AY3" i="7"/>
  <c r="AY4" i="7"/>
  <c r="AY4" i="34"/>
  <c r="AY2" i="34"/>
  <c r="AY3" i="34"/>
  <c r="B3" i="25"/>
  <c r="AY2" i="30"/>
  <c r="AY3" i="30"/>
  <c r="AY4" i="30"/>
  <c r="AY3" i="15"/>
  <c r="AY4" i="15"/>
  <c r="AY2" i="15"/>
  <c r="AZ3" i="16"/>
  <c r="J16" i="16" s="1"/>
  <c r="AZ4" i="16"/>
  <c r="J21" i="16" s="1"/>
  <c r="AZ2" i="16"/>
  <c r="J11" i="16" s="1"/>
  <c r="AY4" i="12"/>
  <c r="AY2" i="12"/>
  <c r="AY3" i="12"/>
  <c r="AY4" i="11"/>
  <c r="AY2" i="11"/>
  <c r="AY3" i="11"/>
  <c r="AY4" i="33"/>
  <c r="AY2" i="33"/>
  <c r="AY3" i="33"/>
  <c r="AY4" i="9"/>
  <c r="AY2" i="9"/>
  <c r="AY3" i="9"/>
  <c r="B3" i="12"/>
  <c r="AY4" i="21"/>
  <c r="AY2" i="21"/>
  <c r="AY3" i="21"/>
  <c r="B3" i="11"/>
  <c r="AY3" i="14"/>
  <c r="AY4" i="14"/>
  <c r="AY2" i="14"/>
  <c r="AY4" i="8"/>
  <c r="AY2" i="8"/>
  <c r="AY3" i="8"/>
  <c r="AY4" i="32"/>
  <c r="AY2" i="32"/>
  <c r="AY3" i="32"/>
  <c r="AY4" i="22"/>
  <c r="AY2" i="22"/>
  <c r="AY3" i="22"/>
  <c r="AY2" i="19"/>
  <c r="AY3" i="19"/>
  <c r="AY4" i="19"/>
  <c r="B3" i="14"/>
  <c r="AO9" i="4"/>
  <c r="C7" i="2"/>
  <c r="C10" i="2"/>
  <c r="C13" i="2"/>
  <c r="C16" i="2"/>
  <c r="C19" i="2"/>
  <c r="C22" i="2"/>
  <c r="C25" i="2"/>
  <c r="C28" i="2"/>
  <c r="C31" i="2"/>
  <c r="C34" i="2"/>
  <c r="C8" i="2"/>
  <c r="C11" i="2"/>
  <c r="C14" i="2"/>
  <c r="C17" i="2"/>
  <c r="C20" i="2"/>
  <c r="C23" i="2"/>
  <c r="C26" i="2"/>
  <c r="C29" i="2"/>
  <c r="C32" i="2"/>
  <c r="C35" i="2"/>
  <c r="C6" i="2"/>
  <c r="C9" i="2"/>
  <c r="C12" i="2"/>
  <c r="C15" i="2"/>
  <c r="C18" i="2"/>
  <c r="C21" i="2"/>
  <c r="C24" i="2"/>
  <c r="C27" i="2"/>
  <c r="C30" i="2"/>
  <c r="C33" i="2"/>
  <c r="F37" i="2" l="1"/>
  <c r="R37" i="2"/>
  <c r="AD37" i="2"/>
  <c r="V37" i="2"/>
  <c r="G37" i="2"/>
  <c r="S37" i="2"/>
  <c r="AE37" i="2"/>
  <c r="U37" i="2"/>
  <c r="I37" i="2"/>
  <c r="J37" i="2"/>
  <c r="K37" i="2"/>
  <c r="W37" i="2"/>
  <c r="L37" i="2"/>
  <c r="X37" i="2"/>
  <c r="M37" i="2"/>
  <c r="Y37" i="2"/>
  <c r="O37" i="2"/>
  <c r="AA37" i="2"/>
  <c r="AB37" i="2"/>
  <c r="N37" i="2"/>
  <c r="Z37" i="2"/>
  <c r="P37" i="2"/>
  <c r="Q37" i="2"/>
  <c r="AC37" i="2"/>
  <c r="H37" i="2"/>
  <c r="T37" i="2"/>
  <c r="AF37" i="2"/>
  <c r="E37" i="2"/>
  <c r="D19" i="2"/>
  <c r="AH19" i="2"/>
  <c r="D21" i="2"/>
  <c r="AH21" i="2"/>
  <c r="D17" i="2"/>
  <c r="AH17" i="2"/>
  <c r="D10" i="2"/>
  <c r="AH10" i="2"/>
  <c r="AS6" i="8" s="1"/>
  <c r="D13" i="2"/>
  <c r="AH13" i="2"/>
  <c r="D30" i="2"/>
  <c r="AH30" i="2"/>
  <c r="D16" i="2"/>
  <c r="AH16" i="2"/>
  <c r="D12" i="2"/>
  <c r="AH12" i="2"/>
  <c r="D9" i="2"/>
  <c r="AH9" i="2"/>
  <c r="D34" i="2"/>
  <c r="AH34" i="2"/>
  <c r="AS6" i="32" s="1"/>
  <c r="D27" i="2"/>
  <c r="AH27" i="2"/>
  <c r="D24" i="2"/>
  <c r="AH24" i="2"/>
  <c r="D20" i="2"/>
  <c r="AH20" i="2"/>
  <c r="D18" i="2"/>
  <c r="AH18" i="2"/>
  <c r="D11" i="2"/>
  <c r="AH11" i="2"/>
  <c r="D31" i="2"/>
  <c r="AH31" i="2"/>
  <c r="AS6" i="29" s="1"/>
  <c r="D29" i="2"/>
  <c r="AH29" i="2"/>
  <c r="D22" i="2"/>
  <c r="AH22" i="2"/>
  <c r="D23" i="2"/>
  <c r="AH23" i="2"/>
  <c r="D7" i="2"/>
  <c r="AH7" i="2"/>
  <c r="D35" i="2"/>
  <c r="AH35" i="2"/>
  <c r="D28" i="2"/>
  <c r="AH28" i="2"/>
  <c r="AS6" i="26" s="1"/>
  <c r="D26" i="2"/>
  <c r="AH26" i="2"/>
  <c r="D14" i="2"/>
  <c r="AH14" i="2"/>
  <c r="AS6" i="12" s="1"/>
  <c r="D15" i="2"/>
  <c r="AH15" i="2"/>
  <c r="D8" i="2"/>
  <c r="AH8" i="2"/>
  <c r="AH6" i="2"/>
  <c r="D32" i="2"/>
  <c r="AH32" i="2"/>
  <c r="AS6" i="30" s="1"/>
  <c r="D25" i="2"/>
  <c r="AH25" i="2"/>
  <c r="D33" i="2"/>
  <c r="AH33" i="2"/>
  <c r="AQ37" i="32" a="1"/>
  <c r="AQ37" i="32" s="1"/>
  <c r="AQ37" i="20" a="1"/>
  <c r="AQ37" i="20" s="1"/>
  <c r="AQ37" i="13" a="1"/>
  <c r="AQ37" i="13" s="1"/>
  <c r="AQ37" i="14" a="1"/>
  <c r="AQ37" i="14" s="1"/>
  <c r="AQ37" i="27" a="1"/>
  <c r="AQ37" i="27" s="1"/>
  <c r="AR37" i="6" a="1"/>
  <c r="AR37" i="6" s="1"/>
  <c r="AQ37" i="34" a="1"/>
  <c r="AQ37" i="34" s="1"/>
  <c r="AQ37" i="22" a="1"/>
  <c r="AQ37" i="22" s="1"/>
  <c r="AQ37" i="15" a="1"/>
  <c r="AQ37" i="15" s="1"/>
  <c r="AQ37" i="31" a="1"/>
  <c r="AQ37" i="31" s="1"/>
  <c r="AQ37" i="29" a="1"/>
  <c r="AQ37" i="29" s="1"/>
  <c r="AQ37" i="8" a="1"/>
  <c r="AQ37" i="8" s="1"/>
  <c r="AQ37" i="17" a="1"/>
  <c r="AQ37" i="17" s="1"/>
  <c r="AQ37" i="12" a="1"/>
  <c r="AQ37" i="12" s="1"/>
  <c r="AQ37" i="10" a="1"/>
  <c r="AQ37" i="10" s="1"/>
  <c r="AQ37" i="24" a="1"/>
  <c r="AQ37" i="24" s="1"/>
  <c r="AQ37" i="26" a="1"/>
  <c r="AQ37" i="26" s="1"/>
  <c r="AQ37" i="19" a="1"/>
  <c r="AQ37" i="19" s="1"/>
  <c r="AQ37" i="5" a="1"/>
  <c r="AQ37" i="5" s="1"/>
  <c r="AQ37" i="21" a="1"/>
  <c r="AQ37" i="21" s="1"/>
  <c r="AQ37" i="33" a="1"/>
  <c r="AQ37" i="33" s="1"/>
  <c r="AQ37" i="28" a="1"/>
  <c r="AQ37" i="28" s="1"/>
  <c r="AQ37" i="7" a="1"/>
  <c r="AQ37" i="7" s="1"/>
  <c r="AQ37" i="25" a="1"/>
  <c r="AQ37" i="25" s="1"/>
  <c r="AQ37" i="23" a="1"/>
  <c r="AQ37" i="23" s="1"/>
  <c r="AR37" i="16" a="1"/>
  <c r="AR37" i="16" s="1"/>
  <c r="AQ37" i="11" a="1"/>
  <c r="AQ37" i="11" s="1"/>
  <c r="AQ37" i="9" a="1"/>
  <c r="AQ37" i="9" s="1"/>
  <c r="AR37" i="18" a="1"/>
  <c r="AR37" i="18" s="1"/>
  <c r="AQ37" i="30" a="1"/>
  <c r="AQ37" i="30" s="1"/>
  <c r="C35" i="22"/>
  <c r="C35" i="27"/>
  <c r="C35" i="28"/>
  <c r="C35" i="30"/>
  <c r="C35" i="11"/>
  <c r="C35" i="17"/>
  <c r="C35" i="21"/>
  <c r="C35" i="32"/>
  <c r="C35" i="12"/>
  <c r="C35" i="34"/>
  <c r="C35" i="31"/>
  <c r="C35" i="5"/>
  <c r="C35" i="16"/>
  <c r="C35" i="6"/>
  <c r="C35" i="7"/>
  <c r="C35" i="23"/>
  <c r="C35" i="14"/>
  <c r="C35" i="10"/>
  <c r="C35" i="29"/>
  <c r="C35" i="26"/>
  <c r="C35" i="25"/>
  <c r="C35" i="13"/>
  <c r="C35" i="9"/>
  <c r="C35" i="24"/>
  <c r="C35" i="33"/>
  <c r="C35" i="15"/>
  <c r="C35" i="20"/>
  <c r="C35" i="19"/>
  <c r="C35" i="18"/>
  <c r="AQ21" i="4" a="1"/>
  <c r="AQ21" i="4" s="1"/>
  <c r="AS6" i="34"/>
  <c r="D6" i="2"/>
  <c r="AQ25" i="34" a="1"/>
  <c r="AQ25" i="34" s="1"/>
  <c r="AQ23" i="34" a="1"/>
  <c r="AQ23" i="34" s="1"/>
  <c r="AQ16" i="34" a="1"/>
  <c r="AQ16" i="34" s="1"/>
  <c r="AQ27" i="33" a="1"/>
  <c r="AQ27" i="33" s="1"/>
  <c r="AQ11" i="33" a="1"/>
  <c r="AQ11" i="33" s="1"/>
  <c r="AQ25" i="31" a="1"/>
  <c r="AQ25" i="31" s="1"/>
  <c r="AQ13" i="31" a="1"/>
  <c r="AQ13" i="31" s="1"/>
  <c r="AQ20" i="30" a="1"/>
  <c r="AQ20" i="30" s="1"/>
  <c r="AQ15" i="28" a="1"/>
  <c r="AQ15" i="28" s="1"/>
  <c r="AQ14" i="27" a="1"/>
  <c r="AQ14" i="27" s="1"/>
  <c r="AQ20" i="24" a="1"/>
  <c r="AQ20" i="24" s="1"/>
  <c r="AQ17" i="20" a="1"/>
  <c r="AQ17" i="20" s="1"/>
  <c r="AQ11" i="20" a="1"/>
  <c r="AQ11" i="20" s="1"/>
  <c r="AR26" i="18" a="1"/>
  <c r="AR26" i="18" s="1"/>
  <c r="AR35" i="16" a="1"/>
  <c r="AR35" i="16" s="1"/>
  <c r="AR31" i="16" a="1"/>
  <c r="AR31" i="16" s="1"/>
  <c r="AR27" i="16" a="1"/>
  <c r="AR27" i="16" s="1"/>
  <c r="AR24" i="16" a="1"/>
  <c r="AR24" i="16" s="1"/>
  <c r="AR22" i="16" a="1"/>
  <c r="AR22" i="16" s="1"/>
  <c r="AR10" i="16" a="1"/>
  <c r="AR10" i="16" s="1"/>
  <c r="AQ11" i="15" a="1"/>
  <c r="AQ11" i="15" s="1"/>
  <c r="AQ21" i="14" a="1"/>
  <c r="AQ21" i="14" s="1"/>
  <c r="AQ9" i="14" a="1"/>
  <c r="AQ9" i="14" s="1"/>
  <c r="AQ15" i="13" a="1"/>
  <c r="AQ15" i="13" s="1"/>
  <c r="AQ10" i="13" a="1"/>
  <c r="AQ10" i="13" s="1"/>
  <c r="AQ11" i="12" a="1"/>
  <c r="AQ11" i="12" s="1"/>
  <c r="AQ31" i="11" a="1"/>
  <c r="AQ31" i="11" s="1"/>
  <c r="AQ27" i="11" a="1"/>
  <c r="AQ27" i="11" s="1"/>
  <c r="AQ24" i="11" a="1"/>
  <c r="AQ24" i="11" s="1"/>
  <c r="AQ22" i="11" a="1"/>
  <c r="AQ22" i="11" s="1"/>
  <c r="AQ10" i="11" a="1"/>
  <c r="AQ10" i="11" s="1"/>
  <c r="AQ12" i="9" a="1"/>
  <c r="AQ12" i="9" s="1"/>
  <c r="AQ21" i="7" a="1"/>
  <c r="AQ21" i="7" s="1"/>
  <c r="AQ11" i="7" a="1"/>
  <c r="AQ11" i="7" s="1"/>
  <c r="AQ21" i="5" a="1"/>
  <c r="AQ21" i="5" s="1"/>
  <c r="AQ9" i="5" a="1"/>
  <c r="AQ9" i="5" s="1"/>
  <c r="AQ25" i="7" a="1"/>
  <c r="AQ25" i="7" s="1"/>
  <c r="AQ23" i="7" a="1"/>
  <c r="AQ23" i="7" s="1"/>
  <c r="AQ25" i="5" a="1"/>
  <c r="AQ25" i="5" s="1"/>
  <c r="AQ16" i="5" a="1"/>
  <c r="AQ16" i="5" s="1"/>
  <c r="AR29" i="16" a="1"/>
  <c r="AR29" i="16" s="1"/>
  <c r="AQ11" i="34" a="1"/>
  <c r="AQ11" i="34" s="1"/>
  <c r="AQ26" i="33" a="1"/>
  <c r="AQ26" i="33" s="1"/>
  <c r="AQ17" i="33" a="1"/>
  <c r="AQ17" i="33" s="1"/>
  <c r="AQ10" i="31" a="1"/>
  <c r="AQ10" i="31" s="1"/>
  <c r="AQ24" i="30" a="1"/>
  <c r="AQ24" i="30" s="1"/>
  <c r="AQ15" i="30" a="1"/>
  <c r="AQ15" i="30" s="1"/>
  <c r="AQ11" i="30" a="1"/>
  <c r="AQ11" i="30" s="1"/>
  <c r="AQ20" i="29" a="1"/>
  <c r="AQ20" i="29" s="1"/>
  <c r="AQ14" i="29" a="1"/>
  <c r="AQ14" i="29" s="1"/>
  <c r="AQ9" i="29" a="1"/>
  <c r="AQ9" i="29" s="1"/>
  <c r="AQ33" i="28" a="1"/>
  <c r="AQ33" i="28" s="1"/>
  <c r="AQ26" i="28" a="1"/>
  <c r="AQ26" i="28" s="1"/>
  <c r="AQ18" i="28" a="1"/>
  <c r="AQ18" i="28" s="1"/>
  <c r="AQ32" i="26" a="1"/>
  <c r="AQ32" i="26" s="1"/>
  <c r="AQ11" i="26" a="1"/>
  <c r="AQ11" i="26" s="1"/>
  <c r="AQ35" i="24" a="1"/>
  <c r="AQ35" i="24" s="1"/>
  <c r="AQ31" i="24" a="1"/>
  <c r="AQ31" i="24" s="1"/>
  <c r="AQ27" i="24" a="1"/>
  <c r="AQ27" i="24" s="1"/>
  <c r="AQ15" i="24" a="1"/>
  <c r="AQ15" i="24" s="1"/>
  <c r="AQ10" i="24" a="1"/>
  <c r="AQ10" i="24" s="1"/>
  <c r="AQ12" i="21" a="1"/>
  <c r="AQ12" i="21" s="1"/>
  <c r="AQ12" i="19" a="1"/>
  <c r="AQ12" i="19" s="1"/>
  <c r="AR34" i="18" a="1"/>
  <c r="AR34" i="18" s="1"/>
  <c r="AR17" i="16" a="1"/>
  <c r="AR17" i="16" s="1"/>
  <c r="AQ33" i="14" a="1"/>
  <c r="AQ33" i="14" s="1"/>
  <c r="AQ29" i="14" a="1"/>
  <c r="AQ29" i="14" s="1"/>
  <c r="AQ25" i="14" a="1"/>
  <c r="AQ25" i="14" s="1"/>
  <c r="AQ23" i="14" a="1"/>
  <c r="AQ23" i="14" s="1"/>
  <c r="AQ16" i="14" a="1"/>
  <c r="AQ16" i="14" s="1"/>
  <c r="AQ35" i="13" a="1"/>
  <c r="AQ35" i="13" s="1"/>
  <c r="AQ31" i="13" a="1"/>
  <c r="AQ31" i="13" s="1"/>
  <c r="AQ27" i="13" a="1"/>
  <c r="AQ27" i="13" s="1"/>
  <c r="AQ24" i="13" a="1"/>
  <c r="AQ24" i="13" s="1"/>
  <c r="AQ22" i="13" a="1"/>
  <c r="AQ22" i="13" s="1"/>
  <c r="AQ36" i="12" a="1"/>
  <c r="AQ36" i="12" s="1"/>
  <c r="AQ32" i="12" a="1"/>
  <c r="AQ32" i="12" s="1"/>
  <c r="AQ28" i="12" a="1"/>
  <c r="AQ28" i="12" s="1"/>
  <c r="AQ18" i="12" a="1"/>
  <c r="AQ18" i="12" s="1"/>
  <c r="AQ17" i="11" a="1"/>
  <c r="AQ17" i="11" s="1"/>
  <c r="AQ33" i="7" a="1"/>
  <c r="AQ33" i="7" s="1"/>
  <c r="AR14" i="6" a="1"/>
  <c r="AR14" i="6" s="1"/>
  <c r="AQ29" i="5" a="1"/>
  <c r="AQ29" i="5" s="1"/>
  <c r="AQ20" i="26" a="1"/>
  <c r="AQ20" i="26" s="1"/>
  <c r="AR33" i="16" a="1"/>
  <c r="AR33" i="16" s="1"/>
  <c r="AR18" i="6" a="1"/>
  <c r="AR18" i="6" s="1"/>
  <c r="AQ36" i="34" a="1"/>
  <c r="AQ36" i="34" s="1"/>
  <c r="AQ32" i="34" a="1"/>
  <c r="AQ32" i="34" s="1"/>
  <c r="AQ18" i="34" a="1"/>
  <c r="AQ18" i="34" s="1"/>
  <c r="AQ15" i="31" a="1"/>
  <c r="AQ15" i="31" s="1"/>
  <c r="AQ34" i="30" a="1"/>
  <c r="AQ34" i="30" s="1"/>
  <c r="AQ33" i="29" a="1"/>
  <c r="AQ33" i="29" s="1"/>
  <c r="AQ11" i="28" a="1"/>
  <c r="AQ11" i="28" s="1"/>
  <c r="AQ12" i="25" a="1"/>
  <c r="AQ12" i="25" s="1"/>
  <c r="AQ24" i="24" a="1"/>
  <c r="AQ24" i="24" s="1"/>
  <c r="AQ22" i="24" a="1"/>
  <c r="AQ22" i="24" s="1"/>
  <c r="AQ24" i="20" a="1"/>
  <c r="AQ24" i="20" s="1"/>
  <c r="AR14" i="18" a="1"/>
  <c r="AR14" i="18" s="1"/>
  <c r="AR12" i="16" a="1"/>
  <c r="AR12" i="16" s="1"/>
  <c r="AQ27" i="15" a="1"/>
  <c r="AQ27" i="15" s="1"/>
  <c r="AQ23" i="15" a="1"/>
  <c r="AQ23" i="15" s="1"/>
  <c r="AQ11" i="14" a="1"/>
  <c r="AQ11" i="14" s="1"/>
  <c r="AQ17" i="13" a="1"/>
  <c r="AQ17" i="13" s="1"/>
  <c r="AQ12" i="13" a="1"/>
  <c r="AQ12" i="13" s="1"/>
  <c r="AQ13" i="12" a="1"/>
  <c r="AQ13" i="12" s="1"/>
  <c r="AQ34" i="11" a="1"/>
  <c r="AQ34" i="11" s="1"/>
  <c r="AQ12" i="11" a="1"/>
  <c r="AQ12" i="11" s="1"/>
  <c r="AQ15" i="10" a="1"/>
  <c r="AQ15" i="10" s="1"/>
  <c r="AQ11" i="10" a="1"/>
  <c r="AQ11" i="10" s="1"/>
  <c r="AQ21" i="9" a="1"/>
  <c r="AQ21" i="9" s="1"/>
  <c r="AQ10" i="8" a="1"/>
  <c r="AQ10" i="8" s="1"/>
  <c r="AQ18" i="7" a="1"/>
  <c r="AQ18" i="7" s="1"/>
  <c r="AQ13" i="7" a="1"/>
  <c r="AQ13" i="7" s="1"/>
  <c r="AR20" i="6" a="1"/>
  <c r="AR20" i="6" s="1"/>
  <c r="AQ11" i="5" a="1"/>
  <c r="AQ11" i="5" s="1"/>
  <c r="AQ36" i="7" a="1"/>
  <c r="AQ36" i="7" s="1"/>
  <c r="AQ15" i="7" a="1"/>
  <c r="AQ15" i="7" s="1"/>
  <c r="AQ36" i="5" a="1"/>
  <c r="AQ36" i="5" s="1"/>
  <c r="AQ16" i="27" a="1"/>
  <c r="AQ16" i="27" s="1"/>
  <c r="AQ21" i="13" a="1"/>
  <c r="AQ21" i="13" s="1"/>
  <c r="AQ10" i="5" a="1"/>
  <c r="AQ10" i="5" s="1"/>
  <c r="AQ28" i="34" a="1"/>
  <c r="AQ28" i="34" s="1"/>
  <c r="AQ13" i="34" a="1"/>
  <c r="AQ13" i="34" s="1"/>
  <c r="AQ21" i="33" a="1"/>
  <c r="AQ21" i="33" s="1"/>
  <c r="AQ36" i="32" a="1"/>
  <c r="AQ36" i="32" s="1"/>
  <c r="AQ20" i="32" a="1"/>
  <c r="AQ20" i="32" s="1"/>
  <c r="AQ13" i="29" a="1"/>
  <c r="AQ13" i="29" s="1"/>
  <c r="AQ21" i="28" a="1"/>
  <c r="AQ21" i="28" s="1"/>
  <c r="AQ14" i="28" a="1"/>
  <c r="AQ14" i="28" s="1"/>
  <c r="AQ34" i="27" a="1"/>
  <c r="AQ34" i="27" s="1"/>
  <c r="AQ13" i="27" a="1"/>
  <c r="AQ13" i="27" s="1"/>
  <c r="AQ9" i="27" a="1"/>
  <c r="AQ9" i="27" s="1"/>
  <c r="AQ29" i="26" a="1"/>
  <c r="AQ29" i="26" s="1"/>
  <c r="AQ16" i="26" a="1"/>
  <c r="AQ16" i="26" s="1"/>
  <c r="AQ17" i="24" a="1"/>
  <c r="AQ17" i="24" s="1"/>
  <c r="AR9" i="18" a="1"/>
  <c r="AR9" i="18" s="1"/>
  <c r="AR34" i="16" a="1"/>
  <c r="AR34" i="16" s="1"/>
  <c r="AR30" i="16" a="1"/>
  <c r="AR30" i="16" s="1"/>
  <c r="AR26" i="16" a="1"/>
  <c r="AR26" i="16" s="1"/>
  <c r="AR19" i="16" a="1"/>
  <c r="AR19" i="16" s="1"/>
  <c r="AQ34" i="15" a="1"/>
  <c r="AQ34" i="15" s="1"/>
  <c r="AQ18" i="14" a="1"/>
  <c r="AQ18" i="14" s="1"/>
  <c r="AQ20" i="12" a="1"/>
  <c r="AQ20" i="12" s="1"/>
  <c r="AQ30" i="11" a="1"/>
  <c r="AQ30" i="11" s="1"/>
  <c r="AQ26" i="11" a="1"/>
  <c r="AQ26" i="11" s="1"/>
  <c r="AQ19" i="11" a="1"/>
  <c r="AQ19" i="11" s="1"/>
  <c r="AQ21" i="8" a="1"/>
  <c r="AQ21" i="8" s="1"/>
  <c r="AQ18" i="5" a="1"/>
  <c r="AQ18" i="5" s="1"/>
  <c r="AQ19" i="10" a="1"/>
  <c r="AQ19" i="10" s="1"/>
  <c r="AQ32" i="7" a="1"/>
  <c r="AQ32" i="7" s="1"/>
  <c r="AQ20" i="7" a="1"/>
  <c r="AQ20" i="7" s="1"/>
  <c r="AQ28" i="5" a="1"/>
  <c r="AQ28" i="5" s="1"/>
  <c r="AR16" i="16" a="1"/>
  <c r="AR16" i="16" s="1"/>
  <c r="AQ23" i="10" a="1"/>
  <c r="AQ23" i="10" s="1"/>
  <c r="AQ20" i="34" a="1"/>
  <c r="AQ20" i="34" s="1"/>
  <c r="AQ13" i="33" a="1"/>
  <c r="AQ13" i="33" s="1"/>
  <c r="AQ10" i="33" a="1"/>
  <c r="AQ10" i="33" s="1"/>
  <c r="AQ14" i="32" a="1"/>
  <c r="AQ14" i="32" s="1"/>
  <c r="AQ12" i="31" a="1"/>
  <c r="AQ12" i="31" s="1"/>
  <c r="AQ23" i="30" a="1"/>
  <c r="AQ23" i="30" s="1"/>
  <c r="AQ14" i="30" a="1"/>
  <c r="AQ14" i="30" s="1"/>
  <c r="AQ24" i="27" a="1"/>
  <c r="AQ24" i="27" s="1"/>
  <c r="AQ20" i="27" a="1"/>
  <c r="AQ20" i="27" s="1"/>
  <c r="AQ25" i="26" a="1"/>
  <c r="AQ25" i="26" s="1"/>
  <c r="AQ34" i="24" a="1"/>
  <c r="AQ34" i="24" s="1"/>
  <c r="AQ30" i="24" a="1"/>
  <c r="AQ30" i="24" s="1"/>
  <c r="AQ26" i="24" a="1"/>
  <c r="AQ26" i="24" s="1"/>
  <c r="AQ12" i="24" a="1"/>
  <c r="AQ12" i="24" s="1"/>
  <c r="AQ29" i="20" a="1"/>
  <c r="AQ29" i="20" s="1"/>
  <c r="AQ13" i="20" a="1"/>
  <c r="AQ13" i="20" s="1"/>
  <c r="AR21" i="18" a="1"/>
  <c r="AR21" i="18" s="1"/>
  <c r="AQ14" i="17" a="1"/>
  <c r="AQ14" i="17" s="1"/>
  <c r="AR14" i="16" a="1"/>
  <c r="AR14" i="16" s="1"/>
  <c r="AQ26" i="15" a="1"/>
  <c r="AQ26" i="15" s="1"/>
  <c r="AQ19" i="15" a="1"/>
  <c r="AQ19" i="15" s="1"/>
  <c r="AQ36" i="14" a="1"/>
  <c r="AQ36" i="14" s="1"/>
  <c r="AQ32" i="14" a="1"/>
  <c r="AQ32" i="14" s="1"/>
  <c r="AQ28" i="14" a="1"/>
  <c r="AQ28" i="14" s="1"/>
  <c r="AQ13" i="14" a="1"/>
  <c r="AQ13" i="14" s="1"/>
  <c r="AQ34" i="13" a="1"/>
  <c r="AQ34" i="13" s="1"/>
  <c r="AQ30" i="13" a="1"/>
  <c r="AQ30" i="13" s="1"/>
  <c r="AQ26" i="13" a="1"/>
  <c r="AQ26" i="13" s="1"/>
  <c r="AQ19" i="13" a="1"/>
  <c r="AQ19" i="13" s="1"/>
  <c r="AQ9" i="13" a="1"/>
  <c r="AQ9" i="13" s="1"/>
  <c r="AQ35" i="12" a="1"/>
  <c r="AQ35" i="12" s="1"/>
  <c r="AQ31" i="12" a="1"/>
  <c r="AQ31" i="12" s="1"/>
  <c r="AQ27" i="12" a="1"/>
  <c r="AQ27" i="12" s="1"/>
  <c r="AQ24" i="12" a="1"/>
  <c r="AQ24" i="12" s="1"/>
  <c r="AQ15" i="12" a="1"/>
  <c r="AQ15" i="12" s="1"/>
  <c r="AQ14" i="11" a="1"/>
  <c r="AQ14" i="11" s="1"/>
  <c r="AQ24" i="10" a="1"/>
  <c r="AQ24" i="10" s="1"/>
  <c r="AQ28" i="7" a="1"/>
  <c r="AQ28" i="7" s="1"/>
  <c r="AQ32" i="5" a="1"/>
  <c r="AQ32" i="5" s="1"/>
  <c r="AQ14" i="24" a="1"/>
  <c r="AQ14" i="24" s="1"/>
  <c r="AQ29" i="11" a="1"/>
  <c r="AQ29" i="11" s="1"/>
  <c r="AQ35" i="34" a="1"/>
  <c r="AQ35" i="34" s="1"/>
  <c r="AQ31" i="34" a="1"/>
  <c r="AQ31" i="34" s="1"/>
  <c r="AQ15" i="34" a="1"/>
  <c r="AQ15" i="34" s="1"/>
  <c r="AQ23" i="31" a="1"/>
  <c r="AQ23" i="31" s="1"/>
  <c r="AQ9" i="31" a="1"/>
  <c r="AQ9" i="31" s="1"/>
  <c r="AQ18" i="30" a="1"/>
  <c r="AQ18" i="30" s="1"/>
  <c r="AQ18" i="29" a="1"/>
  <c r="AQ18" i="29" s="1"/>
  <c r="AQ36" i="28" a="1"/>
  <c r="AQ36" i="28" s="1"/>
  <c r="AQ30" i="28" a="1"/>
  <c r="AQ30" i="28" s="1"/>
  <c r="AQ33" i="27" a="1"/>
  <c r="AQ33" i="27" s="1"/>
  <c r="AQ19" i="24" a="1"/>
  <c r="AQ19" i="24" s="1"/>
  <c r="AQ14" i="23" a="1"/>
  <c r="AQ14" i="23" s="1"/>
  <c r="AQ20" i="21" a="1"/>
  <c r="AQ20" i="21" s="1"/>
  <c r="AQ16" i="21" a="1"/>
  <c r="AQ16" i="21" s="1"/>
  <c r="AQ23" i="20" a="1"/>
  <c r="AQ23" i="20" s="1"/>
  <c r="AQ19" i="20" a="1"/>
  <c r="AQ19" i="20" s="1"/>
  <c r="AR30" i="18" a="1"/>
  <c r="AR30" i="18" s="1"/>
  <c r="AR24" i="18" a="1"/>
  <c r="AR24" i="18" s="1"/>
  <c r="AR21" i="16" a="1"/>
  <c r="AR21" i="16" s="1"/>
  <c r="AR9" i="16" a="1"/>
  <c r="AR9" i="16" s="1"/>
  <c r="AQ20" i="14" a="1"/>
  <c r="AQ20" i="14" s="1"/>
  <c r="AQ14" i="13" a="1"/>
  <c r="AQ14" i="13" s="1"/>
  <c r="AQ22" i="12" a="1"/>
  <c r="AQ22" i="12" s="1"/>
  <c r="AQ10" i="12" a="1"/>
  <c r="AQ10" i="12" s="1"/>
  <c r="AQ33" i="11" a="1"/>
  <c r="AQ33" i="11" s="1"/>
  <c r="AQ21" i="11" a="1"/>
  <c r="AQ21" i="11" s="1"/>
  <c r="AQ9" i="11" a="1"/>
  <c r="AQ9" i="11" s="1"/>
  <c r="AQ14" i="10" a="1"/>
  <c r="AQ14" i="10" s="1"/>
  <c r="AQ10" i="10" a="1"/>
  <c r="AQ10" i="10" s="1"/>
  <c r="AQ30" i="8" a="1"/>
  <c r="AQ30" i="8" s="1"/>
  <c r="AQ10" i="7" a="1"/>
  <c r="AQ10" i="7" s="1"/>
  <c r="AR12" i="6" a="1"/>
  <c r="AR12" i="6" s="1"/>
  <c r="AQ20" i="5" a="1"/>
  <c r="AQ20" i="5" s="1"/>
  <c r="AQ10" i="34" a="1"/>
  <c r="AQ10" i="34" s="1"/>
  <c r="AQ33" i="32" a="1"/>
  <c r="AQ33" i="32" s="1"/>
  <c r="AQ14" i="31" a="1"/>
  <c r="AQ14" i="31" s="1"/>
  <c r="AQ9" i="30" a="1"/>
  <c r="AQ9" i="30" s="1"/>
  <c r="AQ20" i="28" a="1"/>
  <c r="AQ20" i="28" s="1"/>
  <c r="AQ9" i="24" a="1"/>
  <c r="AQ9" i="24" s="1"/>
  <c r="AQ15" i="14" a="1"/>
  <c r="AQ15" i="14" s="1"/>
  <c r="AQ16" i="11" a="1"/>
  <c r="AQ16" i="11" s="1"/>
  <c r="AQ27" i="34" a="1"/>
  <c r="AQ27" i="34" s="1"/>
  <c r="AQ24" i="34" a="1"/>
  <c r="AQ24" i="34" s="1"/>
  <c r="AQ22" i="34" a="1"/>
  <c r="AQ22" i="34" s="1"/>
  <c r="AQ17" i="34" a="1"/>
  <c r="AQ17" i="34" s="1"/>
  <c r="AQ12" i="33" a="1"/>
  <c r="AQ12" i="33" s="1"/>
  <c r="AQ18" i="32" a="1"/>
  <c r="AQ18" i="32" s="1"/>
  <c r="AQ17" i="31" a="1"/>
  <c r="AQ17" i="31" s="1"/>
  <c r="AQ26" i="30" a="1"/>
  <c r="AQ26" i="30" s="1"/>
  <c r="AQ13" i="30" a="1"/>
  <c r="AQ13" i="30" s="1"/>
  <c r="AQ24" i="28" a="1"/>
  <c r="AQ24" i="28" s="1"/>
  <c r="AQ13" i="28" a="1"/>
  <c r="AQ13" i="28" s="1"/>
  <c r="AQ32" i="27" a="1"/>
  <c r="AQ32" i="27" s="1"/>
  <c r="AQ14" i="26" a="1"/>
  <c r="AQ14" i="26" s="1"/>
  <c r="AQ9" i="26" a="1"/>
  <c r="AQ9" i="26" s="1"/>
  <c r="AQ33" i="24" a="1"/>
  <c r="AQ33" i="24" s="1"/>
  <c r="AQ29" i="24" a="1"/>
  <c r="AQ29" i="24" s="1"/>
  <c r="AQ25" i="24" a="1"/>
  <c r="AQ25" i="24" s="1"/>
  <c r="AQ21" i="24" a="1"/>
  <c r="AQ21" i="24" s="1"/>
  <c r="AQ15" i="20" a="1"/>
  <c r="AQ15" i="20" s="1"/>
  <c r="AQ12" i="20" a="1"/>
  <c r="AQ12" i="20" s="1"/>
  <c r="AQ9" i="20" a="1"/>
  <c r="AQ9" i="20" s="1"/>
  <c r="AR11" i="16" a="1"/>
  <c r="AR11" i="16" s="1"/>
  <c r="AQ30" i="15" a="1"/>
  <c r="AQ30" i="15" s="1"/>
  <c r="AQ12" i="15" a="1"/>
  <c r="AQ12" i="15" s="1"/>
  <c r="AQ9" i="15" a="1"/>
  <c r="AQ9" i="15" s="1"/>
  <c r="AQ35" i="14" a="1"/>
  <c r="AQ35" i="14" s="1"/>
  <c r="AQ31" i="14" a="1"/>
  <c r="AQ31" i="14" s="1"/>
  <c r="AQ27" i="14" a="1"/>
  <c r="AQ27" i="14" s="1"/>
  <c r="AQ24" i="14" a="1"/>
  <c r="AQ24" i="14" s="1"/>
  <c r="AQ22" i="14" a="1"/>
  <c r="AQ22" i="14" s="1"/>
  <c r="AQ10" i="14" a="1"/>
  <c r="AQ10" i="14" s="1"/>
  <c r="AQ33" i="13" a="1"/>
  <c r="AQ33" i="13" s="1"/>
  <c r="AQ29" i="13" a="1"/>
  <c r="AQ29" i="13" s="1"/>
  <c r="AQ25" i="13" a="1"/>
  <c r="AQ25" i="13" s="1"/>
  <c r="AQ23" i="13" a="1"/>
  <c r="AQ23" i="13" s="1"/>
  <c r="AQ16" i="13" a="1"/>
  <c r="AQ16" i="13" s="1"/>
  <c r="AQ11" i="13" a="1"/>
  <c r="AQ11" i="13" s="1"/>
  <c r="AQ34" i="12" a="1"/>
  <c r="AQ34" i="12" s="1"/>
  <c r="AQ30" i="12" a="1"/>
  <c r="AQ30" i="12" s="1"/>
  <c r="AQ26" i="12" a="1"/>
  <c r="AQ26" i="12" s="1"/>
  <c r="AQ12" i="12" a="1"/>
  <c r="AQ12" i="12" s="1"/>
  <c r="AQ11" i="11" a="1"/>
  <c r="AQ11" i="11" s="1"/>
  <c r="AQ27" i="9" a="1"/>
  <c r="AQ27" i="9" s="1"/>
  <c r="AQ35" i="7" a="1"/>
  <c r="AQ35" i="7" s="1"/>
  <c r="AQ31" i="7" a="1"/>
  <c r="AQ31" i="7" s="1"/>
  <c r="AQ27" i="7" a="1"/>
  <c r="AQ27" i="7" s="1"/>
  <c r="AQ24" i="7" a="1"/>
  <c r="AQ24" i="7" s="1"/>
  <c r="AQ22" i="7" a="1"/>
  <c r="AQ22" i="7" s="1"/>
  <c r="AQ17" i="7" a="1"/>
  <c r="AQ17" i="7" s="1"/>
  <c r="AQ12" i="7" a="1"/>
  <c r="AQ12" i="7" s="1"/>
  <c r="AQ35" i="5" a="1"/>
  <c r="AQ35" i="5" s="1"/>
  <c r="AQ31" i="5" a="1"/>
  <c r="AQ31" i="5" s="1"/>
  <c r="AQ27" i="5" a="1"/>
  <c r="AQ27" i="5" s="1"/>
  <c r="AQ24" i="5" a="1"/>
  <c r="AQ24" i="5" s="1"/>
  <c r="AQ22" i="5" a="1"/>
  <c r="AQ22" i="5" s="1"/>
  <c r="AQ34" i="34" a="1"/>
  <c r="AQ34" i="34" s="1"/>
  <c r="AQ30" i="34" a="1"/>
  <c r="AQ30" i="34" s="1"/>
  <c r="AQ12" i="34" a="1"/>
  <c r="AQ12" i="34" s="1"/>
  <c r="AQ19" i="33" a="1"/>
  <c r="AQ19" i="33" s="1"/>
  <c r="AQ15" i="33" a="1"/>
  <c r="AQ15" i="33" s="1"/>
  <c r="AQ9" i="33" a="1"/>
  <c r="AQ9" i="33" s="1"/>
  <c r="AQ23" i="29" a="1"/>
  <c r="AQ23" i="29" s="1"/>
  <c r="AQ16" i="29" a="1"/>
  <c r="AQ16" i="29" s="1"/>
  <c r="AQ35" i="28" a="1"/>
  <c r="AQ35" i="28" s="1"/>
  <c r="AQ16" i="28" a="1"/>
  <c r="AQ16" i="28" s="1"/>
  <c r="AQ30" i="27" a="1"/>
  <c r="AQ30" i="27" s="1"/>
  <c r="AQ36" i="26" a="1"/>
  <c r="AQ36" i="26" s="1"/>
  <c r="AQ23" i="24" a="1"/>
  <c r="AQ23" i="24" s="1"/>
  <c r="AQ16" i="24" a="1"/>
  <c r="AQ16" i="24" s="1"/>
  <c r="AQ12" i="23" a="1"/>
  <c r="AQ12" i="23" s="1"/>
  <c r="AQ27" i="20" a="1"/>
  <c r="AQ27" i="20" s="1"/>
  <c r="AQ14" i="19" a="1"/>
  <c r="AQ14" i="19" s="1"/>
  <c r="AR12" i="18" a="1"/>
  <c r="AR12" i="18" s="1"/>
  <c r="AQ12" i="17" a="1"/>
  <c r="AQ12" i="17" s="1"/>
  <c r="AR18" i="16" a="1"/>
  <c r="AR18" i="16" s="1"/>
  <c r="AQ17" i="14" a="1"/>
  <c r="AQ17" i="14" s="1"/>
  <c r="AQ19" i="12" a="1"/>
  <c r="AQ19" i="12" s="1"/>
  <c r="AQ36" i="11" a="1"/>
  <c r="AQ36" i="11" s="1"/>
  <c r="AQ32" i="11" a="1"/>
  <c r="AQ32" i="11" s="1"/>
  <c r="AQ18" i="11" a="1"/>
  <c r="AQ18" i="11" s="1"/>
  <c r="AQ13" i="10" a="1"/>
  <c r="AQ13" i="10" s="1"/>
  <c r="AQ26" i="9" a="1"/>
  <c r="AQ26" i="9" s="1"/>
  <c r="AQ14" i="8" a="1"/>
  <c r="AQ14" i="8" s="1"/>
  <c r="AQ17" i="5" a="1"/>
  <c r="AQ17" i="5" s="1"/>
  <c r="AQ26" i="7" a="1"/>
  <c r="AQ26" i="7" s="1"/>
  <c r="AQ26" i="5" a="1"/>
  <c r="AQ26" i="5" s="1"/>
  <c r="AQ19" i="5" a="1"/>
  <c r="AQ19" i="5" s="1"/>
  <c r="AQ23" i="27" a="1"/>
  <c r="AQ23" i="27" s="1"/>
  <c r="AQ12" i="8" a="1"/>
  <c r="AQ12" i="8" s="1"/>
  <c r="AQ26" i="34" a="1"/>
  <c r="AQ26" i="34" s="1"/>
  <c r="AQ19" i="34" a="1"/>
  <c r="AQ19" i="34" s="1"/>
  <c r="AQ12" i="32" a="1"/>
  <c r="AQ12" i="32" s="1"/>
  <c r="AQ29" i="31" a="1"/>
  <c r="AQ29" i="31" s="1"/>
  <c r="AQ11" i="31" a="1"/>
  <c r="AQ11" i="31" s="1"/>
  <c r="AQ11" i="29" a="1"/>
  <c r="AQ11" i="29" s="1"/>
  <c r="AQ28" i="28" a="1"/>
  <c r="AQ28" i="28" s="1"/>
  <c r="AQ11" i="27" a="1"/>
  <c r="AQ11" i="27" s="1"/>
  <c r="AQ23" i="26" a="1"/>
  <c r="AQ23" i="26" s="1"/>
  <c r="AQ14" i="25" a="1"/>
  <c r="AQ14" i="25" s="1"/>
  <c r="AQ11" i="24" a="1"/>
  <c r="AQ11" i="24" s="1"/>
  <c r="AQ14" i="21" a="1"/>
  <c r="AQ14" i="21" s="1"/>
  <c r="AR23" i="18" a="1"/>
  <c r="AR23" i="18" s="1"/>
  <c r="AR36" i="16" a="1"/>
  <c r="AR36" i="16" s="1"/>
  <c r="AR32" i="16" a="1"/>
  <c r="AR32" i="16" s="1"/>
  <c r="AR28" i="16" a="1"/>
  <c r="AR28" i="16" s="1"/>
  <c r="AR13" i="16" a="1"/>
  <c r="AR13" i="16" s="1"/>
  <c r="AQ21" i="15" a="1"/>
  <c r="AQ21" i="15" s="1"/>
  <c r="AQ12" i="14" a="1"/>
  <c r="AQ12" i="14" s="1"/>
  <c r="AQ18" i="13" a="1"/>
  <c r="AQ18" i="13" s="1"/>
  <c r="AQ14" i="12" a="1"/>
  <c r="AQ14" i="12" s="1"/>
  <c r="AQ28" i="11" a="1"/>
  <c r="AQ28" i="11" s="1"/>
  <c r="AQ13" i="11" a="1"/>
  <c r="AQ13" i="11" s="1"/>
  <c r="AQ17" i="10" a="1"/>
  <c r="AQ17" i="10" s="1"/>
  <c r="AQ22" i="9" a="1"/>
  <c r="AQ22" i="9" s="1"/>
  <c r="AQ19" i="7" a="1"/>
  <c r="AQ19" i="7" s="1"/>
  <c r="AQ14" i="7" a="1"/>
  <c r="AQ14" i="7" s="1"/>
  <c r="AQ9" i="7" a="1"/>
  <c r="AQ9" i="7" s="1"/>
  <c r="AQ12" i="5" a="1"/>
  <c r="AQ12" i="5" s="1"/>
  <c r="AQ30" i="7" a="1"/>
  <c r="AQ30" i="7" s="1"/>
  <c r="AQ30" i="5" a="1"/>
  <c r="AQ30" i="5" s="1"/>
  <c r="AR25" i="16" a="1"/>
  <c r="AR25" i="16" s="1"/>
  <c r="AQ17" i="12" a="1"/>
  <c r="AQ17" i="12" s="1"/>
  <c r="AQ9" i="8" a="1"/>
  <c r="AQ9" i="8" s="1"/>
  <c r="AQ14" i="34" a="1"/>
  <c r="AQ14" i="34" s="1"/>
  <c r="AQ21" i="31" a="1"/>
  <c r="AQ21" i="31" s="1"/>
  <c r="AQ21" i="30" a="1"/>
  <c r="AQ21" i="30" s="1"/>
  <c r="AQ16" i="30" a="1"/>
  <c r="AQ16" i="30" s="1"/>
  <c r="AQ12" i="30" a="1"/>
  <c r="AQ12" i="30" s="1"/>
  <c r="AQ15" i="29" a="1"/>
  <c r="AQ15" i="29" s="1"/>
  <c r="AQ12" i="28" a="1"/>
  <c r="AQ12" i="28" s="1"/>
  <c r="AQ18" i="26" a="1"/>
  <c r="AQ18" i="26" s="1"/>
  <c r="AQ36" i="24" a="1"/>
  <c r="AQ36" i="24" s="1"/>
  <c r="AQ32" i="24" a="1"/>
  <c r="AQ32" i="24" s="1"/>
  <c r="AQ28" i="24" a="1"/>
  <c r="AQ28" i="24" s="1"/>
  <c r="AQ18" i="24" a="1"/>
  <c r="AQ18" i="24" s="1"/>
  <c r="AQ14" i="20" a="1"/>
  <c r="AQ14" i="20" s="1"/>
  <c r="AR27" i="18" a="1"/>
  <c r="AR27" i="18" s="1"/>
  <c r="AR20" i="16" a="1"/>
  <c r="AR20" i="16" s="1"/>
  <c r="AQ24" i="15" a="1"/>
  <c r="AQ24" i="15" s="1"/>
  <c r="AQ34" i="14" a="1"/>
  <c r="AQ34" i="14" s="1"/>
  <c r="AQ30" i="14" a="1"/>
  <c r="AQ30" i="14" s="1"/>
  <c r="AQ26" i="14" a="1"/>
  <c r="AQ26" i="14" s="1"/>
  <c r="AQ19" i="14" a="1"/>
  <c r="AQ19" i="14" s="1"/>
  <c r="AQ36" i="13" a="1"/>
  <c r="AQ36" i="13" s="1"/>
  <c r="AQ32" i="13" a="1"/>
  <c r="AQ32" i="13" s="1"/>
  <c r="AQ28" i="13" a="1"/>
  <c r="AQ28" i="13" s="1"/>
  <c r="AQ13" i="13" a="1"/>
  <c r="AQ13" i="13" s="1"/>
  <c r="AQ33" i="12" a="1"/>
  <c r="AQ33" i="12" s="1"/>
  <c r="AQ29" i="12" a="1"/>
  <c r="AQ29" i="12" s="1"/>
  <c r="AQ25" i="12" a="1"/>
  <c r="AQ25" i="12" s="1"/>
  <c r="AQ23" i="12" a="1"/>
  <c r="AQ23" i="12" s="1"/>
  <c r="AQ21" i="12" a="1"/>
  <c r="AQ21" i="12" s="1"/>
  <c r="AQ20" i="11" a="1"/>
  <c r="AQ20" i="11" s="1"/>
  <c r="AQ9" i="10" a="1"/>
  <c r="AQ9" i="10" s="1"/>
  <c r="AQ9" i="9" a="1"/>
  <c r="AQ9" i="9" s="1"/>
  <c r="AQ22" i="8" a="1"/>
  <c r="AQ22" i="8" s="1"/>
  <c r="AQ34" i="7" a="1"/>
  <c r="AQ34" i="7" s="1"/>
  <c r="AR16" i="6" a="1"/>
  <c r="AR16" i="6" s="1"/>
  <c r="AQ34" i="5" a="1"/>
  <c r="AQ34" i="5" s="1"/>
  <c r="AQ23" i="5" a="1"/>
  <c r="AQ23" i="5" s="1"/>
  <c r="AR23" i="16" a="1"/>
  <c r="AR23" i="16" s="1"/>
  <c r="AQ23" i="11" a="1"/>
  <c r="AQ23" i="11" s="1"/>
  <c r="AQ33" i="34" a="1"/>
  <c r="AQ33" i="34" s="1"/>
  <c r="AQ29" i="34" a="1"/>
  <c r="AQ29" i="34" s="1"/>
  <c r="AQ21" i="34" a="1"/>
  <c r="AQ21" i="34" s="1"/>
  <c r="AQ9" i="34" a="1"/>
  <c r="AQ9" i="34" s="1"/>
  <c r="AQ14" i="33" a="1"/>
  <c r="AQ14" i="33" s="1"/>
  <c r="AQ16" i="32" a="1"/>
  <c r="AQ16" i="32" s="1"/>
  <c r="AQ36" i="29" a="1"/>
  <c r="AQ36" i="29" s="1"/>
  <c r="AQ34" i="28" a="1"/>
  <c r="AQ34" i="28" s="1"/>
  <c r="AQ36" i="27" a="1"/>
  <c r="AQ36" i="27" s="1"/>
  <c r="AQ18" i="27" a="1"/>
  <c r="AQ18" i="27" s="1"/>
  <c r="AQ33" i="26" a="1"/>
  <c r="AQ33" i="26" s="1"/>
  <c r="AQ12" i="26" a="1"/>
  <c r="AQ12" i="26" s="1"/>
  <c r="AQ13" i="24" a="1"/>
  <c r="AQ13" i="24" s="1"/>
  <c r="AQ18" i="21" a="1"/>
  <c r="AQ18" i="21" s="1"/>
  <c r="AQ34" i="20" a="1"/>
  <c r="AQ34" i="20" s="1"/>
  <c r="AQ25" i="20" a="1"/>
  <c r="AQ25" i="20" s="1"/>
  <c r="AR19" i="18" a="1"/>
  <c r="AR19" i="18" s="1"/>
  <c r="AR15" i="16" a="1"/>
  <c r="AR15" i="16" s="1"/>
  <c r="AQ17" i="15" a="1"/>
  <c r="AQ17" i="15" s="1"/>
  <c r="AQ14" i="15" a="1"/>
  <c r="AQ14" i="15" s="1"/>
  <c r="AQ14" i="14" a="1"/>
  <c r="AQ14" i="14" s="1"/>
  <c r="AQ20" i="13" a="1"/>
  <c r="AQ20" i="13" s="1"/>
  <c r="AQ16" i="12" a="1"/>
  <c r="AQ16" i="12" s="1"/>
  <c r="AQ9" i="12" a="1"/>
  <c r="AQ9" i="12" s="1"/>
  <c r="AQ35" i="11" a="1"/>
  <c r="AQ35" i="11" s="1"/>
  <c r="AQ15" i="11" a="1"/>
  <c r="AQ15" i="11" s="1"/>
  <c r="AQ34" i="10" a="1"/>
  <c r="AQ34" i="10" s="1"/>
  <c r="AQ12" i="10" a="1"/>
  <c r="AQ12" i="10" s="1"/>
  <c r="AQ26" i="8" a="1"/>
  <c r="AQ26" i="8" s="1"/>
  <c r="AQ16" i="7" a="1"/>
  <c r="AQ16" i="7" s="1"/>
  <c r="AQ14" i="5" a="1"/>
  <c r="AQ14" i="5" s="1"/>
  <c r="AQ29" i="7" a="1"/>
  <c r="AQ29" i="7" s="1"/>
  <c r="AQ33" i="5" a="1"/>
  <c r="AQ33" i="5" s="1"/>
  <c r="AQ13" i="5" a="1"/>
  <c r="AQ13" i="5" s="1"/>
  <c r="AQ12" i="29" a="1"/>
  <c r="AQ12" i="29" s="1"/>
  <c r="AQ12" i="27" a="1"/>
  <c r="AQ12" i="27" s="1"/>
  <c r="AR17" i="18" a="1"/>
  <c r="AR17" i="18" s="1"/>
  <c r="AQ25" i="11" a="1"/>
  <c r="AQ25" i="11" s="1"/>
  <c r="AQ15" i="5" a="1"/>
  <c r="AQ15" i="5" s="1"/>
  <c r="AQ36" i="33" a="1"/>
  <c r="AQ36" i="33" s="1"/>
  <c r="AQ9" i="32" a="1"/>
  <c r="AQ9" i="32" s="1"/>
  <c r="AQ35" i="32" a="1"/>
  <c r="AQ35" i="32" s="1"/>
  <c r="AQ32" i="31" a="1"/>
  <c r="AQ32" i="31" s="1"/>
  <c r="AQ26" i="31" a="1"/>
  <c r="AQ26" i="31" s="1"/>
  <c r="AQ22" i="31" a="1"/>
  <c r="AQ22" i="31" s="1"/>
  <c r="AQ21" i="29" a="1"/>
  <c r="AQ21" i="29" s="1"/>
  <c r="AQ31" i="28" a="1"/>
  <c r="AQ31" i="28" s="1"/>
  <c r="AQ29" i="27" a="1"/>
  <c r="AQ29" i="27" s="1"/>
  <c r="AQ27" i="27" a="1"/>
  <c r="AQ27" i="27" s="1"/>
  <c r="AQ15" i="26" a="1"/>
  <c r="AQ15" i="26" s="1"/>
  <c r="AQ33" i="23" a="1"/>
  <c r="AQ33" i="23" s="1"/>
  <c r="AQ16" i="22" a="1"/>
  <c r="AQ16" i="22" s="1"/>
  <c r="AQ9" i="22" a="1"/>
  <c r="AQ9" i="22" s="1"/>
  <c r="AQ19" i="22" a="1"/>
  <c r="AQ19" i="22" s="1"/>
  <c r="AQ28" i="21" a="1"/>
  <c r="AQ28" i="21" s="1"/>
  <c r="AQ10" i="21" a="1"/>
  <c r="AQ10" i="21" s="1"/>
  <c r="AQ21" i="20" a="1"/>
  <c r="AQ21" i="20" s="1"/>
  <c r="AR29" i="18" a="1"/>
  <c r="AR29" i="18" s="1"/>
  <c r="AQ26" i="17" a="1"/>
  <c r="AQ26" i="17" s="1"/>
  <c r="AQ16" i="15" a="1"/>
  <c r="AQ16" i="15" s="1"/>
  <c r="AQ28" i="15" a="1"/>
  <c r="AQ28" i="15" s="1"/>
  <c r="AQ18" i="9" a="1"/>
  <c r="AQ18" i="9" s="1"/>
  <c r="AQ31" i="32" a="1"/>
  <c r="AQ31" i="32" s="1"/>
  <c r="AQ23" i="32" a="1"/>
  <c r="AQ23" i="32" s="1"/>
  <c r="AQ17" i="32" a="1"/>
  <c r="AQ17" i="32" s="1"/>
  <c r="AQ28" i="31" a="1"/>
  <c r="AQ28" i="31" s="1"/>
  <c r="AQ35" i="30" a="1"/>
  <c r="AQ35" i="30" s="1"/>
  <c r="AQ22" i="29" a="1"/>
  <c r="AQ22" i="29" s="1"/>
  <c r="AQ27" i="28" a="1"/>
  <c r="AQ27" i="28" s="1"/>
  <c r="AQ10" i="27" a="1"/>
  <c r="AQ10" i="27" s="1"/>
  <c r="AQ28" i="26" a="1"/>
  <c r="AQ28" i="26" s="1"/>
  <c r="AQ21" i="25" a="1"/>
  <c r="AQ21" i="25" s="1"/>
  <c r="AQ22" i="25" a="1"/>
  <c r="AQ22" i="25" s="1"/>
  <c r="AQ21" i="23" a="1"/>
  <c r="AQ21" i="23" s="1"/>
  <c r="AQ22" i="23" a="1"/>
  <c r="AQ22" i="23" s="1"/>
  <c r="AQ18" i="22" a="1"/>
  <c r="AQ18" i="22" s="1"/>
  <c r="AQ25" i="22" a="1"/>
  <c r="AQ25" i="22" s="1"/>
  <c r="AQ33" i="20" a="1"/>
  <c r="AQ33" i="20" s="1"/>
  <c r="AQ27" i="19" a="1"/>
  <c r="AQ27" i="19" s="1"/>
  <c r="AQ24" i="19" a="1"/>
  <c r="AQ24" i="19" s="1"/>
  <c r="AR10" i="18" a="1"/>
  <c r="AR10" i="18" s="1"/>
  <c r="AQ18" i="15" a="1"/>
  <c r="AQ18" i="15" s="1"/>
  <c r="AQ19" i="9" a="1"/>
  <c r="AQ19" i="9" s="1"/>
  <c r="AQ23" i="33" a="1"/>
  <c r="AQ23" i="33" s="1"/>
  <c r="AQ29" i="32" a="1"/>
  <c r="AQ29" i="32" s="1"/>
  <c r="AQ17" i="30" a="1"/>
  <c r="AQ17" i="30" s="1"/>
  <c r="AQ30" i="29" a="1"/>
  <c r="AQ30" i="29" s="1"/>
  <c r="AQ17" i="29" a="1"/>
  <c r="AQ17" i="29" s="1"/>
  <c r="AQ26" i="29" a="1"/>
  <c r="AQ26" i="29" s="1"/>
  <c r="AQ9" i="28" a="1"/>
  <c r="AQ9" i="28" s="1"/>
  <c r="AQ15" i="27" a="1"/>
  <c r="AQ15" i="27" s="1"/>
  <c r="AQ22" i="27" a="1"/>
  <c r="AQ22" i="27" s="1"/>
  <c r="AQ31" i="26" a="1"/>
  <c r="AQ31" i="26" s="1"/>
  <c r="AQ10" i="26" a="1"/>
  <c r="AQ10" i="26" s="1"/>
  <c r="AQ31" i="25" a="1"/>
  <c r="AQ31" i="25" s="1"/>
  <c r="AQ23" i="25" a="1"/>
  <c r="AQ23" i="25" s="1"/>
  <c r="AQ17" i="25" a="1"/>
  <c r="AQ17" i="25" s="1"/>
  <c r="AQ31" i="23" a="1"/>
  <c r="AQ31" i="23" s="1"/>
  <c r="AQ23" i="23" a="1"/>
  <c r="AQ23" i="23" s="1"/>
  <c r="AQ17" i="23" a="1"/>
  <c r="AQ17" i="23" s="1"/>
  <c r="AQ27" i="22" a="1"/>
  <c r="AQ27" i="22" s="1"/>
  <c r="AQ24" i="22" a="1"/>
  <c r="AQ24" i="22" s="1"/>
  <c r="AQ23" i="21" a="1"/>
  <c r="AQ23" i="21" s="1"/>
  <c r="AQ35" i="21" a="1"/>
  <c r="AQ35" i="21" s="1"/>
  <c r="AQ36" i="20" a="1"/>
  <c r="AQ36" i="20" s="1"/>
  <c r="AQ26" i="20" a="1"/>
  <c r="AQ26" i="20" s="1"/>
  <c r="AQ16" i="19" a="1"/>
  <c r="AQ16" i="19" s="1"/>
  <c r="AQ32" i="19" a="1"/>
  <c r="AQ32" i="19" s="1"/>
  <c r="AQ13" i="19" a="1"/>
  <c r="AQ13" i="19" s="1"/>
  <c r="AR18" i="18" a="1"/>
  <c r="AR18" i="18" s="1"/>
  <c r="AR11" i="18" a="1"/>
  <c r="AR11" i="18" s="1"/>
  <c r="AR22" i="18" a="1"/>
  <c r="AR22" i="18" s="1"/>
  <c r="AQ16" i="33" a="1"/>
  <c r="AQ16" i="33" s="1"/>
  <c r="AQ29" i="33" a="1"/>
  <c r="AQ29" i="33" s="1"/>
  <c r="AQ24" i="33" a="1"/>
  <c r="AQ24" i="33" s="1"/>
  <c r="AQ27" i="32" a="1"/>
  <c r="AQ27" i="32" s="1"/>
  <c r="AQ34" i="32" a="1"/>
  <c r="AQ34" i="32" s="1"/>
  <c r="AQ18" i="31" a="1"/>
  <c r="AQ18" i="31" s="1"/>
  <c r="AQ19" i="31" a="1"/>
  <c r="AQ19" i="31" s="1"/>
  <c r="AQ25" i="28" a="1"/>
  <c r="AQ25" i="28" s="1"/>
  <c r="AQ21" i="26" a="1"/>
  <c r="AQ21" i="26" s="1"/>
  <c r="AQ22" i="26" a="1"/>
  <c r="AQ22" i="26" s="1"/>
  <c r="AQ29" i="25" a="1"/>
  <c r="AQ29" i="25" s="1"/>
  <c r="AQ29" i="23" a="1"/>
  <c r="AQ29" i="23" s="1"/>
  <c r="AQ12" i="22" a="1"/>
  <c r="AQ12" i="22" s="1"/>
  <c r="AQ33" i="22" a="1"/>
  <c r="AQ33" i="22" s="1"/>
  <c r="AQ13" i="22" a="1"/>
  <c r="AQ13" i="22" s="1"/>
  <c r="AQ29" i="21" a="1"/>
  <c r="AQ29" i="21" s="1"/>
  <c r="AQ19" i="21" a="1"/>
  <c r="AQ19" i="21" s="1"/>
  <c r="AQ26" i="21" a="1"/>
  <c r="AQ26" i="21" s="1"/>
  <c r="AQ20" i="19" a="1"/>
  <c r="AQ20" i="19" s="1"/>
  <c r="AQ28" i="19" a="1"/>
  <c r="AQ28" i="19" s="1"/>
  <c r="AQ10" i="19" a="1"/>
  <c r="AQ10" i="19" s="1"/>
  <c r="AQ18" i="33" a="1"/>
  <c r="AQ18" i="33" s="1"/>
  <c r="AQ11" i="32" a="1"/>
  <c r="AQ11" i="32" s="1"/>
  <c r="AQ10" i="32" a="1"/>
  <c r="AQ10" i="32" s="1"/>
  <c r="AQ20" i="31" a="1"/>
  <c r="AQ20" i="31" s="1"/>
  <c r="AQ31" i="31" a="1"/>
  <c r="AQ31" i="31" s="1"/>
  <c r="AQ25" i="30" a="1"/>
  <c r="AQ25" i="30" s="1"/>
  <c r="AQ10" i="30" a="1"/>
  <c r="AQ10" i="30" s="1"/>
  <c r="AQ32" i="28" a="1"/>
  <c r="AQ32" i="28" s="1"/>
  <c r="AQ29" i="28" a="1"/>
  <c r="AQ29" i="28" s="1"/>
  <c r="AQ22" i="28" a="1"/>
  <c r="AQ22" i="28" s="1"/>
  <c r="AQ21" i="27" a="1"/>
  <c r="AQ21" i="27" s="1"/>
  <c r="AQ30" i="26" a="1"/>
  <c r="AQ30" i="26" s="1"/>
  <c r="AQ17" i="26" a="1"/>
  <c r="AQ17" i="26" s="1"/>
  <c r="AQ14" i="22" a="1"/>
  <c r="AQ14" i="22" s="1"/>
  <c r="AQ15" i="22" a="1"/>
  <c r="AQ15" i="22" s="1"/>
  <c r="AQ34" i="22" a="1"/>
  <c r="AQ34" i="22" s="1"/>
  <c r="AQ28" i="20" a="1"/>
  <c r="AQ28" i="20" s="1"/>
  <c r="AR28" i="18" a="1"/>
  <c r="AR28" i="18" s="1"/>
  <c r="AQ20" i="33" a="1"/>
  <c r="AQ20" i="33" s="1"/>
  <c r="AQ32" i="32" a="1"/>
  <c r="AQ32" i="32" s="1"/>
  <c r="AQ13" i="32" a="1"/>
  <c r="AQ13" i="32" s="1"/>
  <c r="AQ24" i="31" a="1"/>
  <c r="AQ24" i="31" s="1"/>
  <c r="AQ33" i="30" a="1"/>
  <c r="AQ33" i="30" s="1"/>
  <c r="AQ29" i="30" a="1"/>
  <c r="AQ29" i="30" s="1"/>
  <c r="AQ27" i="30" a="1"/>
  <c r="AQ27" i="30" s="1"/>
  <c r="AQ25" i="29" a="1"/>
  <c r="AQ25" i="29" s="1"/>
  <c r="AQ27" i="29" a="1"/>
  <c r="AQ27" i="29" s="1"/>
  <c r="AQ24" i="29" a="1"/>
  <c r="AQ24" i="29" s="1"/>
  <c r="AQ35" i="27" a="1"/>
  <c r="AQ35" i="27" s="1"/>
  <c r="AQ19" i="26" a="1"/>
  <c r="AQ19" i="26" s="1"/>
  <c r="AQ27" i="25" a="1"/>
  <c r="AQ27" i="25" s="1"/>
  <c r="AQ24" i="25" a="1"/>
  <c r="AQ24" i="25" s="1"/>
  <c r="AQ16" i="23" a="1"/>
  <c r="AQ16" i="23" s="1"/>
  <c r="AQ27" i="23" a="1"/>
  <c r="AQ27" i="23" s="1"/>
  <c r="AQ24" i="23" a="1"/>
  <c r="AQ24" i="23" s="1"/>
  <c r="AQ36" i="22" a="1"/>
  <c r="AQ36" i="22" s="1"/>
  <c r="AQ31" i="33" a="1"/>
  <c r="AQ31" i="33" s="1"/>
  <c r="AQ28" i="33" a="1"/>
  <c r="AQ28" i="33" s="1"/>
  <c r="AQ34" i="33" a="1"/>
  <c r="AQ34" i="33" s="1"/>
  <c r="AQ30" i="32" a="1"/>
  <c r="AQ30" i="32" s="1"/>
  <c r="AQ15" i="32" a="1"/>
  <c r="AQ15" i="32" s="1"/>
  <c r="AQ21" i="32" a="1"/>
  <c r="AQ21" i="32" s="1"/>
  <c r="AQ22" i="32" a="1"/>
  <c r="AQ22" i="32" s="1"/>
  <c r="AQ27" i="31" a="1"/>
  <c r="AQ27" i="31" s="1"/>
  <c r="AQ31" i="30" a="1"/>
  <c r="AQ31" i="30" s="1"/>
  <c r="AQ22" i="30" a="1"/>
  <c r="AQ22" i="30" s="1"/>
  <c r="AQ31" i="29" a="1"/>
  <c r="AQ31" i="29" s="1"/>
  <c r="AQ29" i="29" a="1"/>
  <c r="AQ29" i="29" s="1"/>
  <c r="AQ31" i="27" a="1"/>
  <c r="AQ31" i="27" s="1"/>
  <c r="AQ17" i="27" a="1"/>
  <c r="AQ17" i="27" s="1"/>
  <c r="AQ26" i="26" a="1"/>
  <c r="AQ26" i="26" s="1"/>
  <c r="AQ11" i="25" a="1"/>
  <c r="AQ11" i="25" s="1"/>
  <c r="AQ18" i="23" a="1"/>
  <c r="AQ18" i="23" s="1"/>
  <c r="AQ11" i="23" a="1"/>
  <c r="AQ11" i="23" s="1"/>
  <c r="AQ32" i="22" a="1"/>
  <c r="AQ32" i="22" s="1"/>
  <c r="AQ10" i="22" a="1"/>
  <c r="AQ10" i="22" s="1"/>
  <c r="AQ31" i="21" a="1"/>
  <c r="AQ31" i="21" s="1"/>
  <c r="AQ9" i="21" a="1"/>
  <c r="AQ9" i="21" s="1"/>
  <c r="AQ27" i="21" a="1"/>
  <c r="AQ27" i="21" s="1"/>
  <c r="AQ24" i="21" a="1"/>
  <c r="AQ24" i="21" s="1"/>
  <c r="AQ16" i="20" a="1"/>
  <c r="AQ16" i="20" s="1"/>
  <c r="AQ33" i="19" a="1"/>
  <c r="AQ33" i="19" s="1"/>
  <c r="AQ9" i="19" a="1"/>
  <c r="AQ9" i="19" s="1"/>
  <c r="AQ35" i="19" a="1"/>
  <c r="AQ35" i="19" s="1"/>
  <c r="AR31" i="18" a="1"/>
  <c r="AR31" i="18" s="1"/>
  <c r="AQ9" i="17" a="1"/>
  <c r="AQ9" i="17" s="1"/>
  <c r="AQ35" i="17" a="1"/>
  <c r="AQ35" i="17" s="1"/>
  <c r="AQ28" i="32" a="1"/>
  <c r="AQ28" i="32" s="1"/>
  <c r="AQ33" i="31" a="1"/>
  <c r="AQ33" i="31" s="1"/>
  <c r="AQ30" i="31" a="1"/>
  <c r="AQ30" i="31" s="1"/>
  <c r="AQ36" i="30" a="1"/>
  <c r="AQ36" i="30" s="1"/>
  <c r="AQ17" i="28" a="1"/>
  <c r="AQ17" i="28" s="1"/>
  <c r="AQ19" i="27" a="1"/>
  <c r="AQ19" i="27" s="1"/>
  <c r="AQ26" i="27" a="1"/>
  <c r="AQ26" i="27" s="1"/>
  <c r="AQ16" i="25" a="1"/>
  <c r="AQ16" i="25" s="1"/>
  <c r="AQ32" i="25" a="1"/>
  <c r="AQ32" i="25" s="1"/>
  <c r="AQ13" i="25" a="1"/>
  <c r="AQ13" i="25" s="1"/>
  <c r="AQ20" i="23" a="1"/>
  <c r="AQ20" i="23" s="1"/>
  <c r="AQ32" i="23" a="1"/>
  <c r="AQ32" i="23" s="1"/>
  <c r="AQ13" i="23" a="1"/>
  <c r="AQ13" i="23" s="1"/>
  <c r="AQ31" i="22" a="1"/>
  <c r="AQ31" i="22" s="1"/>
  <c r="AQ23" i="22" a="1"/>
  <c r="AQ23" i="22" s="1"/>
  <c r="AQ36" i="21" a="1"/>
  <c r="AQ36" i="21" s="1"/>
  <c r="AQ11" i="21" a="1"/>
  <c r="AQ11" i="21" s="1"/>
  <c r="AQ18" i="20" a="1"/>
  <c r="AQ18" i="20" s="1"/>
  <c r="AQ19" i="32" a="1"/>
  <c r="AQ19" i="32" s="1"/>
  <c r="AQ35" i="31" a="1"/>
  <c r="AQ35" i="31" s="1"/>
  <c r="AQ32" i="30" a="1"/>
  <c r="AQ32" i="30" s="1"/>
  <c r="AQ35" i="29" a="1"/>
  <c r="AQ35" i="29" s="1"/>
  <c r="AQ28" i="27" a="1"/>
  <c r="AQ28" i="27" s="1"/>
  <c r="AQ34" i="26" a="1"/>
  <c r="AQ34" i="26" s="1"/>
  <c r="AQ33" i="25" a="1"/>
  <c r="AQ33" i="25" s="1"/>
  <c r="AQ34" i="21" a="1"/>
  <c r="AQ34" i="21" s="1"/>
  <c r="AQ22" i="20" a="1"/>
  <c r="AQ22" i="20" s="1"/>
  <c r="AQ27" i="17" a="1"/>
  <c r="AQ27" i="17" s="1"/>
  <c r="AQ24" i="17" a="1"/>
  <c r="AQ24" i="17" s="1"/>
  <c r="AQ33" i="15" a="1"/>
  <c r="AQ33" i="15" s="1"/>
  <c r="AQ22" i="15" a="1"/>
  <c r="AQ22" i="15" s="1"/>
  <c r="AQ33" i="9" a="1"/>
  <c r="AQ33" i="9" s="1"/>
  <c r="AQ29" i="9" a="1"/>
  <c r="AQ29" i="9" s="1"/>
  <c r="AQ29" i="10" a="1"/>
  <c r="AQ29" i="10" s="1"/>
  <c r="AQ21" i="10" a="1"/>
  <c r="AQ21" i="10" s="1"/>
  <c r="AQ27" i="8" a="1"/>
  <c r="AQ27" i="8" s="1"/>
  <c r="AQ36" i="8" a="1"/>
  <c r="AQ36" i="8" s="1"/>
  <c r="AQ35" i="33" a="1"/>
  <c r="AQ35" i="33" s="1"/>
  <c r="AQ19" i="29" a="1"/>
  <c r="AQ19" i="29" s="1"/>
  <c r="AQ19" i="28" a="1"/>
  <c r="AQ19" i="28" s="1"/>
  <c r="AQ15" i="23" a="1"/>
  <c r="AQ15" i="23" s="1"/>
  <c r="AQ29" i="22" a="1"/>
  <c r="AQ29" i="22" s="1"/>
  <c r="AQ21" i="22" a="1"/>
  <c r="AQ21" i="22" s="1"/>
  <c r="AQ22" i="22" a="1"/>
  <c r="AQ22" i="22" s="1"/>
  <c r="AQ30" i="19" a="1"/>
  <c r="AQ30" i="19" s="1"/>
  <c r="AR13" i="18" a="1"/>
  <c r="AR13" i="18" s="1"/>
  <c r="AQ11" i="17" a="1"/>
  <c r="AQ11" i="17" s="1"/>
  <c r="AQ25" i="15" a="1"/>
  <c r="AQ25" i="15" s="1"/>
  <c r="AQ17" i="9" a="1"/>
  <c r="AQ17" i="9" s="1"/>
  <c r="AQ35" i="9" a="1"/>
  <c r="AQ35" i="9" s="1"/>
  <c r="AQ25" i="9" a="1"/>
  <c r="AQ25" i="9" s="1"/>
  <c r="AQ33" i="10" a="1"/>
  <c r="AQ33" i="10" s="1"/>
  <c r="AR33" i="6" a="1"/>
  <c r="AR33" i="6" s="1"/>
  <c r="AR9" i="6" a="1"/>
  <c r="AR9" i="6" s="1"/>
  <c r="AR35" i="6" a="1"/>
  <c r="AR35" i="6" s="1"/>
  <c r="AR26" i="6" a="1"/>
  <c r="AR26" i="6" s="1"/>
  <c r="AQ34" i="31" a="1"/>
  <c r="AQ34" i="31" s="1"/>
  <c r="AQ34" i="29" a="1"/>
  <c r="AQ34" i="29" s="1"/>
  <c r="AQ36" i="25" a="1"/>
  <c r="AQ36" i="25" s="1"/>
  <c r="AQ15" i="25" a="1"/>
  <c r="AQ15" i="25" s="1"/>
  <c r="AQ28" i="23" a="1"/>
  <c r="AQ28" i="23" s="1"/>
  <c r="AQ11" i="22" a="1"/>
  <c r="AQ11" i="22" s="1"/>
  <c r="AQ32" i="21" a="1"/>
  <c r="AQ32" i="21" s="1"/>
  <c r="AQ25" i="21" a="1"/>
  <c r="AQ25" i="21" s="1"/>
  <c r="AQ22" i="21" a="1"/>
  <c r="AQ22" i="21" s="1"/>
  <c r="AQ35" i="20" a="1"/>
  <c r="AQ35" i="20" s="1"/>
  <c r="AQ17" i="19" a="1"/>
  <c r="AQ17" i="19" s="1"/>
  <c r="AQ26" i="19" a="1"/>
  <c r="AQ26" i="19" s="1"/>
  <c r="AR32" i="18" a="1"/>
  <c r="AR32" i="18" s="1"/>
  <c r="AR15" i="18" a="1"/>
  <c r="AR15" i="18" s="1"/>
  <c r="AQ13" i="17" a="1"/>
  <c r="AQ13" i="17" s="1"/>
  <c r="AQ36" i="15" a="1"/>
  <c r="AQ36" i="15" s="1"/>
  <c r="AQ29" i="15" a="1"/>
  <c r="AQ29" i="15" s="1"/>
  <c r="AQ36" i="9" a="1"/>
  <c r="AQ36" i="9" s="1"/>
  <c r="AQ31" i="9" a="1"/>
  <c r="AQ31" i="9" s="1"/>
  <c r="AQ34" i="9" a="1"/>
  <c r="AQ34" i="9" s="1"/>
  <c r="AQ31" i="10" a="1"/>
  <c r="AQ31" i="10" s="1"/>
  <c r="AQ29" i="8" a="1"/>
  <c r="AQ29" i="8" s="1"/>
  <c r="AQ33" i="8" a="1"/>
  <c r="AQ33" i="8" s="1"/>
  <c r="AR31" i="6" a="1"/>
  <c r="AR31" i="6" s="1"/>
  <c r="AR23" i="6" a="1"/>
  <c r="AR23" i="6" s="1"/>
  <c r="AR17" i="6" a="1"/>
  <c r="AR17" i="6" s="1"/>
  <c r="AQ10" i="29" a="1"/>
  <c r="AQ10" i="29" s="1"/>
  <c r="AQ28" i="25" a="1"/>
  <c r="AQ28" i="25" s="1"/>
  <c r="AQ28" i="22" a="1"/>
  <c r="AQ28" i="22" s="1"/>
  <c r="AQ19" i="19" a="1"/>
  <c r="AQ19" i="19" s="1"/>
  <c r="AR16" i="18" a="1"/>
  <c r="AR16" i="18" s="1"/>
  <c r="AQ15" i="17" a="1"/>
  <c r="AQ15" i="17" s="1"/>
  <c r="AQ34" i="17" a="1"/>
  <c r="AQ34" i="17" s="1"/>
  <c r="AQ32" i="9" a="1"/>
  <c r="AQ32" i="9" s="1"/>
  <c r="AQ36" i="10" a="1"/>
  <c r="AQ36" i="10" s="1"/>
  <c r="AQ28" i="10" a="1"/>
  <c r="AQ28" i="10" s="1"/>
  <c r="AQ26" i="10" a="1"/>
  <c r="AQ26" i="10" s="1"/>
  <c r="AQ19" i="8" a="1"/>
  <c r="AQ19" i="8" s="1"/>
  <c r="AQ25" i="8" a="1"/>
  <c r="AQ25" i="8" s="1"/>
  <c r="AR36" i="6" a="1"/>
  <c r="AR36" i="6" s="1"/>
  <c r="AR25" i="6" a="1"/>
  <c r="AR25" i="6" s="1"/>
  <c r="AR19" i="6" a="1"/>
  <c r="AR19" i="6" s="1"/>
  <c r="AQ11" i="8" a="1"/>
  <c r="AQ11" i="8" s="1"/>
  <c r="AQ30" i="33" a="1"/>
  <c r="AQ30" i="33" s="1"/>
  <c r="AQ32" i="29" a="1"/>
  <c r="AQ32" i="29" s="1"/>
  <c r="AQ13" i="26" a="1"/>
  <c r="AQ13" i="26" s="1"/>
  <c r="AQ26" i="23" a="1"/>
  <c r="AQ26" i="23" s="1"/>
  <c r="AQ26" i="22" a="1"/>
  <c r="AQ26" i="22" s="1"/>
  <c r="AQ31" i="20" a="1"/>
  <c r="AQ31" i="20" s="1"/>
  <c r="AQ18" i="19" a="1"/>
  <c r="AQ18" i="19" s="1"/>
  <c r="AR20" i="18" a="1"/>
  <c r="AR20" i="18" s="1"/>
  <c r="AQ16" i="17" a="1"/>
  <c r="AQ16" i="17" s="1"/>
  <c r="AQ32" i="17" a="1"/>
  <c r="AQ32" i="17" s="1"/>
  <c r="AQ30" i="17" a="1"/>
  <c r="AQ30" i="17" s="1"/>
  <c r="AQ28" i="17" a="1"/>
  <c r="AQ28" i="17" s="1"/>
  <c r="AQ10" i="17" a="1"/>
  <c r="AQ10" i="17" s="1"/>
  <c r="AQ32" i="15" a="1"/>
  <c r="AQ32" i="15" s="1"/>
  <c r="AQ22" i="10" a="1"/>
  <c r="AQ22" i="10" s="1"/>
  <c r="AQ34" i="8" a="1"/>
  <c r="AQ34" i="8" s="1"/>
  <c r="AQ17" i="8" a="1"/>
  <c r="AQ17" i="8" s="1"/>
  <c r="AQ23" i="8" a="1"/>
  <c r="AQ23" i="8" s="1"/>
  <c r="AR29" i="6" a="1"/>
  <c r="AR29" i="6" s="1"/>
  <c r="AR24" i="6" a="1"/>
  <c r="AR24" i="6" s="1"/>
  <c r="AQ25" i="25" a="1"/>
  <c r="AQ25" i="25" s="1"/>
  <c r="AQ32" i="8" a="1"/>
  <c r="AQ32" i="8" s="1"/>
  <c r="AQ33" i="33" a="1"/>
  <c r="AQ33" i="33" s="1"/>
  <c r="AQ28" i="30" a="1"/>
  <c r="AQ28" i="30" s="1"/>
  <c r="AQ26" i="25" a="1"/>
  <c r="AQ26" i="25" s="1"/>
  <c r="AQ30" i="23" a="1"/>
  <c r="AQ30" i="23" s="1"/>
  <c r="AQ35" i="23" a="1"/>
  <c r="AQ35" i="23" s="1"/>
  <c r="AQ13" i="21" a="1"/>
  <c r="AQ13" i="21" s="1"/>
  <c r="AQ21" i="21" a="1"/>
  <c r="AQ21" i="21" s="1"/>
  <c r="AQ23" i="19" a="1"/>
  <c r="AQ23" i="19" s="1"/>
  <c r="AR35" i="18" a="1"/>
  <c r="AR35" i="18" s="1"/>
  <c r="AQ18" i="17" a="1"/>
  <c r="AQ18" i="17" s="1"/>
  <c r="AQ13" i="15" a="1"/>
  <c r="AQ13" i="15" s="1"/>
  <c r="AQ15" i="9" a="1"/>
  <c r="AQ15" i="9" s="1"/>
  <c r="AQ10" i="9" a="1"/>
  <c r="AQ10" i="9" s="1"/>
  <c r="AQ24" i="9" a="1"/>
  <c r="AQ24" i="9" s="1"/>
  <c r="AQ35" i="8" a="1"/>
  <c r="AQ35" i="8" s="1"/>
  <c r="AQ20" i="8" a="1"/>
  <c r="AQ20" i="8" s="1"/>
  <c r="AQ30" i="30" a="1"/>
  <c r="AQ30" i="30" s="1"/>
  <c r="AQ21" i="19" a="1"/>
  <c r="AQ21" i="19" s="1"/>
  <c r="AQ28" i="9" a="1"/>
  <c r="AQ28" i="9" s="1"/>
  <c r="AQ10" i="28" a="1"/>
  <c r="AQ10" i="28" s="1"/>
  <c r="AQ30" i="25" a="1"/>
  <c r="AQ30" i="25" s="1"/>
  <c r="AQ35" i="25" a="1"/>
  <c r="AQ35" i="25" s="1"/>
  <c r="AQ19" i="23" a="1"/>
  <c r="AQ19" i="23" s="1"/>
  <c r="AQ30" i="22" a="1"/>
  <c r="AQ30" i="22" s="1"/>
  <c r="AQ35" i="22" a="1"/>
  <c r="AQ35" i="22" s="1"/>
  <c r="AQ15" i="21" a="1"/>
  <c r="AQ15" i="21" s="1"/>
  <c r="AQ20" i="20" a="1"/>
  <c r="AQ20" i="20" s="1"/>
  <c r="AQ31" i="19" a="1"/>
  <c r="AQ31" i="19" s="1"/>
  <c r="AQ25" i="19" a="1"/>
  <c r="AQ25" i="19" s="1"/>
  <c r="AQ20" i="17" a="1"/>
  <c r="AQ20" i="17" s="1"/>
  <c r="AQ22" i="17" a="1"/>
  <c r="AQ22" i="17" s="1"/>
  <c r="AQ15" i="15" a="1"/>
  <c r="AQ15" i="15" s="1"/>
  <c r="AQ13" i="9" a="1"/>
  <c r="AQ13" i="9" s="1"/>
  <c r="AQ14" i="9" a="1"/>
  <c r="AQ14" i="9" s="1"/>
  <c r="AQ35" i="10" a="1"/>
  <c r="AQ35" i="10" s="1"/>
  <c r="AQ18" i="8" a="1"/>
  <c r="AQ18" i="8" s="1"/>
  <c r="AR27" i="6" a="1"/>
  <c r="AR27" i="6" s="1"/>
  <c r="AQ10" i="25" a="1"/>
  <c r="AQ10" i="25" s="1"/>
  <c r="AQ16" i="9" a="1"/>
  <c r="AQ16" i="9" s="1"/>
  <c r="AQ25" i="32" a="1"/>
  <c r="AQ25" i="32" s="1"/>
  <c r="AQ26" i="32" a="1"/>
  <c r="AQ26" i="32" s="1"/>
  <c r="AQ16" i="31" a="1"/>
  <c r="AQ16" i="31" s="1"/>
  <c r="AQ35" i="26" a="1"/>
  <c r="AQ35" i="26" s="1"/>
  <c r="AQ19" i="25" a="1"/>
  <c r="AQ19" i="25" s="1"/>
  <c r="AQ17" i="22" a="1"/>
  <c r="AQ17" i="22" s="1"/>
  <c r="AQ29" i="19" a="1"/>
  <c r="AQ29" i="19" s="1"/>
  <c r="AQ34" i="19" a="1"/>
  <c r="AQ34" i="19" s="1"/>
  <c r="AR33" i="18" a="1"/>
  <c r="AR33" i="18" s="1"/>
  <c r="AQ21" i="17" a="1"/>
  <c r="AQ21" i="17" s="1"/>
  <c r="AQ11" i="9" a="1"/>
  <c r="AQ11" i="9" s="1"/>
  <c r="AQ30" i="10" a="1"/>
  <c r="AQ30" i="10" s="1"/>
  <c r="AQ24" i="8" a="1"/>
  <c r="AQ24" i="8" s="1"/>
  <c r="AQ16" i="8" a="1"/>
  <c r="AQ16" i="8" s="1"/>
  <c r="AR11" i="6" a="1"/>
  <c r="AR11" i="6" s="1"/>
  <c r="AR34" i="6" a="1"/>
  <c r="AR34" i="6" s="1"/>
  <c r="AQ36" i="17" a="1"/>
  <c r="AQ36" i="17" s="1"/>
  <c r="AQ32" i="33" a="1"/>
  <c r="AQ32" i="33" s="1"/>
  <c r="AQ25" i="33" a="1"/>
  <c r="AQ25" i="33" s="1"/>
  <c r="AQ18" i="25" a="1"/>
  <c r="AQ18" i="25" s="1"/>
  <c r="AQ20" i="22" a="1"/>
  <c r="AQ20" i="22" s="1"/>
  <c r="AQ33" i="21" a="1"/>
  <c r="AQ33" i="21" s="1"/>
  <c r="AQ30" i="20" a="1"/>
  <c r="AQ30" i="20" s="1"/>
  <c r="AQ36" i="19" a="1"/>
  <c r="AQ36" i="19" s="1"/>
  <c r="AQ23" i="17" a="1"/>
  <c r="AQ23" i="17" s="1"/>
  <c r="AQ17" i="17" a="1"/>
  <c r="AQ17" i="17" s="1"/>
  <c r="AQ16" i="10" a="1"/>
  <c r="AQ16" i="10" s="1"/>
  <c r="AQ32" i="10" a="1"/>
  <c r="AQ32" i="10" s="1"/>
  <c r="AQ28" i="8" a="1"/>
  <c r="AQ28" i="8" s="1"/>
  <c r="AR32" i="6" a="1"/>
  <c r="AR32" i="6" s="1"/>
  <c r="AR13" i="6" a="1"/>
  <c r="AR13" i="6" s="1"/>
  <c r="AR10" i="6" a="1"/>
  <c r="AR10" i="6" s="1"/>
  <c r="AQ19" i="30" a="1"/>
  <c r="AQ19" i="30" s="1"/>
  <c r="AQ28" i="29" a="1"/>
  <c r="AQ28" i="29" s="1"/>
  <c r="AQ25" i="27" a="1"/>
  <c r="AQ25" i="27" s="1"/>
  <c r="AQ24" i="26" a="1"/>
  <c r="AQ24" i="26" s="1"/>
  <c r="AQ20" i="25" a="1"/>
  <c r="AQ20" i="25" s="1"/>
  <c r="AQ9" i="23" a="1"/>
  <c r="AQ9" i="23" s="1"/>
  <c r="AQ34" i="23" a="1"/>
  <c r="AQ34" i="23" s="1"/>
  <c r="AQ17" i="21" a="1"/>
  <c r="AQ17" i="21" s="1"/>
  <c r="AQ22" i="19" a="1"/>
  <c r="AQ22" i="19" s="1"/>
  <c r="AR36" i="18" a="1"/>
  <c r="AR36" i="18" s="1"/>
  <c r="AQ33" i="17" a="1"/>
  <c r="AQ33" i="17" s="1"/>
  <c r="AQ25" i="17" a="1"/>
  <c r="AQ25" i="17" s="1"/>
  <c r="AQ19" i="17" a="1"/>
  <c r="AQ19" i="17" s="1"/>
  <c r="AQ20" i="15" a="1"/>
  <c r="AQ20" i="15" s="1"/>
  <c r="AQ35" i="15" a="1"/>
  <c r="AQ35" i="15" s="1"/>
  <c r="AQ23" i="9" a="1"/>
  <c r="AQ23" i="9" s="1"/>
  <c r="AQ18" i="10" a="1"/>
  <c r="AQ18" i="10" s="1"/>
  <c r="AQ27" i="10" a="1"/>
  <c r="AQ27" i="10" s="1"/>
  <c r="AQ15" i="8" a="1"/>
  <c r="AQ15" i="8" s="1"/>
  <c r="AR30" i="6" a="1"/>
  <c r="AR30" i="6" s="1"/>
  <c r="AR15" i="6" a="1"/>
  <c r="AR15" i="6" s="1"/>
  <c r="AQ27" i="26" a="1"/>
  <c r="AQ27" i="26" s="1"/>
  <c r="AQ22" i="33" a="1"/>
  <c r="AQ22" i="33" s="1"/>
  <c r="AQ24" i="32" a="1"/>
  <c r="AQ24" i="32" s="1"/>
  <c r="AQ23" i="28" a="1"/>
  <c r="AQ23" i="28" s="1"/>
  <c r="AQ9" i="25" a="1"/>
  <c r="AQ9" i="25" s="1"/>
  <c r="AQ34" i="25" a="1"/>
  <c r="AQ34" i="25" s="1"/>
  <c r="AQ25" i="23" a="1"/>
  <c r="AQ25" i="23" s="1"/>
  <c r="AQ10" i="23" a="1"/>
  <c r="AQ10" i="23" s="1"/>
  <c r="AQ30" i="21" a="1"/>
  <c r="AQ30" i="21" s="1"/>
  <c r="AQ32" i="20" a="1"/>
  <c r="AQ32" i="20" s="1"/>
  <c r="AQ10" i="20" a="1"/>
  <c r="AQ10" i="20" s="1"/>
  <c r="AQ11" i="19" a="1"/>
  <c r="AQ11" i="19" s="1"/>
  <c r="AR25" i="18" a="1"/>
  <c r="AR25" i="18" s="1"/>
  <c r="AQ31" i="17" a="1"/>
  <c r="AQ31" i="17" s="1"/>
  <c r="AQ29" i="17" a="1"/>
  <c r="AQ29" i="17" s="1"/>
  <c r="AQ31" i="15" a="1"/>
  <c r="AQ31" i="15" s="1"/>
  <c r="AQ10" i="15" a="1"/>
  <c r="AQ10" i="15" s="1"/>
  <c r="AQ30" i="9" a="1"/>
  <c r="AQ30" i="9" s="1"/>
  <c r="AQ20" i="9" a="1"/>
  <c r="AQ20" i="9" s="1"/>
  <c r="AQ20" i="10" a="1"/>
  <c r="AQ20" i="10" s="1"/>
  <c r="AQ13" i="8" a="1"/>
  <c r="AQ13" i="8" s="1"/>
  <c r="AQ31" i="8" a="1"/>
  <c r="AQ31" i="8" s="1"/>
  <c r="AR28" i="6" a="1"/>
  <c r="AR28" i="6" s="1"/>
  <c r="AR21" i="6" a="1"/>
  <c r="AR21" i="6" s="1"/>
  <c r="AR22" i="6" a="1"/>
  <c r="AR22" i="6" s="1"/>
  <c r="AQ36" i="31" a="1"/>
  <c r="AQ36" i="31" s="1"/>
  <c r="AQ15" i="19" a="1"/>
  <c r="AQ15" i="19" s="1"/>
  <c r="AQ25" i="10" a="1"/>
  <c r="AQ25" i="10" s="1"/>
  <c r="AQ36" i="23" a="1"/>
  <c r="AQ36" i="23" s="1"/>
  <c r="AY4" i="4"/>
  <c r="H21" i="4" s="1"/>
  <c r="AY2" i="4"/>
  <c r="H11" i="4" s="1"/>
  <c r="AY3" i="4"/>
  <c r="H16" i="4" s="1"/>
  <c r="C35" i="8"/>
  <c r="B3" i="4"/>
  <c r="AQ15" i="4" a="1"/>
  <c r="AQ15" i="4" s="1"/>
  <c r="AQ28" i="4" a="1"/>
  <c r="AQ28" i="4" s="1"/>
  <c r="AQ10" i="4" a="1"/>
  <c r="AQ10" i="4" s="1"/>
  <c r="AQ27" i="4" a="1"/>
  <c r="AQ27" i="4" s="1"/>
  <c r="AQ9" i="4" a="1"/>
  <c r="AQ9" i="4" s="1"/>
  <c r="AQ23" i="4" a="1"/>
  <c r="AQ23" i="4" s="1"/>
  <c r="AQ33" i="4" a="1"/>
  <c r="AQ33" i="4" s="1"/>
  <c r="AQ25" i="4" a="1"/>
  <c r="AQ25" i="4" s="1"/>
  <c r="AQ14" i="4" a="1"/>
  <c r="AQ14" i="4" s="1"/>
  <c r="AQ11" i="4" a="1"/>
  <c r="AQ11" i="4" s="1"/>
  <c r="AQ32" i="4" a="1"/>
  <c r="AQ32" i="4" s="1"/>
  <c r="AQ22" i="4" a="1"/>
  <c r="AQ22" i="4" s="1"/>
  <c r="AQ18" i="4" a="1"/>
  <c r="AQ18" i="4" s="1"/>
  <c r="AQ31" i="4" a="1"/>
  <c r="AQ31" i="4" s="1"/>
  <c r="AQ26" i="4" a="1"/>
  <c r="AQ26" i="4" s="1"/>
  <c r="AQ13" i="4" a="1"/>
  <c r="AQ13" i="4" s="1"/>
  <c r="AQ29" i="4" a="1"/>
  <c r="AQ29" i="4" s="1"/>
  <c r="AQ17" i="4" a="1"/>
  <c r="AQ17" i="4" s="1"/>
  <c r="AQ30" i="4" a="1"/>
  <c r="AQ30" i="4" s="1"/>
  <c r="AQ19" i="4" a="1"/>
  <c r="AQ19" i="4" s="1"/>
  <c r="AQ35" i="4" a="1"/>
  <c r="AQ35" i="4" s="1"/>
  <c r="AQ37" i="4" a="1"/>
  <c r="AQ37" i="4" s="1"/>
  <c r="AQ36" i="4" a="1"/>
  <c r="AQ36" i="4" s="1"/>
  <c r="AQ16" i="4" a="1"/>
  <c r="AQ16" i="4" s="1"/>
  <c r="AQ34" i="4" a="1"/>
  <c r="AQ34" i="4" s="1"/>
  <c r="AQ12" i="4" a="1"/>
  <c r="AQ12" i="4" s="1"/>
  <c r="AQ20" i="4" a="1"/>
  <c r="AQ20" i="4" s="1"/>
  <c r="AQ24" i="4" a="1"/>
  <c r="AQ24" i="4" s="1"/>
  <c r="AS6" i="27"/>
  <c r="AS6" i="31"/>
  <c r="AS6" i="24"/>
  <c r="AS6" i="17"/>
  <c r="AS6" i="21"/>
  <c r="AS6" i="14"/>
  <c r="AS6" i="25"/>
  <c r="AT6" i="18"/>
  <c r="AS6" i="11"/>
  <c r="AS6" i="22"/>
  <c r="AS6" i="15"/>
  <c r="AS6" i="5"/>
  <c r="AS6" i="19"/>
  <c r="AT6" i="16"/>
  <c r="AS6" i="9"/>
  <c r="AS6" i="13"/>
  <c r="AS6" i="7"/>
  <c r="AT6" i="6"/>
  <c r="AS6" i="4"/>
  <c r="AS6" i="33"/>
  <c r="AS6" i="28"/>
  <c r="AS6" i="10"/>
  <c r="AS6" i="23"/>
  <c r="AS6" i="20"/>
  <c r="D538" i="37"/>
  <c r="D559" i="37"/>
  <c r="D25" i="37"/>
  <c r="D533" i="37"/>
  <c r="D180" i="37"/>
  <c r="D683" i="37"/>
  <c r="D264" i="37"/>
  <c r="D58" i="37"/>
  <c r="D561" i="37"/>
  <c r="D267" i="37"/>
  <c r="D131" i="37"/>
  <c r="D158" i="37"/>
  <c r="D260" i="37"/>
  <c r="D715" i="37"/>
  <c r="D582" i="37"/>
  <c r="D3" i="37"/>
  <c r="D230" i="37"/>
  <c r="D189" i="37"/>
  <c r="D614" i="37"/>
  <c r="D623" i="37"/>
  <c r="D739" i="37"/>
  <c r="D607" i="37"/>
  <c r="D323" i="37"/>
  <c r="D14" i="37"/>
  <c r="D620" i="37"/>
  <c r="D44" i="37"/>
  <c r="D518" i="37"/>
  <c r="D248" i="37"/>
  <c r="D503" i="37"/>
  <c r="D483" i="37"/>
  <c r="D346" i="37"/>
  <c r="D438" i="37"/>
  <c r="D116" i="37"/>
  <c r="D47" i="37"/>
  <c r="D727" i="37"/>
  <c r="D622" i="37"/>
  <c r="D449" i="37"/>
  <c r="D599" i="37"/>
  <c r="D478" i="37"/>
  <c r="D558" i="37"/>
  <c r="D515" i="37"/>
  <c r="D674" i="37"/>
  <c r="D488" i="37"/>
  <c r="D698" i="37"/>
  <c r="D294" i="37"/>
  <c r="D481" i="37"/>
  <c r="D358" i="37"/>
  <c r="D33" i="37"/>
  <c r="D166" i="37"/>
  <c r="D327" i="37"/>
  <c r="D307" i="37"/>
  <c r="D173" i="37"/>
  <c r="D120" i="37"/>
  <c r="D485" i="37"/>
  <c r="D613" i="37"/>
  <c r="D55" i="37"/>
  <c r="D604" i="37"/>
  <c r="D419" i="37"/>
  <c r="D486" i="37"/>
  <c r="D631" i="37"/>
  <c r="D335" i="37"/>
  <c r="D672" i="37"/>
  <c r="D92" i="37"/>
  <c r="D605" i="37"/>
  <c r="D29" i="37"/>
  <c r="D489" i="37"/>
  <c r="D708" i="37"/>
  <c r="D336" i="37"/>
  <c r="D212" i="37"/>
  <c r="D424" i="37"/>
  <c r="D680" i="37"/>
  <c r="D66" i="37"/>
  <c r="D721" i="37"/>
  <c r="D301" i="37"/>
  <c r="D692" i="37"/>
  <c r="D51" i="37"/>
  <c r="D679" i="37"/>
  <c r="D169" i="37"/>
  <c r="D733" i="37"/>
  <c r="D200" i="37"/>
  <c r="D329" i="37"/>
  <c r="D150" i="37"/>
  <c r="D514" i="37"/>
  <c r="D729" i="37"/>
  <c r="D281" i="37"/>
  <c r="D377" i="37"/>
  <c r="D90" i="37"/>
  <c r="D595" i="37"/>
  <c r="D213" i="37"/>
  <c r="D551" i="37"/>
  <c r="D379" i="37"/>
  <c r="D373" i="37"/>
  <c r="D699" i="37"/>
  <c r="D181" i="37"/>
  <c r="D635" i="37"/>
  <c r="D340" i="37"/>
  <c r="D387" i="37"/>
  <c r="D694" i="37"/>
  <c r="D277" i="37"/>
  <c r="D183" i="37"/>
  <c r="D666" i="37"/>
  <c r="D671" i="37"/>
  <c r="D579" i="37"/>
  <c r="D263" i="37"/>
  <c r="D82" i="37"/>
  <c r="D85" i="37"/>
  <c r="D654" i="37"/>
  <c r="D284" i="37"/>
  <c r="D97" i="37"/>
  <c r="D437" i="37"/>
  <c r="D462" i="37"/>
  <c r="D111" i="37"/>
  <c r="D629" i="37"/>
  <c r="D597" i="37"/>
  <c r="D34" i="37"/>
  <c r="D61" i="37"/>
  <c r="D26" i="37"/>
  <c r="D466" i="37"/>
  <c r="D649" i="37"/>
  <c r="D222" i="37"/>
  <c r="D374" i="37"/>
  <c r="D21" i="37"/>
  <c r="D627" i="37"/>
  <c r="D314" i="37"/>
  <c r="D428" i="37"/>
  <c r="D148" i="37"/>
  <c r="D737" i="37"/>
  <c r="D104" i="37"/>
  <c r="D306" i="37"/>
  <c r="D706" i="37"/>
  <c r="D537" i="37"/>
  <c r="D448" i="37"/>
  <c r="D344" i="37"/>
  <c r="D521" i="37"/>
  <c r="D646" i="37"/>
  <c r="D89" i="37"/>
  <c r="D216" i="37"/>
  <c r="D494" i="37"/>
  <c r="D93" i="37"/>
  <c r="D686" i="37"/>
  <c r="D535" i="37"/>
  <c r="D734" i="37"/>
  <c r="D648" i="37"/>
  <c r="D74" i="37"/>
  <c r="D497" i="37"/>
  <c r="D170" i="37"/>
  <c r="D286" i="37"/>
  <c r="D547" i="37"/>
  <c r="D101" i="37"/>
  <c r="D600" i="37"/>
  <c r="D317" i="37"/>
  <c r="D102" i="37"/>
  <c r="D126" i="37"/>
  <c r="D202" i="37"/>
  <c r="D618" i="37"/>
  <c r="D442" i="37"/>
  <c r="D313" i="37"/>
  <c r="D664" i="37"/>
  <c r="D103" i="37"/>
  <c r="D315" i="37"/>
  <c r="D13" i="37"/>
  <c r="D224" i="37"/>
  <c r="D647" i="37"/>
  <c r="D8" i="37"/>
  <c r="D421" i="37"/>
  <c r="D201" i="37"/>
  <c r="D602" i="37"/>
  <c r="D78" i="37"/>
  <c r="D73" i="37"/>
  <c r="D611" i="37"/>
  <c r="D492" i="37"/>
  <c r="D172" i="37"/>
  <c r="D179" i="37"/>
  <c r="D495" i="37"/>
  <c r="D530" i="37"/>
  <c r="D98" i="37"/>
  <c r="D682" i="37"/>
  <c r="D199" i="37"/>
  <c r="D370" i="37"/>
  <c r="D459" i="37"/>
  <c r="D6" i="37"/>
  <c r="D256" i="37"/>
  <c r="D376" i="37"/>
  <c r="D669" i="37"/>
  <c r="D549" i="37"/>
  <c r="D455" i="37"/>
  <c r="D118" i="37"/>
  <c r="D589" i="37"/>
  <c r="D661" i="37"/>
  <c r="D526" i="37"/>
  <c r="D204" i="37"/>
  <c r="D430" i="37"/>
  <c r="D7" i="37"/>
  <c r="D712" i="37"/>
  <c r="D714" i="37"/>
  <c r="D385" i="37"/>
  <c r="D206" i="37"/>
  <c r="D426" i="37"/>
  <c r="D369" i="37"/>
  <c r="D504" i="37"/>
  <c r="D17" i="37"/>
  <c r="D215" i="37"/>
  <c r="D155" i="37"/>
  <c r="D254" i="37"/>
  <c r="D11" i="37"/>
  <c r="D35" i="37"/>
  <c r="D303" i="37"/>
  <c r="D156" i="37"/>
  <c r="D9" i="37"/>
  <c r="D709" i="37"/>
  <c r="D572" i="37"/>
  <c r="D454" i="37"/>
  <c r="D697" i="37"/>
  <c r="D562" i="37"/>
  <c r="D226" i="37"/>
  <c r="D42" i="37"/>
  <c r="D441" i="37"/>
  <c r="D321" i="37"/>
  <c r="D710" i="37"/>
  <c r="D507" i="37"/>
  <c r="D510" i="37"/>
  <c r="D731" i="37"/>
  <c r="D365" i="37"/>
  <c r="D741" i="37"/>
  <c r="D663" i="37"/>
  <c r="D511" i="37"/>
  <c r="D328" i="37"/>
  <c r="D465" i="37"/>
  <c r="D174" i="37"/>
  <c r="D685" i="37"/>
  <c r="D32" i="37"/>
  <c r="D656" i="37"/>
  <c r="D347" i="37"/>
  <c r="D717" i="37"/>
  <c r="D463" i="37"/>
  <c r="D54" i="37"/>
  <c r="D560" i="37"/>
  <c r="D550" i="37"/>
  <c r="D110" i="37"/>
  <c r="D700" i="37"/>
  <c r="D152" i="37"/>
  <c r="D123" i="37"/>
  <c r="D417" i="37"/>
  <c r="D501" i="37"/>
  <c r="D253" i="37"/>
  <c r="D220" i="37"/>
  <c r="D410" i="37"/>
  <c r="D76" i="37"/>
  <c r="D130" i="37"/>
  <c r="D229" i="37"/>
  <c r="D390" i="37"/>
  <c r="D396" i="37"/>
  <c r="D338" i="37"/>
  <c r="D678" i="37"/>
  <c r="D249" i="37"/>
  <c r="D18" i="37"/>
  <c r="D490" i="37"/>
  <c r="D726" i="37"/>
  <c r="D214" i="37"/>
  <c r="D122" i="37"/>
  <c r="D125" i="37"/>
  <c r="D633" i="37"/>
  <c r="D56" i="37"/>
  <c r="D583" i="37"/>
  <c r="D659" i="37"/>
  <c r="D431" i="37"/>
  <c r="D615" i="37"/>
  <c r="D625" i="37"/>
  <c r="D68" i="37"/>
  <c r="D255" i="37"/>
  <c r="D75" i="37"/>
  <c r="D363" i="37"/>
  <c r="D670" i="37"/>
  <c r="D37" i="37"/>
  <c r="D608" i="37"/>
  <c r="D269" i="37"/>
  <c r="D258" i="37"/>
  <c r="D81" i="37"/>
  <c r="D190" i="37"/>
  <c r="D544" i="37"/>
  <c r="D289" i="37"/>
  <c r="D675" i="37"/>
  <c r="D332" i="37"/>
  <c r="D129" i="37"/>
  <c r="D334" i="37"/>
  <c r="D114" i="37"/>
  <c r="D171" i="37"/>
  <c r="D696" i="37"/>
  <c r="D268" i="37"/>
  <c r="D265" i="37"/>
  <c r="D325" i="37"/>
  <c r="D273" i="37"/>
  <c r="D695" i="37"/>
  <c r="D15" i="37"/>
  <c r="D139" i="37"/>
  <c r="D413" i="37"/>
  <c r="D460" i="37"/>
  <c r="D632" i="37"/>
  <c r="D541" i="37"/>
  <c r="D732" i="37"/>
  <c r="D512" i="37"/>
  <c r="D261" i="37"/>
  <c r="D598" i="37"/>
  <c r="D20" i="37"/>
  <c r="D71" i="37"/>
  <c r="D718" i="37"/>
  <c r="D738" i="37"/>
  <c r="D86" i="37"/>
  <c r="D232" i="37"/>
  <c r="D112" i="37"/>
  <c r="D2" i="37"/>
  <c r="D479" i="37"/>
  <c r="D601" i="37"/>
  <c r="D539" i="37"/>
  <c r="D436" i="37"/>
  <c r="D433" i="37"/>
  <c r="D310" i="37"/>
  <c r="D241" i="37"/>
  <c r="D389" i="37"/>
  <c r="D690" i="37"/>
  <c r="D343" i="37"/>
  <c r="D383" i="37"/>
  <c r="D643" i="37"/>
  <c r="D548" i="37"/>
  <c r="D409" i="37"/>
  <c r="D676" i="37"/>
  <c r="D702" i="37"/>
  <c r="D136" i="37"/>
  <c r="D637" i="37"/>
  <c r="D225" i="37"/>
  <c r="D22" i="37"/>
  <c r="D639" i="37"/>
  <c r="D403" i="37"/>
  <c r="D177" i="37"/>
  <c r="D296" i="37"/>
  <c r="D653" i="37"/>
  <c r="D590" i="37"/>
  <c r="D577" i="37"/>
  <c r="D665" i="37"/>
  <c r="D393" i="37"/>
  <c r="D115" i="37"/>
  <c r="D38" i="37"/>
  <c r="D677" i="37"/>
  <c r="D191" i="37"/>
  <c r="D722" i="37"/>
  <c r="D519" i="37"/>
  <c r="D506" i="37"/>
  <c r="D163" i="37"/>
  <c r="D636" i="37"/>
  <c r="D581" i="37"/>
  <c r="D319" i="37"/>
  <c r="D439" i="37"/>
  <c r="D475" i="37"/>
  <c r="D24" i="37"/>
  <c r="D188" i="37"/>
  <c r="D162" i="37"/>
  <c r="D662" i="37"/>
  <c r="D67" i="37"/>
  <c r="D309" i="37"/>
  <c r="D297" i="37"/>
  <c r="D96" i="37"/>
  <c r="D554" i="37"/>
  <c r="D178" i="37"/>
  <c r="D464" i="37"/>
  <c r="D532" i="37"/>
  <c r="D585" i="37"/>
  <c r="D543" i="37"/>
  <c r="D452" i="37"/>
  <c r="D59" i="37"/>
  <c r="D534" i="37"/>
  <c r="D458" i="37"/>
  <c r="D586" i="37"/>
  <c r="D228" i="37"/>
  <c r="D610" i="37"/>
  <c r="D300" i="37"/>
  <c r="D407" i="37"/>
  <c r="D570" i="37"/>
  <c r="D660" i="37"/>
  <c r="D461" i="37"/>
  <c r="D624" i="37"/>
  <c r="D740" i="37"/>
  <c r="D470" i="37"/>
  <c r="D456" i="37"/>
  <c r="D203" i="37"/>
  <c r="D353" i="37"/>
  <c r="D576" i="37"/>
  <c r="D234" i="37"/>
  <c r="D52" i="37"/>
  <c r="D128" i="37"/>
  <c r="D331" i="37"/>
  <c r="D557" i="37"/>
  <c r="D182" i="37"/>
  <c r="D395" i="37"/>
  <c r="D603" i="37"/>
  <c r="D473" i="37"/>
  <c r="D724" i="37"/>
  <c r="D106" i="37"/>
  <c r="D154" i="37"/>
  <c r="D275" i="37"/>
  <c r="D308" i="37"/>
  <c r="D453" i="37"/>
  <c r="D553" i="37"/>
  <c r="D95" i="37"/>
  <c r="D217" i="37"/>
  <c r="D476" i="37"/>
  <c r="D53" i="37"/>
  <c r="D574" i="37"/>
  <c r="D408" i="37"/>
  <c r="D194" i="37"/>
  <c r="D117" i="37"/>
  <c r="D372" i="37"/>
  <c r="D364" i="37"/>
  <c r="D193" i="37"/>
  <c r="D134" i="37"/>
  <c r="D244" i="37"/>
  <c r="D402" i="37"/>
  <c r="D540" i="37"/>
  <c r="D480" i="37"/>
  <c r="D588" i="37"/>
  <c r="D446" i="37"/>
  <c r="D704" i="37"/>
  <c r="D429" i="37"/>
  <c r="D223" i="37"/>
  <c r="D145" i="37"/>
  <c r="D46" i="37"/>
  <c r="D500" i="37"/>
  <c r="D326" i="37"/>
  <c r="D657" i="37"/>
  <c r="D348" i="37"/>
  <c r="D482" i="37"/>
  <c r="D175" i="37"/>
  <c r="D619" i="37"/>
  <c r="D195" i="37"/>
  <c r="D744" i="37"/>
  <c r="D259" i="37"/>
  <c r="D63" i="37"/>
  <c r="D467" i="37"/>
  <c r="D30" i="37"/>
  <c r="D10" i="37"/>
  <c r="D270" i="37"/>
  <c r="D208" i="37"/>
  <c r="D406" i="37"/>
  <c r="D388" i="37"/>
  <c r="D520" i="37"/>
  <c r="D681" i="37"/>
  <c r="D552" i="37"/>
  <c r="D12" i="37"/>
  <c r="D422" i="37"/>
  <c r="D176" i="37"/>
  <c r="D45" i="37"/>
  <c r="D502" i="37"/>
  <c r="D384" i="37"/>
  <c r="D135" i="37"/>
  <c r="D77" i="37"/>
  <c r="D36" i="37"/>
  <c r="D668" i="37"/>
  <c r="D324" i="37"/>
  <c r="D545" i="37"/>
  <c r="D735" i="37"/>
  <c r="D127" i="37"/>
  <c r="D320" i="37"/>
  <c r="D425" i="37"/>
  <c r="D447" i="37"/>
  <c r="D79" i="37"/>
  <c r="D477" i="37"/>
  <c r="D634" i="37"/>
  <c r="D701" i="37"/>
  <c r="D359" i="37"/>
  <c r="D444" i="37"/>
  <c r="D728" i="37"/>
  <c r="D523" i="37"/>
  <c r="D621" i="37"/>
  <c r="D357" i="37"/>
  <c r="D723" i="37"/>
  <c r="D62" i="37"/>
  <c r="D565" i="37"/>
  <c r="D246" i="37"/>
  <c r="D40" i="37"/>
  <c r="D703" i="37"/>
  <c r="D531" i="37"/>
  <c r="D27" i="37"/>
  <c r="D414" i="37"/>
  <c r="D693" i="37"/>
  <c r="D378" i="37"/>
  <c r="D108" i="37"/>
  <c r="D142" i="37"/>
  <c r="D688" i="37"/>
  <c r="D60" i="37"/>
  <c r="D361" i="37"/>
  <c r="D528" i="37"/>
  <c r="D667" i="37"/>
  <c r="D276" i="37"/>
  <c r="D282" i="37"/>
  <c r="D401" i="37"/>
  <c r="D349" i="37"/>
  <c r="D392" i="37"/>
  <c r="D509" i="37"/>
  <c r="D236" i="37"/>
  <c r="D167" i="37"/>
  <c r="D168" i="37"/>
  <c r="D186" i="37"/>
  <c r="D49" i="37"/>
  <c r="D141" i="37"/>
  <c r="D164" i="37"/>
  <c r="D146" i="37"/>
  <c r="D352" i="37"/>
  <c r="D94" i="37"/>
  <c r="D569" i="37"/>
  <c r="D451" i="37"/>
  <c r="D64" i="37"/>
  <c r="D592" i="37"/>
  <c r="D742" i="37"/>
  <c r="D609" i="37"/>
  <c r="D287" i="37"/>
  <c r="D594" i="37"/>
  <c r="D278" i="37"/>
  <c r="D689" i="37"/>
  <c r="D427" i="37"/>
  <c r="D207" i="37"/>
  <c r="D571" i="37"/>
  <c r="D113" i="37"/>
  <c r="D143" i="37"/>
  <c r="D237" i="37"/>
  <c r="D137" i="37"/>
  <c r="D257" i="37"/>
  <c r="D567" i="37"/>
  <c r="D330" i="37"/>
  <c r="D119" i="37"/>
  <c r="D140" i="37"/>
  <c r="D375" i="37"/>
  <c r="D578" i="37"/>
  <c r="D350" i="37"/>
  <c r="D153" i="37"/>
  <c r="D484" i="37"/>
  <c r="D43" i="37"/>
  <c r="D743" i="37"/>
  <c r="D133" i="37"/>
  <c r="D251" i="37"/>
  <c r="D295" i="37"/>
  <c r="D745" i="37"/>
  <c r="D405" i="37"/>
  <c r="D435" i="37"/>
  <c r="D355" i="37"/>
  <c r="D311" i="37"/>
  <c r="D707" i="37"/>
  <c r="D159" i="37"/>
  <c r="D19" i="37"/>
  <c r="D652" i="37"/>
  <c r="D238" i="37"/>
  <c r="D351" i="37"/>
  <c r="D83" i="37"/>
  <c r="D366" i="37"/>
  <c r="D382" i="37"/>
  <c r="D291" i="37"/>
  <c r="D280" i="37"/>
  <c r="D691" i="37"/>
  <c r="D630" i="37"/>
  <c r="D144" i="37"/>
  <c r="D272" i="37"/>
  <c r="D542" i="37"/>
  <c r="D184" i="37"/>
  <c r="D192" i="37"/>
  <c r="D209" i="37"/>
  <c r="D356" i="37"/>
  <c r="D4" i="37"/>
  <c r="D367" i="37"/>
  <c r="D91" i="37"/>
  <c r="D57" i="37"/>
  <c r="D138" i="37"/>
  <c r="D105" i="37"/>
  <c r="D412" i="37"/>
  <c r="D339" i="37"/>
  <c r="D725" i="37"/>
  <c r="D505" i="37"/>
  <c r="D499" i="37"/>
  <c r="D655" i="37"/>
  <c r="D292" i="37"/>
  <c r="D161" i="37"/>
  <c r="D211" i="37"/>
  <c r="D187" i="37"/>
  <c r="D322" i="37"/>
  <c r="D371" i="37"/>
  <c r="D684" i="37"/>
  <c r="D266" i="37"/>
  <c r="D247" i="37"/>
  <c r="D563" i="37"/>
  <c r="D587" i="37"/>
  <c r="D65" i="37"/>
  <c r="D640" i="37"/>
  <c r="D341" i="37"/>
  <c r="D716" i="37"/>
  <c r="D580" i="37"/>
  <c r="D617" i="37"/>
  <c r="D517" i="37"/>
  <c r="D31" i="37"/>
  <c r="D288" i="37"/>
  <c r="D471" i="37"/>
  <c r="D736" i="37"/>
  <c r="D626" i="37"/>
  <c r="D250" i="37"/>
  <c r="D469" i="37"/>
  <c r="D360" i="37"/>
  <c r="D644" i="37"/>
  <c r="D641" i="37"/>
  <c r="D279" i="37"/>
  <c r="D381" i="37"/>
  <c r="D243" i="37"/>
  <c r="D391" i="37"/>
  <c r="D333" i="37"/>
  <c r="D252" i="37"/>
  <c r="D474" i="37"/>
  <c r="D84" i="37"/>
  <c r="D100" i="37"/>
  <c r="D283" i="37"/>
  <c r="D124" i="37"/>
  <c r="D612" i="37"/>
  <c r="D157" i="37"/>
  <c r="D305" i="37"/>
  <c r="D121" i="37"/>
  <c r="D165" i="37"/>
  <c r="D651" i="37"/>
  <c r="D719" i="37"/>
  <c r="D88" i="37"/>
  <c r="D404" i="37"/>
  <c r="D432" i="37"/>
  <c r="D5" i="37"/>
  <c r="D41" i="37"/>
  <c r="D642" i="37"/>
  <c r="D48" i="37"/>
  <c r="D400" i="37"/>
  <c r="D516" i="37"/>
  <c r="D705" i="37"/>
  <c r="D638" i="37"/>
  <c r="D198" i="37"/>
  <c r="D546" i="37"/>
  <c r="D149" i="37"/>
  <c r="D628" i="37"/>
  <c r="D591" i="37"/>
  <c r="D645" i="37"/>
  <c r="D568" i="37"/>
  <c r="D242" i="37"/>
  <c r="D245" i="37"/>
  <c r="D411" i="37"/>
  <c r="D16" i="37"/>
  <c r="D555" i="37"/>
  <c r="D205" i="37"/>
  <c r="D593" i="37"/>
  <c r="D398" i="37"/>
  <c r="D487" i="37"/>
  <c r="D302" i="37"/>
  <c r="D556" i="37"/>
  <c r="D573" i="37"/>
  <c r="D262" i="37"/>
  <c r="D345" i="37"/>
  <c r="D39" i="37"/>
  <c r="D210" i="37"/>
  <c r="D524" i="37"/>
  <c r="D28" i="37"/>
  <c r="D312" i="37"/>
  <c r="D72" i="37"/>
  <c r="D584" i="37"/>
  <c r="D596" i="37"/>
  <c r="D299" i="37"/>
  <c r="D316" i="37"/>
  <c r="D527" i="37"/>
  <c r="D318" i="37"/>
  <c r="D397" i="37"/>
  <c r="D239" i="37"/>
  <c r="D508" i="37"/>
  <c r="D443" i="37"/>
  <c r="D720" i="37"/>
  <c r="D290" i="37"/>
  <c r="D221" i="37"/>
  <c r="D445" i="37"/>
  <c r="D231" i="37"/>
  <c r="D380" i="37"/>
  <c r="D529" i="37"/>
  <c r="D673" i="37"/>
  <c r="D227" i="37"/>
  <c r="D160" i="37"/>
  <c r="D450" i="37"/>
  <c r="D650" i="37"/>
  <c r="D713" i="37"/>
  <c r="D218" i="37"/>
  <c r="D293" i="37"/>
  <c r="D491" i="37"/>
  <c r="D368" i="37"/>
  <c r="D564" i="37"/>
  <c r="D298" i="37"/>
  <c r="D271" i="37"/>
  <c r="D575" i="37"/>
  <c r="D394" i="37"/>
  <c r="D132" i="37"/>
  <c r="D304" i="37"/>
  <c r="D513" i="37"/>
  <c r="D70" i="37"/>
  <c r="D274" i="37"/>
  <c r="D687" i="37"/>
  <c r="D493" i="37"/>
  <c r="D50" i="37"/>
  <c r="D658" i="37"/>
  <c r="D415" i="37"/>
  <c r="D147" i="37"/>
  <c r="D440" i="37"/>
  <c r="D233" i="37"/>
  <c r="D472" i="37"/>
  <c r="D219" i="37"/>
  <c r="D235" i="37"/>
  <c r="D420" i="37"/>
  <c r="D69" i="37"/>
  <c r="D342" i="37"/>
  <c r="D423" i="37"/>
  <c r="D151" i="37"/>
  <c r="D416" i="37"/>
  <c r="D197" i="37"/>
  <c r="D185" i="37"/>
  <c r="D107" i="37"/>
  <c r="D522" i="37"/>
  <c r="D418" i="37"/>
  <c r="D99" i="37"/>
  <c r="D386" i="37"/>
  <c r="D337" i="37"/>
  <c r="D23" i="37"/>
  <c r="D498" i="37"/>
  <c r="D525" i="37"/>
  <c r="D354" i="37"/>
  <c r="D616" i="37"/>
  <c r="D80" i="37"/>
  <c r="D399" i="37"/>
  <c r="D606" i="37"/>
  <c r="D434" i="37"/>
  <c r="D468" i="37"/>
  <c r="D457" i="37"/>
  <c r="D566" i="37"/>
  <c r="D496" i="37"/>
  <c r="D536" i="37"/>
  <c r="D730" i="37"/>
  <c r="D196" i="37"/>
  <c r="D109" i="37"/>
  <c r="D362" i="37"/>
  <c r="D240" i="37"/>
  <c r="D711" i="37"/>
  <c r="D285" i="37"/>
  <c r="D87" i="37"/>
  <c r="H1" i="37" l="1"/>
  <c r="AG22" i="4" a="1"/>
  <c r="AG22" i="4" s="1"/>
  <c r="AM22" i="4"/>
  <c r="AM26" i="4" a="1"/>
  <c r="AM26" i="4" s="1"/>
  <c r="AK26" i="4" a="1"/>
  <c r="AK26" i="4" s="1"/>
  <c r="AI26" i="4" a="1"/>
  <c r="AI26" i="4" s="1"/>
  <c r="AG26" i="4" a="1"/>
  <c r="AG26" i="4" s="1"/>
  <c r="AK25" i="4" a="1"/>
  <c r="AK25" i="4" s="1"/>
  <c r="AG25" i="4" a="1"/>
  <c r="AG25" i="4" s="1"/>
  <c r="AK24" i="4" a="1"/>
  <c r="AK24" i="4" s="1"/>
  <c r="AG24" i="4" a="1"/>
  <c r="AG24" i="4" s="1"/>
  <c r="AG23" i="4" a="1"/>
  <c r="AG23" i="4" s="1"/>
  <c r="AX9" i="8"/>
  <c r="Q32" i="8"/>
  <c r="O20" i="8"/>
  <c r="N31" i="8"/>
  <c r="I29" i="8"/>
  <c r="Q25" i="8"/>
  <c r="C10" i="8"/>
  <c r="C11" i="8"/>
  <c r="N30" i="8"/>
  <c r="N15" i="8"/>
  <c r="I28" i="8"/>
  <c r="Q24" i="8"/>
  <c r="I26" i="8"/>
  <c r="I13" i="8"/>
  <c r="I27" i="8"/>
  <c r="N14" i="8"/>
  <c r="AG23" i="23" a="1"/>
  <c r="AG23" i="23" s="1"/>
  <c r="AM22" i="23"/>
  <c r="AM26" i="23" a="1"/>
  <c r="AM26" i="23" s="1"/>
  <c r="AG22" i="23" a="1"/>
  <c r="AG22" i="23" s="1"/>
  <c r="AK26" i="23" a="1"/>
  <c r="AK26" i="23" s="1"/>
  <c r="AI26" i="23" a="1"/>
  <c r="AI26" i="23" s="1"/>
  <c r="AG26" i="23" a="1"/>
  <c r="AG26" i="23" s="1"/>
  <c r="AK25" i="23" a="1"/>
  <c r="AK25" i="23" s="1"/>
  <c r="AG25" i="23" a="1"/>
  <c r="AG25" i="23" s="1"/>
  <c r="AK24" i="23" a="1"/>
  <c r="AK24" i="23" s="1"/>
  <c r="AG24" i="23" a="1"/>
  <c r="AG24" i="23" s="1"/>
  <c r="AN26" i="6" a="1"/>
  <c r="AN26" i="6" s="1"/>
  <c r="AL26" i="6" a="1"/>
  <c r="AL26" i="6" s="1"/>
  <c r="AJ26" i="6" a="1"/>
  <c r="AJ26" i="6" s="1"/>
  <c r="AH26" i="6" a="1"/>
  <c r="AH26" i="6" s="1"/>
  <c r="AL25" i="6" a="1"/>
  <c r="AL25" i="6" s="1"/>
  <c r="AH25" i="6" a="1"/>
  <c r="AH25" i="6" s="1"/>
  <c r="AL24" i="6" a="1"/>
  <c r="AL24" i="6" s="1"/>
  <c r="AH24" i="6" a="1"/>
  <c r="AH24" i="6" s="1"/>
  <c r="AH23" i="6" a="1"/>
  <c r="AH23" i="6" s="1"/>
  <c r="AN22" i="6"/>
  <c r="AH22" i="6" a="1"/>
  <c r="AH22" i="6" s="1"/>
  <c r="AK26" i="30" a="1"/>
  <c r="AK26" i="30" s="1"/>
  <c r="AI26" i="30" a="1"/>
  <c r="AI26" i="30" s="1"/>
  <c r="AG26" i="30" a="1"/>
  <c r="AG26" i="30" s="1"/>
  <c r="AK25" i="30" a="1"/>
  <c r="AK25" i="30" s="1"/>
  <c r="AG25" i="30" a="1"/>
  <c r="AG25" i="30" s="1"/>
  <c r="AM26" i="30" a="1"/>
  <c r="AM26" i="30" s="1"/>
  <c r="AK24" i="30" a="1"/>
  <c r="AK24" i="30" s="1"/>
  <c r="AG24" i="30" a="1"/>
  <c r="AG24" i="30" s="1"/>
  <c r="AG22" i="30" a="1"/>
  <c r="AG22" i="30" s="1"/>
  <c r="AG23" i="30" a="1"/>
  <c r="AG23" i="30" s="1"/>
  <c r="AM22" i="30"/>
  <c r="AK24" i="13" a="1"/>
  <c r="AK24" i="13" s="1"/>
  <c r="AG24" i="13" a="1"/>
  <c r="AG24" i="13" s="1"/>
  <c r="AG23" i="13" a="1"/>
  <c r="AG23" i="13" s="1"/>
  <c r="AM22" i="13"/>
  <c r="AM26" i="13" a="1"/>
  <c r="AM26" i="13" s="1"/>
  <c r="AG22" i="13" a="1"/>
  <c r="AG22" i="13" s="1"/>
  <c r="AK26" i="13" a="1"/>
  <c r="AK26" i="13" s="1"/>
  <c r="AI26" i="13" a="1"/>
  <c r="AI26" i="13" s="1"/>
  <c r="AG26" i="13" a="1"/>
  <c r="AG26" i="13" s="1"/>
  <c r="AG25" i="13" a="1"/>
  <c r="AG25" i="13" s="1"/>
  <c r="AK25" i="13" a="1"/>
  <c r="AK25" i="13" s="1"/>
  <c r="AL24" i="18" a="1"/>
  <c r="AL24" i="18" s="1"/>
  <c r="AH24" i="18" a="1"/>
  <c r="AH24" i="18" s="1"/>
  <c r="AH23" i="18" a="1"/>
  <c r="AH23" i="18" s="1"/>
  <c r="AN22" i="18"/>
  <c r="AN26" i="18" a="1"/>
  <c r="AN26" i="18" s="1"/>
  <c r="AH22" i="18" a="1"/>
  <c r="AH22" i="18" s="1"/>
  <c r="AL26" i="18" a="1"/>
  <c r="AL26" i="18" s="1"/>
  <c r="AJ26" i="18" a="1"/>
  <c r="AJ26" i="18" s="1"/>
  <c r="AH26" i="18" a="1"/>
  <c r="AH26" i="18" s="1"/>
  <c r="AL25" i="18" a="1"/>
  <c r="AL25" i="18" s="1"/>
  <c r="AH25" i="18" a="1"/>
  <c r="AH25" i="18" s="1"/>
  <c r="AK26" i="29" a="1"/>
  <c r="AK26" i="29" s="1"/>
  <c r="AI26" i="29" a="1"/>
  <c r="AI26" i="29" s="1"/>
  <c r="AG26" i="29" a="1"/>
  <c r="AG26" i="29" s="1"/>
  <c r="AM26" i="29" a="1"/>
  <c r="AM26" i="29" s="1"/>
  <c r="AK25" i="29" a="1"/>
  <c r="AK25" i="29" s="1"/>
  <c r="AG25" i="29" a="1"/>
  <c r="AG25" i="29" s="1"/>
  <c r="AK24" i="29" a="1"/>
  <c r="AK24" i="29" s="1"/>
  <c r="AG24" i="29" a="1"/>
  <c r="AG24" i="29" s="1"/>
  <c r="AG23" i="29" a="1"/>
  <c r="AG23" i="29" s="1"/>
  <c r="AM22" i="29"/>
  <c r="AG22" i="29" a="1"/>
  <c r="AG22" i="29" s="1"/>
  <c r="AG24" i="12" a="1"/>
  <c r="AG24" i="12" s="1"/>
  <c r="AG23" i="12" a="1"/>
  <c r="AG23" i="12" s="1"/>
  <c r="AM22" i="12"/>
  <c r="AM26" i="12" a="1"/>
  <c r="AM26" i="12" s="1"/>
  <c r="AG22" i="12" a="1"/>
  <c r="AG22" i="12" s="1"/>
  <c r="AK26" i="12" a="1"/>
  <c r="AK26" i="12" s="1"/>
  <c r="AI26" i="12" a="1"/>
  <c r="AI26" i="12" s="1"/>
  <c r="AK24" i="12" a="1"/>
  <c r="AK24" i="12" s="1"/>
  <c r="AG26" i="12" a="1"/>
  <c r="AG26" i="12" s="1"/>
  <c r="AK25" i="12" a="1"/>
  <c r="AK25" i="12" s="1"/>
  <c r="AG25" i="12" a="1"/>
  <c r="AG25" i="12" s="1"/>
  <c r="AK26" i="21" a="1"/>
  <c r="AK26" i="21" s="1"/>
  <c r="AI26" i="21" a="1"/>
  <c r="AI26" i="21" s="1"/>
  <c r="AG26" i="21" a="1"/>
  <c r="AG26" i="21" s="1"/>
  <c r="AK25" i="21" a="1"/>
  <c r="AK25" i="21" s="1"/>
  <c r="AG25" i="21" a="1"/>
  <c r="AG25" i="21" s="1"/>
  <c r="AK24" i="21" a="1"/>
  <c r="AK24" i="21" s="1"/>
  <c r="AG24" i="21" a="1"/>
  <c r="AG24" i="21" s="1"/>
  <c r="AM26" i="21" a="1"/>
  <c r="AM26" i="21" s="1"/>
  <c r="AG23" i="21" a="1"/>
  <c r="AG23" i="21" s="1"/>
  <c r="AM22" i="21"/>
  <c r="AG22" i="21" a="1"/>
  <c r="AG22" i="21" s="1"/>
  <c r="AG26" i="27" a="1"/>
  <c r="AG26" i="27" s="1"/>
  <c r="AK25" i="27" a="1"/>
  <c r="AK25" i="27" s="1"/>
  <c r="AG25" i="27" a="1"/>
  <c r="AG25" i="27" s="1"/>
  <c r="AK24" i="27" a="1"/>
  <c r="AK24" i="27" s="1"/>
  <c r="AG24" i="27" a="1"/>
  <c r="AG24" i="27" s="1"/>
  <c r="AG23" i="27" a="1"/>
  <c r="AG23" i="27" s="1"/>
  <c r="AM22" i="27"/>
  <c r="AM26" i="27" a="1"/>
  <c r="AM26" i="27" s="1"/>
  <c r="AG22" i="27" a="1"/>
  <c r="AG22" i="27" s="1"/>
  <c r="AI26" i="27" a="1"/>
  <c r="AI26" i="27" s="1"/>
  <c r="AK26" i="27" a="1"/>
  <c r="AK26" i="27" s="1"/>
  <c r="AG24" i="5" a="1"/>
  <c r="AG24" i="5" s="1"/>
  <c r="AG23" i="5" a="1"/>
  <c r="AG23" i="5" s="1"/>
  <c r="AM22" i="5"/>
  <c r="AG22" i="5" a="1"/>
  <c r="AG22" i="5" s="1"/>
  <c r="AM26" i="5" a="1"/>
  <c r="AM26" i="5" s="1"/>
  <c r="AK26" i="5" a="1"/>
  <c r="AK26" i="5" s="1"/>
  <c r="AI26" i="5" a="1"/>
  <c r="AI26" i="5" s="1"/>
  <c r="AG26" i="5" a="1"/>
  <c r="AG26" i="5" s="1"/>
  <c r="AK25" i="5" a="1"/>
  <c r="AK25" i="5" s="1"/>
  <c r="AK24" i="5" a="1"/>
  <c r="AK24" i="5" s="1"/>
  <c r="AG25" i="5" a="1"/>
  <c r="AG25" i="5" s="1"/>
  <c r="AG25" i="8" a="1"/>
  <c r="AG25" i="8" s="1"/>
  <c r="AK24" i="8" a="1"/>
  <c r="AK24" i="8" s="1"/>
  <c r="AG24" i="8" a="1"/>
  <c r="AG24" i="8" s="1"/>
  <c r="AM26" i="8" a="1"/>
  <c r="AM26" i="8" s="1"/>
  <c r="AG23" i="8" a="1"/>
  <c r="AG23" i="8" s="1"/>
  <c r="AK25" i="8" a="1"/>
  <c r="AK25" i="8" s="1"/>
  <c r="AM22" i="8"/>
  <c r="AK26" i="8" a="1"/>
  <c r="AK26" i="8" s="1"/>
  <c r="AG22" i="8" a="1"/>
  <c r="AG22" i="8" s="1"/>
  <c r="AI26" i="8" a="1"/>
  <c r="AI26" i="8" s="1"/>
  <c r="AG26" i="8" a="1"/>
  <c r="AG26" i="8" s="1"/>
  <c r="AH22" i="16" a="1"/>
  <c r="AH22" i="16" s="1"/>
  <c r="AL26" i="16" a="1"/>
  <c r="AL26" i="16" s="1"/>
  <c r="AN26" i="16" a="1"/>
  <c r="AN26" i="16" s="1"/>
  <c r="AJ26" i="16" a="1"/>
  <c r="AJ26" i="16" s="1"/>
  <c r="AN22" i="16"/>
  <c r="AH26" i="16" a="1"/>
  <c r="AH26" i="16" s="1"/>
  <c r="AL25" i="16" a="1"/>
  <c r="AL25" i="16" s="1"/>
  <c r="AH25" i="16" a="1"/>
  <c r="AH25" i="16" s="1"/>
  <c r="AL24" i="16" a="1"/>
  <c r="AL24" i="16" s="1"/>
  <c r="AH24" i="16" a="1"/>
  <c r="AH24" i="16" s="1"/>
  <c r="AH23" i="16" a="1"/>
  <c r="AH23" i="16" s="1"/>
  <c r="AK25" i="14" a="1"/>
  <c r="AK25" i="14" s="1"/>
  <c r="AG25" i="14" a="1"/>
  <c r="AG25" i="14" s="1"/>
  <c r="AK24" i="14" a="1"/>
  <c r="AK24" i="14" s="1"/>
  <c r="AG26" i="14" a="1"/>
  <c r="AG26" i="14" s="1"/>
  <c r="AG24" i="14" a="1"/>
  <c r="AG24" i="14" s="1"/>
  <c r="AG23" i="14" a="1"/>
  <c r="AG23" i="14" s="1"/>
  <c r="AM22" i="14"/>
  <c r="AM26" i="14" a="1"/>
  <c r="AM26" i="14" s="1"/>
  <c r="AG22" i="14" a="1"/>
  <c r="AG22" i="14" s="1"/>
  <c r="AK26" i="14" a="1"/>
  <c r="AK26" i="14" s="1"/>
  <c r="AI26" i="14" a="1"/>
  <c r="AI26" i="14" s="1"/>
  <c r="AG26" i="26" a="1"/>
  <c r="AG26" i="26" s="1"/>
  <c r="AK25" i="26" a="1"/>
  <c r="AK25" i="26" s="1"/>
  <c r="AG25" i="26" a="1"/>
  <c r="AG25" i="26" s="1"/>
  <c r="AK24" i="26" a="1"/>
  <c r="AK24" i="26" s="1"/>
  <c r="AG24" i="26" a="1"/>
  <c r="AG24" i="26" s="1"/>
  <c r="AG23" i="26" a="1"/>
  <c r="AG23" i="26" s="1"/>
  <c r="AM22" i="26"/>
  <c r="AM26" i="26" a="1"/>
  <c r="AM26" i="26" s="1"/>
  <c r="AG22" i="26" a="1"/>
  <c r="AG22" i="26" s="1"/>
  <c r="AK26" i="26" a="1"/>
  <c r="AK26" i="26" s="1"/>
  <c r="AI26" i="26" a="1"/>
  <c r="AI26" i="26" s="1"/>
  <c r="AG26" i="20" a="1"/>
  <c r="AG26" i="20" s="1"/>
  <c r="AK25" i="20" a="1"/>
  <c r="AK25" i="20" s="1"/>
  <c r="AG25" i="20" a="1"/>
  <c r="AG25" i="20" s="1"/>
  <c r="AK24" i="20" a="1"/>
  <c r="AK24" i="20" s="1"/>
  <c r="AG24" i="20" a="1"/>
  <c r="AG24" i="20" s="1"/>
  <c r="AG23" i="20" a="1"/>
  <c r="AG23" i="20" s="1"/>
  <c r="AM26" i="20" a="1"/>
  <c r="AM26" i="20" s="1"/>
  <c r="AM22" i="20"/>
  <c r="AG22" i="20" a="1"/>
  <c r="AG22" i="20" s="1"/>
  <c r="AI26" i="20" a="1"/>
  <c r="AI26" i="20" s="1"/>
  <c r="AK26" i="20" a="1"/>
  <c r="AK26" i="20" s="1"/>
  <c r="AG23" i="17" a="1"/>
  <c r="AG23" i="17" s="1"/>
  <c r="AM22" i="17"/>
  <c r="AM26" i="17" a="1"/>
  <c r="AM26" i="17" s="1"/>
  <c r="AG22" i="17" a="1"/>
  <c r="AG22" i="17" s="1"/>
  <c r="AK26" i="17" a="1"/>
  <c r="AK26" i="17" s="1"/>
  <c r="AI26" i="17" a="1"/>
  <c r="AI26" i="17" s="1"/>
  <c r="AG24" i="17" a="1"/>
  <c r="AG24" i="17" s="1"/>
  <c r="AG26" i="17" a="1"/>
  <c r="AG26" i="17" s="1"/>
  <c r="AK25" i="17" a="1"/>
  <c r="AK25" i="17" s="1"/>
  <c r="AG25" i="17" a="1"/>
  <c r="AG25" i="17" s="1"/>
  <c r="AK24" i="17" a="1"/>
  <c r="AK24" i="17" s="1"/>
  <c r="AM22" i="33"/>
  <c r="AG22" i="33" a="1"/>
  <c r="AG22" i="33" s="1"/>
  <c r="AM26" i="33" a="1"/>
  <c r="AM26" i="33" s="1"/>
  <c r="AK26" i="33" a="1"/>
  <c r="AK26" i="33" s="1"/>
  <c r="AI26" i="33" a="1"/>
  <c r="AI26" i="33" s="1"/>
  <c r="AG24" i="33" a="1"/>
  <c r="AG24" i="33" s="1"/>
  <c r="AG26" i="33" a="1"/>
  <c r="AG26" i="33" s="1"/>
  <c r="AK25" i="33" a="1"/>
  <c r="AK25" i="33" s="1"/>
  <c r="AG25" i="33" a="1"/>
  <c r="AG25" i="33" s="1"/>
  <c r="AK24" i="33" a="1"/>
  <c r="AK24" i="33" s="1"/>
  <c r="AG23" i="33" a="1"/>
  <c r="AG23" i="33" s="1"/>
  <c r="AG26" i="15" a="1"/>
  <c r="AG26" i="15" s="1"/>
  <c r="AK25" i="15" a="1"/>
  <c r="AK25" i="15" s="1"/>
  <c r="AG25" i="15" a="1"/>
  <c r="AG25" i="15" s="1"/>
  <c r="AK24" i="15" a="1"/>
  <c r="AK24" i="15" s="1"/>
  <c r="AI26" i="15" a="1"/>
  <c r="AI26" i="15" s="1"/>
  <c r="AG24" i="15" a="1"/>
  <c r="AG24" i="15" s="1"/>
  <c r="AG23" i="15" a="1"/>
  <c r="AG23" i="15" s="1"/>
  <c r="AM26" i="15" a="1"/>
  <c r="AM26" i="15" s="1"/>
  <c r="AM22" i="15"/>
  <c r="AG22" i="15" a="1"/>
  <c r="AG22" i="15" s="1"/>
  <c r="AK26" i="15" a="1"/>
  <c r="AK26" i="15" s="1"/>
  <c r="AI26" i="28" a="1"/>
  <c r="AI26" i="28" s="1"/>
  <c r="AG26" i="28" a="1"/>
  <c r="AG26" i="28" s="1"/>
  <c r="AK25" i="28" a="1"/>
  <c r="AK25" i="28" s="1"/>
  <c r="AG25" i="28" a="1"/>
  <c r="AG25" i="28" s="1"/>
  <c r="AK26" i="28" a="1"/>
  <c r="AK26" i="28" s="1"/>
  <c r="AK24" i="28" a="1"/>
  <c r="AK24" i="28" s="1"/>
  <c r="AG24" i="28" a="1"/>
  <c r="AG24" i="28" s="1"/>
  <c r="AG23" i="28" a="1"/>
  <c r="AG23" i="28" s="1"/>
  <c r="AM22" i="28"/>
  <c r="AM26" i="28" a="1"/>
  <c r="AM26" i="28" s="1"/>
  <c r="AG22" i="28" a="1"/>
  <c r="AG22" i="28" s="1"/>
  <c r="AM26" i="31" a="1"/>
  <c r="AM26" i="31" s="1"/>
  <c r="AG22" i="31" a="1"/>
  <c r="AG22" i="31" s="1"/>
  <c r="AM22" i="31"/>
  <c r="AK26" i="31" a="1"/>
  <c r="AK26" i="31" s="1"/>
  <c r="AI26" i="31" a="1"/>
  <c r="AI26" i="31" s="1"/>
  <c r="AG26" i="31" a="1"/>
  <c r="AG26" i="31" s="1"/>
  <c r="AK25" i="31" a="1"/>
  <c r="AK25" i="31" s="1"/>
  <c r="AG25" i="31" a="1"/>
  <c r="AG25" i="31" s="1"/>
  <c r="AK24" i="31" a="1"/>
  <c r="AK24" i="31" s="1"/>
  <c r="AG24" i="31" a="1"/>
  <c r="AG24" i="31" s="1"/>
  <c r="AG23" i="31" a="1"/>
  <c r="AG23" i="31" s="1"/>
  <c r="AM26" i="7" a="1"/>
  <c r="AM26" i="7" s="1"/>
  <c r="AG23" i="7" a="1"/>
  <c r="AG23" i="7" s="1"/>
  <c r="AK26" i="7" a="1"/>
  <c r="AK26" i="7" s="1"/>
  <c r="AM22" i="7"/>
  <c r="AG22" i="7" a="1"/>
  <c r="AG22" i="7" s="1"/>
  <c r="AI26" i="7" a="1"/>
  <c r="AI26" i="7" s="1"/>
  <c r="AG26" i="7" a="1"/>
  <c r="AG26" i="7" s="1"/>
  <c r="AK25" i="7" a="1"/>
  <c r="AK25" i="7" s="1"/>
  <c r="AG25" i="7" a="1"/>
  <c r="AG25" i="7" s="1"/>
  <c r="AK24" i="7" a="1"/>
  <c r="AK24" i="7" s="1"/>
  <c r="AG24" i="7" a="1"/>
  <c r="AG24" i="7" s="1"/>
  <c r="AG25" i="25" a="1"/>
  <c r="AG25" i="25" s="1"/>
  <c r="AK24" i="25" a="1"/>
  <c r="AK24" i="25" s="1"/>
  <c r="AG24" i="25" a="1"/>
  <c r="AG24" i="25" s="1"/>
  <c r="AG23" i="25" a="1"/>
  <c r="AG23" i="25" s="1"/>
  <c r="AM22" i="25"/>
  <c r="AG22" i="25" a="1"/>
  <c r="AG22" i="25" s="1"/>
  <c r="AM26" i="25" a="1"/>
  <c r="AM26" i="25" s="1"/>
  <c r="AK26" i="25" a="1"/>
  <c r="AK26" i="25" s="1"/>
  <c r="AK25" i="25" a="1"/>
  <c r="AK25" i="25" s="1"/>
  <c r="AI26" i="25" a="1"/>
  <c r="AI26" i="25" s="1"/>
  <c r="AG26" i="25" a="1"/>
  <c r="AG26" i="25" s="1"/>
  <c r="AM26" i="22" a="1"/>
  <c r="AM26" i="22" s="1"/>
  <c r="AM22" i="22"/>
  <c r="AK26" i="22" a="1"/>
  <c r="AK26" i="22" s="1"/>
  <c r="AG22" i="22" a="1"/>
  <c r="AG22" i="22" s="1"/>
  <c r="AG23" i="22" a="1"/>
  <c r="AG23" i="22" s="1"/>
  <c r="AI26" i="22" a="1"/>
  <c r="AI26" i="22" s="1"/>
  <c r="AG26" i="22" a="1"/>
  <c r="AG26" i="22" s="1"/>
  <c r="AK25" i="22" a="1"/>
  <c r="AK25" i="22" s="1"/>
  <c r="AG25" i="22" a="1"/>
  <c r="AG25" i="22" s="1"/>
  <c r="AK24" i="22" a="1"/>
  <c r="AK24" i="22" s="1"/>
  <c r="AG24" i="22" a="1"/>
  <c r="AG24" i="22" s="1"/>
  <c r="AG23" i="32" a="1"/>
  <c r="AG23" i="32" s="1"/>
  <c r="AM22" i="32"/>
  <c r="AM26" i="32" a="1"/>
  <c r="AM26" i="32" s="1"/>
  <c r="AG22" i="32" a="1"/>
  <c r="AG22" i="32" s="1"/>
  <c r="AK26" i="32" a="1"/>
  <c r="AK26" i="32" s="1"/>
  <c r="AI26" i="32" a="1"/>
  <c r="AI26" i="32" s="1"/>
  <c r="AG26" i="32" a="1"/>
  <c r="AG26" i="32" s="1"/>
  <c r="AK25" i="32" a="1"/>
  <c r="AK25" i="32" s="1"/>
  <c r="AG25" i="32" a="1"/>
  <c r="AG25" i="32" s="1"/>
  <c r="AK24" i="32" a="1"/>
  <c r="AK24" i="32" s="1"/>
  <c r="AG24" i="32" a="1"/>
  <c r="AG24" i="32" s="1"/>
  <c r="AG26" i="9" a="1"/>
  <c r="AG26" i="9" s="1"/>
  <c r="AK25" i="9" a="1"/>
  <c r="AK25" i="9" s="1"/>
  <c r="AG25" i="9" a="1"/>
  <c r="AG25" i="9" s="1"/>
  <c r="AK24" i="9" a="1"/>
  <c r="AK24" i="9" s="1"/>
  <c r="AG24" i="9" a="1"/>
  <c r="AG24" i="9" s="1"/>
  <c r="AG23" i="9" a="1"/>
  <c r="AG23" i="9" s="1"/>
  <c r="AI26" i="9" a="1"/>
  <c r="AI26" i="9" s="1"/>
  <c r="AM22" i="9"/>
  <c r="AM26" i="9" a="1"/>
  <c r="AM26" i="9" s="1"/>
  <c r="AG22" i="9" a="1"/>
  <c r="AG22" i="9" s="1"/>
  <c r="AK26" i="9" a="1"/>
  <c r="AK26" i="9" s="1"/>
  <c r="AG25" i="19" a="1"/>
  <c r="AG25" i="19" s="1"/>
  <c r="AK24" i="19" a="1"/>
  <c r="AK24" i="19" s="1"/>
  <c r="AG24" i="19" a="1"/>
  <c r="AG24" i="19" s="1"/>
  <c r="AG23" i="19" a="1"/>
  <c r="AG23" i="19" s="1"/>
  <c r="AM26" i="19" a="1"/>
  <c r="AM26" i="19" s="1"/>
  <c r="AM22" i="19"/>
  <c r="AG22" i="19" a="1"/>
  <c r="AG22" i="19" s="1"/>
  <c r="AK26" i="19" a="1"/>
  <c r="AK26" i="19" s="1"/>
  <c r="AI26" i="19" a="1"/>
  <c r="AI26" i="19" s="1"/>
  <c r="AG26" i="19" a="1"/>
  <c r="AG26" i="19" s="1"/>
  <c r="AK25" i="19" a="1"/>
  <c r="AK25" i="19" s="1"/>
  <c r="AG23" i="34" a="1"/>
  <c r="AG23" i="34" s="1"/>
  <c r="AM22" i="34"/>
  <c r="AM26" i="34" a="1"/>
  <c r="AM26" i="34" s="1"/>
  <c r="AG22" i="34" a="1"/>
  <c r="AG22" i="34" s="1"/>
  <c r="AK26" i="34" a="1"/>
  <c r="AK26" i="34" s="1"/>
  <c r="AG24" i="34" a="1"/>
  <c r="AG24" i="34" s="1"/>
  <c r="AI26" i="34" a="1"/>
  <c r="AI26" i="34" s="1"/>
  <c r="AG26" i="34" a="1"/>
  <c r="AG26" i="34" s="1"/>
  <c r="AK24" i="34" a="1"/>
  <c r="AK24" i="34" s="1"/>
  <c r="AK25" i="34" a="1"/>
  <c r="AK25" i="34" s="1"/>
  <c r="AG25" i="34" a="1"/>
  <c r="AG25" i="34" s="1"/>
  <c r="AK26" i="10" a="1"/>
  <c r="AK26" i="10" s="1"/>
  <c r="AI26" i="10" a="1"/>
  <c r="AI26" i="10" s="1"/>
  <c r="AG26" i="10" a="1"/>
  <c r="AG26" i="10" s="1"/>
  <c r="AK25" i="10" a="1"/>
  <c r="AK25" i="10" s="1"/>
  <c r="AG25" i="10" a="1"/>
  <c r="AG25" i="10" s="1"/>
  <c r="AK24" i="10" a="1"/>
  <c r="AK24" i="10" s="1"/>
  <c r="AG22" i="10" a="1"/>
  <c r="AG22" i="10" s="1"/>
  <c r="AG24" i="10" a="1"/>
  <c r="AG24" i="10" s="1"/>
  <c r="AG23" i="10" a="1"/>
  <c r="AG23" i="10" s="1"/>
  <c r="AM22" i="10"/>
  <c r="AM26" i="10" a="1"/>
  <c r="AM26" i="10" s="1"/>
  <c r="AK24" i="24" a="1"/>
  <c r="AK24" i="24" s="1"/>
  <c r="AG24" i="24" a="1"/>
  <c r="AG24" i="24" s="1"/>
  <c r="AG23" i="24" a="1"/>
  <c r="AG23" i="24" s="1"/>
  <c r="AM26" i="24" a="1"/>
  <c r="AM26" i="24" s="1"/>
  <c r="AM22" i="24"/>
  <c r="AG22" i="24" a="1"/>
  <c r="AG22" i="24" s="1"/>
  <c r="AG25" i="24" a="1"/>
  <c r="AG25" i="24" s="1"/>
  <c r="AK26" i="24" a="1"/>
  <c r="AK26" i="24" s="1"/>
  <c r="AI26" i="24" a="1"/>
  <c r="AI26" i="24" s="1"/>
  <c r="AG26" i="24" a="1"/>
  <c r="AG26" i="24" s="1"/>
  <c r="AK25" i="24" a="1"/>
  <c r="AK25" i="24" s="1"/>
  <c r="AM26" i="11" a="1"/>
  <c r="AM26" i="11" s="1"/>
  <c r="AM22" i="11"/>
  <c r="AG22" i="11" a="1"/>
  <c r="AG22" i="11" s="1"/>
  <c r="AK26" i="11" a="1"/>
  <c r="AK26" i="11" s="1"/>
  <c r="AI26" i="11" a="1"/>
  <c r="AI26" i="11" s="1"/>
  <c r="AG26" i="11" a="1"/>
  <c r="AG26" i="11" s="1"/>
  <c r="AK25" i="11" a="1"/>
  <c r="AK25" i="11" s="1"/>
  <c r="AG25" i="11" a="1"/>
  <c r="AG25" i="11" s="1"/>
  <c r="AK24" i="11" a="1"/>
  <c r="AK24" i="11" s="1"/>
  <c r="AG23" i="11" a="1"/>
  <c r="AG23" i="11" s="1"/>
  <c r="AG24" i="11" a="1"/>
  <c r="AG24" i="11" s="1"/>
  <c r="C34" i="33" a="1"/>
  <c r="C34" i="33" s="1"/>
  <c r="C34" i="34" a="1"/>
  <c r="C34" i="34" s="1"/>
  <c r="C34" i="12" a="1"/>
  <c r="C34" i="12" s="1"/>
  <c r="C34" i="25" a="1"/>
  <c r="C34" i="25" s="1"/>
  <c r="C34" i="26" a="1"/>
  <c r="C34" i="26" s="1"/>
  <c r="C34" i="17" a="1"/>
  <c r="C34" i="17" s="1"/>
  <c r="C34" i="15" a="1"/>
  <c r="C34" i="15" s="1"/>
  <c r="C34" i="28" a="1"/>
  <c r="C34" i="28" s="1"/>
  <c r="C34" i="31" a="1"/>
  <c r="C34" i="31" s="1"/>
  <c r="C34" i="22" a="1"/>
  <c r="C34" i="22" s="1"/>
  <c r="C34" i="32" a="1"/>
  <c r="C34" i="32" s="1"/>
  <c r="C34" i="9" a="1"/>
  <c r="C34" i="9" s="1"/>
  <c r="C34" i="19" a="1"/>
  <c r="C34" i="19" s="1"/>
  <c r="C34" i="10" a="1"/>
  <c r="C34" i="10" s="1"/>
  <c r="C34" i="24" a="1"/>
  <c r="C34" i="24" s="1"/>
  <c r="C34" i="11" a="1"/>
  <c r="C34" i="11" s="1"/>
  <c r="C34" i="4" a="1"/>
  <c r="C34" i="4" s="1"/>
  <c r="C34" i="7" a="1"/>
  <c r="C34" i="7" s="1"/>
  <c r="C34" i="20" a="1"/>
  <c r="C34" i="20" s="1"/>
  <c r="C34" i="23" a="1"/>
  <c r="C34" i="23" s="1"/>
  <c r="C34" i="6" a="1"/>
  <c r="C34" i="6" s="1"/>
  <c r="C34" i="30" a="1"/>
  <c r="C34" i="30" s="1"/>
  <c r="C34" i="13" a="1"/>
  <c r="C34" i="13" s="1"/>
  <c r="C34" i="18" a="1"/>
  <c r="C34" i="18" s="1"/>
  <c r="C34" i="29" a="1"/>
  <c r="C34" i="29" s="1"/>
  <c r="C34" i="21" a="1"/>
  <c r="C34" i="21" s="1"/>
  <c r="C34" i="27" a="1"/>
  <c r="C34" i="27" s="1"/>
  <c r="C34" i="5" a="1"/>
  <c r="C34" i="5" s="1"/>
  <c r="C34" i="8" a="1"/>
  <c r="C34" i="8" s="1"/>
  <c r="C34" i="16" a="1"/>
  <c r="C34" i="16" s="1"/>
  <c r="C34" i="14" a="1"/>
  <c r="C34" i="14" s="1"/>
  <c r="C35" i="4"/>
  <c r="AX17" i="34" a="1"/>
  <c r="AX17" i="34" s="1"/>
  <c r="AX20" i="34" a="1"/>
  <c r="AX20" i="34" s="1"/>
  <c r="AX9" i="34" a="1"/>
  <c r="AX9" i="34" s="1"/>
  <c r="AX16" i="34" a="1"/>
  <c r="AX16" i="34" s="1"/>
  <c r="AX14" i="34" a="1"/>
  <c r="AX14" i="34" s="1"/>
  <c r="BB10" i="34" a="1"/>
  <c r="BB10" i="34" s="1"/>
  <c r="BB20" i="34" a="1"/>
  <c r="BB20" i="34" s="1"/>
  <c r="AX19" i="34" a="1"/>
  <c r="AX19" i="34" s="1"/>
  <c r="AY19" i="34" s="1" a="1"/>
  <c r="AY19" i="34" s="1"/>
  <c r="AX11" i="34" a="1"/>
  <c r="AX11" i="34" s="1"/>
  <c r="AX18" i="34" a="1"/>
  <c r="AX18" i="34" s="1"/>
  <c r="BB12" i="34" a="1"/>
  <c r="BB12" i="34" s="1"/>
  <c r="BB15" i="34" a="1"/>
  <c r="BB15" i="34" s="1"/>
  <c r="BB11" i="34" a="1"/>
  <c r="BB11" i="34" s="1"/>
  <c r="AX10" i="34" a="1"/>
  <c r="AX10" i="34" s="1"/>
  <c r="BB16" i="34" a="1"/>
  <c r="BB16" i="34" s="1"/>
  <c r="AX13" i="34" a="1"/>
  <c r="AX13" i="34" s="1"/>
  <c r="BB9" i="34" a="1"/>
  <c r="BB9" i="34" s="1"/>
  <c r="BB19" i="34" a="1"/>
  <c r="BB19" i="34" s="1"/>
  <c r="AX15" i="34" a="1"/>
  <c r="AX15" i="34" s="1"/>
  <c r="BB14" i="34" a="1"/>
  <c r="BB14" i="34" s="1"/>
  <c r="AX12" i="34" a="1"/>
  <c r="AX12" i="34" s="1"/>
  <c r="AX21" i="34" a="1"/>
  <c r="AX21" i="34" s="1"/>
  <c r="BB13" i="34" a="1"/>
  <c r="BB13" i="34" s="1"/>
  <c r="BB17" i="34" a="1"/>
  <c r="BB17" i="34" s="1"/>
  <c r="BB18" i="34" a="1"/>
  <c r="BB18" i="34" s="1"/>
  <c r="BB12" i="20" a="1"/>
  <c r="BB12" i="20" s="1"/>
  <c r="BB16" i="20" a="1"/>
  <c r="BB16" i="20" s="1"/>
  <c r="AX12" i="20" a="1"/>
  <c r="AX12" i="20" s="1"/>
  <c r="AX14" i="20" a="1"/>
  <c r="AX14" i="20" s="1"/>
  <c r="BB20" i="20" a="1"/>
  <c r="BB20" i="20" s="1"/>
  <c r="BB13" i="20" a="1"/>
  <c r="BB13" i="20" s="1"/>
  <c r="AX21" i="20" a="1"/>
  <c r="AX21" i="20" s="1"/>
  <c r="AX11" i="20" a="1"/>
  <c r="AX11" i="20" s="1"/>
  <c r="AX13" i="20" a="1"/>
  <c r="AX13" i="20" s="1"/>
  <c r="AX10" i="20" a="1"/>
  <c r="AX10" i="20" s="1"/>
  <c r="AX16" i="20" a="1"/>
  <c r="AX16" i="20" s="1"/>
  <c r="BB19" i="20" a="1"/>
  <c r="BB19" i="20" s="1"/>
  <c r="AX15" i="20" a="1"/>
  <c r="AX15" i="20" s="1"/>
  <c r="BB14" i="20" a="1"/>
  <c r="BB14" i="20" s="1"/>
  <c r="BB10" i="20" a="1"/>
  <c r="BB10" i="20" s="1"/>
  <c r="BB15" i="20" a="1"/>
  <c r="BB15" i="20" s="1"/>
  <c r="BB18" i="20" a="1"/>
  <c r="BB18" i="20" s="1"/>
  <c r="AX20" i="20" a="1"/>
  <c r="AX20" i="20" s="1"/>
  <c r="BB11" i="20" a="1"/>
  <c r="BB11" i="20" s="1"/>
  <c r="AX18" i="20" a="1"/>
  <c r="AX18" i="20" s="1"/>
  <c r="BB17" i="20" a="1"/>
  <c r="BB17" i="20" s="1"/>
  <c r="BB9" i="20" a="1"/>
  <c r="BB9" i="20" s="1"/>
  <c r="AX17" i="20" a="1"/>
  <c r="AX17" i="20" s="1"/>
  <c r="AX19" i="20" a="1"/>
  <c r="AX19" i="20" s="1"/>
  <c r="AY19" i="20" s="1" a="1"/>
  <c r="AY19" i="20" s="1"/>
  <c r="AX9" i="20" a="1"/>
  <c r="AX9" i="20" s="1"/>
  <c r="BB20" i="7" a="1"/>
  <c r="BB20" i="7" s="1"/>
  <c r="BB10" i="7" a="1"/>
  <c r="BB10" i="7" s="1"/>
  <c r="BB18" i="7" a="1"/>
  <c r="BB18" i="7" s="1"/>
  <c r="AX16" i="7" a="1"/>
  <c r="AX16" i="7" s="1"/>
  <c r="AX9" i="7" a="1"/>
  <c r="AX9" i="7" s="1"/>
  <c r="BB11" i="7" a="1"/>
  <c r="BB11" i="7" s="1"/>
  <c r="AX13" i="7" a="1"/>
  <c r="AX13" i="7" s="1"/>
  <c r="AX10" i="7" a="1"/>
  <c r="AX10" i="7" s="1"/>
  <c r="BB9" i="7" a="1"/>
  <c r="BB9" i="7" s="1"/>
  <c r="AX12" i="7" a="1"/>
  <c r="AX12" i="7" s="1"/>
  <c r="AX21" i="7" a="1"/>
  <c r="AX21" i="7" s="1"/>
  <c r="AX19" i="7" a="1"/>
  <c r="AX19" i="7" s="1"/>
  <c r="AY19" i="7" s="1" a="1"/>
  <c r="AY19" i="7" s="1"/>
  <c r="BB12" i="7" a="1"/>
  <c r="BB12" i="7" s="1"/>
  <c r="BB15" i="7" a="1"/>
  <c r="BB15" i="7" s="1"/>
  <c r="BB13" i="7" a="1"/>
  <c r="BB13" i="7" s="1"/>
  <c r="BB16" i="7" a="1"/>
  <c r="BB16" i="7" s="1"/>
  <c r="AX18" i="7" a="1"/>
  <c r="AX18" i="7" s="1"/>
  <c r="AX15" i="7" a="1"/>
  <c r="AX15" i="7" s="1"/>
  <c r="AX14" i="7" a="1"/>
  <c r="AX14" i="7" s="1"/>
  <c r="AX17" i="7" a="1"/>
  <c r="AX17" i="7" s="1"/>
  <c r="AX20" i="7" a="1"/>
  <c r="AX20" i="7" s="1"/>
  <c r="BB17" i="7" a="1"/>
  <c r="BB17" i="7" s="1"/>
  <c r="BB19" i="7" a="1"/>
  <c r="BB19" i="7" s="1"/>
  <c r="AX11" i="7" a="1"/>
  <c r="AX11" i="7" s="1"/>
  <c r="BB14" i="7" a="1"/>
  <c r="BB14" i="7" s="1"/>
  <c r="AX10" i="27" a="1"/>
  <c r="AX10" i="27" s="1"/>
  <c r="AX9" i="27" a="1"/>
  <c r="AX9" i="27" s="1"/>
  <c r="BB20" i="27" a="1"/>
  <c r="BB20" i="27" s="1"/>
  <c r="BB17" i="27" a="1"/>
  <c r="BB17" i="27" s="1"/>
  <c r="AX12" i="27" a="1"/>
  <c r="AX12" i="27" s="1"/>
  <c r="AX14" i="27" a="1"/>
  <c r="AX14" i="27" s="1"/>
  <c r="AX13" i="27" a="1"/>
  <c r="AX13" i="27" s="1"/>
  <c r="BB14" i="27" a="1"/>
  <c r="BB14" i="27" s="1"/>
  <c r="AX15" i="27" a="1"/>
  <c r="AX15" i="27" s="1"/>
  <c r="BB9" i="27" a="1"/>
  <c r="BB9" i="27" s="1"/>
  <c r="AX16" i="27" a="1"/>
  <c r="AX16" i="27" s="1"/>
  <c r="BB10" i="27" a="1"/>
  <c r="BB10" i="27" s="1"/>
  <c r="BB15" i="27" a="1"/>
  <c r="BB15" i="27" s="1"/>
  <c r="AX18" i="27" a="1"/>
  <c r="AX18" i="27" s="1"/>
  <c r="BB16" i="27" a="1"/>
  <c r="BB16" i="27" s="1"/>
  <c r="BB12" i="27" a="1"/>
  <c r="BB12" i="27" s="1"/>
  <c r="AX21" i="27" a="1"/>
  <c r="AX21" i="27" s="1"/>
  <c r="BB19" i="27" a="1"/>
  <c r="BB19" i="27" s="1"/>
  <c r="AX11" i="27" a="1"/>
  <c r="AX11" i="27" s="1"/>
  <c r="AX20" i="27" a="1"/>
  <c r="AX20" i="27" s="1"/>
  <c r="BB13" i="27" a="1"/>
  <c r="BB13" i="27" s="1"/>
  <c r="AX17" i="27" a="1"/>
  <c r="AX17" i="27" s="1"/>
  <c r="BB11" i="27" a="1"/>
  <c r="BB11" i="27" s="1"/>
  <c r="BB18" i="27" a="1"/>
  <c r="BB18" i="27" s="1"/>
  <c r="AX19" i="27" a="1"/>
  <c r="AX19" i="27" s="1"/>
  <c r="AY19" i="27" s="1" a="1"/>
  <c r="AY19" i="27" s="1"/>
  <c r="AX10" i="33" a="1"/>
  <c r="AX10" i="33" s="1"/>
  <c r="AX14" i="33" a="1"/>
  <c r="AX14" i="33" s="1"/>
  <c r="BB19" i="33" a="1"/>
  <c r="BB19" i="33" s="1"/>
  <c r="BB10" i="33" a="1"/>
  <c r="BB10" i="33" s="1"/>
  <c r="AX18" i="33" a="1"/>
  <c r="AX18" i="33" s="1"/>
  <c r="BB20" i="33" a="1"/>
  <c r="BB20" i="33" s="1"/>
  <c r="AX19" i="33" a="1"/>
  <c r="AX19" i="33" s="1"/>
  <c r="AY19" i="33" s="1" a="1"/>
  <c r="AY19" i="33" s="1"/>
  <c r="BB13" i="33" a="1"/>
  <c r="BB13" i="33" s="1"/>
  <c r="AX13" i="33" a="1"/>
  <c r="AX13" i="33" s="1"/>
  <c r="AX9" i="33" a="1"/>
  <c r="AX9" i="33" s="1"/>
  <c r="AX12" i="33" a="1"/>
  <c r="AX12" i="33" s="1"/>
  <c r="BB14" i="33" a="1"/>
  <c r="BB14" i="33" s="1"/>
  <c r="AX20" i="33" a="1"/>
  <c r="AX20" i="33" s="1"/>
  <c r="BB15" i="33" a="1"/>
  <c r="BB15" i="33" s="1"/>
  <c r="BB18" i="33" a="1"/>
  <c r="BB18" i="33" s="1"/>
  <c r="BB17" i="33" a="1"/>
  <c r="BB17" i="33" s="1"/>
  <c r="AX16" i="33" a="1"/>
  <c r="AX16" i="33" s="1"/>
  <c r="AX15" i="33" a="1"/>
  <c r="AX15" i="33" s="1"/>
  <c r="BB9" i="33" a="1"/>
  <c r="BB9" i="33" s="1"/>
  <c r="AX17" i="33" a="1"/>
  <c r="AX17" i="33" s="1"/>
  <c r="BB16" i="33" a="1"/>
  <c r="BB16" i="33" s="1"/>
  <c r="AX21" i="33" a="1"/>
  <c r="AX21" i="33" s="1"/>
  <c r="BB11" i="33" a="1"/>
  <c r="BB11" i="33" s="1"/>
  <c r="BB12" i="33" a="1"/>
  <c r="BB12" i="33" s="1"/>
  <c r="AX11" i="33" a="1"/>
  <c r="AX11" i="33" s="1"/>
  <c r="BB18" i="32" a="1"/>
  <c r="BB18" i="32" s="1"/>
  <c r="BB16" i="32" a="1"/>
  <c r="BB16" i="32" s="1"/>
  <c r="AX17" i="32" a="1"/>
  <c r="AX17" i="32" s="1"/>
  <c r="AX9" i="32" a="1"/>
  <c r="AX9" i="32" s="1"/>
  <c r="AX21" i="32" a="1"/>
  <c r="AX21" i="32" s="1"/>
  <c r="AX11" i="32" a="1"/>
  <c r="AX11" i="32" s="1"/>
  <c r="AX14" i="32" a="1"/>
  <c r="AX14" i="32" s="1"/>
  <c r="BB11" i="32" a="1"/>
  <c r="BB11" i="32" s="1"/>
  <c r="BB17" i="32" a="1"/>
  <c r="BB17" i="32" s="1"/>
  <c r="AX20" i="32" a="1"/>
  <c r="AX20" i="32" s="1"/>
  <c r="AX16" i="32" a="1"/>
  <c r="AX16" i="32" s="1"/>
  <c r="AX19" i="32" a="1"/>
  <c r="AX19" i="32" s="1"/>
  <c r="AY19" i="32" s="1" a="1"/>
  <c r="AY19" i="32" s="1"/>
  <c r="BB9" i="32" a="1"/>
  <c r="BB9" i="32" s="1"/>
  <c r="BB13" i="32" a="1"/>
  <c r="BB13" i="32" s="1"/>
  <c r="BB19" i="32" a="1"/>
  <c r="BB19" i="32" s="1"/>
  <c r="AX13" i="32" a="1"/>
  <c r="AX13" i="32" s="1"/>
  <c r="AX12" i="32" a="1"/>
  <c r="AX12" i="32" s="1"/>
  <c r="AX18" i="32" a="1"/>
  <c r="AX18" i="32" s="1"/>
  <c r="AX10" i="32" a="1"/>
  <c r="AX10" i="32" s="1"/>
  <c r="AX15" i="32" a="1"/>
  <c r="AX15" i="32" s="1"/>
  <c r="BB20" i="32" a="1"/>
  <c r="BB20" i="32" s="1"/>
  <c r="BB10" i="32" a="1"/>
  <c r="BB10" i="32" s="1"/>
  <c r="BB12" i="32" a="1"/>
  <c r="BB12" i="32" s="1"/>
  <c r="BB14" i="32" a="1"/>
  <c r="BB14" i="32" s="1"/>
  <c r="BB15" i="32" a="1"/>
  <c r="BB15" i="32" s="1"/>
  <c r="AX20" i="15" a="1"/>
  <c r="AX20" i="15" s="1"/>
  <c r="AX17" i="15" a="1"/>
  <c r="AX17" i="15" s="1"/>
  <c r="AX12" i="15" a="1"/>
  <c r="AX12" i="15" s="1"/>
  <c r="BB10" i="15" a="1"/>
  <c r="BB10" i="15" s="1"/>
  <c r="AX14" i="15" a="1"/>
  <c r="AX14" i="15" s="1"/>
  <c r="AX10" i="15" a="1"/>
  <c r="AX10" i="15" s="1"/>
  <c r="AX19" i="15" a="1"/>
  <c r="AX19" i="15" s="1"/>
  <c r="AY19" i="15" s="1" a="1"/>
  <c r="AY19" i="15" s="1"/>
  <c r="BB9" i="15" a="1"/>
  <c r="BB9" i="15" s="1"/>
  <c r="AX21" i="15" a="1"/>
  <c r="AX21" i="15" s="1"/>
  <c r="BB13" i="15" a="1"/>
  <c r="BB13" i="15" s="1"/>
  <c r="BB15" i="15" a="1"/>
  <c r="BB15" i="15" s="1"/>
  <c r="AX13" i="15" a="1"/>
  <c r="AX13" i="15" s="1"/>
  <c r="AX9" i="15" a="1"/>
  <c r="AX9" i="15" s="1"/>
  <c r="AX11" i="15" a="1"/>
  <c r="AX11" i="15" s="1"/>
  <c r="BB18" i="15" a="1"/>
  <c r="BB18" i="15" s="1"/>
  <c r="BB11" i="15" a="1"/>
  <c r="BB11" i="15" s="1"/>
  <c r="AX16" i="15" a="1"/>
  <c r="AX16" i="15" s="1"/>
  <c r="BB20" i="15" a="1"/>
  <c r="BB20" i="15" s="1"/>
  <c r="AX15" i="15" a="1"/>
  <c r="AX15" i="15" s="1"/>
  <c r="AX18" i="15" a="1"/>
  <c r="AX18" i="15" s="1"/>
  <c r="BB16" i="15" a="1"/>
  <c r="BB16" i="15" s="1"/>
  <c r="BB17" i="15" a="1"/>
  <c r="BB17" i="15" s="1"/>
  <c r="BB19" i="15" a="1"/>
  <c r="BB19" i="15" s="1"/>
  <c r="BB14" i="15" a="1"/>
  <c r="BB14" i="15" s="1"/>
  <c r="BB12" i="15" a="1"/>
  <c r="BB12" i="15" s="1"/>
  <c r="BB20" i="26" a="1"/>
  <c r="BB20" i="26" s="1"/>
  <c r="AX9" i="26" a="1"/>
  <c r="AX9" i="26" s="1"/>
  <c r="AX20" i="26" a="1"/>
  <c r="AX20" i="26" s="1"/>
  <c r="AX15" i="26" a="1"/>
  <c r="AX15" i="26" s="1"/>
  <c r="AX11" i="26" a="1"/>
  <c r="AX11" i="26" s="1"/>
  <c r="AX19" i="26" a="1"/>
  <c r="AX19" i="26" s="1"/>
  <c r="AY19" i="26" s="1" a="1"/>
  <c r="AY19" i="26" s="1"/>
  <c r="AX13" i="26" a="1"/>
  <c r="AX13" i="26" s="1"/>
  <c r="AX14" i="26" a="1"/>
  <c r="AX14" i="26" s="1"/>
  <c r="AX12" i="26" a="1"/>
  <c r="AX12" i="26" s="1"/>
  <c r="BB14" i="26" a="1"/>
  <c r="BB14" i="26" s="1"/>
  <c r="BB11" i="26" a="1"/>
  <c r="BB11" i="26" s="1"/>
  <c r="AX18" i="26" a="1"/>
  <c r="AX18" i="26" s="1"/>
  <c r="BB9" i="26" a="1"/>
  <c r="BB9" i="26" s="1"/>
  <c r="BB18" i="26" a="1"/>
  <c r="BB18" i="26" s="1"/>
  <c r="BB10" i="26" a="1"/>
  <c r="BB10" i="26" s="1"/>
  <c r="BB19" i="26" a="1"/>
  <c r="BB19" i="26" s="1"/>
  <c r="BB12" i="26" a="1"/>
  <c r="BB12" i="26" s="1"/>
  <c r="AX10" i="26" a="1"/>
  <c r="AX10" i="26" s="1"/>
  <c r="AX16" i="26" a="1"/>
  <c r="AX16" i="26" s="1"/>
  <c r="BB17" i="26" a="1"/>
  <c r="BB17" i="26" s="1"/>
  <c r="AX21" i="26" a="1"/>
  <c r="AX21" i="26" s="1"/>
  <c r="AX17" i="26" a="1"/>
  <c r="AX17" i="26" s="1"/>
  <c r="BB15" i="26" a="1"/>
  <c r="BB15" i="26" s="1"/>
  <c r="BB16" i="26" a="1"/>
  <c r="BB16" i="26" s="1"/>
  <c r="BB13" i="26" a="1"/>
  <c r="BB13" i="26" s="1"/>
  <c r="AX18" i="29" a="1"/>
  <c r="AX18" i="29" s="1"/>
  <c r="AX14" i="29" a="1"/>
  <c r="AX14" i="29" s="1"/>
  <c r="AX17" i="29" a="1"/>
  <c r="AX17" i="29" s="1"/>
  <c r="AX9" i="29" a="1"/>
  <c r="AX9" i="29" s="1"/>
  <c r="AX21" i="29" a="1"/>
  <c r="AX21" i="29" s="1"/>
  <c r="AX13" i="29" a="1"/>
  <c r="AX13" i="29" s="1"/>
  <c r="AX20" i="29" a="1"/>
  <c r="AX20" i="29" s="1"/>
  <c r="AX19" i="29" a="1"/>
  <c r="AX19" i="29" s="1"/>
  <c r="AY19" i="29" s="1" a="1"/>
  <c r="AY19" i="29" s="1"/>
  <c r="AX15" i="29" a="1"/>
  <c r="AX15" i="29" s="1"/>
  <c r="AX11" i="29" a="1"/>
  <c r="AX11" i="29" s="1"/>
  <c r="AX16" i="29" a="1"/>
  <c r="AX16" i="29" s="1"/>
  <c r="AX12" i="29" a="1"/>
  <c r="AX12" i="29" s="1"/>
  <c r="AX10" i="29" a="1"/>
  <c r="AX10" i="29" s="1"/>
  <c r="BB10" i="29" a="1"/>
  <c r="BB10" i="29" s="1"/>
  <c r="BB16" i="29" a="1"/>
  <c r="BB16" i="29" s="1"/>
  <c r="BB17" i="29" a="1"/>
  <c r="BB17" i="29" s="1"/>
  <c r="BB14" i="29" a="1"/>
  <c r="BB14" i="29" s="1"/>
  <c r="BB15" i="29" a="1"/>
  <c r="BB15" i="29" s="1"/>
  <c r="BB18" i="29" a="1"/>
  <c r="BB18" i="29" s="1"/>
  <c r="BB11" i="29" a="1"/>
  <c r="BB11" i="29" s="1"/>
  <c r="BB9" i="29" a="1"/>
  <c r="BB9" i="29" s="1"/>
  <c r="BB12" i="29" a="1"/>
  <c r="BB12" i="29" s="1"/>
  <c r="BB20" i="29" a="1"/>
  <c r="BB20" i="29" s="1"/>
  <c r="BB19" i="29" a="1"/>
  <c r="BB19" i="29" s="1"/>
  <c r="BB13" i="29" a="1"/>
  <c r="BB13" i="29" s="1"/>
  <c r="AY21" i="16" a="1"/>
  <c r="AY21" i="16" s="1"/>
  <c r="BC19" i="16" a="1"/>
  <c r="BC19" i="16" s="1"/>
  <c r="BC17" i="16" a="1"/>
  <c r="BC17" i="16" s="1"/>
  <c r="AY10" i="16" a="1"/>
  <c r="AY10" i="16" s="1"/>
  <c r="AY18" i="16" a="1"/>
  <c r="AY18" i="16" s="1"/>
  <c r="AY13" i="16" a="1"/>
  <c r="AY13" i="16" s="1"/>
  <c r="BC11" i="16" a="1"/>
  <c r="BC11" i="16" s="1"/>
  <c r="AY9" i="16" a="1"/>
  <c r="AY9" i="16" s="1"/>
  <c r="AY16" i="16" a="1"/>
  <c r="AY16" i="16" s="1"/>
  <c r="AY12" i="16" a="1"/>
  <c r="AY12" i="16" s="1"/>
  <c r="AY15" i="16" a="1"/>
  <c r="AY15" i="16" s="1"/>
  <c r="BC15" i="16" a="1"/>
  <c r="BC15" i="16" s="1"/>
  <c r="BC13" i="16" a="1"/>
  <c r="BC13" i="16" s="1"/>
  <c r="AY20" i="16" a="1"/>
  <c r="AY20" i="16" s="1"/>
  <c r="AY19" i="16" a="1"/>
  <c r="AY19" i="16" s="1"/>
  <c r="AZ19" i="16" s="1" a="1"/>
  <c r="AZ19" i="16" s="1"/>
  <c r="BC20" i="16" a="1"/>
  <c r="BC20" i="16" s="1"/>
  <c r="BC10" i="16" a="1"/>
  <c r="BC10" i="16" s="1"/>
  <c r="AY11" i="16" a="1"/>
  <c r="AY11" i="16" s="1"/>
  <c r="BC16" i="16" a="1"/>
  <c r="BC16" i="16" s="1"/>
  <c r="BC18" i="16" a="1"/>
  <c r="BC18" i="16" s="1"/>
  <c r="BC14" i="16" a="1"/>
  <c r="BC14" i="16" s="1"/>
  <c r="AY17" i="16" a="1"/>
  <c r="AY17" i="16" s="1"/>
  <c r="AY14" i="16" a="1"/>
  <c r="AY14" i="16" s="1"/>
  <c r="BC12" i="16" a="1"/>
  <c r="BC12" i="16" s="1"/>
  <c r="BC9" i="16" a="1"/>
  <c r="BC9" i="16" s="1"/>
  <c r="BB16" i="21" a="1"/>
  <c r="BB16" i="21" s="1"/>
  <c r="AX10" i="21" a="1"/>
  <c r="AX10" i="21" s="1"/>
  <c r="AX13" i="21" a="1"/>
  <c r="AX13" i="21" s="1"/>
  <c r="AX17" i="21" a="1"/>
  <c r="AX17" i="21" s="1"/>
  <c r="AX21" i="21" a="1"/>
  <c r="AX21" i="21" s="1"/>
  <c r="BB12" i="21" a="1"/>
  <c r="BB12" i="21" s="1"/>
  <c r="AX18" i="21" a="1"/>
  <c r="AX18" i="21" s="1"/>
  <c r="AX9" i="21" a="1"/>
  <c r="AX9" i="21" s="1"/>
  <c r="BB9" i="21" a="1"/>
  <c r="BB9" i="21" s="1"/>
  <c r="AX11" i="21" a="1"/>
  <c r="AX11" i="21" s="1"/>
  <c r="AX19" i="21" a="1"/>
  <c r="AX19" i="21" s="1"/>
  <c r="AY19" i="21" s="1" a="1"/>
  <c r="AY19" i="21" s="1"/>
  <c r="AX14" i="21" a="1"/>
  <c r="AX14" i="21" s="1"/>
  <c r="BB15" i="21" a="1"/>
  <c r="BB15" i="21" s="1"/>
  <c r="BB14" i="21" a="1"/>
  <c r="BB14" i="21" s="1"/>
  <c r="AX20" i="21" a="1"/>
  <c r="AX20" i="21" s="1"/>
  <c r="BB17" i="21" a="1"/>
  <c r="BB17" i="21" s="1"/>
  <c r="AX16" i="21" a="1"/>
  <c r="AX16" i="21" s="1"/>
  <c r="BB10" i="21" a="1"/>
  <c r="BB10" i="21" s="1"/>
  <c r="BB13" i="21" a="1"/>
  <c r="BB13" i="21" s="1"/>
  <c r="AX15" i="21" a="1"/>
  <c r="AX15" i="21" s="1"/>
  <c r="BB19" i="21" a="1"/>
  <c r="BB19" i="21" s="1"/>
  <c r="BB18" i="21" a="1"/>
  <c r="BB18" i="21" s="1"/>
  <c r="AX12" i="21" a="1"/>
  <c r="AX12" i="21" s="1"/>
  <c r="BB20" i="21" a="1"/>
  <c r="BB20" i="21" s="1"/>
  <c r="BB11" i="21" a="1"/>
  <c r="BB11" i="21" s="1"/>
  <c r="BB10" i="9" a="1"/>
  <c r="BB10" i="9" s="1"/>
  <c r="AX16" i="9" a="1"/>
  <c r="AX16" i="9" s="1"/>
  <c r="BB13" i="9" a="1"/>
  <c r="BB13" i="9" s="1"/>
  <c r="AX9" i="9" a="1"/>
  <c r="AX9" i="9" s="1"/>
  <c r="AX14" i="9" a="1"/>
  <c r="AX14" i="9" s="1"/>
  <c r="BB15" i="9" a="1"/>
  <c r="BB15" i="9" s="1"/>
  <c r="BB9" i="9" a="1"/>
  <c r="BB9" i="9" s="1"/>
  <c r="BB14" i="9" a="1"/>
  <c r="BB14" i="9" s="1"/>
  <c r="AX20" i="9" a="1"/>
  <c r="AX20" i="9" s="1"/>
  <c r="BB12" i="9" a="1"/>
  <c r="BB12" i="9" s="1"/>
  <c r="BB19" i="9" a="1"/>
  <c r="BB19" i="9" s="1"/>
  <c r="BB18" i="9" a="1"/>
  <c r="BB18" i="9" s="1"/>
  <c r="AX12" i="9" a="1"/>
  <c r="AX12" i="9" s="1"/>
  <c r="AX21" i="9" a="1"/>
  <c r="AX21" i="9" s="1"/>
  <c r="BB17" i="9" a="1"/>
  <c r="BB17" i="9" s="1"/>
  <c r="BB20" i="9" a="1"/>
  <c r="BB20" i="9" s="1"/>
  <c r="AX17" i="9" a="1"/>
  <c r="AX17" i="9" s="1"/>
  <c r="AX19" i="9" a="1"/>
  <c r="AX19" i="9" s="1"/>
  <c r="AY19" i="9" s="1" a="1"/>
  <c r="AY19" i="9" s="1"/>
  <c r="BB16" i="9" a="1"/>
  <c r="BB16" i="9" s="1"/>
  <c r="AX11" i="9" a="1"/>
  <c r="AX11" i="9" s="1"/>
  <c r="AX10" i="9" a="1"/>
  <c r="AX10" i="9" s="1"/>
  <c r="BB11" i="9" a="1"/>
  <c r="BB11" i="9" s="1"/>
  <c r="AX18" i="9" a="1"/>
  <c r="AX18" i="9" s="1"/>
  <c r="AX13" i="9" a="1"/>
  <c r="AX13" i="9" s="1"/>
  <c r="AX15" i="9" a="1"/>
  <c r="AX15" i="9" s="1"/>
  <c r="AX19" i="17" a="1"/>
  <c r="AX19" i="17" s="1"/>
  <c r="AY19" i="17" s="1" a="1"/>
  <c r="AY19" i="17" s="1"/>
  <c r="AX12" i="17" a="1"/>
  <c r="AX12" i="17" s="1"/>
  <c r="AX9" i="17" a="1"/>
  <c r="AX9" i="17" s="1"/>
  <c r="AX15" i="17" a="1"/>
  <c r="AX15" i="17" s="1"/>
  <c r="AX14" i="17" a="1"/>
  <c r="AX14" i="17" s="1"/>
  <c r="AX10" i="17" a="1"/>
  <c r="AX10" i="17" s="1"/>
  <c r="AX11" i="17" a="1"/>
  <c r="AX11" i="17" s="1"/>
  <c r="AX13" i="17" a="1"/>
  <c r="AX13" i="17" s="1"/>
  <c r="AX21" i="17" a="1"/>
  <c r="AX21" i="17" s="1"/>
  <c r="AX17" i="17" a="1"/>
  <c r="AX17" i="17" s="1"/>
  <c r="AX20" i="17" a="1"/>
  <c r="AX20" i="17" s="1"/>
  <c r="BB18" i="17" a="1"/>
  <c r="BB18" i="17" s="1"/>
  <c r="BB13" i="17" a="1"/>
  <c r="BB13" i="17" s="1"/>
  <c r="BB19" i="17" a="1"/>
  <c r="BB19" i="17" s="1"/>
  <c r="BB12" i="17" a="1"/>
  <c r="BB12" i="17" s="1"/>
  <c r="BB20" i="17" a="1"/>
  <c r="BB20" i="17" s="1"/>
  <c r="BB9" i="17" a="1"/>
  <c r="BB9" i="17" s="1"/>
  <c r="BB15" i="17" a="1"/>
  <c r="BB15" i="17" s="1"/>
  <c r="BB10" i="17" a="1"/>
  <c r="BB10" i="17" s="1"/>
  <c r="BB14" i="17" a="1"/>
  <c r="BB14" i="17" s="1"/>
  <c r="AX18" i="17" a="1"/>
  <c r="AX18" i="17" s="1"/>
  <c r="BB11" i="17" a="1"/>
  <c r="BB11" i="17" s="1"/>
  <c r="AX16" i="17" a="1"/>
  <c r="AX16" i="17" s="1"/>
  <c r="BB17" i="17" a="1"/>
  <c r="BB17" i="17" s="1"/>
  <c r="BB16" i="17" a="1"/>
  <c r="BB16" i="17" s="1"/>
  <c r="BB20" i="23" a="1"/>
  <c r="BB20" i="23" s="1"/>
  <c r="BB16" i="23" a="1"/>
  <c r="BB16" i="23" s="1"/>
  <c r="AX13" i="23" a="1"/>
  <c r="AX13" i="23" s="1"/>
  <c r="AX10" i="23" a="1"/>
  <c r="AX10" i="23" s="1"/>
  <c r="AX19" i="23" a="1"/>
  <c r="AX19" i="23" s="1"/>
  <c r="AY19" i="23" s="1" a="1"/>
  <c r="AY19" i="23" s="1"/>
  <c r="AX11" i="23" a="1"/>
  <c r="AX11" i="23" s="1"/>
  <c r="AX14" i="23" a="1"/>
  <c r="AX14" i="23" s="1"/>
  <c r="BB17" i="23" a="1"/>
  <c r="BB17" i="23" s="1"/>
  <c r="BB13" i="23" a="1"/>
  <c r="BB13" i="23" s="1"/>
  <c r="AX18" i="23" a="1"/>
  <c r="AX18" i="23" s="1"/>
  <c r="BB9" i="23" a="1"/>
  <c r="BB9" i="23" s="1"/>
  <c r="AX16" i="23" a="1"/>
  <c r="AX16" i="23" s="1"/>
  <c r="AX9" i="23" a="1"/>
  <c r="AX9" i="23" s="1"/>
  <c r="BB11" i="23" a="1"/>
  <c r="BB11" i="23" s="1"/>
  <c r="AX15" i="23" a="1"/>
  <c r="AX15" i="23" s="1"/>
  <c r="AX21" i="23" a="1"/>
  <c r="AX21" i="23" s="1"/>
  <c r="AX12" i="23" a="1"/>
  <c r="AX12" i="23" s="1"/>
  <c r="BB14" i="23" a="1"/>
  <c r="BB14" i="23" s="1"/>
  <c r="BB15" i="23" a="1"/>
  <c r="BB15" i="23" s="1"/>
  <c r="BB19" i="23" a="1"/>
  <c r="BB19" i="23" s="1"/>
  <c r="AX17" i="23" a="1"/>
  <c r="AX17" i="23" s="1"/>
  <c r="BB10" i="23" a="1"/>
  <c r="BB10" i="23" s="1"/>
  <c r="BB18" i="23" a="1"/>
  <c r="BB18" i="23" s="1"/>
  <c r="BB12" i="23" a="1"/>
  <c r="BB12" i="23" s="1"/>
  <c r="AX20" i="23" a="1"/>
  <c r="AX20" i="23" s="1"/>
  <c r="BB10" i="12" a="1"/>
  <c r="BB10" i="12" s="1"/>
  <c r="AX21" i="12" a="1"/>
  <c r="AX21" i="12" s="1"/>
  <c r="AX19" i="12" a="1"/>
  <c r="AX19" i="12" s="1"/>
  <c r="AY19" i="12" s="1" a="1"/>
  <c r="AY19" i="12" s="1"/>
  <c r="AX17" i="12" a="1"/>
  <c r="AX17" i="12" s="1"/>
  <c r="BB15" i="12" a="1"/>
  <c r="BB15" i="12" s="1"/>
  <c r="AX15" i="12" a="1"/>
  <c r="AX15" i="12" s="1"/>
  <c r="AX13" i="12" a="1"/>
  <c r="AX13" i="12" s="1"/>
  <c r="BB20" i="12" a="1"/>
  <c r="BB20" i="12" s="1"/>
  <c r="BB18" i="12" a="1"/>
  <c r="BB18" i="12" s="1"/>
  <c r="AX18" i="12" a="1"/>
  <c r="AX18" i="12" s="1"/>
  <c r="AX16" i="12" a="1"/>
  <c r="AX16" i="12" s="1"/>
  <c r="BB12" i="12" a="1"/>
  <c r="BB12" i="12" s="1"/>
  <c r="AX12" i="12" a="1"/>
  <c r="AX12" i="12" s="1"/>
  <c r="BB11" i="12" a="1"/>
  <c r="BB11" i="12" s="1"/>
  <c r="AX20" i="12" a="1"/>
  <c r="AX20" i="12" s="1"/>
  <c r="BB19" i="12" a="1"/>
  <c r="BB19" i="12" s="1"/>
  <c r="BB9" i="12" a="1"/>
  <c r="BB9" i="12" s="1"/>
  <c r="AX11" i="12" a="1"/>
  <c r="AX11" i="12" s="1"/>
  <c r="AX14" i="12" a="1"/>
  <c r="AX14" i="12" s="1"/>
  <c r="BB17" i="12" a="1"/>
  <c r="BB17" i="12" s="1"/>
  <c r="AX10" i="12" a="1"/>
  <c r="AX10" i="12" s="1"/>
  <c r="AX9" i="12" a="1"/>
  <c r="AX9" i="12" s="1"/>
  <c r="BB13" i="12" a="1"/>
  <c r="BB13" i="12" s="1"/>
  <c r="BB16" i="12" a="1"/>
  <c r="BB16" i="12" s="1"/>
  <c r="BB14" i="12" a="1"/>
  <c r="BB14" i="12" s="1"/>
  <c r="BB20" i="24" a="1"/>
  <c r="BB20" i="24" s="1"/>
  <c r="BB18" i="24" a="1"/>
  <c r="BB18" i="24" s="1"/>
  <c r="BB16" i="24" a="1"/>
  <c r="BB16" i="24" s="1"/>
  <c r="AX18" i="24" a="1"/>
  <c r="AX18" i="24" s="1"/>
  <c r="BB12" i="24" a="1"/>
  <c r="BB12" i="24" s="1"/>
  <c r="BB19" i="24" a="1"/>
  <c r="BB19" i="24" s="1"/>
  <c r="AX21" i="24" a="1"/>
  <c r="AX21" i="24" s="1"/>
  <c r="AX19" i="24" a="1"/>
  <c r="AX19" i="24" s="1"/>
  <c r="AY19" i="24" s="1" a="1"/>
  <c r="AY19" i="24" s="1"/>
  <c r="AX13" i="24" a="1"/>
  <c r="AX13" i="24" s="1"/>
  <c r="BB9" i="24" a="1"/>
  <c r="BB9" i="24" s="1"/>
  <c r="AX11" i="24" a="1"/>
  <c r="AX11" i="24" s="1"/>
  <c r="AX14" i="24" a="1"/>
  <c r="AX14" i="24" s="1"/>
  <c r="AX10" i="24" a="1"/>
  <c r="AX10" i="24" s="1"/>
  <c r="AX15" i="24" a="1"/>
  <c r="AX15" i="24" s="1"/>
  <c r="AX16" i="24" a="1"/>
  <c r="AX16" i="24" s="1"/>
  <c r="AX17" i="24" a="1"/>
  <c r="AX17" i="24" s="1"/>
  <c r="BB11" i="24" a="1"/>
  <c r="BB11" i="24" s="1"/>
  <c r="AX20" i="24" a="1"/>
  <c r="AX20" i="24" s="1"/>
  <c r="AX12" i="24" a="1"/>
  <c r="AX12" i="24" s="1"/>
  <c r="BB13" i="24" a="1"/>
  <c r="BB13" i="24" s="1"/>
  <c r="BB17" i="24" a="1"/>
  <c r="BB17" i="24" s="1"/>
  <c r="BB14" i="24" a="1"/>
  <c r="BB14" i="24" s="1"/>
  <c r="BB15" i="24" a="1"/>
  <c r="BB15" i="24" s="1"/>
  <c r="AX9" i="24" a="1"/>
  <c r="AX9" i="24" s="1"/>
  <c r="BB10" i="24" a="1"/>
  <c r="BB10" i="24" s="1"/>
  <c r="BB20" i="28" a="1"/>
  <c r="BB20" i="28" s="1"/>
  <c r="BB16" i="28" a="1"/>
  <c r="BB16" i="28" s="1"/>
  <c r="BB18" i="28" a="1"/>
  <c r="BB18" i="28" s="1"/>
  <c r="AX17" i="28" a="1"/>
  <c r="AX17" i="28" s="1"/>
  <c r="AX11" i="28" a="1"/>
  <c r="AX11" i="28" s="1"/>
  <c r="AX9" i="28" a="1"/>
  <c r="AX9" i="28" s="1"/>
  <c r="AX20" i="28" a="1"/>
  <c r="AX20" i="28" s="1"/>
  <c r="AX12" i="28" a="1"/>
  <c r="AX12" i="28" s="1"/>
  <c r="AX18" i="28" a="1"/>
  <c r="AX18" i="28" s="1"/>
  <c r="BB9" i="28" a="1"/>
  <c r="BB9" i="28" s="1"/>
  <c r="BB17" i="28" a="1"/>
  <c r="BB17" i="28" s="1"/>
  <c r="AX10" i="28" a="1"/>
  <c r="AX10" i="28" s="1"/>
  <c r="AX13" i="28" a="1"/>
  <c r="AX13" i="28" s="1"/>
  <c r="BB11" i="28" a="1"/>
  <c r="BB11" i="28" s="1"/>
  <c r="BB19" i="28" a="1"/>
  <c r="BB19" i="28" s="1"/>
  <c r="AX16" i="28" a="1"/>
  <c r="AX16" i="28" s="1"/>
  <c r="BB10" i="28" a="1"/>
  <c r="BB10" i="28" s="1"/>
  <c r="AX15" i="28" a="1"/>
  <c r="AX15" i="28" s="1"/>
  <c r="AX21" i="28" a="1"/>
  <c r="AX21" i="28" s="1"/>
  <c r="BB14" i="28" a="1"/>
  <c r="BB14" i="28" s="1"/>
  <c r="AX14" i="28" a="1"/>
  <c r="AX14" i="28" s="1"/>
  <c r="BB12" i="28" a="1"/>
  <c r="BB12" i="28" s="1"/>
  <c r="AX19" i="28" a="1"/>
  <c r="AX19" i="28" s="1"/>
  <c r="AY19" i="28" s="1" a="1"/>
  <c r="AY19" i="28" s="1"/>
  <c r="BB15" i="28" a="1"/>
  <c r="BB15" i="28" s="1"/>
  <c r="BB13" i="28" a="1"/>
  <c r="BB13" i="28" s="1"/>
  <c r="AX21" i="5" a="1"/>
  <c r="AX21" i="5" s="1"/>
  <c r="AX14" i="5" a="1"/>
  <c r="AX14" i="5" s="1"/>
  <c r="AX12" i="5" a="1"/>
  <c r="AX12" i="5" s="1"/>
  <c r="AX13" i="5" a="1"/>
  <c r="AX13" i="5" s="1"/>
  <c r="BB10" i="5" a="1"/>
  <c r="BB10" i="5" s="1"/>
  <c r="BB15" i="5" a="1"/>
  <c r="BB15" i="5" s="1"/>
  <c r="AX10" i="5" a="1"/>
  <c r="AX10" i="5" s="1"/>
  <c r="BB13" i="5" a="1"/>
  <c r="BB13" i="5" s="1"/>
  <c r="AX9" i="5" a="1"/>
  <c r="AX9" i="5" s="1"/>
  <c r="BB14" i="5" a="1"/>
  <c r="BB14" i="5" s="1"/>
  <c r="BB11" i="5" a="1"/>
  <c r="BB11" i="5" s="1"/>
  <c r="BB18" i="5" a="1"/>
  <c r="BB18" i="5" s="1"/>
  <c r="AX11" i="5" a="1"/>
  <c r="AX11" i="5" s="1"/>
  <c r="BB20" i="5" a="1"/>
  <c r="BB20" i="5" s="1"/>
  <c r="BB12" i="5" a="1"/>
  <c r="BB12" i="5" s="1"/>
  <c r="AX15" i="5" a="1"/>
  <c r="AX15" i="5" s="1"/>
  <c r="AX19" i="5" a="1"/>
  <c r="AX19" i="5" s="1"/>
  <c r="AY19" i="5" s="1" a="1"/>
  <c r="AY19" i="5" s="1"/>
  <c r="BB9" i="5" a="1"/>
  <c r="BB9" i="5" s="1"/>
  <c r="AX16" i="5" a="1"/>
  <c r="AX16" i="5" s="1"/>
  <c r="BB16" i="5" a="1"/>
  <c r="BB16" i="5" s="1"/>
  <c r="BB19" i="5" a="1"/>
  <c r="BB19" i="5" s="1"/>
  <c r="AX18" i="5" a="1"/>
  <c r="AX18" i="5" s="1"/>
  <c r="AX17" i="5" a="1"/>
  <c r="AX17" i="5" s="1"/>
  <c r="AX20" i="5" a="1"/>
  <c r="AX20" i="5" s="1"/>
  <c r="BB17" i="5" a="1"/>
  <c r="BB17" i="5" s="1"/>
  <c r="AX19" i="25" a="1"/>
  <c r="AX19" i="25" s="1"/>
  <c r="AY19" i="25" s="1" a="1"/>
  <c r="AY19" i="25" s="1"/>
  <c r="AX11" i="25" a="1"/>
  <c r="AX11" i="25" s="1"/>
  <c r="AX17" i="25" a="1"/>
  <c r="AX17" i="25" s="1"/>
  <c r="AX21" i="25" a="1"/>
  <c r="AX21" i="25" s="1"/>
  <c r="AX9" i="25" a="1"/>
  <c r="AX9" i="25" s="1"/>
  <c r="AX10" i="25" a="1"/>
  <c r="AX10" i="25" s="1"/>
  <c r="BB9" i="25" a="1"/>
  <c r="BB9" i="25" s="1"/>
  <c r="BB16" i="25" a="1"/>
  <c r="BB16" i="25" s="1"/>
  <c r="AX15" i="25" a="1"/>
  <c r="AX15" i="25" s="1"/>
  <c r="AX12" i="25" a="1"/>
  <c r="AX12" i="25" s="1"/>
  <c r="BB15" i="25" a="1"/>
  <c r="BB15" i="25" s="1"/>
  <c r="BB10" i="25" a="1"/>
  <c r="BB10" i="25" s="1"/>
  <c r="BB14" i="25" a="1"/>
  <c r="BB14" i="25" s="1"/>
  <c r="BB18" i="25" a="1"/>
  <c r="BB18" i="25" s="1"/>
  <c r="AX18" i="25" a="1"/>
  <c r="AX18" i="25" s="1"/>
  <c r="BB11" i="25" a="1"/>
  <c r="BB11" i="25" s="1"/>
  <c r="BB17" i="25" a="1"/>
  <c r="BB17" i="25" s="1"/>
  <c r="BB20" i="25" a="1"/>
  <c r="BB20" i="25" s="1"/>
  <c r="AX13" i="25" a="1"/>
  <c r="AX13" i="25" s="1"/>
  <c r="AX20" i="25" a="1"/>
  <c r="AX20" i="25" s="1"/>
  <c r="BB13" i="25" a="1"/>
  <c r="BB13" i="25" s="1"/>
  <c r="BB19" i="25" a="1"/>
  <c r="BB19" i="25" s="1"/>
  <c r="BB12" i="25" a="1"/>
  <c r="BB12" i="25" s="1"/>
  <c r="AX16" i="25" a="1"/>
  <c r="AX16" i="25" s="1"/>
  <c r="AX14" i="25" a="1"/>
  <c r="AX14" i="25" s="1"/>
  <c r="BB18" i="10" a="1"/>
  <c r="BB18" i="10" s="1"/>
  <c r="AX18" i="10" a="1"/>
  <c r="AX18" i="10" s="1"/>
  <c r="BB12" i="10" a="1"/>
  <c r="BB12" i="10" s="1"/>
  <c r="AX16" i="10" a="1"/>
  <c r="AX16" i="10" s="1"/>
  <c r="BB15" i="10" a="1"/>
  <c r="BB15" i="10" s="1"/>
  <c r="AX15" i="10" a="1"/>
  <c r="AX15" i="10" s="1"/>
  <c r="AX9" i="10" a="1"/>
  <c r="AX9" i="10" s="1"/>
  <c r="BB17" i="10" a="1"/>
  <c r="BB17" i="10" s="1"/>
  <c r="BB13" i="10" a="1"/>
  <c r="BB13" i="10" s="1"/>
  <c r="AX12" i="10" a="1"/>
  <c r="AX12" i="10" s="1"/>
  <c r="BB9" i="10" a="1"/>
  <c r="BB9" i="10" s="1"/>
  <c r="AX13" i="10" a="1"/>
  <c r="AX13" i="10" s="1"/>
  <c r="AX10" i="10" a="1"/>
  <c r="AX10" i="10" s="1"/>
  <c r="BB14" i="10" a="1"/>
  <c r="BB14" i="10" s="1"/>
  <c r="BB11" i="10" a="1"/>
  <c r="BB11" i="10" s="1"/>
  <c r="AX20" i="10" a="1"/>
  <c r="AX20" i="10" s="1"/>
  <c r="AX11" i="10" a="1"/>
  <c r="AX11" i="10" s="1"/>
  <c r="BB10" i="10" a="1"/>
  <c r="BB10" i="10" s="1"/>
  <c r="BB20" i="10" a="1"/>
  <c r="BB20" i="10" s="1"/>
  <c r="BB19" i="10" a="1"/>
  <c r="BB19" i="10" s="1"/>
  <c r="BB16" i="10" a="1"/>
  <c r="BB16" i="10" s="1"/>
  <c r="AX21" i="10" a="1"/>
  <c r="AX21" i="10" s="1"/>
  <c r="AX14" i="10" a="1"/>
  <c r="AX14" i="10" s="1"/>
  <c r="AX19" i="10" a="1"/>
  <c r="AX19" i="10" s="1"/>
  <c r="AY19" i="10" s="1" a="1"/>
  <c r="AY19" i="10" s="1"/>
  <c r="AX17" i="10" a="1"/>
  <c r="AX17" i="10" s="1"/>
  <c r="BB11" i="22" a="1"/>
  <c r="BB11" i="22" s="1"/>
  <c r="BB9" i="22" a="1"/>
  <c r="BB9" i="22" s="1"/>
  <c r="BB13" i="22" a="1"/>
  <c r="BB13" i="22" s="1"/>
  <c r="AX16" i="22" a="1"/>
  <c r="AX16" i="22" s="1"/>
  <c r="AX13" i="22" a="1"/>
  <c r="AX13" i="22" s="1"/>
  <c r="AX20" i="22" a="1"/>
  <c r="AX20" i="22" s="1"/>
  <c r="AX21" i="22" a="1"/>
  <c r="AX21" i="22" s="1"/>
  <c r="AX12" i="22" a="1"/>
  <c r="AX12" i="22" s="1"/>
  <c r="AX19" i="22" a="1"/>
  <c r="AX19" i="22" s="1"/>
  <c r="AY19" i="22" s="1" a="1"/>
  <c r="AY19" i="22" s="1"/>
  <c r="BB12" i="22" a="1"/>
  <c r="BB12" i="22" s="1"/>
  <c r="AX10" i="22" a="1"/>
  <c r="AX10" i="22" s="1"/>
  <c r="AX11" i="22" a="1"/>
  <c r="AX11" i="22" s="1"/>
  <c r="BB14" i="22" a="1"/>
  <c r="BB14" i="22" s="1"/>
  <c r="AX17" i="22" a="1"/>
  <c r="AX17" i="22" s="1"/>
  <c r="BB20" i="22" a="1"/>
  <c r="BB20" i="22" s="1"/>
  <c r="AX9" i="22" a="1"/>
  <c r="AX9" i="22" s="1"/>
  <c r="AX18" i="22" a="1"/>
  <c r="AX18" i="22" s="1"/>
  <c r="BB10" i="22" a="1"/>
  <c r="BB10" i="22" s="1"/>
  <c r="BB17" i="22" a="1"/>
  <c r="BB17" i="22" s="1"/>
  <c r="AX14" i="22" a="1"/>
  <c r="AX14" i="22" s="1"/>
  <c r="BB18" i="22" a="1"/>
  <c r="BB18" i="22" s="1"/>
  <c r="AX15" i="22" a="1"/>
  <c r="AX15" i="22" s="1"/>
  <c r="BB16" i="22" a="1"/>
  <c r="BB16" i="22" s="1"/>
  <c r="BB15" i="22" a="1"/>
  <c r="BB15" i="22" s="1"/>
  <c r="BB19" i="22" a="1"/>
  <c r="BB19" i="22" s="1"/>
  <c r="AY21" i="6" a="1"/>
  <c r="AY21" i="6" s="1"/>
  <c r="AY9" i="6" a="1"/>
  <c r="AY9" i="6" s="1"/>
  <c r="AY15" i="6" a="1"/>
  <c r="AY15" i="6" s="1"/>
  <c r="AY16" i="6" a="1"/>
  <c r="AY16" i="6" s="1"/>
  <c r="AY11" i="6" a="1"/>
  <c r="AY11" i="6" s="1"/>
  <c r="AY12" i="6" a="1"/>
  <c r="AY12" i="6" s="1"/>
  <c r="AY20" i="6" a="1"/>
  <c r="AY20" i="6" s="1"/>
  <c r="AY14" i="6" a="1"/>
  <c r="AY14" i="6" s="1"/>
  <c r="AY10" i="6" a="1"/>
  <c r="AY10" i="6" s="1"/>
  <c r="AY18" i="6" a="1"/>
  <c r="AY18" i="6" s="1"/>
  <c r="AY13" i="6" a="1"/>
  <c r="AY13" i="6" s="1"/>
  <c r="BC15" i="6" a="1"/>
  <c r="BC15" i="6" s="1"/>
  <c r="BC20" i="6" a="1"/>
  <c r="BC20" i="6" s="1"/>
  <c r="AY19" i="6" a="1"/>
  <c r="AY19" i="6" s="1"/>
  <c r="AZ19" i="6" s="1" a="1"/>
  <c r="AZ19" i="6" s="1"/>
  <c r="BC12" i="6" a="1"/>
  <c r="BC12" i="6" s="1"/>
  <c r="BC11" i="6" a="1"/>
  <c r="BC11" i="6" s="1"/>
  <c r="BC17" i="6" a="1"/>
  <c r="BC17" i="6" s="1"/>
  <c r="BC16" i="6" a="1"/>
  <c r="BC16" i="6" s="1"/>
  <c r="BC14" i="6" a="1"/>
  <c r="BC14" i="6" s="1"/>
  <c r="BC18" i="6" a="1"/>
  <c r="BC18" i="6" s="1"/>
  <c r="AY17" i="6" a="1"/>
  <c r="AY17" i="6" s="1"/>
  <c r="BC13" i="6" a="1"/>
  <c r="BC13" i="6" s="1"/>
  <c r="BC10" i="6" a="1"/>
  <c r="BC10" i="6" s="1"/>
  <c r="BC9" i="6" a="1"/>
  <c r="BC9" i="6" s="1"/>
  <c r="BC19" i="6" a="1"/>
  <c r="BC19" i="6" s="1"/>
  <c r="BB20" i="30" a="1"/>
  <c r="BB20" i="30" s="1"/>
  <c r="AX11" i="30" a="1"/>
  <c r="AX11" i="30" s="1"/>
  <c r="AX9" i="30" a="1"/>
  <c r="AX9" i="30" s="1"/>
  <c r="AX20" i="30" a="1"/>
  <c r="AX20" i="30" s="1"/>
  <c r="AX15" i="30" a="1"/>
  <c r="AX15" i="30" s="1"/>
  <c r="AX18" i="30" a="1"/>
  <c r="AX18" i="30" s="1"/>
  <c r="AX14" i="30" a="1"/>
  <c r="AX14" i="30" s="1"/>
  <c r="AX12" i="30" a="1"/>
  <c r="AX12" i="30" s="1"/>
  <c r="AX16" i="30" a="1"/>
  <c r="AX16" i="30" s="1"/>
  <c r="AX10" i="30" a="1"/>
  <c r="AX10" i="30" s="1"/>
  <c r="BB18" i="30" a="1"/>
  <c r="BB18" i="30" s="1"/>
  <c r="AX13" i="30" a="1"/>
  <c r="AX13" i="30" s="1"/>
  <c r="BB17" i="30" a="1"/>
  <c r="BB17" i="30" s="1"/>
  <c r="BB10" i="30" a="1"/>
  <c r="BB10" i="30" s="1"/>
  <c r="BB14" i="30" a="1"/>
  <c r="BB14" i="30" s="1"/>
  <c r="BB12" i="30" a="1"/>
  <c r="BB12" i="30" s="1"/>
  <c r="BB19" i="30" a="1"/>
  <c r="BB19" i="30" s="1"/>
  <c r="AX21" i="30" a="1"/>
  <c r="AX21" i="30" s="1"/>
  <c r="BB15" i="30" a="1"/>
  <c r="BB15" i="30" s="1"/>
  <c r="BB13" i="30" a="1"/>
  <c r="BB13" i="30" s="1"/>
  <c r="BB9" i="30" a="1"/>
  <c r="BB9" i="30" s="1"/>
  <c r="BB11" i="30" a="1"/>
  <c r="BB11" i="30" s="1"/>
  <c r="AX19" i="30" a="1"/>
  <c r="AX19" i="30" s="1"/>
  <c r="AY19" i="30" s="1" a="1"/>
  <c r="AY19" i="30" s="1"/>
  <c r="AX17" i="30" a="1"/>
  <c r="AX17" i="30" s="1"/>
  <c r="BB16" i="30" a="1"/>
  <c r="BB16" i="30" s="1"/>
  <c r="BB18" i="13" a="1"/>
  <c r="BB18" i="13" s="1"/>
  <c r="BB10" i="13" a="1"/>
  <c r="BB10" i="13" s="1"/>
  <c r="BB15" i="13" a="1"/>
  <c r="BB15" i="13" s="1"/>
  <c r="AX15" i="13" a="1"/>
  <c r="AX15" i="13" s="1"/>
  <c r="BB11" i="13" a="1"/>
  <c r="BB11" i="13" s="1"/>
  <c r="BB20" i="13" a="1"/>
  <c r="BB20" i="13" s="1"/>
  <c r="AX9" i="13" a="1"/>
  <c r="AX9" i="13" s="1"/>
  <c r="AX10" i="13" a="1"/>
  <c r="AX10" i="13" s="1"/>
  <c r="AX16" i="13" a="1"/>
  <c r="AX16" i="13" s="1"/>
  <c r="BB16" i="13" a="1"/>
  <c r="BB16" i="13" s="1"/>
  <c r="BB13" i="13" a="1"/>
  <c r="BB13" i="13" s="1"/>
  <c r="BB14" i="13" a="1"/>
  <c r="BB14" i="13" s="1"/>
  <c r="BB17" i="13" a="1"/>
  <c r="BB17" i="13" s="1"/>
  <c r="BB12" i="13" a="1"/>
  <c r="BB12" i="13" s="1"/>
  <c r="AX21" i="13" a="1"/>
  <c r="AX21" i="13" s="1"/>
  <c r="AX19" i="13" a="1"/>
  <c r="AX19" i="13" s="1"/>
  <c r="AY19" i="13" s="1" a="1"/>
  <c r="AY19" i="13" s="1"/>
  <c r="AX20" i="13" a="1"/>
  <c r="AX20" i="13" s="1"/>
  <c r="AX17" i="13" a="1"/>
  <c r="AX17" i="13" s="1"/>
  <c r="AX13" i="13" a="1"/>
  <c r="AX13" i="13" s="1"/>
  <c r="AX14" i="13" a="1"/>
  <c r="AX14" i="13" s="1"/>
  <c r="BB19" i="13" a="1"/>
  <c r="BB19" i="13" s="1"/>
  <c r="AX11" i="13" a="1"/>
  <c r="AX11" i="13" s="1"/>
  <c r="AX12" i="13" a="1"/>
  <c r="AX12" i="13" s="1"/>
  <c r="AX18" i="13" a="1"/>
  <c r="AX18" i="13" s="1"/>
  <c r="BB9" i="13" a="1"/>
  <c r="BB9" i="13" s="1"/>
  <c r="BB14" i="14" a="1"/>
  <c r="BB14" i="14" s="1"/>
  <c r="BB12" i="14" a="1"/>
  <c r="BB12" i="14" s="1"/>
  <c r="AX16" i="14" a="1"/>
  <c r="AX16" i="14" s="1"/>
  <c r="BB10" i="14" a="1"/>
  <c r="BB10" i="14" s="1"/>
  <c r="AX17" i="14" a="1"/>
  <c r="AX17" i="14" s="1"/>
  <c r="BB13" i="14" a="1"/>
  <c r="BB13" i="14" s="1"/>
  <c r="BB11" i="14" a="1"/>
  <c r="BB11" i="14" s="1"/>
  <c r="AX11" i="14" a="1"/>
  <c r="AX11" i="14" s="1"/>
  <c r="AX14" i="14" a="1"/>
  <c r="AX14" i="14" s="1"/>
  <c r="AX21" i="14" a="1"/>
  <c r="AX21" i="14" s="1"/>
  <c r="BB20" i="14" a="1"/>
  <c r="BB20" i="14" s="1"/>
  <c r="AX15" i="14" a="1"/>
  <c r="AX15" i="14" s="1"/>
  <c r="BB9" i="14" a="1"/>
  <c r="BB9" i="14" s="1"/>
  <c r="AX18" i="14" a="1"/>
  <c r="AX18" i="14" s="1"/>
  <c r="BB16" i="14" a="1"/>
  <c r="BB16" i="14" s="1"/>
  <c r="AX19" i="14" a="1"/>
  <c r="AX19" i="14" s="1"/>
  <c r="AY19" i="14" s="1" a="1"/>
  <c r="AY19" i="14" s="1"/>
  <c r="AX20" i="14" a="1"/>
  <c r="AX20" i="14" s="1"/>
  <c r="BB19" i="14" a="1"/>
  <c r="BB19" i="14" s="1"/>
  <c r="BB15" i="14" a="1"/>
  <c r="BB15" i="14" s="1"/>
  <c r="AX12" i="14" a="1"/>
  <c r="AX12" i="14" s="1"/>
  <c r="AX9" i="14" a="1"/>
  <c r="AX9" i="14" s="1"/>
  <c r="AX10" i="14" a="1"/>
  <c r="AX10" i="14" s="1"/>
  <c r="BB18" i="14" a="1"/>
  <c r="BB18" i="14" s="1"/>
  <c r="AX13" i="14" a="1"/>
  <c r="AX13" i="14" s="1"/>
  <c r="BB17" i="14" a="1"/>
  <c r="BB17" i="14" s="1"/>
  <c r="AX17" i="11" a="1"/>
  <c r="AX17" i="11" s="1"/>
  <c r="AX12" i="11" a="1"/>
  <c r="AX12" i="11" s="1"/>
  <c r="BB17" i="11" a="1"/>
  <c r="BB17" i="11" s="1"/>
  <c r="BB20" i="11" a="1"/>
  <c r="BB20" i="11" s="1"/>
  <c r="AX20" i="11" a="1"/>
  <c r="AX20" i="11" s="1"/>
  <c r="BB15" i="11" a="1"/>
  <c r="BB15" i="11" s="1"/>
  <c r="BB10" i="11" a="1"/>
  <c r="BB10" i="11" s="1"/>
  <c r="AX15" i="11" a="1"/>
  <c r="AX15" i="11" s="1"/>
  <c r="AX10" i="11" a="1"/>
  <c r="AX10" i="11" s="1"/>
  <c r="BB18" i="11" a="1"/>
  <c r="BB18" i="11" s="1"/>
  <c r="BB13" i="11" a="1"/>
  <c r="BB13" i="11" s="1"/>
  <c r="AX18" i="11" a="1"/>
  <c r="AX18" i="11" s="1"/>
  <c r="AX13" i="11" a="1"/>
  <c r="AX13" i="11" s="1"/>
  <c r="BB16" i="11" a="1"/>
  <c r="BB16" i="11" s="1"/>
  <c r="BB12" i="11" a="1"/>
  <c r="BB12" i="11" s="1"/>
  <c r="AX21" i="11" a="1"/>
  <c r="AX21" i="11" s="1"/>
  <c r="AX16" i="11" a="1"/>
  <c r="AX16" i="11" s="1"/>
  <c r="BB11" i="11" a="1"/>
  <c r="BB11" i="11" s="1"/>
  <c r="BB19" i="11" a="1"/>
  <c r="BB19" i="11" s="1"/>
  <c r="AX11" i="11" a="1"/>
  <c r="AX11" i="11" s="1"/>
  <c r="BB14" i="11" a="1"/>
  <c r="BB14" i="11" s="1"/>
  <c r="AX9" i="11" a="1"/>
  <c r="AX9" i="11" s="1"/>
  <c r="AX19" i="11" a="1"/>
  <c r="AX19" i="11" s="1"/>
  <c r="AY19" i="11" s="1" a="1"/>
  <c r="AY19" i="11" s="1"/>
  <c r="AX14" i="11" a="1"/>
  <c r="AX14" i="11" s="1"/>
  <c r="BB9" i="11" a="1"/>
  <c r="BB9" i="11" s="1"/>
  <c r="AY13" i="18" a="1"/>
  <c r="AY13" i="18" s="1"/>
  <c r="AY19" i="18" a="1"/>
  <c r="AY19" i="18" s="1"/>
  <c r="AZ19" i="18" s="1" a="1"/>
  <c r="AZ19" i="18" s="1"/>
  <c r="AY21" i="18" a="1"/>
  <c r="AY21" i="18" s="1"/>
  <c r="AY11" i="18" a="1"/>
  <c r="AY11" i="18" s="1"/>
  <c r="AY20" i="18" a="1"/>
  <c r="AY20" i="18" s="1"/>
  <c r="AY16" i="18" a="1"/>
  <c r="AY16" i="18" s="1"/>
  <c r="BC9" i="18" a="1"/>
  <c r="BC9" i="18" s="1"/>
  <c r="BC10" i="18" a="1"/>
  <c r="BC10" i="18" s="1"/>
  <c r="AY12" i="18" a="1"/>
  <c r="AY12" i="18" s="1"/>
  <c r="AY10" i="18" a="1"/>
  <c r="AY10" i="18" s="1"/>
  <c r="AY17" i="18" a="1"/>
  <c r="AY17" i="18" s="1"/>
  <c r="AY18" i="18" a="1"/>
  <c r="AY18" i="18" s="1"/>
  <c r="AY9" i="18" a="1"/>
  <c r="AY9" i="18" s="1"/>
  <c r="AY14" i="18" a="1"/>
  <c r="AY14" i="18" s="1"/>
  <c r="BC18" i="18" a="1"/>
  <c r="BC18" i="18" s="1"/>
  <c r="BC16" i="18" a="1"/>
  <c r="BC16" i="18" s="1"/>
  <c r="BC17" i="18" a="1"/>
  <c r="BC17" i="18" s="1"/>
  <c r="BC20" i="18" a="1"/>
  <c r="BC20" i="18" s="1"/>
  <c r="BC11" i="18" a="1"/>
  <c r="BC11" i="18" s="1"/>
  <c r="BC13" i="18" a="1"/>
  <c r="BC13" i="18" s="1"/>
  <c r="BC19" i="18" a="1"/>
  <c r="BC19" i="18" s="1"/>
  <c r="BC15" i="18" a="1"/>
  <c r="BC15" i="18" s="1"/>
  <c r="BC12" i="18" a="1"/>
  <c r="BC12" i="18" s="1"/>
  <c r="BC14" i="18" a="1"/>
  <c r="BC14" i="18" s="1"/>
  <c r="AY15" i="18" a="1"/>
  <c r="AY15" i="18" s="1"/>
  <c r="AX14" i="8" a="1"/>
  <c r="AX14" i="8" s="1"/>
  <c r="AX10" i="8" a="1"/>
  <c r="AX10" i="8" s="1"/>
  <c r="AX18" i="8" a="1"/>
  <c r="AX18" i="8" s="1"/>
  <c r="BB10" i="8" a="1"/>
  <c r="BB10" i="8" s="1"/>
  <c r="AX20" i="8" a="1"/>
  <c r="AX20" i="8" s="1"/>
  <c r="BB15" i="8" a="1"/>
  <c r="BB15" i="8" s="1"/>
  <c r="BB11" i="8" a="1"/>
  <c r="BB11" i="8" s="1"/>
  <c r="AX16" i="8" a="1"/>
  <c r="AX16" i="8" s="1"/>
  <c r="AX17" i="8" a="1"/>
  <c r="AX17" i="8" s="1"/>
  <c r="AX15" i="8" a="1"/>
  <c r="AX15" i="8" s="1"/>
  <c r="AX11" i="8" a="1"/>
  <c r="AX11" i="8" s="1"/>
  <c r="BB12" i="8" a="1"/>
  <c r="BB12" i="8" s="1"/>
  <c r="AX19" i="8" a="1"/>
  <c r="AX19" i="8" s="1"/>
  <c r="AY19" i="8" s="1" a="1"/>
  <c r="AY19" i="8" s="1"/>
  <c r="BB18" i="8" a="1"/>
  <c r="BB18" i="8" s="1"/>
  <c r="AX13" i="8" a="1"/>
  <c r="AX13" i="8" s="1"/>
  <c r="AX12" i="8" a="1"/>
  <c r="AX12" i="8" s="1"/>
  <c r="BB14" i="8" a="1"/>
  <c r="BB14" i="8" s="1"/>
  <c r="BB16" i="8" a="1"/>
  <c r="BB16" i="8" s="1"/>
  <c r="BB9" i="8" a="1"/>
  <c r="BB9" i="8" s="1"/>
  <c r="BB13" i="8" a="1"/>
  <c r="BB13" i="8" s="1"/>
  <c r="BB20" i="8" a="1"/>
  <c r="BB20" i="8" s="1"/>
  <c r="AX21" i="8" a="1"/>
  <c r="AX21" i="8" s="1"/>
  <c r="BB19" i="8" a="1"/>
  <c r="BB19" i="8" s="1"/>
  <c r="BB17" i="8" a="1"/>
  <c r="BB17" i="8" s="1"/>
  <c r="AX16" i="19" a="1"/>
  <c r="AX16" i="19" s="1"/>
  <c r="AX19" i="19" a="1"/>
  <c r="AX19" i="19" s="1"/>
  <c r="AY19" i="19" s="1" a="1"/>
  <c r="AY19" i="19" s="1"/>
  <c r="AX12" i="19" a="1"/>
  <c r="AX12" i="19" s="1"/>
  <c r="AX21" i="19" a="1"/>
  <c r="AX21" i="19" s="1"/>
  <c r="AX14" i="19" a="1"/>
  <c r="AX14" i="19" s="1"/>
  <c r="AX9" i="19" a="1"/>
  <c r="AX9" i="19" s="1"/>
  <c r="AE23" i="19" s="1"/>
  <c r="AX17" i="19" a="1"/>
  <c r="AX17" i="19" s="1"/>
  <c r="AX18" i="19" a="1"/>
  <c r="AX18" i="19" s="1"/>
  <c r="AX20" i="19" a="1"/>
  <c r="AX20" i="19" s="1"/>
  <c r="BB13" i="19" a="1"/>
  <c r="BB13" i="19" s="1"/>
  <c r="BB19" i="19" a="1"/>
  <c r="BB19" i="19" s="1"/>
  <c r="AX13" i="19" a="1"/>
  <c r="AX13" i="19" s="1"/>
  <c r="BB9" i="19" a="1"/>
  <c r="BB9" i="19" s="1"/>
  <c r="AX10" i="19" a="1"/>
  <c r="AX10" i="19" s="1"/>
  <c r="BB20" i="19" a="1"/>
  <c r="BB20" i="19" s="1"/>
  <c r="AX15" i="19" a="1"/>
  <c r="AX15" i="19" s="1"/>
  <c r="BB17" i="19" a="1"/>
  <c r="BB17" i="19" s="1"/>
  <c r="BB15" i="19" a="1"/>
  <c r="BB15" i="19" s="1"/>
  <c r="BB16" i="19" a="1"/>
  <c r="BB16" i="19" s="1"/>
  <c r="AX11" i="19" a="1"/>
  <c r="AX11" i="19" s="1"/>
  <c r="BB12" i="19" a="1"/>
  <c r="BB12" i="19" s="1"/>
  <c r="BB18" i="19" a="1"/>
  <c r="BB18" i="19" s="1"/>
  <c r="BB14" i="19" a="1"/>
  <c r="BB14" i="19" s="1"/>
  <c r="BB11" i="19" a="1"/>
  <c r="BB11" i="19" s="1"/>
  <c r="BB10" i="19" a="1"/>
  <c r="BB10" i="19" s="1"/>
  <c r="BB15" i="31" a="1"/>
  <c r="BB15" i="31" s="1"/>
  <c r="BB11" i="31" a="1"/>
  <c r="BB11" i="31" s="1"/>
  <c r="AX21" i="31" a="1"/>
  <c r="AX21" i="31" s="1"/>
  <c r="BB13" i="31" a="1"/>
  <c r="BB13" i="31" s="1"/>
  <c r="AX11" i="31" a="1"/>
  <c r="AX11" i="31" s="1"/>
  <c r="AX12" i="31" a="1"/>
  <c r="AX12" i="31" s="1"/>
  <c r="AX13" i="31" a="1"/>
  <c r="AX13" i="31" s="1"/>
  <c r="AX20" i="31" a="1"/>
  <c r="AX20" i="31" s="1"/>
  <c r="AX14" i="31" a="1"/>
  <c r="AX14" i="31" s="1"/>
  <c r="AX15" i="31" a="1"/>
  <c r="AX15" i="31" s="1"/>
  <c r="AX16" i="31" a="1"/>
  <c r="AX16" i="31" s="1"/>
  <c r="AX17" i="31" a="1"/>
  <c r="AX17" i="31" s="1"/>
  <c r="AX18" i="31" a="1"/>
  <c r="AX18" i="31" s="1"/>
  <c r="AX9" i="31" a="1"/>
  <c r="AX9" i="31" s="1"/>
  <c r="AX19" i="31" a="1"/>
  <c r="AX19" i="31" s="1"/>
  <c r="AY19" i="31" s="1" a="1"/>
  <c r="AY19" i="31" s="1"/>
  <c r="BB17" i="31" a="1"/>
  <c r="BB17" i="31" s="1"/>
  <c r="BB20" i="31" a="1"/>
  <c r="BB20" i="31" s="1"/>
  <c r="BB18" i="31" a="1"/>
  <c r="BB18" i="31" s="1"/>
  <c r="BB19" i="31" a="1"/>
  <c r="BB19" i="31" s="1"/>
  <c r="BB16" i="31" a="1"/>
  <c r="BB16" i="31" s="1"/>
  <c r="BB10" i="31" a="1"/>
  <c r="BB10" i="31" s="1"/>
  <c r="BB14" i="31" a="1"/>
  <c r="BB14" i="31" s="1"/>
  <c r="BB9" i="31" a="1"/>
  <c r="BB9" i="31" s="1"/>
  <c r="AX10" i="31" a="1"/>
  <c r="AX10" i="31" s="1"/>
  <c r="BB12" i="31" a="1"/>
  <c r="BB12" i="31" s="1"/>
  <c r="AX17" i="4" a="1"/>
  <c r="AX17" i="4" s="1"/>
  <c r="AX14" i="4" a="1"/>
  <c r="AX14" i="4" s="1"/>
  <c r="AX15" i="4" a="1"/>
  <c r="AX15" i="4" s="1"/>
  <c r="AX21" i="4" a="1"/>
  <c r="AX21" i="4" s="1"/>
  <c r="AX9" i="4" a="1"/>
  <c r="AX9" i="4" s="1"/>
  <c r="Q10" i="4" s="1"/>
  <c r="AX12" i="4" a="1"/>
  <c r="AX12" i="4" s="1"/>
  <c r="AX18" i="4" a="1"/>
  <c r="AX18" i="4" s="1"/>
  <c r="AX20" i="4" a="1"/>
  <c r="AX20" i="4" s="1"/>
  <c r="AX19" i="4" a="1"/>
  <c r="AX19" i="4" s="1"/>
  <c r="AY19" i="4" s="1" a="1"/>
  <c r="AY19" i="4" s="1"/>
  <c r="AX10" i="4" a="1"/>
  <c r="AX10" i="4" s="1"/>
  <c r="AX16" i="4" a="1"/>
  <c r="AX16" i="4" s="1"/>
  <c r="AX11" i="4" a="1"/>
  <c r="AX11" i="4" s="1"/>
  <c r="AX13" i="4" a="1"/>
  <c r="AX13" i="4" s="1"/>
  <c r="BB16" i="4" a="1"/>
  <c r="BB16" i="4" s="1"/>
  <c r="BB20" i="4" a="1"/>
  <c r="BB20" i="4" s="1"/>
  <c r="BB12" i="4" a="1"/>
  <c r="BB12" i="4" s="1"/>
  <c r="BB17" i="4" a="1"/>
  <c r="BB17" i="4" s="1"/>
  <c r="BB14" i="4" a="1"/>
  <c r="BB14" i="4" s="1"/>
  <c r="BB18" i="4" a="1"/>
  <c r="BB18" i="4" s="1"/>
  <c r="BB13" i="4" a="1"/>
  <c r="BB13" i="4" s="1"/>
  <c r="BB11" i="4" a="1"/>
  <c r="BB11" i="4" s="1"/>
  <c r="BB19" i="4" a="1"/>
  <c r="BB19" i="4" s="1"/>
  <c r="BB9" i="4" a="1"/>
  <c r="BB9" i="4" s="1"/>
  <c r="BB15" i="4" a="1"/>
  <c r="BB15" i="4" s="1"/>
  <c r="BB10" i="4" a="1"/>
  <c r="BB10" i="4" s="1"/>
  <c r="J26" i="33" l="1"/>
  <c r="X25" i="28"/>
  <c r="X25" i="26"/>
  <c r="C27" i="8"/>
  <c r="Q11" i="4"/>
  <c r="U24" i="8"/>
  <c r="C33" i="6"/>
  <c r="J20" i="6"/>
  <c r="C21" i="6"/>
  <c r="Y32" i="6"/>
  <c r="AF20" i="6"/>
  <c r="V33" i="6"/>
  <c r="V21" i="6"/>
  <c r="U33" i="6"/>
  <c r="U21" i="6"/>
  <c r="R33" i="6"/>
  <c r="R21" i="6"/>
  <c r="O33" i="6"/>
  <c r="O21" i="6"/>
  <c r="K33" i="6"/>
  <c r="K21" i="6"/>
  <c r="S33" i="6"/>
  <c r="O22" i="6"/>
  <c r="J11" i="6"/>
  <c r="Y18" i="6"/>
  <c r="K32" i="6"/>
  <c r="Y23" i="6"/>
  <c r="Y14" i="6"/>
  <c r="J31" i="6"/>
  <c r="K19" i="6"/>
  <c r="C32" i="6"/>
  <c r="J19" i="6"/>
  <c r="AF31" i="6"/>
  <c r="C20" i="6"/>
  <c r="X32" i="6"/>
  <c r="Y20" i="6"/>
  <c r="V32" i="6"/>
  <c r="X20" i="6"/>
  <c r="S32" i="6"/>
  <c r="U20" i="6"/>
  <c r="P32" i="6"/>
  <c r="R20" i="6"/>
  <c r="O32" i="6"/>
  <c r="P20" i="6"/>
  <c r="X30" i="6"/>
  <c r="O30" i="6"/>
  <c r="R29" i="6"/>
  <c r="P18" i="6"/>
  <c r="S31" i="6"/>
  <c r="R28" i="6"/>
  <c r="K30" i="6"/>
  <c r="J30" i="6"/>
  <c r="K18" i="6"/>
  <c r="C31" i="6"/>
  <c r="J18" i="6"/>
  <c r="Y31" i="6"/>
  <c r="X31" i="6"/>
  <c r="Y19" i="6"/>
  <c r="U31" i="6"/>
  <c r="V19" i="6"/>
  <c r="R31" i="6"/>
  <c r="S19" i="6"/>
  <c r="P31" i="6"/>
  <c r="C28" i="6"/>
  <c r="Y16" i="6"/>
  <c r="S27" i="6"/>
  <c r="V10" i="6"/>
  <c r="V15" i="6"/>
  <c r="X28" i="6"/>
  <c r="X14" i="6"/>
  <c r="O29" i="6"/>
  <c r="P17" i="6"/>
  <c r="K29" i="6"/>
  <c r="O17" i="6"/>
  <c r="J29" i="6"/>
  <c r="K17" i="6"/>
  <c r="AF30" i="6"/>
  <c r="C19" i="6"/>
  <c r="Y30" i="6"/>
  <c r="V30" i="6"/>
  <c r="X18" i="6"/>
  <c r="S30" i="6"/>
  <c r="R30" i="6"/>
  <c r="S18" i="6"/>
  <c r="K25" i="6"/>
  <c r="J14" i="6"/>
  <c r="X24" i="6"/>
  <c r="R32" i="6"/>
  <c r="AF23" i="6"/>
  <c r="C26" i="6"/>
  <c r="X25" i="6"/>
  <c r="P28" i="6"/>
  <c r="O28" i="6"/>
  <c r="P16" i="6"/>
  <c r="K28" i="6"/>
  <c r="O16" i="6"/>
  <c r="C30" i="6"/>
  <c r="J17" i="6"/>
  <c r="AF29" i="6"/>
  <c r="C18" i="6"/>
  <c r="X29" i="6"/>
  <c r="Y17" i="6"/>
  <c r="U29" i="6"/>
  <c r="V17" i="6"/>
  <c r="S29" i="6"/>
  <c r="U17" i="6"/>
  <c r="P11" i="6"/>
  <c r="C22" i="6"/>
  <c r="V29" i="6"/>
  <c r="J21" i="6"/>
  <c r="K10" i="6"/>
  <c r="K23" i="6"/>
  <c r="V25" i="6"/>
  <c r="R27" i="6"/>
  <c r="U15" i="6"/>
  <c r="P27" i="6"/>
  <c r="S15" i="6"/>
  <c r="O27" i="6"/>
  <c r="R15" i="6"/>
  <c r="J28" i="6"/>
  <c r="K16" i="6"/>
  <c r="C29" i="6"/>
  <c r="J16" i="6"/>
  <c r="Y28" i="6"/>
  <c r="AF16" i="6"/>
  <c r="V28" i="6"/>
  <c r="X16" i="6"/>
  <c r="U28" i="6"/>
  <c r="V16" i="6"/>
  <c r="X19" i="6"/>
  <c r="J33" i="6"/>
  <c r="AF26" i="6"/>
  <c r="V31" i="6"/>
  <c r="S20" i="6"/>
  <c r="C12" i="6"/>
  <c r="S26" i="6"/>
  <c r="V14" i="6"/>
  <c r="R26" i="6"/>
  <c r="U14" i="6"/>
  <c r="P26" i="6"/>
  <c r="S14" i="6"/>
  <c r="K27" i="6"/>
  <c r="P15" i="6"/>
  <c r="J27" i="6"/>
  <c r="O15" i="6"/>
  <c r="AF27" i="6"/>
  <c r="J15" i="6"/>
  <c r="X27" i="6"/>
  <c r="AF15" i="6"/>
  <c r="Y15" i="6"/>
  <c r="C17" i="6"/>
  <c r="P30" i="6"/>
  <c r="S16" i="6"/>
  <c r="J24" i="6"/>
  <c r="X15" i="6"/>
  <c r="AF28" i="6"/>
  <c r="X17" i="6"/>
  <c r="C23" i="6"/>
  <c r="U25" i="6"/>
  <c r="R25" i="6"/>
  <c r="O26" i="6"/>
  <c r="R14" i="6"/>
  <c r="K26" i="6"/>
  <c r="P14" i="6"/>
  <c r="C27" i="6"/>
  <c r="K14" i="6"/>
  <c r="Y26" i="6"/>
  <c r="C15" i="6"/>
  <c r="X26" i="6"/>
  <c r="AF14" i="6"/>
  <c r="O14" i="6"/>
  <c r="P21" i="6"/>
  <c r="C13" i="6"/>
  <c r="J26" i="6"/>
  <c r="AF22" i="6"/>
  <c r="V24" i="6"/>
  <c r="U24" i="6"/>
  <c r="P25" i="6"/>
  <c r="O25" i="6"/>
  <c r="J25" i="6"/>
  <c r="AF25" i="6"/>
  <c r="J13" i="6"/>
  <c r="Y25" i="6"/>
  <c r="C14" i="6"/>
  <c r="S11" i="6"/>
  <c r="Y24" i="6"/>
  <c r="U32" i="6"/>
  <c r="V18" i="6"/>
  <c r="O10" i="6"/>
  <c r="P23" i="6"/>
  <c r="O31" i="6"/>
  <c r="O20" i="6"/>
  <c r="X23" i="6"/>
  <c r="V23" i="6"/>
  <c r="Y11" i="6"/>
  <c r="U23" i="6"/>
  <c r="X11" i="6"/>
  <c r="R24" i="6"/>
  <c r="P24" i="6"/>
  <c r="K24" i="6"/>
  <c r="C25" i="6"/>
  <c r="K12" i="6"/>
  <c r="AF24" i="6"/>
  <c r="J12" i="6"/>
  <c r="P33" i="6"/>
  <c r="P19" i="6"/>
  <c r="Y29" i="6"/>
  <c r="C16" i="6"/>
  <c r="J32" i="6"/>
  <c r="V20" i="6"/>
  <c r="K20" i="6"/>
  <c r="Y22" i="6"/>
  <c r="J10" i="6"/>
  <c r="X22" i="6"/>
  <c r="C11" i="6"/>
  <c r="V22" i="6"/>
  <c r="S23" i="6"/>
  <c r="V11" i="6"/>
  <c r="O23" i="6"/>
  <c r="J23" i="6"/>
  <c r="O11" i="6"/>
  <c r="C24" i="6"/>
  <c r="K11" i="6"/>
  <c r="U30" i="6"/>
  <c r="U16" i="6"/>
  <c r="O24" i="6"/>
  <c r="K13" i="6"/>
  <c r="P29" i="6"/>
  <c r="AF17" i="6"/>
  <c r="K31" i="6"/>
  <c r="S17" i="6"/>
  <c r="AF21" i="6"/>
  <c r="K22" i="6"/>
  <c r="Y33" i="6"/>
  <c r="Y21" i="6"/>
  <c r="J22" i="6"/>
  <c r="X33" i="6"/>
  <c r="P10" i="6"/>
  <c r="X21" i="6"/>
  <c r="Y27" i="6"/>
  <c r="C10" i="6"/>
  <c r="U22" i="6"/>
  <c r="S21" i="6"/>
  <c r="Y10" i="6"/>
  <c r="S10" i="6"/>
  <c r="S22" i="6"/>
  <c r="X10" i="6"/>
  <c r="K15" i="6"/>
  <c r="P22" i="6"/>
  <c r="S28" i="6"/>
  <c r="Q33" i="13"/>
  <c r="Q21" i="13"/>
  <c r="X27" i="13"/>
  <c r="N33" i="13"/>
  <c r="N21" i="13"/>
  <c r="U27" i="13"/>
  <c r="I33" i="13"/>
  <c r="I21" i="13"/>
  <c r="U25" i="13"/>
  <c r="I31" i="13"/>
  <c r="J19" i="13"/>
  <c r="T24" i="13"/>
  <c r="O26" i="13"/>
  <c r="W32" i="13"/>
  <c r="X20" i="13"/>
  <c r="C29" i="13"/>
  <c r="X18" i="13"/>
  <c r="J14" i="13"/>
  <c r="Q10" i="13"/>
  <c r="I17" i="13"/>
  <c r="X13" i="13"/>
  <c r="C11" i="13"/>
  <c r="R32" i="13"/>
  <c r="T20" i="13"/>
  <c r="AE26" i="13"/>
  <c r="O32" i="13"/>
  <c r="Q20" i="13"/>
  <c r="W26" i="13"/>
  <c r="J32" i="13"/>
  <c r="N20" i="13"/>
  <c r="W24" i="13"/>
  <c r="J30" i="13"/>
  <c r="N18" i="13"/>
  <c r="U23" i="13"/>
  <c r="Q25" i="13"/>
  <c r="X31" i="13"/>
  <c r="C10" i="13"/>
  <c r="Q23" i="13"/>
  <c r="I16" i="13"/>
  <c r="O11" i="13"/>
  <c r="T32" i="13"/>
  <c r="W15" i="13"/>
  <c r="AE12" i="13"/>
  <c r="R15" i="13"/>
  <c r="T31" i="13"/>
  <c r="U19" i="13"/>
  <c r="C26" i="13"/>
  <c r="Q31" i="13"/>
  <c r="X25" i="13"/>
  <c r="N31" i="13"/>
  <c r="X23" i="13"/>
  <c r="N29" i="13"/>
  <c r="O17" i="13"/>
  <c r="W22" i="13"/>
  <c r="AE30" i="13"/>
  <c r="C19" i="13"/>
  <c r="X29" i="13"/>
  <c r="J15" i="13"/>
  <c r="O12" i="13"/>
  <c r="R10" i="13"/>
  <c r="R21" i="13"/>
  <c r="X14" i="13"/>
  <c r="C12" i="13"/>
  <c r="I10" i="13"/>
  <c r="U30" i="13"/>
  <c r="W18" i="13"/>
  <c r="I24" i="13"/>
  <c r="R30" i="13"/>
  <c r="AE24" i="13"/>
  <c r="O30" i="13"/>
  <c r="AE22" i="13"/>
  <c r="O28" i="13"/>
  <c r="X33" i="13"/>
  <c r="X21" i="13"/>
  <c r="T23" i="13"/>
  <c r="C30" i="13"/>
  <c r="AE29" i="13"/>
  <c r="N24" i="13"/>
  <c r="J16" i="13"/>
  <c r="N14" i="13"/>
  <c r="Q11" i="13"/>
  <c r="U32" i="13"/>
  <c r="N17" i="13"/>
  <c r="AE13" i="13"/>
  <c r="J10" i="13"/>
  <c r="X30" i="13"/>
  <c r="W29" i="13"/>
  <c r="X17" i="13"/>
  <c r="J23" i="13"/>
  <c r="T29" i="13"/>
  <c r="U17" i="13"/>
  <c r="C24" i="13"/>
  <c r="Q29" i="13"/>
  <c r="R17" i="13"/>
  <c r="C22" i="13"/>
  <c r="Q27" i="13"/>
  <c r="C21" i="13"/>
  <c r="U22" i="13"/>
  <c r="I28" i="13"/>
  <c r="O24" i="13"/>
  <c r="I19" i="13"/>
  <c r="N15" i="13"/>
  <c r="O13" i="13"/>
  <c r="T10" i="13"/>
  <c r="I27" i="13"/>
  <c r="X15" i="13"/>
  <c r="C13" i="13"/>
  <c r="U20" i="13"/>
  <c r="U14" i="13"/>
  <c r="X28" i="13"/>
  <c r="AE16" i="13"/>
  <c r="N22" i="13"/>
  <c r="U28" i="13"/>
  <c r="W16" i="13"/>
  <c r="I22" i="13"/>
  <c r="R28" i="13"/>
  <c r="I32" i="13"/>
  <c r="J20" i="13"/>
  <c r="R26" i="13"/>
  <c r="C32" i="13"/>
  <c r="W33" i="13"/>
  <c r="W21" i="13"/>
  <c r="J27" i="13"/>
  <c r="W19" i="13"/>
  <c r="O16" i="13"/>
  <c r="O14" i="13"/>
  <c r="R33" i="13"/>
  <c r="T21" i="13"/>
  <c r="AE14" i="13"/>
  <c r="I11" i="13"/>
  <c r="W12" i="13"/>
  <c r="W30" i="13"/>
  <c r="C27" i="13"/>
  <c r="Q32" i="13"/>
  <c r="R20" i="13"/>
  <c r="X26" i="13"/>
  <c r="N32" i="13"/>
  <c r="O20" i="13"/>
  <c r="U26" i="13"/>
  <c r="N30" i="13"/>
  <c r="U24" i="13"/>
  <c r="J29" i="13"/>
  <c r="AE31" i="13"/>
  <c r="C20" i="13"/>
  <c r="O25" i="13"/>
  <c r="Q15" i="13"/>
  <c r="Q14" i="13"/>
  <c r="R12" i="13"/>
  <c r="U10" i="13"/>
  <c r="Q22" i="13"/>
  <c r="AE15" i="13"/>
  <c r="I12" i="13"/>
  <c r="U31" i="13"/>
  <c r="N25" i="13"/>
  <c r="I25" i="13"/>
  <c r="R31" i="13"/>
  <c r="AE25" i="13"/>
  <c r="O31" i="13"/>
  <c r="W25" i="13"/>
  <c r="O29" i="13"/>
  <c r="Q17" i="13"/>
  <c r="W23" i="13"/>
  <c r="N28" i="13"/>
  <c r="C31" i="13"/>
  <c r="I18" i="13"/>
  <c r="Q24" i="13"/>
  <c r="R14" i="13"/>
  <c r="R13" i="13"/>
  <c r="T11" i="13"/>
  <c r="T33" i="13"/>
  <c r="C18" i="13"/>
  <c r="C15" i="13"/>
  <c r="J11" i="13"/>
  <c r="I26" i="13"/>
  <c r="C17" i="13"/>
  <c r="W13" i="13"/>
  <c r="J24" i="13"/>
  <c r="T30" i="13"/>
  <c r="U18" i="13"/>
  <c r="C25" i="13"/>
  <c r="Q30" i="13"/>
  <c r="X24" i="13"/>
  <c r="Q28" i="13"/>
  <c r="R16" i="13"/>
  <c r="X22" i="13"/>
  <c r="O27" i="13"/>
  <c r="I29" i="13"/>
  <c r="J17" i="13"/>
  <c r="R23" i="13"/>
  <c r="T13" i="13"/>
  <c r="T12" i="13"/>
  <c r="W10" i="13"/>
  <c r="R22" i="13"/>
  <c r="C16" i="13"/>
  <c r="I13" i="13"/>
  <c r="O10" i="13"/>
  <c r="W20" i="13"/>
  <c r="X11" i="13"/>
  <c r="J25" i="13"/>
  <c r="N23" i="13"/>
  <c r="U29" i="13"/>
  <c r="W17" i="13"/>
  <c r="I23" i="13"/>
  <c r="R29" i="13"/>
  <c r="T17" i="13"/>
  <c r="AE23" i="13"/>
  <c r="R27" i="13"/>
  <c r="AE21" i="13"/>
  <c r="Q26" i="13"/>
  <c r="J28" i="13"/>
  <c r="N16" i="13"/>
  <c r="T22" i="13"/>
  <c r="U12" i="13"/>
  <c r="U11" i="13"/>
  <c r="AE28" i="13"/>
  <c r="J18" i="13"/>
  <c r="I14" i="13"/>
  <c r="J12" i="13"/>
  <c r="W31" i="13"/>
  <c r="U15" i="13"/>
  <c r="T16" i="13"/>
  <c r="U13" i="13"/>
  <c r="O22" i="13"/>
  <c r="W28" i="13"/>
  <c r="X16" i="13"/>
  <c r="J22" i="13"/>
  <c r="T28" i="13"/>
  <c r="U16" i="13"/>
  <c r="C23" i="13"/>
  <c r="T26" i="13"/>
  <c r="C33" i="13"/>
  <c r="I20" i="13"/>
  <c r="N27" i="13"/>
  <c r="U33" i="13"/>
  <c r="U21" i="13"/>
  <c r="W11" i="13"/>
  <c r="X10" i="13"/>
  <c r="O23" i="13"/>
  <c r="I15" i="13"/>
  <c r="J13" i="13"/>
  <c r="N11" i="13"/>
  <c r="J26" i="13"/>
  <c r="W14" i="13"/>
  <c r="T15" i="13"/>
  <c r="X12" i="13"/>
  <c r="O21" i="13"/>
  <c r="Q16" i="13"/>
  <c r="W27" i="13"/>
  <c r="O15" i="13"/>
  <c r="J33" i="13"/>
  <c r="J21" i="13"/>
  <c r="R11" i="13"/>
  <c r="T27" i="13"/>
  <c r="C28" i="13"/>
  <c r="J31" i="13"/>
  <c r="AE17" i="13"/>
  <c r="N19" i="13"/>
  <c r="C14" i="13"/>
  <c r="T25" i="13"/>
  <c r="N10" i="13"/>
  <c r="I30" i="13"/>
  <c r="X19" i="13"/>
  <c r="X32" i="13"/>
  <c r="T14" i="13"/>
  <c r="AE27" i="13"/>
  <c r="AE20" i="13"/>
  <c r="O33" i="13"/>
  <c r="N26" i="13"/>
  <c r="I30" i="21"/>
  <c r="X32" i="21"/>
  <c r="AE20" i="21"/>
  <c r="T22" i="21"/>
  <c r="O24" i="21"/>
  <c r="AE28" i="21"/>
  <c r="U30" i="21"/>
  <c r="R31" i="21"/>
  <c r="O32" i="21"/>
  <c r="Q20" i="21"/>
  <c r="I22" i="21"/>
  <c r="AE23" i="21"/>
  <c r="O13" i="21"/>
  <c r="I14" i="21"/>
  <c r="C15" i="21"/>
  <c r="C14" i="21"/>
  <c r="X14" i="21"/>
  <c r="U15" i="21"/>
  <c r="Q16" i="21"/>
  <c r="N17" i="21"/>
  <c r="I18" i="21"/>
  <c r="I20" i="21"/>
  <c r="N29" i="21"/>
  <c r="J29" i="21"/>
  <c r="AE31" i="21"/>
  <c r="U33" i="21"/>
  <c r="U21" i="21"/>
  <c r="Q23" i="21"/>
  <c r="C28" i="21"/>
  <c r="W29" i="21"/>
  <c r="T30" i="21"/>
  <c r="Q31" i="21"/>
  <c r="J21" i="21"/>
  <c r="C23" i="21"/>
  <c r="Q12" i="21"/>
  <c r="O12" i="21"/>
  <c r="J13" i="21"/>
  <c r="I13" i="21"/>
  <c r="I12" i="21"/>
  <c r="AE13" i="21"/>
  <c r="W14" i="21"/>
  <c r="T15" i="21"/>
  <c r="O16" i="21"/>
  <c r="J17" i="21"/>
  <c r="N15" i="21"/>
  <c r="U11" i="21"/>
  <c r="N28" i="21"/>
  <c r="C31" i="21"/>
  <c r="W32" i="21"/>
  <c r="X20" i="21"/>
  <c r="R22" i="21"/>
  <c r="X28" i="21"/>
  <c r="U29" i="21"/>
  <c r="R30" i="21"/>
  <c r="N32" i="21"/>
  <c r="I33" i="21"/>
  <c r="I21" i="21"/>
  <c r="R11" i="21"/>
  <c r="J12" i="21"/>
  <c r="J11" i="21"/>
  <c r="C13" i="21"/>
  <c r="X13" i="21"/>
  <c r="U14" i="21"/>
  <c r="R15" i="21"/>
  <c r="N16" i="21"/>
  <c r="C20" i="21"/>
  <c r="Q28" i="21"/>
  <c r="O27" i="21"/>
  <c r="X31" i="21"/>
  <c r="T21" i="21"/>
  <c r="J25" i="21"/>
  <c r="AE27" i="21"/>
  <c r="W28" i="21"/>
  <c r="T29" i="21"/>
  <c r="O31" i="21"/>
  <c r="AE33" i="21"/>
  <c r="U10" i="21"/>
  <c r="T10" i="21"/>
  <c r="N11" i="21"/>
  <c r="I11" i="21"/>
  <c r="AE12" i="21"/>
  <c r="W13" i="21"/>
  <c r="T14" i="21"/>
  <c r="Q15" i="21"/>
  <c r="Q14" i="21"/>
  <c r="J16" i="21"/>
  <c r="J28" i="21"/>
  <c r="AE30" i="21"/>
  <c r="U32" i="21"/>
  <c r="W20" i="21"/>
  <c r="C27" i="21"/>
  <c r="X27" i="21"/>
  <c r="U28" i="21"/>
  <c r="Q30" i="21"/>
  <c r="R27" i="21"/>
  <c r="C33" i="21"/>
  <c r="R10" i="21"/>
  <c r="N10" i="21"/>
  <c r="C12" i="21"/>
  <c r="X12" i="21"/>
  <c r="U13" i="21"/>
  <c r="R14" i="21"/>
  <c r="O14" i="21"/>
  <c r="T11" i="21"/>
  <c r="N27" i="21"/>
  <c r="C30" i="21"/>
  <c r="W31" i="21"/>
  <c r="X19" i="21"/>
  <c r="O23" i="21"/>
  <c r="I25" i="21"/>
  <c r="AE26" i="21"/>
  <c r="W27" i="21"/>
  <c r="R29" i="21"/>
  <c r="O30" i="21"/>
  <c r="X22" i="21"/>
  <c r="C22" i="21"/>
  <c r="I32" i="21"/>
  <c r="R26" i="21"/>
  <c r="U25" i="21"/>
  <c r="I31" i="21"/>
  <c r="J10" i="21"/>
  <c r="W12" i="21"/>
  <c r="T13" i="21"/>
  <c r="C19" i="21"/>
  <c r="W23" i="21"/>
  <c r="O26" i="21"/>
  <c r="X30" i="21"/>
  <c r="AE18" i="21"/>
  <c r="Q22" i="21"/>
  <c r="J24" i="21"/>
  <c r="C26" i="21"/>
  <c r="X26" i="21"/>
  <c r="T28" i="21"/>
  <c r="Q29" i="21"/>
  <c r="AE19" i="21"/>
  <c r="W19" i="21"/>
  <c r="AE21" i="21"/>
  <c r="T26" i="21"/>
  <c r="R19" i="21"/>
  <c r="T20" i="21"/>
  <c r="I10" i="21"/>
  <c r="X11" i="21"/>
  <c r="U12" i="21"/>
  <c r="R13" i="21"/>
  <c r="AE22" i="21"/>
  <c r="U23" i="21"/>
  <c r="Q25" i="21"/>
  <c r="J27" i="21"/>
  <c r="AE29" i="21"/>
  <c r="R33" i="21"/>
  <c r="R21" i="21"/>
  <c r="N23" i="21"/>
  <c r="I24" i="21"/>
  <c r="U27" i="21"/>
  <c r="R28" i="21"/>
  <c r="X18" i="21"/>
  <c r="W18" i="21"/>
  <c r="U19" i="21"/>
  <c r="T19" i="21"/>
  <c r="R18" i="21"/>
  <c r="Q19" i="21"/>
  <c r="R20" i="21"/>
  <c r="W24" i="21"/>
  <c r="C11" i="21"/>
  <c r="W11" i="21"/>
  <c r="Q13" i="21"/>
  <c r="I16" i="21"/>
  <c r="W22" i="21"/>
  <c r="N26" i="21"/>
  <c r="C29" i="21"/>
  <c r="U20" i="21"/>
  <c r="O22" i="21"/>
  <c r="J23" i="21"/>
  <c r="C25" i="21"/>
  <c r="W26" i="21"/>
  <c r="T27" i="21"/>
  <c r="AE17" i="21"/>
  <c r="X17" i="21"/>
  <c r="U18" i="21"/>
  <c r="T18" i="21"/>
  <c r="T17" i="21"/>
  <c r="Q18" i="21"/>
  <c r="O19" i="21"/>
  <c r="O20" i="21"/>
  <c r="U24" i="21"/>
  <c r="C18" i="21"/>
  <c r="X10" i="21"/>
  <c r="X33" i="21"/>
  <c r="X21" i="21"/>
  <c r="T23" i="21"/>
  <c r="O25" i="21"/>
  <c r="U31" i="21"/>
  <c r="Q21" i="21"/>
  <c r="N22" i="21"/>
  <c r="I23" i="21"/>
  <c r="X25" i="21"/>
  <c r="U26" i="21"/>
  <c r="C17" i="21"/>
  <c r="AE16" i="21"/>
  <c r="W17" i="21"/>
  <c r="U17" i="21"/>
  <c r="U16" i="21"/>
  <c r="O18" i="21"/>
  <c r="N19" i="21"/>
  <c r="N20" i="21"/>
  <c r="X23" i="21"/>
  <c r="C10" i="21"/>
  <c r="T12" i="21"/>
  <c r="AE32" i="21"/>
  <c r="C21" i="21"/>
  <c r="U22" i="21"/>
  <c r="Q24" i="21"/>
  <c r="J26" i="21"/>
  <c r="W30" i="21"/>
  <c r="R32" i="21"/>
  <c r="O33" i="21"/>
  <c r="O21" i="21"/>
  <c r="J22" i="21"/>
  <c r="W25" i="21"/>
  <c r="J15" i="21"/>
  <c r="I15" i="21"/>
  <c r="X16" i="21"/>
  <c r="W16" i="21"/>
  <c r="X15" i="21"/>
  <c r="T16" i="21"/>
  <c r="Q17" i="21"/>
  <c r="N18" i="21"/>
  <c r="J19" i="21"/>
  <c r="J20" i="21"/>
  <c r="O15" i="21"/>
  <c r="I17" i="21"/>
  <c r="C32" i="21"/>
  <c r="W33" i="21"/>
  <c r="W21" i="21"/>
  <c r="R23" i="21"/>
  <c r="X29" i="21"/>
  <c r="T31" i="21"/>
  <c r="N33" i="21"/>
  <c r="N21" i="21"/>
  <c r="C24" i="21"/>
  <c r="X24" i="21"/>
  <c r="N14" i="21"/>
  <c r="J14" i="21"/>
  <c r="C16" i="21"/>
  <c r="AE15" i="21"/>
  <c r="AE14" i="21"/>
  <c r="W15" i="21"/>
  <c r="O17" i="21"/>
  <c r="J18" i="21"/>
  <c r="I19" i="21"/>
  <c r="W10" i="21"/>
  <c r="R12" i="21"/>
  <c r="R23" i="33"/>
  <c r="I17" i="33"/>
  <c r="I19" i="33"/>
  <c r="T24" i="33"/>
  <c r="W21" i="33"/>
  <c r="AE32" i="33"/>
  <c r="U14" i="33"/>
  <c r="R26" i="33"/>
  <c r="W14" i="33"/>
  <c r="T26" i="33"/>
  <c r="W15" i="33"/>
  <c r="T27" i="33"/>
  <c r="X15" i="33"/>
  <c r="U27" i="33"/>
  <c r="AE15" i="33"/>
  <c r="W27" i="33"/>
  <c r="C16" i="33"/>
  <c r="X27" i="33"/>
  <c r="I15" i="33"/>
  <c r="AE27" i="33"/>
  <c r="J15" i="33"/>
  <c r="C28" i="33"/>
  <c r="N15" i="33"/>
  <c r="I27" i="33"/>
  <c r="X30" i="8"/>
  <c r="N25" i="8"/>
  <c r="C19" i="8"/>
  <c r="I19" i="8"/>
  <c r="I16" i="8"/>
  <c r="R33" i="8"/>
  <c r="W31" i="8"/>
  <c r="C30" i="8"/>
  <c r="T24" i="8"/>
  <c r="AE19" i="8"/>
  <c r="C17" i="8"/>
  <c r="R15" i="8"/>
  <c r="T25" i="8"/>
  <c r="AE13" i="8"/>
  <c r="W25" i="8"/>
  <c r="C14" i="8"/>
  <c r="X25" i="8"/>
  <c r="J13" i="8"/>
  <c r="C26" i="8"/>
  <c r="I15" i="8"/>
  <c r="AE27" i="8"/>
  <c r="O13" i="26"/>
  <c r="I10" i="26"/>
  <c r="AE17" i="26"/>
  <c r="T20" i="26"/>
  <c r="N14" i="26"/>
  <c r="R31" i="26"/>
  <c r="R19" i="26"/>
  <c r="O22" i="26"/>
  <c r="R21" i="26"/>
  <c r="R33" i="26"/>
  <c r="R22" i="26"/>
  <c r="U21" i="26"/>
  <c r="U33" i="26"/>
  <c r="AE20" i="26"/>
  <c r="X32" i="26"/>
  <c r="C21" i="26"/>
  <c r="AE32" i="26"/>
  <c r="AE21" i="26"/>
  <c r="AE33" i="26"/>
  <c r="AE22" i="26"/>
  <c r="C13" i="26"/>
  <c r="X24" i="26"/>
  <c r="AE14" i="26"/>
  <c r="W26" i="26"/>
  <c r="AE16" i="28"/>
  <c r="N23" i="28"/>
  <c r="Q10" i="28"/>
  <c r="N21" i="28"/>
  <c r="I14" i="28"/>
  <c r="AE26" i="28"/>
  <c r="N14" i="28"/>
  <c r="I26" i="28"/>
  <c r="O14" i="28"/>
  <c r="J26" i="28"/>
  <c r="Q14" i="28"/>
  <c r="N26" i="28"/>
  <c r="T13" i="28"/>
  <c r="Q25" i="28"/>
  <c r="U13" i="28"/>
  <c r="R25" i="28"/>
  <c r="W13" i="28"/>
  <c r="T25" i="28"/>
  <c r="X13" i="28"/>
  <c r="U25" i="28"/>
  <c r="X14" i="28"/>
  <c r="U26" i="28"/>
  <c r="AE14" i="28"/>
  <c r="W26" i="28"/>
  <c r="R11" i="19"/>
  <c r="I15" i="19"/>
  <c r="C27" i="19"/>
  <c r="AE18" i="19"/>
  <c r="J31" i="19"/>
  <c r="T22" i="19"/>
  <c r="Q15" i="19"/>
  <c r="R15" i="19"/>
  <c r="O17" i="19"/>
  <c r="J20" i="19"/>
  <c r="J30" i="25"/>
  <c r="N18" i="25"/>
  <c r="I30" i="25"/>
  <c r="J18" i="25"/>
  <c r="C31" i="25"/>
  <c r="I18" i="25"/>
  <c r="X31" i="25"/>
  <c r="AE19" i="25"/>
  <c r="W31" i="25"/>
  <c r="X19" i="25"/>
  <c r="U31" i="25"/>
  <c r="W19" i="25"/>
  <c r="T31" i="25"/>
  <c r="U19" i="25"/>
  <c r="R31" i="25"/>
  <c r="T19" i="25"/>
  <c r="Q31" i="25"/>
  <c r="R19" i="25"/>
  <c r="O31" i="25"/>
  <c r="Q19" i="25"/>
  <c r="O19" i="25"/>
  <c r="O18" i="25"/>
  <c r="C12" i="25"/>
  <c r="J10" i="25"/>
  <c r="N29" i="25"/>
  <c r="O17" i="25"/>
  <c r="J29" i="25"/>
  <c r="N17" i="25"/>
  <c r="I29" i="25"/>
  <c r="J17" i="25"/>
  <c r="AE30" i="25"/>
  <c r="C19" i="25"/>
  <c r="X30" i="25"/>
  <c r="AE18" i="25"/>
  <c r="W30" i="25"/>
  <c r="X18" i="25"/>
  <c r="U30" i="25"/>
  <c r="W18" i="25"/>
  <c r="T30" i="25"/>
  <c r="U18" i="25"/>
  <c r="R30" i="25"/>
  <c r="T18" i="25"/>
  <c r="Q30" i="25"/>
  <c r="R18" i="25"/>
  <c r="W14" i="25"/>
  <c r="C13" i="25"/>
  <c r="R27" i="25"/>
  <c r="T26" i="25"/>
  <c r="O28" i="25"/>
  <c r="Q16" i="25"/>
  <c r="N28" i="25"/>
  <c r="O16" i="25"/>
  <c r="J28" i="25"/>
  <c r="N16" i="25"/>
  <c r="C30" i="25"/>
  <c r="I17" i="25"/>
  <c r="AE29" i="25"/>
  <c r="C18" i="25"/>
  <c r="X29" i="25"/>
  <c r="AE17" i="25"/>
  <c r="W29" i="25"/>
  <c r="X17" i="25"/>
  <c r="U29" i="25"/>
  <c r="W17" i="25"/>
  <c r="T29" i="25"/>
  <c r="U17" i="25"/>
  <c r="R29" i="25"/>
  <c r="T17" i="25"/>
  <c r="N30" i="25"/>
  <c r="R28" i="25"/>
  <c r="C22" i="25"/>
  <c r="U25" i="25"/>
  <c r="Q27" i="25"/>
  <c r="T15" i="25"/>
  <c r="O27" i="25"/>
  <c r="R15" i="25"/>
  <c r="N27" i="25"/>
  <c r="Q15" i="25"/>
  <c r="I28" i="25"/>
  <c r="J16" i="25"/>
  <c r="C29" i="25"/>
  <c r="I16" i="25"/>
  <c r="AE28" i="25"/>
  <c r="C17" i="25"/>
  <c r="X28" i="25"/>
  <c r="AE16" i="25"/>
  <c r="W28" i="25"/>
  <c r="X16" i="25"/>
  <c r="U28" i="25"/>
  <c r="W16" i="25"/>
  <c r="T28" i="25"/>
  <c r="U16" i="25"/>
  <c r="W24" i="25"/>
  <c r="C23" i="25"/>
  <c r="R16" i="25"/>
  <c r="J20" i="25"/>
  <c r="R26" i="25"/>
  <c r="U14" i="25"/>
  <c r="Q26" i="25"/>
  <c r="T14" i="25"/>
  <c r="O26" i="25"/>
  <c r="R14" i="25"/>
  <c r="J27" i="25"/>
  <c r="O15" i="25"/>
  <c r="I27" i="25"/>
  <c r="N15" i="25"/>
  <c r="C28" i="25"/>
  <c r="J15" i="25"/>
  <c r="AE27" i="25"/>
  <c r="I15" i="25"/>
  <c r="X27" i="25"/>
  <c r="C16" i="25"/>
  <c r="W27" i="25"/>
  <c r="AE15" i="25"/>
  <c r="U27" i="25"/>
  <c r="X15" i="25"/>
  <c r="N19" i="25"/>
  <c r="R17" i="25"/>
  <c r="I11" i="25"/>
  <c r="W15" i="25"/>
  <c r="T25" i="25"/>
  <c r="W13" i="25"/>
  <c r="R25" i="25"/>
  <c r="U13" i="25"/>
  <c r="Q25" i="25"/>
  <c r="T13" i="25"/>
  <c r="N26" i="25"/>
  <c r="Q14" i="25"/>
  <c r="J26" i="25"/>
  <c r="O14" i="25"/>
  <c r="I26" i="25"/>
  <c r="N14" i="25"/>
  <c r="C27" i="25"/>
  <c r="J14" i="25"/>
  <c r="AE26" i="25"/>
  <c r="I14" i="25"/>
  <c r="X26" i="25"/>
  <c r="C15" i="25"/>
  <c r="W26" i="25"/>
  <c r="AE14" i="25"/>
  <c r="AE13" i="25"/>
  <c r="AE12" i="25"/>
  <c r="J32" i="25"/>
  <c r="X14" i="25"/>
  <c r="U24" i="25"/>
  <c r="X12" i="25"/>
  <c r="T24" i="25"/>
  <c r="W12" i="25"/>
  <c r="R24" i="25"/>
  <c r="U12" i="25"/>
  <c r="O25" i="25"/>
  <c r="R13" i="25"/>
  <c r="N25" i="25"/>
  <c r="Q13" i="25"/>
  <c r="J25" i="25"/>
  <c r="O13" i="25"/>
  <c r="I25" i="25"/>
  <c r="N13" i="25"/>
  <c r="C26" i="25"/>
  <c r="J13" i="25"/>
  <c r="AE25" i="25"/>
  <c r="I13" i="25"/>
  <c r="X25" i="25"/>
  <c r="C14" i="25"/>
  <c r="Q29" i="25"/>
  <c r="Q28" i="25"/>
  <c r="U26" i="25"/>
  <c r="N10" i="25"/>
  <c r="W23" i="25"/>
  <c r="AE11" i="25"/>
  <c r="U23" i="25"/>
  <c r="X11" i="25"/>
  <c r="T23" i="25"/>
  <c r="W11" i="25"/>
  <c r="Q24" i="25"/>
  <c r="T12" i="25"/>
  <c r="O24" i="25"/>
  <c r="R12" i="25"/>
  <c r="N24" i="25"/>
  <c r="Q12" i="25"/>
  <c r="J24" i="25"/>
  <c r="O12" i="25"/>
  <c r="I24" i="25"/>
  <c r="N12" i="25"/>
  <c r="C25" i="25"/>
  <c r="J12" i="25"/>
  <c r="AE24" i="25"/>
  <c r="I12" i="25"/>
  <c r="AE23" i="25"/>
  <c r="AE22" i="25"/>
  <c r="I21" i="25"/>
  <c r="I32" i="25"/>
  <c r="X22" i="25"/>
  <c r="I10" i="25"/>
  <c r="W22" i="25"/>
  <c r="C11" i="25"/>
  <c r="U22" i="25"/>
  <c r="AE10" i="25"/>
  <c r="R23" i="25"/>
  <c r="U11" i="25"/>
  <c r="Q23" i="25"/>
  <c r="T11" i="25"/>
  <c r="O23" i="25"/>
  <c r="R11" i="25"/>
  <c r="N23" i="25"/>
  <c r="Q11" i="25"/>
  <c r="J23" i="25"/>
  <c r="O11" i="25"/>
  <c r="I23" i="25"/>
  <c r="N11" i="25"/>
  <c r="C24" i="25"/>
  <c r="J11" i="25"/>
  <c r="Q18" i="25"/>
  <c r="Q17" i="25"/>
  <c r="N31" i="25"/>
  <c r="J31" i="25"/>
  <c r="AE33" i="25"/>
  <c r="AE21" i="25"/>
  <c r="X33" i="25"/>
  <c r="X21" i="25"/>
  <c r="W33" i="25"/>
  <c r="W21" i="25"/>
  <c r="C10" i="25"/>
  <c r="T22" i="25"/>
  <c r="X10" i="25"/>
  <c r="R22" i="25"/>
  <c r="W10" i="25"/>
  <c r="Q22" i="25"/>
  <c r="U10" i="25"/>
  <c r="O22" i="25"/>
  <c r="T10" i="25"/>
  <c r="N22" i="25"/>
  <c r="R10" i="25"/>
  <c r="J22" i="25"/>
  <c r="Q10" i="25"/>
  <c r="I22" i="25"/>
  <c r="O10" i="25"/>
  <c r="X13" i="25"/>
  <c r="I33" i="25"/>
  <c r="W25" i="25"/>
  <c r="C33" i="25"/>
  <c r="I20" i="25"/>
  <c r="AE32" i="25"/>
  <c r="C21" i="25"/>
  <c r="X32" i="25"/>
  <c r="AE20" i="25"/>
  <c r="U33" i="25"/>
  <c r="U21" i="25"/>
  <c r="T33" i="25"/>
  <c r="T21" i="25"/>
  <c r="R33" i="25"/>
  <c r="R21" i="25"/>
  <c r="Q33" i="25"/>
  <c r="Q21" i="25"/>
  <c r="O33" i="25"/>
  <c r="O21" i="25"/>
  <c r="N33" i="25"/>
  <c r="N21" i="25"/>
  <c r="J33" i="25"/>
  <c r="J21" i="25"/>
  <c r="O30" i="25"/>
  <c r="O29" i="25"/>
  <c r="T27" i="25"/>
  <c r="N20" i="25"/>
  <c r="I31" i="25"/>
  <c r="J19" i="25"/>
  <c r="C32" i="25"/>
  <c r="I19" i="25"/>
  <c r="AE31" i="25"/>
  <c r="C20" i="25"/>
  <c r="W32" i="25"/>
  <c r="X20" i="25"/>
  <c r="U32" i="25"/>
  <c r="W20" i="25"/>
  <c r="T32" i="25"/>
  <c r="U20" i="25"/>
  <c r="R32" i="25"/>
  <c r="T20" i="25"/>
  <c r="Q32" i="25"/>
  <c r="R20" i="25"/>
  <c r="O32" i="25"/>
  <c r="Q20" i="25"/>
  <c r="N32" i="25"/>
  <c r="O20" i="25"/>
  <c r="X24" i="25"/>
  <c r="X23" i="25"/>
  <c r="T16" i="25"/>
  <c r="U15" i="25"/>
  <c r="I32" i="31"/>
  <c r="J20" i="31"/>
  <c r="C33" i="31"/>
  <c r="I20" i="31"/>
  <c r="X32" i="31"/>
  <c r="AE20" i="31"/>
  <c r="U33" i="31"/>
  <c r="U21" i="31"/>
  <c r="T33" i="31"/>
  <c r="T21" i="31"/>
  <c r="R33" i="31"/>
  <c r="R21" i="31"/>
  <c r="Q33" i="31"/>
  <c r="Q21" i="31"/>
  <c r="O33" i="31"/>
  <c r="O21" i="31"/>
  <c r="J33" i="31"/>
  <c r="Q29" i="31"/>
  <c r="N11" i="31"/>
  <c r="N21" i="31"/>
  <c r="W27" i="31"/>
  <c r="O27" i="31"/>
  <c r="R15" i="31"/>
  <c r="J22" i="31"/>
  <c r="J31" i="31"/>
  <c r="N19" i="31"/>
  <c r="I31" i="31"/>
  <c r="J19" i="31"/>
  <c r="AE31" i="31"/>
  <c r="C20" i="31"/>
  <c r="W32" i="31"/>
  <c r="X20" i="31"/>
  <c r="U32" i="31"/>
  <c r="W20" i="31"/>
  <c r="T32" i="31"/>
  <c r="U20" i="31"/>
  <c r="R32" i="31"/>
  <c r="T20" i="31"/>
  <c r="Q32" i="31"/>
  <c r="R20" i="31"/>
  <c r="N32" i="31"/>
  <c r="W25" i="31"/>
  <c r="O32" i="31"/>
  <c r="I19" i="31"/>
  <c r="I21" i="31"/>
  <c r="U23" i="31"/>
  <c r="W12" i="31"/>
  <c r="J12" i="31"/>
  <c r="N30" i="31"/>
  <c r="O18" i="31"/>
  <c r="J30" i="31"/>
  <c r="N18" i="31"/>
  <c r="C31" i="31"/>
  <c r="I18" i="31"/>
  <c r="X31" i="31"/>
  <c r="AE19" i="31"/>
  <c r="W31" i="31"/>
  <c r="X19" i="31"/>
  <c r="U31" i="31"/>
  <c r="W19" i="31"/>
  <c r="T31" i="31"/>
  <c r="U19" i="31"/>
  <c r="R31" i="31"/>
  <c r="T19" i="31"/>
  <c r="O31" i="31"/>
  <c r="I22" i="31"/>
  <c r="U28" i="31"/>
  <c r="O16" i="31"/>
  <c r="R18" i="31"/>
  <c r="C21" i="31"/>
  <c r="N10" i="31"/>
  <c r="I12" i="31"/>
  <c r="O29" i="31"/>
  <c r="Q17" i="31"/>
  <c r="N29" i="31"/>
  <c r="O17" i="31"/>
  <c r="I29" i="31"/>
  <c r="J17" i="31"/>
  <c r="AE30" i="31"/>
  <c r="C19" i="31"/>
  <c r="X30" i="31"/>
  <c r="AE18" i="31"/>
  <c r="Q28" i="31"/>
  <c r="R16" i="31"/>
  <c r="O28" i="31"/>
  <c r="Q16" i="31"/>
  <c r="J28" i="31"/>
  <c r="N16" i="31"/>
  <c r="C30" i="31"/>
  <c r="I17" i="31"/>
  <c r="AE29" i="31"/>
  <c r="C18" i="31"/>
  <c r="X29" i="31"/>
  <c r="AE17" i="31"/>
  <c r="W29" i="31"/>
  <c r="X17" i="31"/>
  <c r="U29" i="31"/>
  <c r="W17" i="31"/>
  <c r="R29" i="31"/>
  <c r="W16" i="31"/>
  <c r="X21" i="31"/>
  <c r="I11" i="31"/>
  <c r="I13" i="31"/>
  <c r="W15" i="31"/>
  <c r="AE25" i="31"/>
  <c r="O20" i="31"/>
  <c r="R27" i="31"/>
  <c r="U15" i="31"/>
  <c r="Q27" i="31"/>
  <c r="T15" i="31"/>
  <c r="N27" i="31"/>
  <c r="Q15" i="31"/>
  <c r="I28" i="31"/>
  <c r="J16" i="31"/>
  <c r="C29" i="31"/>
  <c r="I16" i="31"/>
  <c r="AE28" i="31"/>
  <c r="C17" i="31"/>
  <c r="X28" i="31"/>
  <c r="AE16" i="31"/>
  <c r="W28" i="31"/>
  <c r="X16" i="31"/>
  <c r="T28" i="31"/>
  <c r="T14" i="31"/>
  <c r="O19" i="31"/>
  <c r="C32" i="31"/>
  <c r="C11" i="31"/>
  <c r="C13" i="31"/>
  <c r="C15" i="31"/>
  <c r="R17" i="31"/>
  <c r="T26" i="31"/>
  <c r="W14" i="31"/>
  <c r="R26" i="31"/>
  <c r="U14" i="31"/>
  <c r="O26" i="31"/>
  <c r="R14" i="31"/>
  <c r="J27" i="31"/>
  <c r="O15" i="31"/>
  <c r="I27" i="31"/>
  <c r="N15" i="31"/>
  <c r="C28" i="31"/>
  <c r="J15" i="31"/>
  <c r="AE27" i="31"/>
  <c r="I15" i="31"/>
  <c r="X27" i="31"/>
  <c r="C16" i="31"/>
  <c r="U27" i="31"/>
  <c r="X11" i="31"/>
  <c r="T16" i="31"/>
  <c r="N28" i="31"/>
  <c r="N31" i="31"/>
  <c r="O10" i="31"/>
  <c r="C23" i="31"/>
  <c r="U26" i="31"/>
  <c r="U25" i="31"/>
  <c r="X13" i="31"/>
  <c r="T25" i="31"/>
  <c r="W13" i="31"/>
  <c r="Q25" i="31"/>
  <c r="T13" i="31"/>
  <c r="N26" i="31"/>
  <c r="Q14" i="31"/>
  <c r="J26" i="31"/>
  <c r="O14" i="31"/>
  <c r="I26" i="31"/>
  <c r="N14" i="31"/>
  <c r="C27" i="31"/>
  <c r="J14" i="31"/>
  <c r="AE26" i="31"/>
  <c r="I14" i="31"/>
  <c r="W26" i="31"/>
  <c r="AE32" i="31"/>
  <c r="C14" i="31"/>
  <c r="T24" i="31"/>
  <c r="T27" i="31"/>
  <c r="R30" i="31"/>
  <c r="AE14" i="31"/>
  <c r="N33" i="31"/>
  <c r="W24" i="31"/>
  <c r="AE12" i="31"/>
  <c r="U24" i="31"/>
  <c r="X12" i="31"/>
  <c r="R24" i="31"/>
  <c r="U12" i="31"/>
  <c r="O25" i="31"/>
  <c r="R13" i="31"/>
  <c r="N25" i="31"/>
  <c r="Q13" i="31"/>
  <c r="J25" i="31"/>
  <c r="O13" i="31"/>
  <c r="I25" i="31"/>
  <c r="N13" i="31"/>
  <c r="C26" i="31"/>
  <c r="J13" i="31"/>
  <c r="X25" i="31"/>
  <c r="J29" i="31"/>
  <c r="J11" i="31"/>
  <c r="J21" i="31"/>
  <c r="AE23" i="31"/>
  <c r="X26" i="31"/>
  <c r="N17" i="31"/>
  <c r="N20" i="31"/>
  <c r="X23" i="31"/>
  <c r="C12" i="31"/>
  <c r="W23" i="31"/>
  <c r="AE11" i="31"/>
  <c r="T23" i="31"/>
  <c r="W11" i="31"/>
  <c r="Q24" i="31"/>
  <c r="T12" i="31"/>
  <c r="O24" i="31"/>
  <c r="R12" i="31"/>
  <c r="N24" i="31"/>
  <c r="Q12" i="31"/>
  <c r="J24" i="31"/>
  <c r="O12" i="31"/>
  <c r="I24" i="31"/>
  <c r="N12" i="31"/>
  <c r="AE24" i="31"/>
  <c r="R25" i="31"/>
  <c r="J32" i="31"/>
  <c r="T18" i="31"/>
  <c r="Q18" i="31"/>
  <c r="I23" i="31"/>
  <c r="W22" i="31"/>
  <c r="O30" i="31"/>
  <c r="AE22" i="31"/>
  <c r="J10" i="31"/>
  <c r="X22" i="31"/>
  <c r="I10" i="31"/>
  <c r="U22" i="31"/>
  <c r="AE10" i="31"/>
  <c r="R23" i="31"/>
  <c r="U11" i="31"/>
  <c r="Q23" i="31"/>
  <c r="T11" i="31"/>
  <c r="O23" i="31"/>
  <c r="R11" i="31"/>
  <c r="N23" i="31"/>
  <c r="Q11" i="31"/>
  <c r="J23" i="31"/>
  <c r="O11" i="31"/>
  <c r="C24" i="31"/>
  <c r="Q19" i="31"/>
  <c r="R28" i="31"/>
  <c r="U13" i="31"/>
  <c r="X15" i="31"/>
  <c r="Q20" i="31"/>
  <c r="X14" i="31"/>
  <c r="I30" i="31"/>
  <c r="C22" i="31"/>
  <c r="AE33" i="31"/>
  <c r="AE21" i="31"/>
  <c r="W33" i="31"/>
  <c r="W21" i="31"/>
  <c r="C10" i="31"/>
  <c r="T22" i="31"/>
  <c r="X10" i="31"/>
  <c r="R22" i="31"/>
  <c r="W10" i="31"/>
  <c r="Q22" i="31"/>
  <c r="U10" i="31"/>
  <c r="O22" i="31"/>
  <c r="T10" i="31"/>
  <c r="N22" i="31"/>
  <c r="R10" i="31"/>
  <c r="I33" i="31"/>
  <c r="U16" i="31"/>
  <c r="X24" i="31"/>
  <c r="Q31" i="31"/>
  <c r="Q10" i="31"/>
  <c r="U17" i="31"/>
  <c r="T29" i="31"/>
  <c r="T17" i="31"/>
  <c r="W30" i="31"/>
  <c r="Q26" i="31"/>
  <c r="X18" i="31"/>
  <c r="X33" i="31"/>
  <c r="U30" i="31"/>
  <c r="W18" i="31"/>
  <c r="T30" i="31"/>
  <c r="U18" i="31"/>
  <c r="R19" i="31"/>
  <c r="C25" i="31"/>
  <c r="AE13" i="31"/>
  <c r="AE15" i="31"/>
  <c r="J18" i="31"/>
  <c r="Q30" i="31"/>
  <c r="V31" i="16"/>
  <c r="W29" i="16"/>
  <c r="Z26" i="16"/>
  <c r="AF24" i="16"/>
  <c r="K32" i="16"/>
  <c r="S27" i="16"/>
  <c r="Y32" i="16"/>
  <c r="AF13" i="16"/>
  <c r="AF21" i="16"/>
  <c r="Y31" i="16"/>
  <c r="W13" i="16"/>
  <c r="V22" i="16"/>
  <c r="Z10" i="16"/>
  <c r="Q14" i="16"/>
  <c r="Z18" i="16"/>
  <c r="C29" i="16"/>
  <c r="L13" i="16"/>
  <c r="Y16" i="16"/>
  <c r="S10" i="16"/>
  <c r="V32" i="16"/>
  <c r="W30" i="16"/>
  <c r="Y28" i="16"/>
  <c r="AF25" i="16"/>
  <c r="C24" i="16"/>
  <c r="L31" i="16"/>
  <c r="V24" i="16"/>
  <c r="L27" i="16"/>
  <c r="C13" i="16"/>
  <c r="T16" i="16"/>
  <c r="P26" i="16"/>
  <c r="Y12" i="16"/>
  <c r="P16" i="16"/>
  <c r="W21" i="16"/>
  <c r="C30" i="16"/>
  <c r="AF17" i="16"/>
  <c r="V20" i="16"/>
  <c r="S24" i="16"/>
  <c r="K28" i="16"/>
  <c r="W31" i="16"/>
  <c r="Y29" i="16"/>
  <c r="Z27" i="16"/>
  <c r="C25" i="16"/>
  <c r="K33" i="16"/>
  <c r="P30" i="16"/>
  <c r="V25" i="16"/>
  <c r="Y33" i="16"/>
  <c r="AF23" i="16"/>
  <c r="W15" i="16"/>
  <c r="L19" i="16"/>
  <c r="W23" i="16"/>
  <c r="Z11" i="16"/>
  <c r="S15" i="16"/>
  <c r="Z20" i="16"/>
  <c r="Q25" i="16"/>
  <c r="T12" i="16"/>
  <c r="C17" i="16"/>
  <c r="W19" i="16"/>
  <c r="L23" i="16"/>
  <c r="P21" i="16"/>
  <c r="Q20" i="16"/>
  <c r="Y30" i="16"/>
  <c r="Z28" i="16"/>
  <c r="AF26" i="16"/>
  <c r="L33" i="16"/>
  <c r="L32" i="16"/>
  <c r="Q29" i="16"/>
  <c r="W24" i="16"/>
  <c r="Z32" i="16"/>
  <c r="C23" i="16"/>
  <c r="P10" i="16"/>
  <c r="Y14" i="16"/>
  <c r="P18" i="16"/>
  <c r="Y22" i="16"/>
  <c r="C11" i="16"/>
  <c r="T14" i="16"/>
  <c r="AF19" i="16"/>
  <c r="L15" i="16"/>
  <c r="Y18" i="16"/>
  <c r="P22" i="16"/>
  <c r="W16" i="16"/>
  <c r="C15" i="16"/>
  <c r="Z29" i="16"/>
  <c r="AF27" i="16"/>
  <c r="C26" i="16"/>
  <c r="P32" i="16"/>
  <c r="P31" i="16"/>
  <c r="S28" i="16"/>
  <c r="Z33" i="16"/>
  <c r="AF31" i="16"/>
  <c r="W32" i="16"/>
  <c r="Z13" i="16"/>
  <c r="Q17" i="16"/>
  <c r="Z21" i="16"/>
  <c r="AF30" i="16"/>
  <c r="C19" i="16"/>
  <c r="Y10" i="16"/>
  <c r="P14" i="16"/>
  <c r="Z17" i="16"/>
  <c r="Q21" i="16"/>
  <c r="K23" i="16"/>
  <c r="P11" i="16"/>
  <c r="AF28" i="16"/>
  <c r="C27" i="16"/>
  <c r="P33" i="16"/>
  <c r="Q31" i="16"/>
  <c r="Q30" i="16"/>
  <c r="C31" i="16"/>
  <c r="P20" i="16"/>
  <c r="K27" i="16"/>
  <c r="AF12" i="16"/>
  <c r="C21" i="16"/>
  <c r="L26" i="16"/>
  <c r="W12" i="16"/>
  <c r="K17" i="16"/>
  <c r="V21" i="16"/>
  <c r="AF29" i="16"/>
  <c r="Q13" i="16"/>
  <c r="AF16" i="16"/>
  <c r="T18" i="16"/>
  <c r="L21" i="16"/>
  <c r="T19" i="16"/>
  <c r="C28" i="16"/>
  <c r="K25" i="16"/>
  <c r="Q32" i="16"/>
  <c r="S30" i="16"/>
  <c r="S29" i="16"/>
  <c r="C32" i="16"/>
  <c r="K29" i="16"/>
  <c r="Q19" i="16"/>
  <c r="Z23" i="16"/>
  <c r="C12" i="16"/>
  <c r="K19" i="16"/>
  <c r="V23" i="16"/>
  <c r="Y11" i="16"/>
  <c r="Y20" i="16"/>
  <c r="P25" i="16"/>
  <c r="K15" i="16"/>
  <c r="V19" i="16"/>
  <c r="L11" i="16"/>
  <c r="AF14" i="16"/>
  <c r="K26" i="16"/>
  <c r="L24" i="16"/>
  <c r="S31" i="16"/>
  <c r="C33" i="16"/>
  <c r="K30" i="16"/>
  <c r="L28" i="16"/>
  <c r="AF22" i="16"/>
  <c r="L10" i="16"/>
  <c r="W14" i="16"/>
  <c r="L18" i="16"/>
  <c r="W22" i="16"/>
  <c r="Q15" i="16"/>
  <c r="Z19" i="16"/>
  <c r="Q23" i="16"/>
  <c r="L14" i="16"/>
  <c r="W18" i="16"/>
  <c r="W17" i="16"/>
  <c r="W33" i="16"/>
  <c r="L25" i="16"/>
  <c r="Q33" i="16"/>
  <c r="V27" i="16"/>
  <c r="K31" i="16"/>
  <c r="L29" i="16"/>
  <c r="P27" i="16"/>
  <c r="T17" i="16"/>
  <c r="C22" i="16"/>
  <c r="Z31" i="16"/>
  <c r="Y13" i="16"/>
  <c r="P17" i="16"/>
  <c r="Y21" i="16"/>
  <c r="C10" i="16"/>
  <c r="S14" i="16"/>
  <c r="AF18" i="16"/>
  <c r="W10" i="16"/>
  <c r="Y17" i="16"/>
  <c r="L22" i="16"/>
  <c r="AF15" i="16"/>
  <c r="V18" i="16"/>
  <c r="P24" i="16"/>
  <c r="S32" i="16"/>
  <c r="W27" i="16"/>
  <c r="W26" i="16"/>
  <c r="L30" i="16"/>
  <c r="P28" i="16"/>
  <c r="Q26" i="16"/>
  <c r="L20" i="16"/>
  <c r="V26" i="16"/>
  <c r="Z12" i="16"/>
  <c r="Q16" i="16"/>
  <c r="AF20" i="16"/>
  <c r="Z30" i="16"/>
  <c r="T13" i="16"/>
  <c r="C18" i="16"/>
  <c r="Y24" i="16"/>
  <c r="Q12" i="16"/>
  <c r="Z16" i="16"/>
  <c r="V17" i="16"/>
  <c r="V33" i="16"/>
  <c r="C14" i="16"/>
  <c r="S33" i="16"/>
  <c r="W28" i="16"/>
  <c r="Y26" i="16"/>
  <c r="Y25" i="16"/>
  <c r="P29" i="16"/>
  <c r="Q27" i="16"/>
  <c r="S25" i="16"/>
  <c r="Y15" i="16"/>
  <c r="P19" i="16"/>
  <c r="Y23" i="16"/>
  <c r="T15" i="16"/>
  <c r="C20" i="16"/>
  <c r="W25" i="16"/>
  <c r="K16" i="16"/>
  <c r="W20" i="16"/>
  <c r="P23" i="16"/>
  <c r="S11" i="16"/>
  <c r="C16" i="16"/>
  <c r="L12" i="16"/>
  <c r="Q24" i="16"/>
  <c r="V30" i="16"/>
  <c r="Y27" i="16"/>
  <c r="Z25" i="16"/>
  <c r="Z24" i="16"/>
  <c r="Q28" i="16"/>
  <c r="S26" i="16"/>
  <c r="Z14" i="16"/>
  <c r="Q18" i="16"/>
  <c r="Z22" i="16"/>
  <c r="K18" i="16"/>
  <c r="W11" i="16"/>
  <c r="P15" i="16"/>
  <c r="Y19" i="16"/>
  <c r="Q22" i="16"/>
  <c r="K14" i="16"/>
  <c r="K22" i="16"/>
  <c r="Z15" i="16"/>
  <c r="K24" i="16"/>
  <c r="C33" i="27"/>
  <c r="I20" i="27"/>
  <c r="AE32" i="27"/>
  <c r="C21" i="27"/>
  <c r="X32" i="27"/>
  <c r="AE20" i="27"/>
  <c r="U33" i="27"/>
  <c r="U21" i="27"/>
  <c r="T33" i="27"/>
  <c r="T21" i="27"/>
  <c r="R33" i="27"/>
  <c r="R21" i="27"/>
  <c r="Q33" i="27"/>
  <c r="Q21" i="27"/>
  <c r="O33" i="27"/>
  <c r="O21" i="27"/>
  <c r="N33" i="27"/>
  <c r="N21" i="27"/>
  <c r="I33" i="27"/>
  <c r="I21" i="27"/>
  <c r="N30" i="27"/>
  <c r="T17" i="27"/>
  <c r="C22" i="27"/>
  <c r="J20" i="27"/>
  <c r="I31" i="27"/>
  <c r="J19" i="27"/>
  <c r="C32" i="27"/>
  <c r="I19" i="27"/>
  <c r="AE31" i="27"/>
  <c r="C20" i="27"/>
  <c r="W32" i="27"/>
  <c r="X20" i="27"/>
  <c r="U32" i="27"/>
  <c r="W20" i="27"/>
  <c r="T32" i="27"/>
  <c r="U20" i="27"/>
  <c r="R32" i="27"/>
  <c r="T20" i="27"/>
  <c r="Q32" i="27"/>
  <c r="R20" i="27"/>
  <c r="O32" i="27"/>
  <c r="Q20" i="27"/>
  <c r="J32" i="27"/>
  <c r="N20" i="27"/>
  <c r="W24" i="27"/>
  <c r="AE12" i="27"/>
  <c r="R16" i="27"/>
  <c r="AE14" i="27"/>
  <c r="J30" i="27"/>
  <c r="N18" i="27"/>
  <c r="I30" i="27"/>
  <c r="J18" i="27"/>
  <c r="C31" i="27"/>
  <c r="I18" i="27"/>
  <c r="X31" i="27"/>
  <c r="AE19" i="27"/>
  <c r="W31" i="27"/>
  <c r="X19" i="27"/>
  <c r="U31" i="27"/>
  <c r="W19" i="27"/>
  <c r="T31" i="27"/>
  <c r="U19" i="27"/>
  <c r="R31" i="27"/>
  <c r="T19" i="27"/>
  <c r="Q31" i="27"/>
  <c r="R19" i="27"/>
  <c r="N31" i="27"/>
  <c r="O19" i="27"/>
  <c r="N19" i="27"/>
  <c r="Q28" i="27"/>
  <c r="J11" i="27"/>
  <c r="X25" i="27"/>
  <c r="N29" i="27"/>
  <c r="O17" i="27"/>
  <c r="J29" i="27"/>
  <c r="N17" i="27"/>
  <c r="I29" i="27"/>
  <c r="J17" i="27"/>
  <c r="AE30" i="27"/>
  <c r="C19" i="27"/>
  <c r="X30" i="27"/>
  <c r="AE18" i="27"/>
  <c r="W30" i="27"/>
  <c r="X18" i="27"/>
  <c r="U30" i="27"/>
  <c r="W18" i="27"/>
  <c r="T30" i="27"/>
  <c r="U18" i="27"/>
  <c r="R30" i="27"/>
  <c r="T18" i="27"/>
  <c r="O30" i="27"/>
  <c r="Q18" i="27"/>
  <c r="C14" i="27"/>
  <c r="AE22" i="27"/>
  <c r="N32" i="27"/>
  <c r="AE24" i="27"/>
  <c r="O28" i="27"/>
  <c r="Q16" i="27"/>
  <c r="N28" i="27"/>
  <c r="O16" i="27"/>
  <c r="J28" i="27"/>
  <c r="N16" i="27"/>
  <c r="C30" i="27"/>
  <c r="I17" i="27"/>
  <c r="AE29" i="27"/>
  <c r="C18" i="27"/>
  <c r="X29" i="27"/>
  <c r="AE17" i="27"/>
  <c r="W29" i="27"/>
  <c r="X17" i="27"/>
  <c r="U29" i="27"/>
  <c r="W17" i="27"/>
  <c r="T29" i="27"/>
  <c r="U17" i="27"/>
  <c r="Q29" i="27"/>
  <c r="R17" i="27"/>
  <c r="R29" i="27"/>
  <c r="Q17" i="27"/>
  <c r="W26" i="27"/>
  <c r="O20" i="27"/>
  <c r="Q27" i="27"/>
  <c r="T15" i="27"/>
  <c r="O27" i="27"/>
  <c r="R15" i="27"/>
  <c r="N27" i="27"/>
  <c r="Q15" i="27"/>
  <c r="I28" i="27"/>
  <c r="J16" i="27"/>
  <c r="C29" i="27"/>
  <c r="I16" i="27"/>
  <c r="AE28" i="27"/>
  <c r="C17" i="27"/>
  <c r="X28" i="27"/>
  <c r="AE16" i="27"/>
  <c r="W28" i="27"/>
  <c r="X16" i="27"/>
  <c r="U28" i="27"/>
  <c r="W16" i="27"/>
  <c r="R28" i="27"/>
  <c r="T16" i="27"/>
  <c r="C24" i="27"/>
  <c r="I12" i="27"/>
  <c r="J21" i="27"/>
  <c r="Q19" i="27"/>
  <c r="R26" i="27"/>
  <c r="U14" i="27"/>
  <c r="Q26" i="27"/>
  <c r="T14" i="27"/>
  <c r="O26" i="27"/>
  <c r="R14" i="27"/>
  <c r="J27" i="27"/>
  <c r="O15" i="27"/>
  <c r="I27" i="27"/>
  <c r="N15" i="27"/>
  <c r="C28" i="27"/>
  <c r="J15" i="27"/>
  <c r="AE27" i="27"/>
  <c r="I15" i="27"/>
  <c r="X27" i="27"/>
  <c r="C16" i="27"/>
  <c r="W27" i="27"/>
  <c r="AE15" i="27"/>
  <c r="T27" i="27"/>
  <c r="W15" i="27"/>
  <c r="R18" i="27"/>
  <c r="J33" i="27"/>
  <c r="I32" i="27"/>
  <c r="U15" i="27"/>
  <c r="T25" i="27"/>
  <c r="W13" i="27"/>
  <c r="R25" i="27"/>
  <c r="U13" i="27"/>
  <c r="Q25" i="27"/>
  <c r="T13" i="27"/>
  <c r="N26" i="27"/>
  <c r="Q14" i="27"/>
  <c r="J26" i="27"/>
  <c r="O14" i="27"/>
  <c r="I26" i="27"/>
  <c r="N14" i="27"/>
  <c r="C27" i="27"/>
  <c r="J14" i="27"/>
  <c r="AE26" i="27"/>
  <c r="I14" i="27"/>
  <c r="X26" i="27"/>
  <c r="C15" i="27"/>
  <c r="U26" i="27"/>
  <c r="X14" i="27"/>
  <c r="X13" i="27"/>
  <c r="U27" i="27"/>
  <c r="T26" i="27"/>
  <c r="W14" i="27"/>
  <c r="U24" i="27"/>
  <c r="X12" i="27"/>
  <c r="T24" i="27"/>
  <c r="W12" i="27"/>
  <c r="R24" i="27"/>
  <c r="U12" i="27"/>
  <c r="O25" i="27"/>
  <c r="R13" i="27"/>
  <c r="N25" i="27"/>
  <c r="Q13" i="27"/>
  <c r="J25" i="27"/>
  <c r="O13" i="27"/>
  <c r="I25" i="27"/>
  <c r="N13" i="27"/>
  <c r="C26" i="27"/>
  <c r="J13" i="27"/>
  <c r="AE25" i="27"/>
  <c r="I13" i="27"/>
  <c r="W25" i="27"/>
  <c r="AE13" i="27"/>
  <c r="O29" i="27"/>
  <c r="I22" i="27"/>
  <c r="X15" i="27"/>
  <c r="J10" i="27"/>
  <c r="W23" i="27"/>
  <c r="AE11" i="27"/>
  <c r="U23" i="27"/>
  <c r="X11" i="27"/>
  <c r="T23" i="27"/>
  <c r="W11" i="27"/>
  <c r="Q24" i="27"/>
  <c r="T12" i="27"/>
  <c r="O24" i="27"/>
  <c r="R12" i="27"/>
  <c r="N24" i="27"/>
  <c r="Q12" i="27"/>
  <c r="J24" i="27"/>
  <c r="O12" i="27"/>
  <c r="I24" i="27"/>
  <c r="N12" i="27"/>
  <c r="C25" i="27"/>
  <c r="J12" i="27"/>
  <c r="X24" i="27"/>
  <c r="C13" i="27"/>
  <c r="X23" i="27"/>
  <c r="U16" i="27"/>
  <c r="O10" i="27"/>
  <c r="O31" i="27"/>
  <c r="X22" i="27"/>
  <c r="I10" i="27"/>
  <c r="W22" i="27"/>
  <c r="C11" i="27"/>
  <c r="U22" i="27"/>
  <c r="AE10" i="27"/>
  <c r="R23" i="27"/>
  <c r="U11" i="27"/>
  <c r="Q23" i="27"/>
  <c r="T11" i="27"/>
  <c r="O23" i="27"/>
  <c r="R11" i="27"/>
  <c r="N23" i="27"/>
  <c r="Q11" i="27"/>
  <c r="J23" i="27"/>
  <c r="O11" i="27"/>
  <c r="I23" i="27"/>
  <c r="N11" i="27"/>
  <c r="AE23" i="27"/>
  <c r="I11" i="27"/>
  <c r="O18" i="27"/>
  <c r="C12" i="27"/>
  <c r="J31" i="27"/>
  <c r="Q30" i="27"/>
  <c r="AE21" i="27"/>
  <c r="O22" i="27"/>
  <c r="X33" i="27"/>
  <c r="T10" i="27"/>
  <c r="X21" i="27"/>
  <c r="N22" i="27"/>
  <c r="W33" i="27"/>
  <c r="R10" i="27"/>
  <c r="W21" i="27"/>
  <c r="J22" i="27"/>
  <c r="C10" i="27"/>
  <c r="Q10" i="27"/>
  <c r="T22" i="27"/>
  <c r="C23" i="27"/>
  <c r="X10" i="27"/>
  <c r="N10" i="27"/>
  <c r="R22" i="27"/>
  <c r="T28" i="27"/>
  <c r="W10" i="27"/>
  <c r="R27" i="27"/>
  <c r="Q22" i="27"/>
  <c r="U25" i="27"/>
  <c r="AE33" i="27"/>
  <c r="U10" i="27"/>
  <c r="J27" i="33"/>
  <c r="X20" i="33"/>
  <c r="I30" i="33"/>
  <c r="N28" i="33"/>
  <c r="Q25" i="33"/>
  <c r="J16" i="33"/>
  <c r="T15" i="33"/>
  <c r="Q27" i="33"/>
  <c r="U15" i="33"/>
  <c r="R27" i="33"/>
  <c r="T16" i="33"/>
  <c r="R28" i="33"/>
  <c r="U16" i="33"/>
  <c r="T28" i="33"/>
  <c r="W16" i="33"/>
  <c r="U28" i="33"/>
  <c r="X16" i="33"/>
  <c r="W28" i="33"/>
  <c r="AE16" i="33"/>
  <c r="X28" i="33"/>
  <c r="C17" i="33"/>
  <c r="AE28" i="33"/>
  <c r="I16" i="33"/>
  <c r="C29" i="33"/>
  <c r="I17" i="8"/>
  <c r="U20" i="8"/>
  <c r="W20" i="8"/>
  <c r="U17" i="8"/>
  <c r="U14" i="8"/>
  <c r="Q10" i="8"/>
  <c r="T33" i="8"/>
  <c r="X31" i="8"/>
  <c r="Q26" i="8"/>
  <c r="R21" i="8"/>
  <c r="T18" i="8"/>
  <c r="R26" i="8"/>
  <c r="X14" i="8"/>
  <c r="U26" i="8"/>
  <c r="AE14" i="8"/>
  <c r="W26" i="8"/>
  <c r="I14" i="8"/>
  <c r="AE26" i="8"/>
  <c r="AE16" i="8"/>
  <c r="X28" i="8"/>
  <c r="W28" i="26"/>
  <c r="N11" i="26"/>
  <c r="Q20" i="26"/>
  <c r="C25" i="26"/>
  <c r="W16" i="26"/>
  <c r="W10" i="26"/>
  <c r="O21" i="26"/>
  <c r="N23" i="26"/>
  <c r="Q22" i="26"/>
  <c r="T11" i="26"/>
  <c r="Q23" i="26"/>
  <c r="T22" i="26"/>
  <c r="C10" i="26"/>
  <c r="W21" i="26"/>
  <c r="W33" i="26"/>
  <c r="X21" i="26"/>
  <c r="X33" i="26"/>
  <c r="X22" i="26"/>
  <c r="C12" i="26"/>
  <c r="X23" i="26"/>
  <c r="AE13" i="26"/>
  <c r="W25" i="26"/>
  <c r="X15" i="26"/>
  <c r="U27" i="26"/>
  <c r="X17" i="28"/>
  <c r="X28" i="28"/>
  <c r="I15" i="28"/>
  <c r="X26" i="28"/>
  <c r="C16" i="28"/>
  <c r="X27" i="28"/>
  <c r="J15" i="28"/>
  <c r="C28" i="28"/>
  <c r="N15" i="28"/>
  <c r="I27" i="28"/>
  <c r="O15" i="28"/>
  <c r="J27" i="28"/>
  <c r="R14" i="28"/>
  <c r="O26" i="28"/>
  <c r="T14" i="28"/>
  <c r="Q26" i="28"/>
  <c r="U14" i="28"/>
  <c r="R26" i="28"/>
  <c r="W14" i="28"/>
  <c r="T26" i="28"/>
  <c r="W15" i="28"/>
  <c r="T27" i="28"/>
  <c r="X15" i="28"/>
  <c r="U27" i="28"/>
  <c r="X18" i="19"/>
  <c r="T20" i="19"/>
  <c r="X19" i="19"/>
  <c r="X10" i="19"/>
  <c r="R23" i="19"/>
  <c r="N16" i="19"/>
  <c r="O16" i="19"/>
  <c r="N18" i="19"/>
  <c r="C22" i="19"/>
  <c r="AE30" i="33"/>
  <c r="U23" i="33"/>
  <c r="AE10" i="33"/>
  <c r="C32" i="33"/>
  <c r="I29" i="33"/>
  <c r="X11" i="33"/>
  <c r="Q16" i="33"/>
  <c r="O28" i="33"/>
  <c r="R16" i="33"/>
  <c r="Q28" i="33"/>
  <c r="R17" i="33"/>
  <c r="Q29" i="33"/>
  <c r="T17" i="33"/>
  <c r="R29" i="33"/>
  <c r="U17" i="33"/>
  <c r="T29" i="33"/>
  <c r="W17" i="33"/>
  <c r="U29" i="33"/>
  <c r="X17" i="33"/>
  <c r="W29" i="33"/>
  <c r="AE17" i="33"/>
  <c r="X29" i="33"/>
  <c r="C18" i="33"/>
  <c r="AE29" i="33"/>
  <c r="AE30" i="8"/>
  <c r="O25" i="8"/>
  <c r="C22" i="8"/>
  <c r="J22" i="8"/>
  <c r="U33" i="8"/>
  <c r="N28" i="8"/>
  <c r="AE22" i="8"/>
  <c r="T21" i="8"/>
  <c r="I20" i="8"/>
  <c r="R14" i="8"/>
  <c r="O26" i="8"/>
  <c r="Q27" i="8"/>
  <c r="W15" i="8"/>
  <c r="X15" i="8"/>
  <c r="U27" i="8"/>
  <c r="C16" i="8"/>
  <c r="X27" i="8"/>
  <c r="X17" i="8"/>
  <c r="W29" i="8"/>
  <c r="AE15" i="26"/>
  <c r="N13" i="26"/>
  <c r="T29" i="26"/>
  <c r="R30" i="26"/>
  <c r="W18" i="26"/>
  <c r="Q12" i="26"/>
  <c r="AE26" i="26"/>
  <c r="J24" i="26"/>
  <c r="O23" i="26"/>
  <c r="R12" i="26"/>
  <c r="O24" i="26"/>
  <c r="R23" i="26"/>
  <c r="AE10" i="26"/>
  <c r="U22" i="26"/>
  <c r="C11" i="26"/>
  <c r="W22" i="26"/>
  <c r="AE11" i="26"/>
  <c r="W23" i="26"/>
  <c r="AE12" i="26"/>
  <c r="W24" i="26"/>
  <c r="X14" i="26"/>
  <c r="U26" i="26"/>
  <c r="U16" i="26"/>
  <c r="T28" i="26"/>
  <c r="J22" i="28"/>
  <c r="W18" i="28"/>
  <c r="Q20" i="28"/>
  <c r="O32" i="28"/>
  <c r="X16" i="28"/>
  <c r="W28" i="28"/>
  <c r="C17" i="28"/>
  <c r="AE28" i="28"/>
  <c r="I16" i="28"/>
  <c r="C29" i="28"/>
  <c r="J16" i="28"/>
  <c r="I28" i="28"/>
  <c r="Q15" i="28"/>
  <c r="N27" i="28"/>
  <c r="R15" i="28"/>
  <c r="O27" i="28"/>
  <c r="T15" i="28"/>
  <c r="Q27" i="28"/>
  <c r="U15" i="28"/>
  <c r="R27" i="28"/>
  <c r="T16" i="28"/>
  <c r="R28" i="28"/>
  <c r="U16" i="28"/>
  <c r="T28" i="28"/>
  <c r="C17" i="19"/>
  <c r="J24" i="19"/>
  <c r="J25" i="19"/>
  <c r="AE16" i="19"/>
  <c r="W20" i="19"/>
  <c r="U11" i="19"/>
  <c r="Q24" i="19"/>
  <c r="J17" i="19"/>
  <c r="N17" i="19"/>
  <c r="J19" i="19"/>
  <c r="N30" i="19"/>
  <c r="U33" i="18"/>
  <c r="U21" i="18"/>
  <c r="S33" i="18"/>
  <c r="R33" i="18"/>
  <c r="P33" i="18"/>
  <c r="P21" i="18"/>
  <c r="O33" i="18"/>
  <c r="O21" i="18"/>
  <c r="K33" i="18"/>
  <c r="K21" i="18"/>
  <c r="J33" i="18"/>
  <c r="J32" i="18"/>
  <c r="K20" i="18"/>
  <c r="U32" i="18"/>
  <c r="X19" i="18"/>
  <c r="V30" i="18"/>
  <c r="Y17" i="18"/>
  <c r="X28" i="18"/>
  <c r="C16" i="18"/>
  <c r="Y26" i="18"/>
  <c r="J13" i="18"/>
  <c r="AF24" i="18"/>
  <c r="K11" i="18"/>
  <c r="C23" i="18"/>
  <c r="AF33" i="18"/>
  <c r="AF21" i="18"/>
  <c r="K29" i="18"/>
  <c r="J18" i="18"/>
  <c r="S17" i="18"/>
  <c r="C10" i="18"/>
  <c r="O19" i="18"/>
  <c r="AF31" i="18"/>
  <c r="C11" i="18"/>
  <c r="O10" i="18"/>
  <c r="X20" i="18"/>
  <c r="V31" i="18"/>
  <c r="Y18" i="18"/>
  <c r="X29" i="18"/>
  <c r="AF16" i="18"/>
  <c r="Y27" i="18"/>
  <c r="J14" i="18"/>
  <c r="AF25" i="18"/>
  <c r="K12" i="18"/>
  <c r="C24" i="18"/>
  <c r="P10" i="18"/>
  <c r="K31" i="18"/>
  <c r="C33" i="18"/>
  <c r="J20" i="18"/>
  <c r="O28" i="18"/>
  <c r="Y13" i="18"/>
  <c r="V15" i="18"/>
  <c r="V33" i="18"/>
  <c r="K17" i="18"/>
  <c r="P26" i="18"/>
  <c r="C31" i="18"/>
  <c r="V32" i="18"/>
  <c r="Y19" i="18"/>
  <c r="X30" i="18"/>
  <c r="Y28" i="18"/>
  <c r="J15" i="18"/>
  <c r="K13" i="18"/>
  <c r="C25" i="18"/>
  <c r="O11" i="18"/>
  <c r="J22" i="18"/>
  <c r="K32" i="18"/>
  <c r="O30" i="18"/>
  <c r="J31" i="18"/>
  <c r="K19" i="18"/>
  <c r="P27" i="18"/>
  <c r="C12" i="18"/>
  <c r="V13" i="18"/>
  <c r="J28" i="18"/>
  <c r="P15" i="18"/>
  <c r="J21" i="18"/>
  <c r="R25" i="18"/>
  <c r="K18" i="18"/>
  <c r="X31" i="18"/>
  <c r="Y29" i="18"/>
  <c r="C17" i="18"/>
  <c r="K14" i="18"/>
  <c r="C26" i="18"/>
  <c r="J23" i="18"/>
  <c r="R10" i="18"/>
  <c r="P20" i="18"/>
  <c r="O31" i="18"/>
  <c r="P29" i="18"/>
  <c r="K30" i="18"/>
  <c r="O18" i="18"/>
  <c r="R26" i="18"/>
  <c r="K10" i="18"/>
  <c r="Y11" i="18"/>
  <c r="U22" i="18"/>
  <c r="C13" i="18"/>
  <c r="U16" i="18"/>
  <c r="C21" i="18"/>
  <c r="O16" i="18"/>
  <c r="Y30" i="18"/>
  <c r="C18" i="18"/>
  <c r="AF28" i="18"/>
  <c r="K15" i="18"/>
  <c r="C27" i="18"/>
  <c r="J24" i="18"/>
  <c r="P11" i="18"/>
  <c r="K22" i="18"/>
  <c r="O32" i="18"/>
  <c r="P30" i="18"/>
  <c r="R28" i="18"/>
  <c r="O29" i="18"/>
  <c r="P17" i="18"/>
  <c r="J29" i="18"/>
  <c r="X33" i="18"/>
  <c r="J11" i="18"/>
  <c r="X14" i="18"/>
  <c r="K16" i="18"/>
  <c r="AF29" i="18"/>
  <c r="J16" i="18"/>
  <c r="C28" i="18"/>
  <c r="O14" i="18"/>
  <c r="J25" i="18"/>
  <c r="P12" i="18"/>
  <c r="K23" i="18"/>
  <c r="S10" i="18"/>
  <c r="P31" i="18"/>
  <c r="R29" i="18"/>
  <c r="S27" i="18"/>
  <c r="P28" i="18"/>
  <c r="R16" i="18"/>
  <c r="U24" i="18"/>
  <c r="U23" i="18"/>
  <c r="K28" i="18"/>
  <c r="O17" i="18"/>
  <c r="X32" i="18"/>
  <c r="Y12" i="18"/>
  <c r="P16" i="18"/>
  <c r="AF30" i="18"/>
  <c r="C29" i="18"/>
  <c r="O15" i="18"/>
  <c r="J26" i="18"/>
  <c r="P13" i="18"/>
  <c r="K24" i="18"/>
  <c r="R11" i="18"/>
  <c r="O22" i="18"/>
  <c r="P32" i="18"/>
  <c r="R30" i="18"/>
  <c r="S28" i="18"/>
  <c r="R27" i="18"/>
  <c r="U15" i="18"/>
  <c r="V23" i="18"/>
  <c r="X15" i="18"/>
  <c r="V22" i="18"/>
  <c r="R15" i="18"/>
  <c r="K27" i="18"/>
  <c r="Y31" i="18"/>
  <c r="S14" i="18"/>
  <c r="R14" i="18"/>
  <c r="J27" i="18"/>
  <c r="P14" i="18"/>
  <c r="K25" i="18"/>
  <c r="O23" i="18"/>
  <c r="R31" i="18"/>
  <c r="S29" i="18"/>
  <c r="V16" i="18"/>
  <c r="V25" i="18"/>
  <c r="S26" i="18"/>
  <c r="V14" i="18"/>
  <c r="X22" i="18"/>
  <c r="X13" i="18"/>
  <c r="AF19" i="18"/>
  <c r="S13" i="18"/>
  <c r="V21" i="18"/>
  <c r="O26" i="18"/>
  <c r="V12" i="18"/>
  <c r="K26" i="18"/>
  <c r="O24" i="18"/>
  <c r="S11" i="18"/>
  <c r="P22" i="18"/>
  <c r="R32" i="18"/>
  <c r="S30" i="18"/>
  <c r="V17" i="18"/>
  <c r="U28" i="18"/>
  <c r="Y15" i="18"/>
  <c r="V26" i="18"/>
  <c r="X24" i="18"/>
  <c r="U25" i="18"/>
  <c r="Y33" i="18"/>
  <c r="Y21" i="18"/>
  <c r="R17" i="18"/>
  <c r="V11" i="18"/>
  <c r="J19" i="18"/>
  <c r="C19" i="18"/>
  <c r="P25" i="18"/>
  <c r="O25" i="18"/>
  <c r="S12" i="18"/>
  <c r="P23" i="18"/>
  <c r="V10" i="18"/>
  <c r="U20" i="18"/>
  <c r="S31" i="18"/>
  <c r="V18" i="18"/>
  <c r="U29" i="18"/>
  <c r="X16" i="18"/>
  <c r="V27" i="18"/>
  <c r="AF14" i="18"/>
  <c r="X25" i="18"/>
  <c r="Y23" i="18"/>
  <c r="V24" i="18"/>
  <c r="AF32" i="18"/>
  <c r="C30" i="18"/>
  <c r="J10" i="18"/>
  <c r="S15" i="18"/>
  <c r="Y32" i="18"/>
  <c r="J17" i="18"/>
  <c r="S16" i="18"/>
  <c r="AF20" i="18"/>
  <c r="P24" i="18"/>
  <c r="R22" i="18"/>
  <c r="S32" i="18"/>
  <c r="V19" i="18"/>
  <c r="U30" i="18"/>
  <c r="X17" i="18"/>
  <c r="V28" i="18"/>
  <c r="AF15" i="18"/>
  <c r="X26" i="18"/>
  <c r="C14" i="18"/>
  <c r="Y24" i="18"/>
  <c r="AF22" i="18"/>
  <c r="X23" i="18"/>
  <c r="C32" i="18"/>
  <c r="R24" i="18"/>
  <c r="S23" i="18"/>
  <c r="O27" i="18"/>
  <c r="Y14" i="18"/>
  <c r="U14" i="18"/>
  <c r="Y10" i="18"/>
  <c r="AF23" i="18"/>
  <c r="R23" i="18"/>
  <c r="C22" i="18"/>
  <c r="X10" i="18"/>
  <c r="Y22" i="18"/>
  <c r="V20" i="18"/>
  <c r="J30" i="18"/>
  <c r="U31" i="18"/>
  <c r="O20" i="18"/>
  <c r="X18" i="18"/>
  <c r="C20" i="18"/>
  <c r="V29" i="18"/>
  <c r="X11" i="18"/>
  <c r="Y16" i="18"/>
  <c r="X21" i="18"/>
  <c r="X27" i="18"/>
  <c r="C15" i="18"/>
  <c r="X12" i="18"/>
  <c r="Y25" i="18"/>
  <c r="Y20" i="18"/>
  <c r="J12" i="18"/>
  <c r="Q31" i="24"/>
  <c r="I33" i="24"/>
  <c r="R27" i="24"/>
  <c r="J29" i="24"/>
  <c r="C30" i="24"/>
  <c r="C28" i="24"/>
  <c r="I17" i="24"/>
  <c r="O24" i="24"/>
  <c r="R12" i="24"/>
  <c r="W19" i="24"/>
  <c r="I25" i="24"/>
  <c r="N13" i="24"/>
  <c r="U18" i="24"/>
  <c r="AE25" i="24"/>
  <c r="I13" i="24"/>
  <c r="O20" i="24"/>
  <c r="J28" i="24"/>
  <c r="W15" i="24"/>
  <c r="AE22" i="24"/>
  <c r="J10" i="24"/>
  <c r="Q16" i="24"/>
  <c r="N16" i="24"/>
  <c r="T14" i="24"/>
  <c r="N17" i="24"/>
  <c r="R30" i="24"/>
  <c r="J32" i="24"/>
  <c r="T26" i="24"/>
  <c r="N28" i="24"/>
  <c r="T33" i="24"/>
  <c r="T30" i="24"/>
  <c r="J16" i="24"/>
  <c r="Q23" i="24"/>
  <c r="T11" i="24"/>
  <c r="X18" i="24"/>
  <c r="J24" i="24"/>
  <c r="O12" i="24"/>
  <c r="W17" i="24"/>
  <c r="C25" i="24"/>
  <c r="J12" i="24"/>
  <c r="Q19" i="24"/>
  <c r="X26" i="24"/>
  <c r="X14" i="24"/>
  <c r="C22" i="24"/>
  <c r="T31" i="24"/>
  <c r="T15" i="24"/>
  <c r="O26" i="24"/>
  <c r="C10" i="24"/>
  <c r="U12" i="24"/>
  <c r="T29" i="24"/>
  <c r="N31" i="24"/>
  <c r="AE33" i="24"/>
  <c r="O27" i="24"/>
  <c r="U32" i="24"/>
  <c r="Q27" i="24"/>
  <c r="O15" i="24"/>
  <c r="R22" i="24"/>
  <c r="W10" i="24"/>
  <c r="AE17" i="24"/>
  <c r="N23" i="24"/>
  <c r="Q11" i="24"/>
  <c r="X16" i="24"/>
  <c r="I23" i="24"/>
  <c r="N11" i="24"/>
  <c r="R18" i="24"/>
  <c r="W25" i="24"/>
  <c r="AE13" i="24"/>
  <c r="J20" i="24"/>
  <c r="U26" i="24"/>
  <c r="U14" i="24"/>
  <c r="C21" i="24"/>
  <c r="R24" i="24"/>
  <c r="AE27" i="24"/>
  <c r="U28" i="24"/>
  <c r="O30" i="24"/>
  <c r="C33" i="24"/>
  <c r="Q26" i="24"/>
  <c r="W31" i="24"/>
  <c r="N26" i="24"/>
  <c r="Q14" i="24"/>
  <c r="T21" i="24"/>
  <c r="U29" i="24"/>
  <c r="C17" i="24"/>
  <c r="O22" i="24"/>
  <c r="T10" i="24"/>
  <c r="C16" i="24"/>
  <c r="J22" i="24"/>
  <c r="Q10" i="24"/>
  <c r="T17" i="24"/>
  <c r="X24" i="24"/>
  <c r="C13" i="24"/>
  <c r="N19" i="24"/>
  <c r="T25" i="24"/>
  <c r="W13" i="24"/>
  <c r="C11" i="24"/>
  <c r="I19" i="24"/>
  <c r="W22" i="24"/>
  <c r="W27" i="24"/>
  <c r="Q29" i="24"/>
  <c r="I31" i="24"/>
  <c r="W33" i="24"/>
  <c r="X30" i="24"/>
  <c r="O25" i="24"/>
  <c r="R13" i="24"/>
  <c r="W20" i="24"/>
  <c r="J27" i="24"/>
  <c r="J15" i="24"/>
  <c r="Q21" i="24"/>
  <c r="C29" i="24"/>
  <c r="I14" i="24"/>
  <c r="N21" i="24"/>
  <c r="O33" i="24"/>
  <c r="U16" i="24"/>
  <c r="AE23" i="24"/>
  <c r="I11" i="24"/>
  <c r="O18" i="24"/>
  <c r="U24" i="24"/>
  <c r="X12" i="24"/>
  <c r="R25" i="24"/>
  <c r="R14" i="24"/>
  <c r="X21" i="24"/>
  <c r="J33" i="24"/>
  <c r="R28" i="24"/>
  <c r="J30" i="24"/>
  <c r="X32" i="24"/>
  <c r="AE29" i="24"/>
  <c r="Q24" i="24"/>
  <c r="T12" i="24"/>
  <c r="X19" i="24"/>
  <c r="I26" i="24"/>
  <c r="N14" i="24"/>
  <c r="T20" i="24"/>
  <c r="C26" i="24"/>
  <c r="J13" i="24"/>
  <c r="Q20" i="24"/>
  <c r="W28" i="24"/>
  <c r="X15" i="24"/>
  <c r="C23" i="24"/>
  <c r="N10" i="24"/>
  <c r="Q17" i="24"/>
  <c r="W23" i="24"/>
  <c r="AE11" i="24"/>
  <c r="AE20" i="24"/>
  <c r="U23" i="24"/>
  <c r="I18" i="24"/>
  <c r="N32" i="24"/>
  <c r="T27" i="24"/>
  <c r="N29" i="24"/>
  <c r="AE31" i="24"/>
  <c r="R33" i="24"/>
  <c r="R23" i="24"/>
  <c r="U11" i="24"/>
  <c r="AE18" i="24"/>
  <c r="J25" i="24"/>
  <c r="O13" i="24"/>
  <c r="U19" i="24"/>
  <c r="I24" i="24"/>
  <c r="N12" i="24"/>
  <c r="R19" i="24"/>
  <c r="AE26" i="24"/>
  <c r="AE14" i="24"/>
  <c r="I21" i="24"/>
  <c r="Q32" i="24"/>
  <c r="R16" i="24"/>
  <c r="X22" i="24"/>
  <c r="I10" i="24"/>
  <c r="R15" i="24"/>
  <c r="U13" i="24"/>
  <c r="J17" i="24"/>
  <c r="O31" i="24"/>
  <c r="I32" i="24"/>
  <c r="O28" i="24"/>
  <c r="C31" i="24"/>
  <c r="T32" i="24"/>
  <c r="T22" i="24"/>
  <c r="X10" i="24"/>
  <c r="C18" i="24"/>
  <c r="N24" i="24"/>
  <c r="Q12" i="24"/>
  <c r="W18" i="24"/>
  <c r="J23" i="24"/>
  <c r="O11" i="24"/>
  <c r="T18" i="24"/>
  <c r="X25" i="24"/>
  <c r="C14" i="24"/>
  <c r="N20" i="24"/>
  <c r="I28" i="24"/>
  <c r="U15" i="24"/>
  <c r="AE21" i="24"/>
  <c r="X27" i="24"/>
  <c r="AE10" i="24"/>
  <c r="T23" i="24"/>
  <c r="W12" i="24"/>
  <c r="Q30" i="24"/>
  <c r="J31" i="24"/>
  <c r="X33" i="24"/>
  <c r="U33" i="24"/>
  <c r="U31" i="24"/>
  <c r="U21" i="24"/>
  <c r="W29" i="24"/>
  <c r="I16" i="24"/>
  <c r="O23" i="24"/>
  <c r="R11" i="24"/>
  <c r="X17" i="24"/>
  <c r="N22" i="24"/>
  <c r="R10" i="24"/>
  <c r="U17" i="24"/>
  <c r="AE24" i="24"/>
  <c r="I12" i="24"/>
  <c r="O19" i="24"/>
  <c r="W26" i="24"/>
  <c r="W14" i="24"/>
  <c r="I20" i="24"/>
  <c r="W21" i="24"/>
  <c r="Q25" i="24"/>
  <c r="J18" i="24"/>
  <c r="X11" i="24"/>
  <c r="R29" i="24"/>
  <c r="N30" i="24"/>
  <c r="AE32" i="24"/>
  <c r="W32" i="24"/>
  <c r="W30" i="24"/>
  <c r="X20" i="24"/>
  <c r="N27" i="24"/>
  <c r="N15" i="24"/>
  <c r="Q22" i="24"/>
  <c r="U10" i="24"/>
  <c r="AE16" i="24"/>
  <c r="O21" i="24"/>
  <c r="Q33" i="24"/>
  <c r="W16" i="24"/>
  <c r="C24" i="24"/>
  <c r="J11" i="24"/>
  <c r="Q18" i="24"/>
  <c r="U25" i="24"/>
  <c r="X13" i="24"/>
  <c r="J19" i="24"/>
  <c r="O16" i="24"/>
  <c r="Q15" i="24"/>
  <c r="T13" i="24"/>
  <c r="R31" i="24"/>
  <c r="N33" i="24"/>
  <c r="T28" i="24"/>
  <c r="O29" i="24"/>
  <c r="C32" i="24"/>
  <c r="X31" i="24"/>
  <c r="X29" i="24"/>
  <c r="AE19" i="24"/>
  <c r="J26" i="24"/>
  <c r="O14" i="24"/>
  <c r="R21" i="24"/>
  <c r="I29" i="24"/>
  <c r="I15" i="24"/>
  <c r="R20" i="24"/>
  <c r="X28" i="24"/>
  <c r="AE15" i="24"/>
  <c r="I22" i="24"/>
  <c r="O10" i="24"/>
  <c r="R17" i="24"/>
  <c r="W24" i="24"/>
  <c r="AE12" i="24"/>
  <c r="N18" i="24"/>
  <c r="W11" i="24"/>
  <c r="T24" i="24"/>
  <c r="U30" i="24"/>
  <c r="O32" i="24"/>
  <c r="U27" i="24"/>
  <c r="Q28" i="24"/>
  <c r="I30" i="24"/>
  <c r="AE30" i="24"/>
  <c r="AE28" i="24"/>
  <c r="C19" i="24"/>
  <c r="N25" i="24"/>
  <c r="Q13" i="24"/>
  <c r="U20" i="24"/>
  <c r="I27" i="24"/>
  <c r="J14" i="24"/>
  <c r="T19" i="24"/>
  <c r="C27" i="24"/>
  <c r="C15" i="24"/>
  <c r="J21" i="24"/>
  <c r="R32" i="24"/>
  <c r="T16" i="24"/>
  <c r="X23" i="24"/>
  <c r="C12" i="24"/>
  <c r="O17" i="24"/>
  <c r="R26" i="24"/>
  <c r="C20" i="24"/>
  <c r="U22" i="24"/>
  <c r="R31" i="17"/>
  <c r="Q31" i="17"/>
  <c r="R19" i="17"/>
  <c r="O31" i="17"/>
  <c r="N31" i="17"/>
  <c r="O19" i="17"/>
  <c r="N30" i="17"/>
  <c r="O18" i="17"/>
  <c r="J30" i="17"/>
  <c r="N18" i="17"/>
  <c r="I30" i="17"/>
  <c r="J18" i="17"/>
  <c r="C31" i="17"/>
  <c r="I18" i="17"/>
  <c r="X31" i="17"/>
  <c r="AE19" i="17"/>
  <c r="W31" i="17"/>
  <c r="X19" i="17"/>
  <c r="U30" i="17"/>
  <c r="AE28" i="17"/>
  <c r="O12" i="17"/>
  <c r="T30" i="17"/>
  <c r="U18" i="17"/>
  <c r="R30" i="17"/>
  <c r="Q30" i="17"/>
  <c r="R18" i="17"/>
  <c r="O30" i="17"/>
  <c r="O29" i="17"/>
  <c r="N29" i="17"/>
  <c r="O17" i="17"/>
  <c r="J29" i="17"/>
  <c r="N17" i="17"/>
  <c r="I29" i="17"/>
  <c r="J17" i="17"/>
  <c r="AE30" i="17"/>
  <c r="C19" i="17"/>
  <c r="X30" i="17"/>
  <c r="AE18" i="17"/>
  <c r="U31" i="17"/>
  <c r="I25" i="17"/>
  <c r="O23" i="17"/>
  <c r="C17" i="17"/>
  <c r="U29" i="17"/>
  <c r="W17" i="17"/>
  <c r="T29" i="17"/>
  <c r="U17" i="17"/>
  <c r="R29" i="17"/>
  <c r="Q29" i="17"/>
  <c r="R17" i="17"/>
  <c r="Q28" i="17"/>
  <c r="R16" i="17"/>
  <c r="O28" i="17"/>
  <c r="N28" i="17"/>
  <c r="O16" i="17"/>
  <c r="J28" i="17"/>
  <c r="N16" i="17"/>
  <c r="C30" i="17"/>
  <c r="I17" i="17"/>
  <c r="AE29" i="17"/>
  <c r="C18" i="17"/>
  <c r="I26" i="17"/>
  <c r="W19" i="17"/>
  <c r="W18" i="17"/>
  <c r="W28" i="17"/>
  <c r="X16" i="17"/>
  <c r="U28" i="17"/>
  <c r="W16" i="17"/>
  <c r="T28" i="17"/>
  <c r="U16" i="17"/>
  <c r="R28" i="17"/>
  <c r="R27" i="17"/>
  <c r="U15" i="17"/>
  <c r="Q27" i="17"/>
  <c r="T15" i="17"/>
  <c r="O27" i="17"/>
  <c r="R15" i="17"/>
  <c r="N27" i="17"/>
  <c r="Q15" i="17"/>
  <c r="I28" i="17"/>
  <c r="J16" i="17"/>
  <c r="C29" i="17"/>
  <c r="I16" i="17"/>
  <c r="U10" i="17"/>
  <c r="N14" i="17"/>
  <c r="N13" i="17"/>
  <c r="X27" i="17"/>
  <c r="C16" i="17"/>
  <c r="W27" i="17"/>
  <c r="AE15" i="17"/>
  <c r="U27" i="17"/>
  <c r="X15" i="17"/>
  <c r="T27" i="17"/>
  <c r="W15" i="17"/>
  <c r="T26" i="17"/>
  <c r="W14" i="17"/>
  <c r="R26" i="17"/>
  <c r="U14" i="17"/>
  <c r="Q26" i="17"/>
  <c r="T14" i="17"/>
  <c r="O26" i="17"/>
  <c r="R14" i="17"/>
  <c r="J27" i="17"/>
  <c r="O15" i="17"/>
  <c r="I27" i="17"/>
  <c r="N15" i="17"/>
  <c r="T31" i="17"/>
  <c r="X29" i="17"/>
  <c r="X28" i="17"/>
  <c r="Q11" i="17"/>
  <c r="AE26" i="17"/>
  <c r="I14" i="17"/>
  <c r="X26" i="17"/>
  <c r="C15" i="17"/>
  <c r="W26" i="17"/>
  <c r="AE14" i="17"/>
  <c r="U26" i="17"/>
  <c r="X14" i="17"/>
  <c r="U25" i="17"/>
  <c r="X13" i="17"/>
  <c r="T25" i="17"/>
  <c r="W13" i="17"/>
  <c r="U13" i="17"/>
  <c r="Q25" i="17"/>
  <c r="T13" i="17"/>
  <c r="N26" i="17"/>
  <c r="Q14" i="17"/>
  <c r="J26" i="17"/>
  <c r="O14" i="17"/>
  <c r="U20" i="17"/>
  <c r="N24" i="17"/>
  <c r="Q33" i="17"/>
  <c r="C26" i="17"/>
  <c r="J13" i="17"/>
  <c r="AE25" i="17"/>
  <c r="I13" i="17"/>
  <c r="X25" i="17"/>
  <c r="C14" i="17"/>
  <c r="W25" i="17"/>
  <c r="AE13" i="17"/>
  <c r="W24" i="17"/>
  <c r="AE12" i="17"/>
  <c r="U24" i="17"/>
  <c r="X12" i="17"/>
  <c r="T24" i="17"/>
  <c r="W12" i="17"/>
  <c r="U12" i="17"/>
  <c r="O25" i="17"/>
  <c r="N25" i="17"/>
  <c r="Q13" i="17"/>
  <c r="J15" i="17"/>
  <c r="U19" i="17"/>
  <c r="T32" i="17"/>
  <c r="I24" i="17"/>
  <c r="N12" i="17"/>
  <c r="C25" i="17"/>
  <c r="J12" i="17"/>
  <c r="AE24" i="17"/>
  <c r="I12" i="17"/>
  <c r="X24" i="17"/>
  <c r="C13" i="17"/>
  <c r="X23" i="17"/>
  <c r="C12" i="17"/>
  <c r="W23" i="17"/>
  <c r="U23" i="17"/>
  <c r="X11" i="17"/>
  <c r="W11" i="17"/>
  <c r="Q24" i="17"/>
  <c r="T12" i="17"/>
  <c r="O24" i="17"/>
  <c r="J14" i="17"/>
  <c r="Q12" i="17"/>
  <c r="AE27" i="17"/>
  <c r="J23" i="17"/>
  <c r="O11" i="17"/>
  <c r="I23" i="17"/>
  <c r="N11" i="17"/>
  <c r="C24" i="17"/>
  <c r="J11" i="17"/>
  <c r="AE23" i="17"/>
  <c r="I11" i="17"/>
  <c r="AE22" i="17"/>
  <c r="J10" i="17"/>
  <c r="X22" i="17"/>
  <c r="I10" i="17"/>
  <c r="W22" i="17"/>
  <c r="C11" i="17"/>
  <c r="U22" i="17"/>
  <c r="R23" i="17"/>
  <c r="U11" i="17"/>
  <c r="W30" i="17"/>
  <c r="W29" i="17"/>
  <c r="R33" i="17"/>
  <c r="J22" i="17"/>
  <c r="Q10" i="17"/>
  <c r="I22" i="17"/>
  <c r="O10" i="17"/>
  <c r="C23" i="17"/>
  <c r="N10" i="17"/>
  <c r="C22" i="17"/>
  <c r="AE33" i="17"/>
  <c r="AE21" i="17"/>
  <c r="X33" i="17"/>
  <c r="X21" i="17"/>
  <c r="W33" i="17"/>
  <c r="W21" i="17"/>
  <c r="C10" i="17"/>
  <c r="X10" i="17"/>
  <c r="R22" i="17"/>
  <c r="W10" i="17"/>
  <c r="J25" i="17"/>
  <c r="J24" i="17"/>
  <c r="C28" i="17"/>
  <c r="O22" i="17"/>
  <c r="O33" i="17"/>
  <c r="O21" i="17"/>
  <c r="N33" i="17"/>
  <c r="N21" i="17"/>
  <c r="J33" i="17"/>
  <c r="J21" i="17"/>
  <c r="I33" i="17"/>
  <c r="I21" i="17"/>
  <c r="I32" i="17"/>
  <c r="J20" i="17"/>
  <c r="C33" i="17"/>
  <c r="I20" i="17"/>
  <c r="AE32" i="17"/>
  <c r="C21" i="17"/>
  <c r="X32" i="17"/>
  <c r="AE20" i="17"/>
  <c r="U33" i="17"/>
  <c r="U21" i="17"/>
  <c r="T33" i="17"/>
  <c r="R32" i="17"/>
  <c r="X18" i="17"/>
  <c r="Q32" i="17"/>
  <c r="O32" i="17"/>
  <c r="N32" i="17"/>
  <c r="O20" i="17"/>
  <c r="J32" i="17"/>
  <c r="N20" i="17"/>
  <c r="J31" i="17"/>
  <c r="N19" i="17"/>
  <c r="I31" i="17"/>
  <c r="J19" i="17"/>
  <c r="C32" i="17"/>
  <c r="I19" i="17"/>
  <c r="AE31" i="17"/>
  <c r="C20" i="17"/>
  <c r="W32" i="17"/>
  <c r="X20" i="17"/>
  <c r="U32" i="17"/>
  <c r="W20" i="17"/>
  <c r="C27" i="17"/>
  <c r="I15" i="17"/>
  <c r="O13" i="17"/>
  <c r="X17" i="17"/>
  <c r="W31" i="9"/>
  <c r="T30" i="9"/>
  <c r="O27" i="9"/>
  <c r="R15" i="9"/>
  <c r="Q25" i="9"/>
  <c r="O25" i="9"/>
  <c r="R13" i="9"/>
  <c r="Q23" i="9"/>
  <c r="T11" i="9"/>
  <c r="U20" i="9"/>
  <c r="U31" i="9"/>
  <c r="W18" i="9"/>
  <c r="AE28" i="9"/>
  <c r="X16" i="9"/>
  <c r="AE25" i="9"/>
  <c r="I13" i="9"/>
  <c r="C24" i="9"/>
  <c r="J11" i="9"/>
  <c r="C23" i="9"/>
  <c r="N10" i="9"/>
  <c r="N32" i="9"/>
  <c r="X23" i="9"/>
  <c r="X22" i="9"/>
  <c r="X30" i="9"/>
  <c r="U29" i="9"/>
  <c r="T14" i="9"/>
  <c r="U12" i="9"/>
  <c r="Q24" i="9"/>
  <c r="R22" i="9"/>
  <c r="W10" i="9"/>
  <c r="W19" i="9"/>
  <c r="J30" i="9"/>
  <c r="X17" i="9"/>
  <c r="X27" i="9"/>
  <c r="C16" i="9"/>
  <c r="C25" i="9"/>
  <c r="J12" i="9"/>
  <c r="I22" i="9"/>
  <c r="I21" i="9"/>
  <c r="X33" i="9"/>
  <c r="T25" i="9"/>
  <c r="O18" i="9"/>
  <c r="O17" i="9"/>
  <c r="AE29" i="9"/>
  <c r="I32" i="9"/>
  <c r="U13" i="9"/>
  <c r="T23" i="9"/>
  <c r="W11" i="9"/>
  <c r="R23" i="9"/>
  <c r="U11" i="9"/>
  <c r="T21" i="9"/>
  <c r="I33" i="9"/>
  <c r="X18" i="9"/>
  <c r="C29" i="9"/>
  <c r="AE16" i="9"/>
  <c r="AE26" i="9"/>
  <c r="I14" i="9"/>
  <c r="I23" i="9"/>
  <c r="N11" i="9"/>
  <c r="J21" i="9"/>
  <c r="AE33" i="9"/>
  <c r="N20" i="9"/>
  <c r="T26" i="9"/>
  <c r="I20" i="9"/>
  <c r="W13" i="9"/>
  <c r="C12" i="9"/>
  <c r="Q33" i="9"/>
  <c r="J31" i="9"/>
  <c r="T24" i="9"/>
  <c r="W12" i="9"/>
  <c r="U22" i="9"/>
  <c r="AE10" i="9"/>
  <c r="T22" i="9"/>
  <c r="X10" i="9"/>
  <c r="W20" i="9"/>
  <c r="X31" i="9"/>
  <c r="AE17" i="9"/>
  <c r="AE27" i="9"/>
  <c r="I15" i="9"/>
  <c r="C26" i="9"/>
  <c r="J13" i="9"/>
  <c r="J22" i="9"/>
  <c r="Q10" i="9"/>
  <c r="T32" i="9"/>
  <c r="O19" i="9"/>
  <c r="W33" i="9"/>
  <c r="W14" i="9"/>
  <c r="R29" i="9"/>
  <c r="R16" i="9"/>
  <c r="R32" i="9"/>
  <c r="N30" i="9"/>
  <c r="U23" i="9"/>
  <c r="X11" i="9"/>
  <c r="W21" i="9"/>
  <c r="C10" i="9"/>
  <c r="U21" i="9"/>
  <c r="J33" i="9"/>
  <c r="X19" i="9"/>
  <c r="O30" i="9"/>
  <c r="C17" i="9"/>
  <c r="C27" i="9"/>
  <c r="J14" i="9"/>
  <c r="I24" i="9"/>
  <c r="N21" i="9"/>
  <c r="W32" i="9"/>
  <c r="Q19" i="9"/>
  <c r="I31" i="9"/>
  <c r="Q18" i="9"/>
  <c r="R26" i="9"/>
  <c r="W24" i="9"/>
  <c r="W23" i="9"/>
  <c r="Q16" i="9"/>
  <c r="T31" i="9"/>
  <c r="O29" i="9"/>
  <c r="W22" i="9"/>
  <c r="C11" i="9"/>
  <c r="AE20" i="9"/>
  <c r="N33" i="9"/>
  <c r="X20" i="9"/>
  <c r="AE31" i="9"/>
  <c r="AE18" i="9"/>
  <c r="C28" i="9"/>
  <c r="J15" i="9"/>
  <c r="I25" i="9"/>
  <c r="J23" i="9"/>
  <c r="O11" i="9"/>
  <c r="Q20" i="9"/>
  <c r="N31" i="9"/>
  <c r="R18" i="9"/>
  <c r="X29" i="9"/>
  <c r="R17" i="9"/>
  <c r="U15" i="9"/>
  <c r="N19" i="9"/>
  <c r="N18" i="9"/>
  <c r="AE11" i="9"/>
  <c r="U30" i="9"/>
  <c r="Q28" i="9"/>
  <c r="X21" i="9"/>
  <c r="R33" i="9"/>
  <c r="C20" i="9"/>
  <c r="C32" i="9"/>
  <c r="AE19" i="9"/>
  <c r="Q30" i="9"/>
  <c r="C18" i="9"/>
  <c r="I26" i="9"/>
  <c r="N14" i="9"/>
  <c r="J24" i="9"/>
  <c r="N22" i="9"/>
  <c r="R10" i="9"/>
  <c r="R19" i="9"/>
  <c r="C30" i="9"/>
  <c r="T17" i="9"/>
  <c r="T28" i="9"/>
  <c r="T16" i="9"/>
  <c r="J10" i="9"/>
  <c r="U14" i="9"/>
  <c r="R27" i="9"/>
  <c r="W29" i="9"/>
  <c r="U33" i="9"/>
  <c r="C21" i="9"/>
  <c r="W30" i="9"/>
  <c r="I18" i="9"/>
  <c r="R30" i="9"/>
  <c r="C19" i="9"/>
  <c r="I29" i="9"/>
  <c r="I16" i="9"/>
  <c r="J25" i="9"/>
  <c r="N23" i="9"/>
  <c r="X32" i="9"/>
  <c r="T18" i="9"/>
  <c r="U28" i="9"/>
  <c r="U16" i="9"/>
  <c r="T27" i="9"/>
  <c r="W15" i="9"/>
  <c r="O32" i="9"/>
  <c r="C31" i="9"/>
  <c r="R28" i="9"/>
  <c r="X28" i="9"/>
  <c r="J32" i="9"/>
  <c r="I19" i="9"/>
  <c r="N29" i="9"/>
  <c r="J17" i="9"/>
  <c r="J29" i="9"/>
  <c r="I17" i="9"/>
  <c r="I27" i="9"/>
  <c r="N15" i="9"/>
  <c r="N24" i="9"/>
  <c r="O22" i="9"/>
  <c r="T10" i="9"/>
  <c r="O31" i="9"/>
  <c r="U17" i="9"/>
  <c r="U27" i="9"/>
  <c r="X15" i="9"/>
  <c r="U26" i="9"/>
  <c r="X14" i="9"/>
  <c r="U25" i="9"/>
  <c r="U24" i="9"/>
  <c r="AE22" i="9"/>
  <c r="C22" i="9"/>
  <c r="O33" i="9"/>
  <c r="AE30" i="9"/>
  <c r="J18" i="9"/>
  <c r="J28" i="9"/>
  <c r="N16" i="9"/>
  <c r="I28" i="9"/>
  <c r="J16" i="9"/>
  <c r="J26" i="9"/>
  <c r="O14" i="9"/>
  <c r="O23" i="9"/>
  <c r="R11" i="9"/>
  <c r="Q21" i="9"/>
  <c r="AE32" i="9"/>
  <c r="T19" i="9"/>
  <c r="W28" i="9"/>
  <c r="W16" i="9"/>
  <c r="W26" i="9"/>
  <c r="AE14" i="9"/>
  <c r="W25" i="9"/>
  <c r="J20" i="9"/>
  <c r="J19" i="9"/>
  <c r="Q17" i="9"/>
  <c r="AE21" i="9"/>
  <c r="T33" i="9"/>
  <c r="Q32" i="9"/>
  <c r="Q29" i="9"/>
  <c r="N17" i="9"/>
  <c r="N27" i="9"/>
  <c r="Q15" i="9"/>
  <c r="J27" i="9"/>
  <c r="O15" i="9"/>
  <c r="N25" i="9"/>
  <c r="Q22" i="9"/>
  <c r="U10" i="9"/>
  <c r="T20" i="9"/>
  <c r="Q31" i="9"/>
  <c r="U18" i="9"/>
  <c r="W27" i="9"/>
  <c r="AE15" i="9"/>
  <c r="X25" i="9"/>
  <c r="C14" i="9"/>
  <c r="X24" i="9"/>
  <c r="C13" i="9"/>
  <c r="T15" i="9"/>
  <c r="X13" i="9"/>
  <c r="X12" i="9"/>
  <c r="U32" i="9"/>
  <c r="R31" i="9"/>
  <c r="N28" i="9"/>
  <c r="O16" i="9"/>
  <c r="O26" i="9"/>
  <c r="R14" i="9"/>
  <c r="N26" i="9"/>
  <c r="Q14" i="9"/>
  <c r="O24" i="9"/>
  <c r="R12" i="9"/>
  <c r="C33" i="9"/>
  <c r="U19" i="9"/>
  <c r="I30" i="9"/>
  <c r="W17" i="9"/>
  <c r="X26" i="9"/>
  <c r="C15" i="9"/>
  <c r="AE24" i="9"/>
  <c r="I12" i="9"/>
  <c r="AE23" i="9"/>
  <c r="I11" i="9"/>
  <c r="I10" i="9"/>
  <c r="T29" i="9"/>
  <c r="O28" i="9"/>
  <c r="C32" i="34"/>
  <c r="I19" i="34"/>
  <c r="AE31" i="34"/>
  <c r="C20" i="34"/>
  <c r="W32" i="34"/>
  <c r="X20" i="34"/>
  <c r="U32" i="34"/>
  <c r="W20" i="34"/>
  <c r="T32" i="34"/>
  <c r="U20" i="34"/>
  <c r="R32" i="34"/>
  <c r="T20" i="34"/>
  <c r="T30" i="34"/>
  <c r="U18" i="34"/>
  <c r="U28" i="34"/>
  <c r="W16" i="34"/>
  <c r="T28" i="34"/>
  <c r="U16" i="34"/>
  <c r="J32" i="34"/>
  <c r="J11" i="34"/>
  <c r="T16" i="34"/>
  <c r="I31" i="34"/>
  <c r="O19" i="34"/>
  <c r="C12" i="34"/>
  <c r="I30" i="34"/>
  <c r="J18" i="34"/>
  <c r="C31" i="34"/>
  <c r="I18" i="34"/>
  <c r="X31" i="34"/>
  <c r="AE19" i="34"/>
  <c r="W31" i="34"/>
  <c r="X19" i="34"/>
  <c r="U31" i="34"/>
  <c r="W19" i="34"/>
  <c r="T31" i="34"/>
  <c r="U19" i="34"/>
  <c r="U29" i="34"/>
  <c r="W17" i="34"/>
  <c r="W27" i="34"/>
  <c r="AE15" i="34"/>
  <c r="U27" i="34"/>
  <c r="X15" i="34"/>
  <c r="R28" i="34"/>
  <c r="O28" i="34"/>
  <c r="W13" i="34"/>
  <c r="Q27" i="34"/>
  <c r="X12" i="34"/>
  <c r="O18" i="34"/>
  <c r="J29" i="34"/>
  <c r="N17" i="34"/>
  <c r="I29" i="34"/>
  <c r="J17" i="34"/>
  <c r="AE30" i="34"/>
  <c r="C19" i="34"/>
  <c r="X30" i="34"/>
  <c r="AE18" i="34"/>
  <c r="W30" i="34"/>
  <c r="X18" i="34"/>
  <c r="U30" i="34"/>
  <c r="W18" i="34"/>
  <c r="W28" i="34"/>
  <c r="X16" i="34"/>
  <c r="X26" i="34"/>
  <c r="C15" i="34"/>
  <c r="W26" i="34"/>
  <c r="AE14" i="34"/>
  <c r="X24" i="34"/>
  <c r="U24" i="34"/>
  <c r="W25" i="34"/>
  <c r="W23" i="34"/>
  <c r="R10" i="34"/>
  <c r="AE33" i="34"/>
  <c r="N28" i="34"/>
  <c r="O16" i="34"/>
  <c r="J28" i="34"/>
  <c r="N16" i="34"/>
  <c r="C30" i="34"/>
  <c r="I17" i="34"/>
  <c r="AE29" i="34"/>
  <c r="C18" i="34"/>
  <c r="X29" i="34"/>
  <c r="AE17" i="34"/>
  <c r="W29" i="34"/>
  <c r="X17" i="34"/>
  <c r="X27" i="34"/>
  <c r="C16" i="34"/>
  <c r="AE25" i="34"/>
  <c r="I13" i="34"/>
  <c r="X25" i="34"/>
  <c r="C14" i="34"/>
  <c r="I21" i="34"/>
  <c r="O17" i="34"/>
  <c r="AE11" i="34"/>
  <c r="I20" i="34"/>
  <c r="Q18" i="34"/>
  <c r="J30" i="34"/>
  <c r="O27" i="34"/>
  <c r="R15" i="34"/>
  <c r="N27" i="34"/>
  <c r="Q15" i="34"/>
  <c r="I28" i="34"/>
  <c r="J16" i="34"/>
  <c r="C29" i="34"/>
  <c r="I16" i="34"/>
  <c r="AE28" i="34"/>
  <c r="C17" i="34"/>
  <c r="X28" i="34"/>
  <c r="AE16" i="34"/>
  <c r="AE26" i="34"/>
  <c r="I14" i="34"/>
  <c r="C25" i="34"/>
  <c r="J12" i="34"/>
  <c r="AE24" i="34"/>
  <c r="C33" i="34"/>
  <c r="R17" i="34"/>
  <c r="X13" i="34"/>
  <c r="J31" i="34"/>
  <c r="Q16" i="34"/>
  <c r="U25" i="34"/>
  <c r="R26" i="34"/>
  <c r="Q26" i="34"/>
  <c r="T14" i="34"/>
  <c r="O26" i="34"/>
  <c r="R14" i="34"/>
  <c r="J27" i="34"/>
  <c r="O15" i="34"/>
  <c r="I27" i="34"/>
  <c r="N15" i="34"/>
  <c r="C28" i="34"/>
  <c r="J15" i="34"/>
  <c r="AE27" i="34"/>
  <c r="I15" i="34"/>
  <c r="C26" i="34"/>
  <c r="J13" i="34"/>
  <c r="I23" i="34"/>
  <c r="N11" i="34"/>
  <c r="C24" i="34"/>
  <c r="N29" i="34"/>
  <c r="U14" i="34"/>
  <c r="I11" i="34"/>
  <c r="R27" i="34"/>
  <c r="AE12" i="34"/>
  <c r="N30" i="34"/>
  <c r="X22" i="34"/>
  <c r="R25" i="34"/>
  <c r="U13" i="34"/>
  <c r="Q25" i="34"/>
  <c r="T13" i="34"/>
  <c r="N26" i="34"/>
  <c r="Q14" i="34"/>
  <c r="J26" i="34"/>
  <c r="O14" i="34"/>
  <c r="I26" i="34"/>
  <c r="N14" i="34"/>
  <c r="C27" i="34"/>
  <c r="J14" i="34"/>
  <c r="I24" i="34"/>
  <c r="N12" i="34"/>
  <c r="J22" i="34"/>
  <c r="Q10" i="34"/>
  <c r="I22" i="34"/>
  <c r="T25" i="34"/>
  <c r="O11" i="34"/>
  <c r="I33" i="34"/>
  <c r="X23" i="34"/>
  <c r="T10" i="34"/>
  <c r="T26" i="34"/>
  <c r="J19" i="34"/>
  <c r="T24" i="34"/>
  <c r="W12" i="34"/>
  <c r="R24" i="34"/>
  <c r="U12" i="34"/>
  <c r="O25" i="34"/>
  <c r="R13" i="34"/>
  <c r="N25" i="34"/>
  <c r="Q13" i="34"/>
  <c r="J25" i="34"/>
  <c r="O13" i="34"/>
  <c r="I25" i="34"/>
  <c r="N13" i="34"/>
  <c r="J23" i="34"/>
  <c r="N33" i="34"/>
  <c r="N21" i="34"/>
  <c r="J33" i="34"/>
  <c r="J21" i="34"/>
  <c r="AE21" i="34"/>
  <c r="I32" i="34"/>
  <c r="X14" i="34"/>
  <c r="J20" i="34"/>
  <c r="J10" i="34"/>
  <c r="AE22" i="34"/>
  <c r="U15" i="34"/>
  <c r="U23" i="34"/>
  <c r="X11" i="34"/>
  <c r="T23" i="34"/>
  <c r="W11" i="34"/>
  <c r="Q24" i="34"/>
  <c r="T12" i="34"/>
  <c r="O24" i="34"/>
  <c r="R12" i="34"/>
  <c r="N24" i="34"/>
  <c r="Q12" i="34"/>
  <c r="J24" i="34"/>
  <c r="O12" i="34"/>
  <c r="N22" i="34"/>
  <c r="O32" i="34"/>
  <c r="Q20" i="34"/>
  <c r="N32" i="34"/>
  <c r="O20" i="34"/>
  <c r="N18" i="34"/>
  <c r="Q28" i="34"/>
  <c r="N31" i="34"/>
  <c r="R16" i="34"/>
  <c r="I10" i="34"/>
  <c r="N19" i="34"/>
  <c r="N10" i="34"/>
  <c r="W22" i="34"/>
  <c r="C11" i="34"/>
  <c r="U22" i="34"/>
  <c r="AE10" i="34"/>
  <c r="R23" i="34"/>
  <c r="U11" i="34"/>
  <c r="Q23" i="34"/>
  <c r="T11" i="34"/>
  <c r="O23" i="34"/>
  <c r="R11" i="34"/>
  <c r="N23" i="34"/>
  <c r="O33" i="34"/>
  <c r="O21" i="34"/>
  <c r="Q31" i="34"/>
  <c r="R19" i="34"/>
  <c r="O31" i="34"/>
  <c r="Q19" i="34"/>
  <c r="W14" i="34"/>
  <c r="W24" i="34"/>
  <c r="T27" i="34"/>
  <c r="C13" i="34"/>
  <c r="O30" i="34"/>
  <c r="W15" i="34"/>
  <c r="Q29" i="34"/>
  <c r="X33" i="34"/>
  <c r="X21" i="34"/>
  <c r="W33" i="34"/>
  <c r="W21" i="34"/>
  <c r="C10" i="34"/>
  <c r="T22" i="34"/>
  <c r="X10" i="34"/>
  <c r="R22" i="34"/>
  <c r="W10" i="34"/>
  <c r="Q22" i="34"/>
  <c r="U10" i="34"/>
  <c r="O22" i="34"/>
  <c r="Q32" i="34"/>
  <c r="R20" i="34"/>
  <c r="R30" i="34"/>
  <c r="T18" i="34"/>
  <c r="Q30" i="34"/>
  <c r="R18" i="34"/>
  <c r="Q11" i="34"/>
  <c r="Q17" i="34"/>
  <c r="AE23" i="34"/>
  <c r="T15" i="34"/>
  <c r="U26" i="34"/>
  <c r="I12" i="34"/>
  <c r="AE32" i="34"/>
  <c r="C21" i="34"/>
  <c r="X32" i="34"/>
  <c r="AE20" i="34"/>
  <c r="U33" i="34"/>
  <c r="U21" i="34"/>
  <c r="T33" i="34"/>
  <c r="T21" i="34"/>
  <c r="R33" i="34"/>
  <c r="R21" i="34"/>
  <c r="Q33" i="34"/>
  <c r="Q21" i="34"/>
  <c r="R31" i="34"/>
  <c r="T19" i="34"/>
  <c r="T29" i="34"/>
  <c r="U17" i="34"/>
  <c r="R29" i="34"/>
  <c r="T17" i="34"/>
  <c r="O29" i="34"/>
  <c r="AE13" i="34"/>
  <c r="N20" i="34"/>
  <c r="C22" i="34"/>
  <c r="C23" i="34"/>
  <c r="O10" i="34"/>
  <c r="U12" i="33"/>
  <c r="O27" i="33"/>
  <c r="Q14" i="33"/>
  <c r="O26" i="33"/>
  <c r="X32" i="33"/>
  <c r="R15" i="33"/>
  <c r="O17" i="33"/>
  <c r="N29" i="33"/>
  <c r="Q17" i="33"/>
  <c r="O29" i="33"/>
  <c r="Q18" i="33"/>
  <c r="O30" i="33"/>
  <c r="R18" i="33"/>
  <c r="Q30" i="33"/>
  <c r="T18" i="33"/>
  <c r="R30" i="33"/>
  <c r="U18" i="33"/>
  <c r="T30" i="33"/>
  <c r="W18" i="33"/>
  <c r="U30" i="33"/>
  <c r="X18" i="33"/>
  <c r="W30" i="33"/>
  <c r="AE18" i="33"/>
  <c r="X30" i="33"/>
  <c r="X21" i="8"/>
  <c r="N17" i="8"/>
  <c r="U23" i="8"/>
  <c r="X23" i="8"/>
  <c r="X20" i="8"/>
  <c r="AE17" i="8"/>
  <c r="O13" i="8"/>
  <c r="X11" i="8"/>
  <c r="U10" i="8"/>
  <c r="I30" i="8"/>
  <c r="W24" i="8"/>
  <c r="I23" i="8"/>
  <c r="U21" i="8"/>
  <c r="Q15" i="8"/>
  <c r="N27" i="8"/>
  <c r="O28" i="8"/>
  <c r="T16" i="8"/>
  <c r="R28" i="8"/>
  <c r="U16" i="8"/>
  <c r="T28" i="8"/>
  <c r="X16" i="8"/>
  <c r="W28" i="8"/>
  <c r="W18" i="8"/>
  <c r="U30" i="8"/>
  <c r="U17" i="26"/>
  <c r="O15" i="26"/>
  <c r="O10" i="26"/>
  <c r="R10" i="26"/>
  <c r="X20" i="26"/>
  <c r="C15" i="26"/>
  <c r="Q32" i="26"/>
  <c r="I25" i="26"/>
  <c r="N24" i="26"/>
  <c r="Q13" i="26"/>
  <c r="N25" i="26"/>
  <c r="Q24" i="26"/>
  <c r="W11" i="26"/>
  <c r="T23" i="26"/>
  <c r="X11" i="26"/>
  <c r="U23" i="26"/>
  <c r="X12" i="26"/>
  <c r="U24" i="26"/>
  <c r="X13" i="26"/>
  <c r="U25" i="26"/>
  <c r="W15" i="26"/>
  <c r="T27" i="26"/>
  <c r="T17" i="26"/>
  <c r="R29" i="26"/>
  <c r="I23" i="28"/>
  <c r="T29" i="28"/>
  <c r="I25" i="28"/>
  <c r="Q11" i="28"/>
  <c r="W17" i="28"/>
  <c r="U29" i="28"/>
  <c r="AE17" i="28"/>
  <c r="X29" i="28"/>
  <c r="C18" i="28"/>
  <c r="AE29" i="28"/>
  <c r="I17" i="28"/>
  <c r="C30" i="28"/>
  <c r="N16" i="28"/>
  <c r="J28" i="28"/>
  <c r="O16" i="28"/>
  <c r="N28" i="28"/>
  <c r="Q16" i="28"/>
  <c r="O28" i="28"/>
  <c r="R16" i="28"/>
  <c r="Q28" i="28"/>
  <c r="R17" i="28"/>
  <c r="Q29" i="28"/>
  <c r="T17" i="28"/>
  <c r="R29" i="28"/>
  <c r="X17" i="19"/>
  <c r="W29" i="19"/>
  <c r="I31" i="19"/>
  <c r="R21" i="19"/>
  <c r="T21" i="19"/>
  <c r="T12" i="19"/>
  <c r="O25" i="19"/>
  <c r="I18" i="19"/>
  <c r="J18" i="19"/>
  <c r="I20" i="19"/>
  <c r="AE33" i="19"/>
  <c r="I33" i="10"/>
  <c r="I21" i="10"/>
  <c r="I32" i="10"/>
  <c r="J20" i="10"/>
  <c r="C33" i="10"/>
  <c r="I20" i="10"/>
  <c r="AE32" i="10"/>
  <c r="C21" i="10"/>
  <c r="X32" i="10"/>
  <c r="AE20" i="10"/>
  <c r="U33" i="10"/>
  <c r="U21" i="10"/>
  <c r="T33" i="10"/>
  <c r="T21" i="10"/>
  <c r="R33" i="10"/>
  <c r="R21" i="10"/>
  <c r="Q33" i="10"/>
  <c r="Q21" i="10"/>
  <c r="O33" i="10"/>
  <c r="O21" i="10"/>
  <c r="R29" i="10"/>
  <c r="J22" i="10"/>
  <c r="N11" i="10"/>
  <c r="Q10" i="10"/>
  <c r="J32" i="10"/>
  <c r="N20" i="10"/>
  <c r="J31" i="10"/>
  <c r="N19" i="10"/>
  <c r="I31" i="10"/>
  <c r="J19" i="10"/>
  <c r="C32" i="10"/>
  <c r="I19" i="10"/>
  <c r="AE31" i="10"/>
  <c r="C20" i="10"/>
  <c r="W32" i="10"/>
  <c r="X20" i="10"/>
  <c r="U32" i="10"/>
  <c r="W20" i="10"/>
  <c r="N31" i="10"/>
  <c r="O19" i="10"/>
  <c r="N30" i="10"/>
  <c r="O18" i="10"/>
  <c r="J30" i="10"/>
  <c r="N18" i="10"/>
  <c r="I30" i="10"/>
  <c r="J18" i="10"/>
  <c r="C31" i="10"/>
  <c r="I18" i="10"/>
  <c r="X31" i="10"/>
  <c r="AE19" i="10"/>
  <c r="W31" i="10"/>
  <c r="X19" i="10"/>
  <c r="O30" i="10"/>
  <c r="O29" i="10"/>
  <c r="Q17" i="10"/>
  <c r="N29" i="10"/>
  <c r="O17" i="10"/>
  <c r="J29" i="10"/>
  <c r="N17" i="10"/>
  <c r="I29" i="10"/>
  <c r="J17" i="10"/>
  <c r="AE30" i="10"/>
  <c r="C19" i="10"/>
  <c r="X30" i="10"/>
  <c r="AE18" i="10"/>
  <c r="W30" i="10"/>
  <c r="X18" i="10"/>
  <c r="U30" i="10"/>
  <c r="Q29" i="10"/>
  <c r="Q28" i="10"/>
  <c r="O28" i="10"/>
  <c r="Q16" i="10"/>
  <c r="N28" i="10"/>
  <c r="O16" i="10"/>
  <c r="J28" i="10"/>
  <c r="N16" i="10"/>
  <c r="C30" i="10"/>
  <c r="I17" i="10"/>
  <c r="AE29" i="10"/>
  <c r="C18" i="10"/>
  <c r="X29" i="10"/>
  <c r="AE17" i="10"/>
  <c r="W29" i="10"/>
  <c r="X17" i="10"/>
  <c r="U29" i="10"/>
  <c r="W17" i="10"/>
  <c r="R28" i="10"/>
  <c r="T16" i="10"/>
  <c r="R27" i="10"/>
  <c r="U15" i="10"/>
  <c r="Q27" i="10"/>
  <c r="T15" i="10"/>
  <c r="O27" i="10"/>
  <c r="R15" i="10"/>
  <c r="N27" i="10"/>
  <c r="Q15" i="10"/>
  <c r="I28" i="10"/>
  <c r="J16" i="10"/>
  <c r="C29" i="10"/>
  <c r="I16" i="10"/>
  <c r="AE28" i="10"/>
  <c r="C17" i="10"/>
  <c r="X28" i="10"/>
  <c r="AE16" i="10"/>
  <c r="W28" i="10"/>
  <c r="U26" i="10"/>
  <c r="X14" i="10"/>
  <c r="U25" i="10"/>
  <c r="X13" i="10"/>
  <c r="T25" i="10"/>
  <c r="W13" i="10"/>
  <c r="U13" i="10"/>
  <c r="N26" i="10"/>
  <c r="Q14" i="10"/>
  <c r="J26" i="10"/>
  <c r="O14" i="10"/>
  <c r="I26" i="10"/>
  <c r="N14" i="10"/>
  <c r="C27" i="10"/>
  <c r="J14" i="10"/>
  <c r="AE26" i="10"/>
  <c r="I14" i="10"/>
  <c r="I13" i="10"/>
  <c r="I12" i="10"/>
  <c r="AE15" i="10"/>
  <c r="W25" i="10"/>
  <c r="AE13" i="10"/>
  <c r="W24" i="10"/>
  <c r="AE12" i="10"/>
  <c r="U24" i="10"/>
  <c r="X12" i="10"/>
  <c r="T24" i="10"/>
  <c r="W12" i="10"/>
  <c r="U12" i="10"/>
  <c r="O25" i="10"/>
  <c r="R13" i="10"/>
  <c r="N25" i="10"/>
  <c r="J25" i="10"/>
  <c r="O13" i="10"/>
  <c r="I25" i="10"/>
  <c r="C26" i="10"/>
  <c r="J13" i="10"/>
  <c r="T28" i="10"/>
  <c r="O32" i="10"/>
  <c r="O31" i="10"/>
  <c r="T29" i="10"/>
  <c r="X24" i="10"/>
  <c r="C13" i="10"/>
  <c r="X23" i="10"/>
  <c r="C12" i="10"/>
  <c r="W23" i="10"/>
  <c r="AE11" i="10"/>
  <c r="U23" i="10"/>
  <c r="X11" i="10"/>
  <c r="T23" i="10"/>
  <c r="W11" i="10"/>
  <c r="O24" i="10"/>
  <c r="R12" i="10"/>
  <c r="N24" i="10"/>
  <c r="J24" i="10"/>
  <c r="O12" i="10"/>
  <c r="I24" i="10"/>
  <c r="U17" i="10"/>
  <c r="X26" i="10"/>
  <c r="X25" i="10"/>
  <c r="AE24" i="10"/>
  <c r="AE23" i="10"/>
  <c r="I11" i="10"/>
  <c r="AE22" i="10"/>
  <c r="J10" i="10"/>
  <c r="X22" i="10"/>
  <c r="I10" i="10"/>
  <c r="W22" i="10"/>
  <c r="C11" i="10"/>
  <c r="U22" i="10"/>
  <c r="AE10" i="10"/>
  <c r="R23" i="10"/>
  <c r="U11" i="10"/>
  <c r="Q23" i="10"/>
  <c r="T11" i="10"/>
  <c r="O23" i="10"/>
  <c r="R11" i="10"/>
  <c r="N23" i="10"/>
  <c r="Q11" i="10"/>
  <c r="J23" i="10"/>
  <c r="O11" i="10"/>
  <c r="N33" i="10"/>
  <c r="C23" i="10"/>
  <c r="N10" i="10"/>
  <c r="C22" i="10"/>
  <c r="AE33" i="10"/>
  <c r="AE21" i="10"/>
  <c r="X33" i="10"/>
  <c r="X21" i="10"/>
  <c r="W33" i="10"/>
  <c r="W21" i="10"/>
  <c r="C10" i="10"/>
  <c r="T22" i="10"/>
  <c r="X10" i="10"/>
  <c r="R22" i="10"/>
  <c r="W10" i="10"/>
  <c r="Q22" i="10"/>
  <c r="U10" i="10"/>
  <c r="O22" i="10"/>
  <c r="T10" i="10"/>
  <c r="N22" i="10"/>
  <c r="R10" i="10"/>
  <c r="W27" i="10"/>
  <c r="T26" i="10"/>
  <c r="T32" i="10"/>
  <c r="I15" i="10"/>
  <c r="C14" i="10"/>
  <c r="N32" i="10"/>
  <c r="O10" i="10"/>
  <c r="W14" i="10"/>
  <c r="U31" i="10"/>
  <c r="Q32" i="10"/>
  <c r="U28" i="10"/>
  <c r="W26" i="10"/>
  <c r="AE14" i="10"/>
  <c r="R26" i="10"/>
  <c r="C28" i="10"/>
  <c r="R31" i="10"/>
  <c r="I23" i="10"/>
  <c r="J21" i="10"/>
  <c r="Q30" i="10"/>
  <c r="U14" i="10"/>
  <c r="U20" i="10"/>
  <c r="T30" i="10"/>
  <c r="R18" i="10"/>
  <c r="J11" i="10"/>
  <c r="R19" i="10"/>
  <c r="Q26" i="10"/>
  <c r="W19" i="10"/>
  <c r="X27" i="10"/>
  <c r="T17" i="10"/>
  <c r="Q31" i="10"/>
  <c r="T14" i="10"/>
  <c r="J15" i="10"/>
  <c r="R20" i="10"/>
  <c r="J12" i="10"/>
  <c r="AE25" i="10"/>
  <c r="O26" i="10"/>
  <c r="R32" i="10"/>
  <c r="T19" i="10"/>
  <c r="J33" i="10"/>
  <c r="Q20" i="10"/>
  <c r="R14" i="10"/>
  <c r="T31" i="10"/>
  <c r="U18" i="10"/>
  <c r="U27" i="10"/>
  <c r="X15" i="10"/>
  <c r="J27" i="10"/>
  <c r="AE27" i="10"/>
  <c r="X16" i="10"/>
  <c r="I22" i="10"/>
  <c r="R30" i="10"/>
  <c r="O15" i="10"/>
  <c r="T20" i="10"/>
  <c r="C16" i="10"/>
  <c r="W16" i="10"/>
  <c r="C25" i="10"/>
  <c r="T27" i="10"/>
  <c r="I27" i="10"/>
  <c r="U19" i="10"/>
  <c r="C24" i="10"/>
  <c r="N21" i="10"/>
  <c r="O20" i="10"/>
  <c r="T18" i="10"/>
  <c r="U16" i="10"/>
  <c r="C15" i="10"/>
  <c r="W15" i="10"/>
  <c r="N15" i="10"/>
  <c r="W18" i="10"/>
  <c r="I33" i="5"/>
  <c r="Q28" i="5"/>
  <c r="X33" i="5"/>
  <c r="C31" i="5"/>
  <c r="AE25" i="5"/>
  <c r="X13" i="5"/>
  <c r="R30" i="5"/>
  <c r="Q16" i="5"/>
  <c r="W31" i="5"/>
  <c r="O16" i="5"/>
  <c r="U28" i="5"/>
  <c r="AE29" i="5"/>
  <c r="J16" i="5"/>
  <c r="I28" i="5"/>
  <c r="N15" i="5"/>
  <c r="Q31" i="5"/>
  <c r="C17" i="5"/>
  <c r="C28" i="5"/>
  <c r="I15" i="5"/>
  <c r="T29" i="5"/>
  <c r="C16" i="5"/>
  <c r="X30" i="5"/>
  <c r="W16" i="5"/>
  <c r="I32" i="5"/>
  <c r="J31" i="5"/>
  <c r="O28" i="5"/>
  <c r="N30" i="5"/>
  <c r="AE32" i="5"/>
  <c r="J28" i="5"/>
  <c r="AE22" i="5"/>
  <c r="W30" i="5"/>
  <c r="W23" i="5"/>
  <c r="I10" i="5"/>
  <c r="X21" i="5"/>
  <c r="C26" i="5"/>
  <c r="I18" i="5"/>
  <c r="N33" i="5"/>
  <c r="I17" i="5"/>
  <c r="X26" i="5"/>
  <c r="J25" i="5"/>
  <c r="O22" i="5"/>
  <c r="AE24" i="5"/>
  <c r="R20" i="5"/>
  <c r="AE23" i="5"/>
  <c r="R19" i="5"/>
  <c r="X24" i="5"/>
  <c r="O29" i="5"/>
  <c r="C32" i="5"/>
  <c r="N27" i="5"/>
  <c r="C22" i="5"/>
  <c r="O20" i="5"/>
  <c r="X22" i="5"/>
  <c r="W27" i="5"/>
  <c r="C21" i="5"/>
  <c r="O33" i="5"/>
  <c r="J17" i="5"/>
  <c r="T31" i="5"/>
  <c r="N25" i="5"/>
  <c r="R12" i="5"/>
  <c r="N24" i="5"/>
  <c r="R11" i="5"/>
  <c r="Q21" i="5"/>
  <c r="T17" i="5"/>
  <c r="T19" i="5"/>
  <c r="R17" i="5"/>
  <c r="T18" i="5"/>
  <c r="T16" i="5"/>
  <c r="R27" i="5"/>
  <c r="I30" i="5"/>
  <c r="O26" i="5"/>
  <c r="J20" i="5"/>
  <c r="I12" i="5"/>
  <c r="AE21" i="5"/>
  <c r="I19" i="5"/>
  <c r="U31" i="5"/>
  <c r="N16" i="5"/>
  <c r="T28" i="5"/>
  <c r="O24" i="5"/>
  <c r="T11" i="5"/>
  <c r="O23" i="5"/>
  <c r="U10" i="5"/>
  <c r="T20" i="5"/>
  <c r="O10" i="5"/>
  <c r="U18" i="5"/>
  <c r="C13" i="5"/>
  <c r="U17" i="5"/>
  <c r="T26" i="5"/>
  <c r="J29" i="5"/>
  <c r="Q25" i="5"/>
  <c r="N19" i="5"/>
  <c r="U30" i="5"/>
  <c r="I20" i="5"/>
  <c r="J11" i="5"/>
  <c r="J18" i="5"/>
  <c r="C30" i="5"/>
  <c r="R14" i="5"/>
  <c r="AE26" i="5"/>
  <c r="R13" i="5"/>
  <c r="Q23" i="5"/>
  <c r="W10" i="5"/>
  <c r="Q22" i="5"/>
  <c r="R18" i="5"/>
  <c r="U19" i="5"/>
  <c r="W17" i="5"/>
  <c r="R32" i="5"/>
  <c r="AE15" i="5"/>
  <c r="U25" i="5"/>
  <c r="N28" i="5"/>
  <c r="R33" i="5"/>
  <c r="O18" i="5"/>
  <c r="C23" i="5"/>
  <c r="J19" i="5"/>
  <c r="O19" i="5"/>
  <c r="N17" i="5"/>
  <c r="C27" i="5"/>
  <c r="O25" i="5"/>
  <c r="R22" i="5"/>
  <c r="I22" i="5"/>
  <c r="R21" i="5"/>
  <c r="W15" i="5"/>
  <c r="W18" i="5"/>
  <c r="T32" i="5"/>
  <c r="X16" i="5"/>
  <c r="R29" i="5"/>
  <c r="C15" i="5"/>
  <c r="J32" i="5"/>
  <c r="AE33" i="5"/>
  <c r="O27" i="5"/>
  <c r="U33" i="5"/>
  <c r="Q17" i="5"/>
  <c r="X14" i="5"/>
  <c r="N18" i="5"/>
  <c r="Q33" i="5"/>
  <c r="R15" i="5"/>
  <c r="T25" i="5"/>
  <c r="U12" i="5"/>
  <c r="Q24" i="5"/>
  <c r="U11" i="5"/>
  <c r="T21" i="5"/>
  <c r="AE14" i="5"/>
  <c r="U20" i="5"/>
  <c r="U32" i="5"/>
  <c r="X17" i="5"/>
  <c r="AE30" i="5"/>
  <c r="I14" i="5"/>
  <c r="X27" i="5"/>
  <c r="I13" i="5"/>
  <c r="N31" i="5"/>
  <c r="C33" i="5"/>
  <c r="Q26" i="5"/>
  <c r="N32" i="5"/>
  <c r="R16" i="5"/>
  <c r="T33" i="5"/>
  <c r="O17" i="5"/>
  <c r="Q30" i="5"/>
  <c r="T14" i="5"/>
  <c r="W11" i="5"/>
  <c r="R23" i="5"/>
  <c r="X10" i="5"/>
  <c r="W20" i="5"/>
  <c r="C29" i="5"/>
  <c r="W19" i="5"/>
  <c r="O31" i="5"/>
  <c r="AE16" i="5"/>
  <c r="AE27" i="5"/>
  <c r="J13" i="5"/>
  <c r="I26" i="5"/>
  <c r="J12" i="5"/>
  <c r="O30" i="5"/>
  <c r="I31" i="5"/>
  <c r="T30" i="5"/>
  <c r="U15" i="5"/>
  <c r="X31" i="5"/>
  <c r="T15" i="5"/>
  <c r="W28" i="5"/>
  <c r="U13" i="5"/>
  <c r="T23" i="5"/>
  <c r="AE10" i="5"/>
  <c r="T22" i="5"/>
  <c r="X15" i="5"/>
  <c r="X19" i="5"/>
  <c r="N20" i="5"/>
  <c r="X18" i="5"/>
  <c r="U29" i="5"/>
  <c r="J14" i="5"/>
  <c r="J26" i="5"/>
  <c r="C25" i="5"/>
  <c r="N11" i="5"/>
  <c r="Q29" i="5"/>
  <c r="J30" i="5"/>
  <c r="W33" i="5"/>
  <c r="AE28" i="5"/>
  <c r="W14" i="5"/>
  <c r="X28" i="5"/>
  <c r="U14" i="5"/>
  <c r="W25" i="5"/>
  <c r="W12" i="5"/>
  <c r="U22" i="5"/>
  <c r="C10" i="5"/>
  <c r="U21" i="5"/>
  <c r="I11" i="5"/>
  <c r="AE18" i="5"/>
  <c r="AE17" i="5"/>
  <c r="N26" i="5"/>
  <c r="I24" i="5"/>
  <c r="O11" i="5"/>
  <c r="I23" i="5"/>
  <c r="Q10" i="5"/>
  <c r="R28" i="5"/>
  <c r="N29" i="5"/>
  <c r="X32" i="5"/>
  <c r="J27" i="5"/>
  <c r="I27" i="5"/>
  <c r="W13" i="5"/>
  <c r="T24" i="5"/>
  <c r="X11" i="5"/>
  <c r="W21" i="5"/>
  <c r="U16" i="5"/>
  <c r="X20" i="5"/>
  <c r="J33" i="5"/>
  <c r="C18" i="5"/>
  <c r="W32" i="5"/>
  <c r="J15" i="5"/>
  <c r="I25" i="5"/>
  <c r="O12" i="5"/>
  <c r="J23" i="5"/>
  <c r="R10" i="5"/>
  <c r="J22" i="5"/>
  <c r="Q32" i="5"/>
  <c r="T27" i="5"/>
  <c r="Q27" i="5"/>
  <c r="AE31" i="5"/>
  <c r="W24" i="5"/>
  <c r="C12" i="5"/>
  <c r="X25" i="5"/>
  <c r="X12" i="5"/>
  <c r="U23" i="5"/>
  <c r="C11" i="5"/>
  <c r="AE20" i="5"/>
  <c r="I21" i="5"/>
  <c r="AE19" i="5"/>
  <c r="R31" i="5"/>
  <c r="I16" i="5"/>
  <c r="W29" i="5"/>
  <c r="N14" i="5"/>
  <c r="J24" i="5"/>
  <c r="Q11" i="5"/>
  <c r="N22" i="5"/>
  <c r="C14" i="5"/>
  <c r="N21" i="5"/>
  <c r="J21" i="5"/>
  <c r="C20" i="5"/>
  <c r="O32" i="5"/>
  <c r="N10" i="5"/>
  <c r="C19" i="5"/>
  <c r="U26" i="5"/>
  <c r="X29" i="5"/>
  <c r="R26" i="5"/>
  <c r="I29" i="5"/>
  <c r="W26" i="5"/>
  <c r="X23" i="5"/>
  <c r="O13" i="5"/>
  <c r="J10" i="5"/>
  <c r="N23" i="5"/>
  <c r="U24" i="5"/>
  <c r="T10" i="5"/>
  <c r="AE11" i="5"/>
  <c r="O21" i="5"/>
  <c r="W22" i="5"/>
  <c r="U27" i="5"/>
  <c r="C24" i="5"/>
  <c r="Q20" i="5"/>
  <c r="N30" i="23"/>
  <c r="O18" i="23"/>
  <c r="J30" i="23"/>
  <c r="N18" i="23"/>
  <c r="I30" i="23"/>
  <c r="J18" i="23"/>
  <c r="C31" i="23"/>
  <c r="I18" i="23"/>
  <c r="X31" i="23"/>
  <c r="AE19" i="23"/>
  <c r="W31" i="23"/>
  <c r="X19" i="23"/>
  <c r="U31" i="23"/>
  <c r="W19" i="23"/>
  <c r="T31" i="23"/>
  <c r="U19" i="23"/>
  <c r="R31" i="23"/>
  <c r="T19" i="23"/>
  <c r="Q31" i="23"/>
  <c r="R19" i="23"/>
  <c r="J21" i="23"/>
  <c r="O20" i="23"/>
  <c r="R29" i="23"/>
  <c r="T17" i="23"/>
  <c r="O29" i="23"/>
  <c r="Q17" i="23"/>
  <c r="N29" i="23"/>
  <c r="O17" i="23"/>
  <c r="J29" i="23"/>
  <c r="N17" i="23"/>
  <c r="I29" i="23"/>
  <c r="J17" i="23"/>
  <c r="AE30" i="23"/>
  <c r="C19" i="23"/>
  <c r="X30" i="23"/>
  <c r="AE18" i="23"/>
  <c r="W30" i="23"/>
  <c r="X18" i="23"/>
  <c r="U30" i="23"/>
  <c r="W18" i="23"/>
  <c r="T30" i="23"/>
  <c r="U18" i="23"/>
  <c r="R30" i="23"/>
  <c r="T18" i="23"/>
  <c r="T16" i="23"/>
  <c r="W15" i="23"/>
  <c r="C24" i="23"/>
  <c r="C13" i="23"/>
  <c r="Q28" i="23"/>
  <c r="R16" i="23"/>
  <c r="O28" i="23"/>
  <c r="Q16" i="23"/>
  <c r="N28" i="23"/>
  <c r="O16" i="23"/>
  <c r="J28" i="23"/>
  <c r="N16" i="23"/>
  <c r="C30" i="23"/>
  <c r="I17" i="23"/>
  <c r="AE29" i="23"/>
  <c r="C18" i="23"/>
  <c r="X29" i="23"/>
  <c r="AE17" i="23"/>
  <c r="W29" i="23"/>
  <c r="X17" i="23"/>
  <c r="U29" i="23"/>
  <c r="W17" i="23"/>
  <c r="T29" i="23"/>
  <c r="U17" i="23"/>
  <c r="J11" i="23"/>
  <c r="O10" i="23"/>
  <c r="O19" i="23"/>
  <c r="I22" i="23"/>
  <c r="R27" i="23"/>
  <c r="U15" i="23"/>
  <c r="Q27" i="23"/>
  <c r="T15" i="23"/>
  <c r="O27" i="23"/>
  <c r="R15" i="23"/>
  <c r="N27" i="23"/>
  <c r="Q15" i="23"/>
  <c r="I28" i="23"/>
  <c r="J16" i="23"/>
  <c r="C29" i="23"/>
  <c r="I16" i="23"/>
  <c r="AE28" i="23"/>
  <c r="C17" i="23"/>
  <c r="X28" i="23"/>
  <c r="AE16" i="23"/>
  <c r="W28" i="23"/>
  <c r="X16" i="23"/>
  <c r="U28" i="23"/>
  <c r="W16" i="23"/>
  <c r="J32" i="23"/>
  <c r="Q30" i="23"/>
  <c r="C14" i="23"/>
  <c r="R17" i="23"/>
  <c r="T26" i="23"/>
  <c r="W14" i="23"/>
  <c r="R26" i="23"/>
  <c r="U14" i="23"/>
  <c r="Q26" i="23"/>
  <c r="T14" i="23"/>
  <c r="O26" i="23"/>
  <c r="R14" i="23"/>
  <c r="J27" i="23"/>
  <c r="O15" i="23"/>
  <c r="I27" i="23"/>
  <c r="N15" i="23"/>
  <c r="C28" i="23"/>
  <c r="J15" i="23"/>
  <c r="AE27" i="23"/>
  <c r="I15" i="23"/>
  <c r="X27" i="23"/>
  <c r="C16" i="23"/>
  <c r="W27" i="23"/>
  <c r="AE15" i="23"/>
  <c r="U26" i="23"/>
  <c r="AE24" i="23"/>
  <c r="Q29" i="23"/>
  <c r="U16" i="23"/>
  <c r="U25" i="23"/>
  <c r="X13" i="23"/>
  <c r="T25" i="23"/>
  <c r="W13" i="23"/>
  <c r="R25" i="23"/>
  <c r="U13" i="23"/>
  <c r="Q25" i="23"/>
  <c r="T13" i="23"/>
  <c r="N26" i="23"/>
  <c r="Q14" i="23"/>
  <c r="J26" i="23"/>
  <c r="O14" i="23"/>
  <c r="I26" i="23"/>
  <c r="N14" i="23"/>
  <c r="C27" i="23"/>
  <c r="J14" i="23"/>
  <c r="AE26" i="23"/>
  <c r="I14" i="23"/>
  <c r="X26" i="23"/>
  <c r="C15" i="23"/>
  <c r="I21" i="23"/>
  <c r="N20" i="23"/>
  <c r="AE23" i="23"/>
  <c r="I12" i="23"/>
  <c r="W24" i="23"/>
  <c r="AE12" i="23"/>
  <c r="U24" i="23"/>
  <c r="X12" i="23"/>
  <c r="T24" i="23"/>
  <c r="W12" i="23"/>
  <c r="R24" i="23"/>
  <c r="U12" i="23"/>
  <c r="O25" i="23"/>
  <c r="R13" i="23"/>
  <c r="N25" i="23"/>
  <c r="Q13" i="23"/>
  <c r="J25" i="23"/>
  <c r="O13" i="23"/>
  <c r="I25" i="23"/>
  <c r="N13" i="23"/>
  <c r="C26" i="23"/>
  <c r="J13" i="23"/>
  <c r="AE25" i="23"/>
  <c r="I13" i="23"/>
  <c r="I11" i="23"/>
  <c r="AE14" i="23"/>
  <c r="R18" i="23"/>
  <c r="J33" i="23"/>
  <c r="X23" i="23"/>
  <c r="C12" i="23"/>
  <c r="W23" i="23"/>
  <c r="AE11" i="23"/>
  <c r="U23" i="23"/>
  <c r="X11" i="23"/>
  <c r="T23" i="23"/>
  <c r="W11" i="23"/>
  <c r="Q24" i="23"/>
  <c r="T12" i="23"/>
  <c r="O24" i="23"/>
  <c r="R12" i="23"/>
  <c r="N24" i="23"/>
  <c r="Q12" i="23"/>
  <c r="J24" i="23"/>
  <c r="O12" i="23"/>
  <c r="I24" i="23"/>
  <c r="N12" i="23"/>
  <c r="C25" i="23"/>
  <c r="J12" i="23"/>
  <c r="O31" i="23"/>
  <c r="N10" i="23"/>
  <c r="AE13" i="23"/>
  <c r="U27" i="23"/>
  <c r="AE22" i="23"/>
  <c r="J10" i="23"/>
  <c r="X22" i="23"/>
  <c r="I10" i="23"/>
  <c r="W22" i="23"/>
  <c r="C11" i="23"/>
  <c r="U22" i="23"/>
  <c r="AE10" i="23"/>
  <c r="R23" i="23"/>
  <c r="U11" i="23"/>
  <c r="Q23" i="23"/>
  <c r="T11" i="23"/>
  <c r="O23" i="23"/>
  <c r="R11" i="23"/>
  <c r="N23" i="23"/>
  <c r="Q11" i="23"/>
  <c r="J23" i="23"/>
  <c r="O11" i="23"/>
  <c r="I23" i="23"/>
  <c r="N11" i="23"/>
  <c r="X25" i="23"/>
  <c r="O30" i="23"/>
  <c r="T28" i="23"/>
  <c r="I33" i="23"/>
  <c r="C22" i="23"/>
  <c r="AE33" i="23"/>
  <c r="AE21" i="23"/>
  <c r="X33" i="23"/>
  <c r="X21" i="23"/>
  <c r="W33" i="23"/>
  <c r="W21" i="23"/>
  <c r="C10" i="23"/>
  <c r="T22" i="23"/>
  <c r="X10" i="23"/>
  <c r="R22" i="23"/>
  <c r="W10" i="23"/>
  <c r="Q22" i="23"/>
  <c r="U10" i="23"/>
  <c r="O22" i="23"/>
  <c r="T10" i="23"/>
  <c r="N22" i="23"/>
  <c r="R10" i="23"/>
  <c r="J22" i="23"/>
  <c r="Q10" i="23"/>
  <c r="X15" i="23"/>
  <c r="X24" i="23"/>
  <c r="Q18" i="23"/>
  <c r="T27" i="23"/>
  <c r="I32" i="23"/>
  <c r="J20" i="23"/>
  <c r="C33" i="23"/>
  <c r="I20" i="23"/>
  <c r="AE32" i="23"/>
  <c r="C21" i="23"/>
  <c r="X32" i="23"/>
  <c r="AE20" i="23"/>
  <c r="U33" i="23"/>
  <c r="U21" i="23"/>
  <c r="T33" i="23"/>
  <c r="T21" i="23"/>
  <c r="R33" i="23"/>
  <c r="R21" i="23"/>
  <c r="Q33" i="23"/>
  <c r="Q21" i="23"/>
  <c r="O33" i="23"/>
  <c r="O21" i="23"/>
  <c r="N33" i="23"/>
  <c r="N21" i="23"/>
  <c r="N32" i="23"/>
  <c r="N31" i="23"/>
  <c r="Q19" i="23"/>
  <c r="R28" i="23"/>
  <c r="J31" i="23"/>
  <c r="N19" i="23"/>
  <c r="I31" i="23"/>
  <c r="J19" i="23"/>
  <c r="C32" i="23"/>
  <c r="I19" i="23"/>
  <c r="AE31" i="23"/>
  <c r="C20" i="23"/>
  <c r="W32" i="23"/>
  <c r="X20" i="23"/>
  <c r="U32" i="23"/>
  <c r="W20" i="23"/>
  <c r="T32" i="23"/>
  <c r="U20" i="23"/>
  <c r="R32" i="23"/>
  <c r="T20" i="23"/>
  <c r="Q32" i="23"/>
  <c r="R20" i="23"/>
  <c r="O32" i="23"/>
  <c r="Q20" i="23"/>
  <c r="W26" i="23"/>
  <c r="W25" i="23"/>
  <c r="X14" i="23"/>
  <c r="C23" i="23"/>
  <c r="X30" i="20"/>
  <c r="AE18" i="20"/>
  <c r="W30" i="20"/>
  <c r="X18" i="20"/>
  <c r="U30" i="20"/>
  <c r="W18" i="20"/>
  <c r="T30" i="20"/>
  <c r="U18" i="20"/>
  <c r="R30" i="20"/>
  <c r="T18" i="20"/>
  <c r="Q30" i="20"/>
  <c r="R18" i="20"/>
  <c r="O30" i="20"/>
  <c r="AE29" i="20"/>
  <c r="C18" i="20"/>
  <c r="X29" i="20"/>
  <c r="W29" i="20"/>
  <c r="X17" i="20"/>
  <c r="U29" i="20"/>
  <c r="W17" i="20"/>
  <c r="T29" i="20"/>
  <c r="C29" i="20"/>
  <c r="I16" i="20"/>
  <c r="AE28" i="20"/>
  <c r="C17" i="20"/>
  <c r="X28" i="20"/>
  <c r="W28" i="20"/>
  <c r="X16" i="20"/>
  <c r="U28" i="20"/>
  <c r="W16" i="20"/>
  <c r="T28" i="20"/>
  <c r="U16" i="20"/>
  <c r="R28" i="20"/>
  <c r="R27" i="20"/>
  <c r="I27" i="20"/>
  <c r="N15" i="20"/>
  <c r="C28" i="20"/>
  <c r="J15" i="20"/>
  <c r="AE27" i="20"/>
  <c r="I15" i="20"/>
  <c r="X27" i="20"/>
  <c r="C16" i="20"/>
  <c r="W27" i="20"/>
  <c r="AE15" i="20"/>
  <c r="U27" i="20"/>
  <c r="X15" i="20"/>
  <c r="T27" i="20"/>
  <c r="W15" i="20"/>
  <c r="T26" i="20"/>
  <c r="J26" i="20"/>
  <c r="O14" i="20"/>
  <c r="I26" i="20"/>
  <c r="N14" i="20"/>
  <c r="C27" i="20"/>
  <c r="J14" i="20"/>
  <c r="AE26" i="20"/>
  <c r="I14" i="20"/>
  <c r="X26" i="20"/>
  <c r="C15" i="20"/>
  <c r="W26" i="20"/>
  <c r="AE14" i="20"/>
  <c r="U26" i="20"/>
  <c r="X14" i="20"/>
  <c r="U25" i="20"/>
  <c r="X13" i="20"/>
  <c r="T25" i="20"/>
  <c r="W13" i="20"/>
  <c r="N25" i="20"/>
  <c r="J25" i="20"/>
  <c r="O13" i="20"/>
  <c r="I25" i="20"/>
  <c r="C26" i="20"/>
  <c r="J13" i="20"/>
  <c r="AE25" i="20"/>
  <c r="I13" i="20"/>
  <c r="X25" i="20"/>
  <c r="C14" i="20"/>
  <c r="W25" i="20"/>
  <c r="AE13" i="20"/>
  <c r="W24" i="20"/>
  <c r="AE12" i="20"/>
  <c r="U24" i="20"/>
  <c r="X12" i="20"/>
  <c r="T24" i="20"/>
  <c r="W12" i="20"/>
  <c r="O24" i="20"/>
  <c r="N24" i="20"/>
  <c r="J24" i="20"/>
  <c r="O12" i="20"/>
  <c r="I24" i="20"/>
  <c r="C25" i="20"/>
  <c r="J12" i="20"/>
  <c r="AE24" i="20"/>
  <c r="I12" i="20"/>
  <c r="X24" i="20"/>
  <c r="C13" i="20"/>
  <c r="X23" i="20"/>
  <c r="C12" i="20"/>
  <c r="W23" i="20"/>
  <c r="U23" i="20"/>
  <c r="X11" i="20"/>
  <c r="R23" i="20"/>
  <c r="Q23" i="20"/>
  <c r="O23" i="20"/>
  <c r="N23" i="20"/>
  <c r="Q11" i="20"/>
  <c r="J23" i="20"/>
  <c r="O11" i="20"/>
  <c r="I23" i="20"/>
  <c r="N11" i="20"/>
  <c r="C24" i="20"/>
  <c r="J11" i="20"/>
  <c r="AE23" i="20"/>
  <c r="I11" i="20"/>
  <c r="AE22" i="20"/>
  <c r="J10" i="20"/>
  <c r="X22" i="20"/>
  <c r="I10" i="20"/>
  <c r="W22" i="20"/>
  <c r="C11" i="20"/>
  <c r="I18" i="20"/>
  <c r="R22" i="20"/>
  <c r="W10" i="20"/>
  <c r="Q22" i="20"/>
  <c r="U10" i="20"/>
  <c r="O22" i="20"/>
  <c r="N22" i="20"/>
  <c r="J22" i="20"/>
  <c r="Q10" i="20"/>
  <c r="I22" i="20"/>
  <c r="O10" i="20"/>
  <c r="C23" i="20"/>
  <c r="N10" i="20"/>
  <c r="C22" i="20"/>
  <c r="AE33" i="20"/>
  <c r="AE21" i="20"/>
  <c r="X33" i="20"/>
  <c r="X21" i="20"/>
  <c r="T33" i="20"/>
  <c r="T21" i="20"/>
  <c r="R33" i="20"/>
  <c r="R21" i="20"/>
  <c r="Q33" i="20"/>
  <c r="Q21" i="20"/>
  <c r="O33" i="20"/>
  <c r="O21" i="20"/>
  <c r="N33" i="20"/>
  <c r="N21" i="20"/>
  <c r="J33" i="20"/>
  <c r="J21" i="20"/>
  <c r="I33" i="20"/>
  <c r="I21" i="20"/>
  <c r="I32" i="20"/>
  <c r="U32" i="20"/>
  <c r="W20" i="20"/>
  <c r="T32" i="20"/>
  <c r="U20" i="20"/>
  <c r="R32" i="20"/>
  <c r="T20" i="20"/>
  <c r="Q32" i="20"/>
  <c r="R20" i="20"/>
  <c r="W31" i="20"/>
  <c r="X19" i="20"/>
  <c r="U31" i="20"/>
  <c r="W19" i="20"/>
  <c r="T31" i="20"/>
  <c r="U19" i="20"/>
  <c r="Q19" i="20"/>
  <c r="Q28" i="20"/>
  <c r="O28" i="20"/>
  <c r="I30" i="20"/>
  <c r="AE19" i="20"/>
  <c r="U22" i="20"/>
  <c r="W32" i="20"/>
  <c r="X20" i="20"/>
  <c r="R31" i="20"/>
  <c r="J20" i="20"/>
  <c r="Q27" i="20"/>
  <c r="J29" i="20"/>
  <c r="R14" i="20"/>
  <c r="J27" i="20"/>
  <c r="C20" i="20"/>
  <c r="T19" i="20"/>
  <c r="J32" i="20"/>
  <c r="N19" i="20"/>
  <c r="R26" i="20"/>
  <c r="N28" i="20"/>
  <c r="C30" i="20"/>
  <c r="U33" i="20"/>
  <c r="U21" i="20"/>
  <c r="Q15" i="20"/>
  <c r="O32" i="20"/>
  <c r="N31" i="20"/>
  <c r="O18" i="20"/>
  <c r="I20" i="20"/>
  <c r="O27" i="20"/>
  <c r="Q24" i="20"/>
  <c r="I28" i="20"/>
  <c r="N16" i="20"/>
  <c r="O15" i="20"/>
  <c r="Q31" i="20"/>
  <c r="Q29" i="20"/>
  <c r="Q17" i="20"/>
  <c r="J19" i="20"/>
  <c r="Q26" i="20"/>
  <c r="Q14" i="20"/>
  <c r="T22" i="20"/>
  <c r="U11" i="20"/>
  <c r="X10" i="20"/>
  <c r="Q20" i="20"/>
  <c r="N20" i="20"/>
  <c r="R16" i="20"/>
  <c r="N18" i="20"/>
  <c r="C21" i="20"/>
  <c r="I29" i="20"/>
  <c r="J17" i="20"/>
  <c r="AE31" i="20"/>
  <c r="C31" i="20"/>
  <c r="R19" i="20"/>
  <c r="O19" i="20"/>
  <c r="U15" i="20"/>
  <c r="O17" i="20"/>
  <c r="I19" i="20"/>
  <c r="T23" i="20"/>
  <c r="O26" i="20"/>
  <c r="C10" i="20"/>
  <c r="U17" i="20"/>
  <c r="Q18" i="20"/>
  <c r="W14" i="20"/>
  <c r="Q16" i="20"/>
  <c r="J18" i="20"/>
  <c r="C19" i="20"/>
  <c r="X32" i="20"/>
  <c r="J16" i="20"/>
  <c r="AE30" i="20"/>
  <c r="N32" i="20"/>
  <c r="R17" i="20"/>
  <c r="C33" i="20"/>
  <c r="T15" i="20"/>
  <c r="N17" i="20"/>
  <c r="N27" i="20"/>
  <c r="X31" i="20"/>
  <c r="Q25" i="20"/>
  <c r="O31" i="20"/>
  <c r="J31" i="20"/>
  <c r="I31" i="20"/>
  <c r="U14" i="20"/>
  <c r="O16" i="20"/>
  <c r="W21" i="20"/>
  <c r="N26" i="20"/>
  <c r="O25" i="20"/>
  <c r="R29" i="20"/>
  <c r="N30" i="20"/>
  <c r="J30" i="20"/>
  <c r="AE32" i="20"/>
  <c r="R15" i="20"/>
  <c r="W33" i="20"/>
  <c r="I17" i="20"/>
  <c r="AE20" i="20"/>
  <c r="O20" i="20"/>
  <c r="O29" i="20"/>
  <c r="N29" i="20"/>
  <c r="C32" i="20"/>
  <c r="T14" i="20"/>
  <c r="J28" i="20"/>
  <c r="W11" i="20"/>
  <c r="X33" i="33"/>
  <c r="AE19" i="33"/>
  <c r="N17" i="33"/>
  <c r="T14" i="33"/>
  <c r="T12" i="33"/>
  <c r="T22" i="33"/>
  <c r="N18" i="33"/>
  <c r="J30" i="33"/>
  <c r="O18" i="33"/>
  <c r="N30" i="33"/>
  <c r="O19" i="33"/>
  <c r="N31" i="33"/>
  <c r="Q19" i="33"/>
  <c r="O31" i="33"/>
  <c r="R19" i="33"/>
  <c r="Q31" i="33"/>
  <c r="T19" i="33"/>
  <c r="R31" i="33"/>
  <c r="U19" i="33"/>
  <c r="T31" i="33"/>
  <c r="W19" i="33"/>
  <c r="U31" i="33"/>
  <c r="X19" i="33"/>
  <c r="W31" i="33"/>
  <c r="U32" i="8"/>
  <c r="U25" i="8"/>
  <c r="Q22" i="8"/>
  <c r="N19" i="8"/>
  <c r="W14" i="8"/>
  <c r="Q13" i="8"/>
  <c r="C32" i="8"/>
  <c r="C25" i="8"/>
  <c r="O23" i="8"/>
  <c r="N16" i="8"/>
  <c r="J28" i="8"/>
  <c r="N29" i="8"/>
  <c r="Q29" i="8"/>
  <c r="T17" i="8"/>
  <c r="R29" i="8"/>
  <c r="W17" i="8"/>
  <c r="U29" i="8"/>
  <c r="U19" i="8"/>
  <c r="T31" i="8"/>
  <c r="X17" i="26"/>
  <c r="W17" i="26"/>
  <c r="R11" i="26"/>
  <c r="J12" i="26"/>
  <c r="AE25" i="26"/>
  <c r="AE16" i="26"/>
  <c r="I13" i="26"/>
  <c r="C27" i="26"/>
  <c r="J25" i="26"/>
  <c r="O14" i="26"/>
  <c r="J26" i="26"/>
  <c r="O25" i="26"/>
  <c r="U12" i="26"/>
  <c r="R24" i="26"/>
  <c r="W12" i="26"/>
  <c r="T24" i="26"/>
  <c r="W13" i="26"/>
  <c r="T25" i="26"/>
  <c r="W14" i="26"/>
  <c r="T26" i="26"/>
  <c r="T16" i="26"/>
  <c r="R28" i="26"/>
  <c r="R18" i="26"/>
  <c r="Q30" i="26"/>
  <c r="W27" i="28"/>
  <c r="J14" i="28"/>
  <c r="U30" i="28"/>
  <c r="W16" i="28"/>
  <c r="U18" i="28"/>
  <c r="T30" i="28"/>
  <c r="X18" i="28"/>
  <c r="W30" i="28"/>
  <c r="AE18" i="28"/>
  <c r="X30" i="28"/>
  <c r="C19" i="28"/>
  <c r="AE30" i="28"/>
  <c r="J17" i="28"/>
  <c r="I29" i="28"/>
  <c r="N17" i="28"/>
  <c r="J29" i="28"/>
  <c r="O17" i="28"/>
  <c r="N29" i="28"/>
  <c r="Q17" i="28"/>
  <c r="O29" i="28"/>
  <c r="Q18" i="28"/>
  <c r="O30" i="28"/>
  <c r="R18" i="28"/>
  <c r="Q30" i="28"/>
  <c r="Q12" i="19"/>
  <c r="J14" i="19"/>
  <c r="W10" i="19"/>
  <c r="R22" i="19"/>
  <c r="R13" i="19"/>
  <c r="N26" i="19"/>
  <c r="T23" i="19"/>
  <c r="I19" i="19"/>
  <c r="O28" i="19"/>
  <c r="C10" i="33"/>
  <c r="X10" i="33"/>
  <c r="C21" i="33"/>
  <c r="I18" i="33"/>
  <c r="W22" i="33"/>
  <c r="N26" i="33"/>
  <c r="J19" i="33"/>
  <c r="I31" i="33"/>
  <c r="N19" i="33"/>
  <c r="J31" i="33"/>
  <c r="N20" i="33"/>
  <c r="J32" i="33"/>
  <c r="O20" i="33"/>
  <c r="N32" i="33"/>
  <c r="Q20" i="33"/>
  <c r="O32" i="33"/>
  <c r="R20" i="33"/>
  <c r="Q32" i="33"/>
  <c r="T20" i="33"/>
  <c r="R32" i="33"/>
  <c r="U20" i="33"/>
  <c r="T32" i="33"/>
  <c r="W20" i="33"/>
  <c r="U32" i="33"/>
  <c r="X18" i="8"/>
  <c r="O27" i="8"/>
  <c r="R27" i="8"/>
  <c r="AE25" i="8"/>
  <c r="C21" i="8"/>
  <c r="C15" i="8"/>
  <c r="R13" i="8"/>
  <c r="X33" i="8"/>
  <c r="Q28" i="8"/>
  <c r="X26" i="8"/>
  <c r="J25" i="8"/>
  <c r="J30" i="8"/>
  <c r="Q18" i="8"/>
  <c r="O30" i="8"/>
  <c r="R18" i="8"/>
  <c r="Q30" i="8"/>
  <c r="U18" i="8"/>
  <c r="T30" i="8"/>
  <c r="T20" i="8"/>
  <c r="R32" i="8"/>
  <c r="U19" i="26"/>
  <c r="W19" i="26"/>
  <c r="R20" i="26"/>
  <c r="J14" i="26"/>
  <c r="Q31" i="26"/>
  <c r="C19" i="26"/>
  <c r="I15" i="26"/>
  <c r="AE27" i="26"/>
  <c r="I26" i="26"/>
  <c r="N15" i="26"/>
  <c r="I27" i="26"/>
  <c r="N26" i="26"/>
  <c r="T13" i="26"/>
  <c r="Q25" i="26"/>
  <c r="U13" i="26"/>
  <c r="R25" i="26"/>
  <c r="U14" i="26"/>
  <c r="R26" i="26"/>
  <c r="U15" i="26"/>
  <c r="R27" i="26"/>
  <c r="R17" i="26"/>
  <c r="Q29" i="26"/>
  <c r="Q19" i="26"/>
  <c r="O31" i="26"/>
  <c r="O12" i="28"/>
  <c r="R19" i="28"/>
  <c r="T10" i="28"/>
  <c r="Q21" i="28"/>
  <c r="T19" i="28"/>
  <c r="R31" i="28"/>
  <c r="W19" i="28"/>
  <c r="U31" i="28"/>
  <c r="X19" i="28"/>
  <c r="W31" i="28"/>
  <c r="AE19" i="28"/>
  <c r="X31" i="28"/>
  <c r="I18" i="28"/>
  <c r="C31" i="28"/>
  <c r="J18" i="28"/>
  <c r="I30" i="28"/>
  <c r="N18" i="28"/>
  <c r="J30" i="28"/>
  <c r="O18" i="28"/>
  <c r="N30" i="28"/>
  <c r="O19" i="28"/>
  <c r="N31" i="28"/>
  <c r="Q19" i="28"/>
  <c r="O31" i="28"/>
  <c r="AE17" i="19"/>
  <c r="U19" i="19"/>
  <c r="J15" i="19"/>
  <c r="T11" i="19"/>
  <c r="Q23" i="19"/>
  <c r="Q14" i="19"/>
  <c r="J27" i="19"/>
  <c r="Q26" i="19"/>
  <c r="N29" i="19"/>
  <c r="U33" i="30"/>
  <c r="T23" i="30"/>
  <c r="W11" i="30"/>
  <c r="Q24" i="30"/>
  <c r="T12" i="30"/>
  <c r="O24" i="30"/>
  <c r="U31" i="30"/>
  <c r="W19" i="30"/>
  <c r="T31" i="30"/>
  <c r="U19" i="30"/>
  <c r="R31" i="30"/>
  <c r="T19" i="30"/>
  <c r="Q31" i="30"/>
  <c r="R19" i="30"/>
  <c r="O31" i="30"/>
  <c r="Q19" i="30"/>
  <c r="N31" i="30"/>
  <c r="O19" i="30"/>
  <c r="N29" i="30"/>
  <c r="O17" i="30"/>
  <c r="W12" i="30"/>
  <c r="U15" i="30"/>
  <c r="T14" i="30"/>
  <c r="U13" i="30"/>
  <c r="W32" i="30"/>
  <c r="U22" i="30"/>
  <c r="AE10" i="30"/>
  <c r="R23" i="30"/>
  <c r="U11" i="30"/>
  <c r="Q23" i="30"/>
  <c r="W30" i="30"/>
  <c r="X18" i="30"/>
  <c r="U30" i="30"/>
  <c r="W18" i="30"/>
  <c r="T30" i="30"/>
  <c r="U18" i="30"/>
  <c r="R30" i="30"/>
  <c r="T18" i="30"/>
  <c r="Q30" i="30"/>
  <c r="R18" i="30"/>
  <c r="O30" i="30"/>
  <c r="Q18" i="30"/>
  <c r="O28" i="30"/>
  <c r="Q16" i="30"/>
  <c r="C33" i="30"/>
  <c r="X11" i="30"/>
  <c r="C11" i="30"/>
  <c r="J29" i="30"/>
  <c r="AE33" i="30"/>
  <c r="W21" i="30"/>
  <c r="C10" i="30"/>
  <c r="T22" i="30"/>
  <c r="X10" i="30"/>
  <c r="R22" i="30"/>
  <c r="X29" i="30"/>
  <c r="AE17" i="30"/>
  <c r="W29" i="30"/>
  <c r="X17" i="30"/>
  <c r="U29" i="30"/>
  <c r="W17" i="30"/>
  <c r="T29" i="30"/>
  <c r="U17" i="30"/>
  <c r="R29" i="30"/>
  <c r="T17" i="30"/>
  <c r="Q29" i="30"/>
  <c r="R17" i="30"/>
  <c r="Q27" i="30"/>
  <c r="T15" i="30"/>
  <c r="O27" i="30"/>
  <c r="J31" i="30"/>
  <c r="I30" i="30"/>
  <c r="Q13" i="30"/>
  <c r="AE32" i="30"/>
  <c r="AE20" i="30"/>
  <c r="X33" i="30"/>
  <c r="U21" i="30"/>
  <c r="W33" i="30"/>
  <c r="T21" i="30"/>
  <c r="AE28" i="30"/>
  <c r="C17" i="30"/>
  <c r="X28" i="30"/>
  <c r="AE16" i="30"/>
  <c r="W28" i="30"/>
  <c r="X16" i="30"/>
  <c r="U28" i="30"/>
  <c r="W16" i="30"/>
  <c r="T28" i="30"/>
  <c r="U16" i="30"/>
  <c r="R28" i="30"/>
  <c r="T16" i="30"/>
  <c r="R26" i="30"/>
  <c r="U14" i="30"/>
  <c r="X21" i="30"/>
  <c r="U25" i="30"/>
  <c r="T24" i="30"/>
  <c r="Q28" i="30"/>
  <c r="AE31" i="30"/>
  <c r="C20" i="30"/>
  <c r="X32" i="30"/>
  <c r="X20" i="30"/>
  <c r="U32" i="30"/>
  <c r="W20" i="30"/>
  <c r="C28" i="30"/>
  <c r="J15" i="30"/>
  <c r="AE27" i="30"/>
  <c r="I15" i="30"/>
  <c r="X27" i="30"/>
  <c r="C16" i="30"/>
  <c r="W27" i="30"/>
  <c r="AE15" i="30"/>
  <c r="U27" i="30"/>
  <c r="X15" i="30"/>
  <c r="T27" i="30"/>
  <c r="W15" i="30"/>
  <c r="T25" i="30"/>
  <c r="W13" i="30"/>
  <c r="O16" i="30"/>
  <c r="J20" i="30"/>
  <c r="I19" i="30"/>
  <c r="AE12" i="30"/>
  <c r="C31" i="30"/>
  <c r="I18" i="30"/>
  <c r="X31" i="30"/>
  <c r="AE19" i="30"/>
  <c r="W31" i="30"/>
  <c r="X19" i="30"/>
  <c r="I26" i="30"/>
  <c r="N14" i="30"/>
  <c r="C27" i="30"/>
  <c r="J14" i="30"/>
  <c r="AE26" i="30"/>
  <c r="I14" i="30"/>
  <c r="X26" i="30"/>
  <c r="C15" i="30"/>
  <c r="W26" i="30"/>
  <c r="AE14" i="30"/>
  <c r="U26" i="30"/>
  <c r="X14" i="30"/>
  <c r="U24" i="30"/>
  <c r="X12" i="30"/>
  <c r="R12" i="30"/>
  <c r="R15" i="30"/>
  <c r="O14" i="30"/>
  <c r="N28" i="30"/>
  <c r="J28" i="30"/>
  <c r="N16" i="30"/>
  <c r="C30" i="30"/>
  <c r="I17" i="30"/>
  <c r="AE29" i="30"/>
  <c r="C18" i="30"/>
  <c r="N24" i="30"/>
  <c r="Q12" i="30"/>
  <c r="J24" i="30"/>
  <c r="O12" i="30"/>
  <c r="I24" i="30"/>
  <c r="N12" i="30"/>
  <c r="C25" i="30"/>
  <c r="J12" i="30"/>
  <c r="AE24" i="30"/>
  <c r="I12" i="30"/>
  <c r="X24" i="30"/>
  <c r="C13" i="30"/>
  <c r="X22" i="30"/>
  <c r="I10" i="30"/>
  <c r="T26" i="30"/>
  <c r="R25" i="30"/>
  <c r="O29" i="30"/>
  <c r="U23" i="30"/>
  <c r="N27" i="30"/>
  <c r="Q15" i="30"/>
  <c r="I28" i="30"/>
  <c r="J16" i="30"/>
  <c r="C29" i="30"/>
  <c r="I16" i="30"/>
  <c r="O23" i="30"/>
  <c r="R11" i="30"/>
  <c r="N23" i="30"/>
  <c r="Q11" i="30"/>
  <c r="J23" i="30"/>
  <c r="O11" i="30"/>
  <c r="I23" i="30"/>
  <c r="N11" i="30"/>
  <c r="C24" i="30"/>
  <c r="J11" i="30"/>
  <c r="AE23" i="30"/>
  <c r="I11" i="30"/>
  <c r="AE21" i="30"/>
  <c r="I33" i="30"/>
  <c r="C12" i="30"/>
  <c r="W14" i="30"/>
  <c r="X23" i="30"/>
  <c r="AE22" i="30"/>
  <c r="O26" i="30"/>
  <c r="R14" i="30"/>
  <c r="J27" i="30"/>
  <c r="O15" i="30"/>
  <c r="I27" i="30"/>
  <c r="N15" i="30"/>
  <c r="Q22" i="30"/>
  <c r="U10" i="30"/>
  <c r="O22" i="30"/>
  <c r="T10" i="30"/>
  <c r="N22" i="30"/>
  <c r="R10" i="30"/>
  <c r="J22" i="30"/>
  <c r="Q10" i="30"/>
  <c r="I22" i="30"/>
  <c r="O10" i="30"/>
  <c r="C23" i="30"/>
  <c r="N10" i="30"/>
  <c r="I20" i="30"/>
  <c r="R27" i="30"/>
  <c r="C32" i="30"/>
  <c r="N30" i="30"/>
  <c r="O18" i="30"/>
  <c r="W22" i="30"/>
  <c r="Q25" i="30"/>
  <c r="T13" i="30"/>
  <c r="N26" i="30"/>
  <c r="Q14" i="30"/>
  <c r="J26" i="30"/>
  <c r="T33" i="30"/>
  <c r="R21" i="30"/>
  <c r="R33" i="30"/>
  <c r="Q21" i="30"/>
  <c r="Q33" i="30"/>
  <c r="O21" i="30"/>
  <c r="O33" i="30"/>
  <c r="N21" i="30"/>
  <c r="N33" i="30"/>
  <c r="J21" i="30"/>
  <c r="J33" i="30"/>
  <c r="I21" i="30"/>
  <c r="I31" i="30"/>
  <c r="J19" i="30"/>
  <c r="C22" i="30"/>
  <c r="Q26" i="30"/>
  <c r="W24" i="30"/>
  <c r="X13" i="30"/>
  <c r="N17" i="30"/>
  <c r="R24" i="30"/>
  <c r="U12" i="30"/>
  <c r="O25" i="30"/>
  <c r="R13" i="30"/>
  <c r="N25" i="30"/>
  <c r="T32" i="30"/>
  <c r="U20" i="30"/>
  <c r="R32" i="30"/>
  <c r="T20" i="30"/>
  <c r="Q32" i="30"/>
  <c r="R20" i="30"/>
  <c r="O32" i="30"/>
  <c r="Q20" i="30"/>
  <c r="N32" i="30"/>
  <c r="O20" i="30"/>
  <c r="J32" i="30"/>
  <c r="N20" i="30"/>
  <c r="J30" i="30"/>
  <c r="N18" i="30"/>
  <c r="R16" i="30"/>
  <c r="C21" i="30"/>
  <c r="N19" i="30"/>
  <c r="J10" i="30"/>
  <c r="J18" i="30"/>
  <c r="AE30" i="30"/>
  <c r="X25" i="30"/>
  <c r="C19" i="30"/>
  <c r="C14" i="30"/>
  <c r="X30" i="30"/>
  <c r="W25" i="30"/>
  <c r="AE18" i="30"/>
  <c r="AE13" i="30"/>
  <c r="J25" i="30"/>
  <c r="W23" i="30"/>
  <c r="O13" i="30"/>
  <c r="AE11" i="30"/>
  <c r="I25" i="30"/>
  <c r="I32" i="30"/>
  <c r="N13" i="30"/>
  <c r="T11" i="30"/>
  <c r="C26" i="30"/>
  <c r="W10" i="30"/>
  <c r="J13" i="30"/>
  <c r="Q17" i="30"/>
  <c r="I29" i="30"/>
  <c r="AE25" i="30"/>
  <c r="J17" i="30"/>
  <c r="I13" i="30"/>
  <c r="W33" i="22"/>
  <c r="W21" i="22"/>
  <c r="C10" i="22"/>
  <c r="T22" i="22"/>
  <c r="X10" i="22"/>
  <c r="R22" i="22"/>
  <c r="W10" i="22"/>
  <c r="Q22" i="22"/>
  <c r="U10" i="22"/>
  <c r="O22" i="22"/>
  <c r="T10" i="22"/>
  <c r="N22" i="22"/>
  <c r="R10" i="22"/>
  <c r="J22" i="22"/>
  <c r="Q10" i="22"/>
  <c r="I22" i="22"/>
  <c r="O10" i="22"/>
  <c r="C23" i="22"/>
  <c r="N10" i="22"/>
  <c r="C22" i="22"/>
  <c r="J29" i="22"/>
  <c r="O17" i="22"/>
  <c r="R26" i="22"/>
  <c r="I10" i="22"/>
  <c r="X32" i="22"/>
  <c r="AE20" i="22"/>
  <c r="U33" i="22"/>
  <c r="U21" i="22"/>
  <c r="T33" i="22"/>
  <c r="T21" i="22"/>
  <c r="R33" i="22"/>
  <c r="R21" i="22"/>
  <c r="Q33" i="22"/>
  <c r="Q21" i="22"/>
  <c r="O33" i="22"/>
  <c r="O21" i="22"/>
  <c r="N33" i="22"/>
  <c r="N21" i="22"/>
  <c r="J33" i="22"/>
  <c r="J21" i="22"/>
  <c r="I33" i="22"/>
  <c r="I21" i="22"/>
  <c r="I32" i="22"/>
  <c r="J20" i="22"/>
  <c r="U23" i="22"/>
  <c r="W12" i="22"/>
  <c r="O16" i="22"/>
  <c r="J30" i="22"/>
  <c r="AE31" i="22"/>
  <c r="C20" i="22"/>
  <c r="W32" i="22"/>
  <c r="X20" i="22"/>
  <c r="U32" i="22"/>
  <c r="W20" i="22"/>
  <c r="T32" i="22"/>
  <c r="U20" i="22"/>
  <c r="R32" i="22"/>
  <c r="T20" i="22"/>
  <c r="Q32" i="22"/>
  <c r="R20" i="22"/>
  <c r="O32" i="22"/>
  <c r="Q20" i="22"/>
  <c r="N32" i="22"/>
  <c r="O20" i="22"/>
  <c r="J32" i="22"/>
  <c r="N20" i="22"/>
  <c r="J31" i="22"/>
  <c r="N19" i="22"/>
  <c r="N18" i="22"/>
  <c r="C33" i="22"/>
  <c r="C32" i="22"/>
  <c r="U24" i="22"/>
  <c r="C31" i="22"/>
  <c r="I18" i="22"/>
  <c r="X31" i="22"/>
  <c r="AE19" i="22"/>
  <c r="W31" i="22"/>
  <c r="X19" i="22"/>
  <c r="U31" i="22"/>
  <c r="W19" i="22"/>
  <c r="T31" i="22"/>
  <c r="U19" i="22"/>
  <c r="R31" i="22"/>
  <c r="T19" i="22"/>
  <c r="Q31" i="22"/>
  <c r="R19" i="22"/>
  <c r="O31" i="22"/>
  <c r="Q19" i="22"/>
  <c r="N31" i="22"/>
  <c r="O19" i="22"/>
  <c r="N30" i="22"/>
  <c r="O18" i="22"/>
  <c r="U13" i="22"/>
  <c r="Q27" i="22"/>
  <c r="Q26" i="22"/>
  <c r="U14" i="22"/>
  <c r="I29" i="22"/>
  <c r="J17" i="22"/>
  <c r="AE30" i="22"/>
  <c r="C19" i="22"/>
  <c r="X30" i="22"/>
  <c r="AE18" i="22"/>
  <c r="W30" i="22"/>
  <c r="X18" i="22"/>
  <c r="U30" i="22"/>
  <c r="W18" i="22"/>
  <c r="T30" i="22"/>
  <c r="U18" i="22"/>
  <c r="R30" i="22"/>
  <c r="T18" i="22"/>
  <c r="Q30" i="22"/>
  <c r="R18" i="22"/>
  <c r="O30" i="22"/>
  <c r="Q18" i="22"/>
  <c r="O29" i="22"/>
  <c r="Q17" i="22"/>
  <c r="AE33" i="22"/>
  <c r="AE21" i="22"/>
  <c r="I31" i="22"/>
  <c r="W23" i="22"/>
  <c r="J28" i="22"/>
  <c r="N16" i="22"/>
  <c r="C30" i="22"/>
  <c r="I17" i="22"/>
  <c r="AE29" i="22"/>
  <c r="C18" i="22"/>
  <c r="X29" i="22"/>
  <c r="AE17" i="22"/>
  <c r="W29" i="22"/>
  <c r="X17" i="22"/>
  <c r="U29" i="22"/>
  <c r="W17" i="22"/>
  <c r="T29" i="22"/>
  <c r="U17" i="22"/>
  <c r="R29" i="22"/>
  <c r="T17" i="22"/>
  <c r="Q29" i="22"/>
  <c r="R17" i="22"/>
  <c r="Q28" i="22"/>
  <c r="R16" i="22"/>
  <c r="O28" i="22"/>
  <c r="N17" i="22"/>
  <c r="T25" i="22"/>
  <c r="J19" i="22"/>
  <c r="O26" i="22"/>
  <c r="R14" i="22"/>
  <c r="J27" i="22"/>
  <c r="O15" i="22"/>
  <c r="I27" i="22"/>
  <c r="N15" i="22"/>
  <c r="C28" i="22"/>
  <c r="J15" i="22"/>
  <c r="AE27" i="22"/>
  <c r="I15" i="22"/>
  <c r="X27" i="22"/>
  <c r="C16" i="22"/>
  <c r="W27" i="22"/>
  <c r="AE15" i="22"/>
  <c r="U27" i="22"/>
  <c r="X15" i="22"/>
  <c r="T27" i="22"/>
  <c r="W15" i="22"/>
  <c r="T26" i="22"/>
  <c r="W14" i="22"/>
  <c r="J18" i="22"/>
  <c r="AE32" i="22"/>
  <c r="T15" i="22"/>
  <c r="T14" i="22"/>
  <c r="Q25" i="22"/>
  <c r="T13" i="22"/>
  <c r="N26" i="22"/>
  <c r="Q14" i="22"/>
  <c r="J26" i="22"/>
  <c r="O14" i="22"/>
  <c r="I26" i="22"/>
  <c r="N14" i="22"/>
  <c r="C27" i="22"/>
  <c r="J14" i="22"/>
  <c r="AE26" i="22"/>
  <c r="I14" i="22"/>
  <c r="X26" i="22"/>
  <c r="C15" i="22"/>
  <c r="W26" i="22"/>
  <c r="AE14" i="22"/>
  <c r="U26" i="22"/>
  <c r="X14" i="22"/>
  <c r="U25" i="22"/>
  <c r="X13" i="22"/>
  <c r="X12" i="22"/>
  <c r="O27" i="22"/>
  <c r="C11" i="22"/>
  <c r="W13" i="22"/>
  <c r="R24" i="22"/>
  <c r="U12" i="22"/>
  <c r="O25" i="22"/>
  <c r="R13" i="22"/>
  <c r="N25" i="22"/>
  <c r="Q13" i="22"/>
  <c r="J25" i="22"/>
  <c r="O13" i="22"/>
  <c r="I25" i="22"/>
  <c r="N13" i="22"/>
  <c r="C26" i="22"/>
  <c r="J13" i="22"/>
  <c r="AE25" i="22"/>
  <c r="I13" i="22"/>
  <c r="X25" i="22"/>
  <c r="C14" i="22"/>
  <c r="W25" i="22"/>
  <c r="AE13" i="22"/>
  <c r="W24" i="22"/>
  <c r="AE12" i="22"/>
  <c r="X33" i="22"/>
  <c r="X21" i="22"/>
  <c r="R25" i="22"/>
  <c r="N29" i="22"/>
  <c r="T23" i="22"/>
  <c r="W11" i="22"/>
  <c r="Q24" i="22"/>
  <c r="T12" i="22"/>
  <c r="O24" i="22"/>
  <c r="R12" i="22"/>
  <c r="N24" i="22"/>
  <c r="Q12" i="22"/>
  <c r="J24" i="22"/>
  <c r="O12" i="22"/>
  <c r="I24" i="22"/>
  <c r="N12" i="22"/>
  <c r="C25" i="22"/>
  <c r="J12" i="22"/>
  <c r="AE24" i="22"/>
  <c r="I12" i="22"/>
  <c r="X24" i="22"/>
  <c r="C13" i="22"/>
  <c r="X23" i="22"/>
  <c r="C12" i="22"/>
  <c r="N28" i="22"/>
  <c r="Q16" i="22"/>
  <c r="I20" i="22"/>
  <c r="I30" i="22"/>
  <c r="U22" i="22"/>
  <c r="AE10" i="22"/>
  <c r="R23" i="22"/>
  <c r="U11" i="22"/>
  <c r="Q23" i="22"/>
  <c r="T11" i="22"/>
  <c r="O23" i="22"/>
  <c r="R11" i="22"/>
  <c r="N23" i="22"/>
  <c r="Q11" i="22"/>
  <c r="J23" i="22"/>
  <c r="O11" i="22"/>
  <c r="I23" i="22"/>
  <c r="N11" i="22"/>
  <c r="C24" i="22"/>
  <c r="J11" i="22"/>
  <c r="AE23" i="22"/>
  <c r="I11" i="22"/>
  <c r="AE22" i="22"/>
  <c r="J10" i="22"/>
  <c r="W22" i="22"/>
  <c r="X11" i="22"/>
  <c r="R15" i="22"/>
  <c r="T24" i="22"/>
  <c r="I28" i="22"/>
  <c r="T28" i="22"/>
  <c r="J16" i="22"/>
  <c r="U16" i="22"/>
  <c r="C29" i="22"/>
  <c r="R28" i="22"/>
  <c r="I16" i="22"/>
  <c r="T16" i="22"/>
  <c r="AE28" i="22"/>
  <c r="R27" i="22"/>
  <c r="C17" i="22"/>
  <c r="U15" i="22"/>
  <c r="X28" i="22"/>
  <c r="X22" i="22"/>
  <c r="AE16" i="22"/>
  <c r="AE11" i="22"/>
  <c r="W28" i="22"/>
  <c r="C21" i="22"/>
  <c r="X16" i="22"/>
  <c r="I19" i="22"/>
  <c r="N27" i="22"/>
  <c r="U28" i="22"/>
  <c r="Q15" i="22"/>
  <c r="W16" i="22"/>
  <c r="O31" i="12"/>
  <c r="N31" i="12"/>
  <c r="O19" i="12"/>
  <c r="N30" i="12"/>
  <c r="O18" i="12"/>
  <c r="J30" i="12"/>
  <c r="I30" i="12"/>
  <c r="J18" i="12"/>
  <c r="C31" i="12"/>
  <c r="I18" i="12"/>
  <c r="X31" i="12"/>
  <c r="AE19" i="12"/>
  <c r="W31" i="12"/>
  <c r="X19" i="12"/>
  <c r="U31" i="12"/>
  <c r="W19" i="12"/>
  <c r="T31" i="12"/>
  <c r="U19" i="12"/>
  <c r="N21" i="12"/>
  <c r="Q10" i="12"/>
  <c r="J23" i="12"/>
  <c r="X16" i="12"/>
  <c r="Q30" i="12"/>
  <c r="R18" i="12"/>
  <c r="O30" i="12"/>
  <c r="O17" i="12"/>
  <c r="J29" i="12"/>
  <c r="N17" i="12"/>
  <c r="I29" i="12"/>
  <c r="J17" i="12"/>
  <c r="AE30" i="12"/>
  <c r="X30" i="12"/>
  <c r="AE18" i="12"/>
  <c r="W30" i="12"/>
  <c r="X18" i="12"/>
  <c r="U30" i="12"/>
  <c r="W18" i="12"/>
  <c r="R30" i="12"/>
  <c r="W16" i="12"/>
  <c r="O16" i="12"/>
  <c r="J28" i="12"/>
  <c r="N16" i="12"/>
  <c r="C30" i="12"/>
  <c r="I17" i="12"/>
  <c r="AE29" i="12"/>
  <c r="X29" i="12"/>
  <c r="AE17" i="12"/>
  <c r="W29" i="12"/>
  <c r="X17" i="12"/>
  <c r="R31" i="12"/>
  <c r="C25" i="12"/>
  <c r="T28" i="12"/>
  <c r="U16" i="12"/>
  <c r="U15" i="12"/>
  <c r="Q27" i="12"/>
  <c r="T15" i="12"/>
  <c r="R15" i="12"/>
  <c r="N27" i="12"/>
  <c r="Q15" i="12"/>
  <c r="I28" i="12"/>
  <c r="J16" i="12"/>
  <c r="C29" i="12"/>
  <c r="I16" i="12"/>
  <c r="AE28" i="12"/>
  <c r="X28" i="12"/>
  <c r="AE16" i="12"/>
  <c r="C26" i="12"/>
  <c r="U28" i="12"/>
  <c r="O11" i="12"/>
  <c r="U27" i="12"/>
  <c r="X15" i="12"/>
  <c r="T27" i="12"/>
  <c r="W15" i="12"/>
  <c r="T26" i="12"/>
  <c r="W14" i="12"/>
  <c r="U14" i="12"/>
  <c r="Q26" i="12"/>
  <c r="T14" i="12"/>
  <c r="R14" i="12"/>
  <c r="J27" i="12"/>
  <c r="O15" i="12"/>
  <c r="I27" i="12"/>
  <c r="N15" i="12"/>
  <c r="C28" i="12"/>
  <c r="J15" i="12"/>
  <c r="AE27" i="12"/>
  <c r="I15" i="12"/>
  <c r="C15" i="12"/>
  <c r="I23" i="12"/>
  <c r="N33" i="12"/>
  <c r="W26" i="12"/>
  <c r="AE14" i="12"/>
  <c r="U26" i="12"/>
  <c r="X14" i="12"/>
  <c r="U25" i="12"/>
  <c r="X13" i="12"/>
  <c r="T25" i="12"/>
  <c r="W13" i="12"/>
  <c r="U13" i="12"/>
  <c r="Q25" i="12"/>
  <c r="N26" i="12"/>
  <c r="Q14" i="12"/>
  <c r="J26" i="12"/>
  <c r="O14" i="12"/>
  <c r="I26" i="12"/>
  <c r="N14" i="12"/>
  <c r="C27" i="12"/>
  <c r="J14" i="12"/>
  <c r="Q31" i="12"/>
  <c r="U29" i="12"/>
  <c r="W17" i="12"/>
  <c r="Q32" i="12"/>
  <c r="X25" i="12"/>
  <c r="C14" i="12"/>
  <c r="W25" i="12"/>
  <c r="AE13" i="12"/>
  <c r="W24" i="12"/>
  <c r="AE12" i="12"/>
  <c r="U24" i="12"/>
  <c r="X12" i="12"/>
  <c r="T24" i="12"/>
  <c r="W12" i="12"/>
  <c r="U12" i="12"/>
  <c r="O25" i="12"/>
  <c r="N25" i="12"/>
  <c r="J25" i="12"/>
  <c r="I25" i="12"/>
  <c r="AE25" i="12"/>
  <c r="I24" i="12"/>
  <c r="I13" i="12"/>
  <c r="W27" i="12"/>
  <c r="AE24" i="12"/>
  <c r="I12" i="12"/>
  <c r="X24" i="12"/>
  <c r="C13" i="12"/>
  <c r="X23" i="12"/>
  <c r="C12" i="12"/>
  <c r="W23" i="12"/>
  <c r="U23" i="12"/>
  <c r="X11" i="12"/>
  <c r="T23" i="12"/>
  <c r="W11" i="12"/>
  <c r="Q24" i="12"/>
  <c r="O24" i="12"/>
  <c r="N24" i="12"/>
  <c r="J24" i="12"/>
  <c r="R20" i="12"/>
  <c r="R19" i="12"/>
  <c r="O33" i="12"/>
  <c r="AE26" i="12"/>
  <c r="C24" i="12"/>
  <c r="J11" i="12"/>
  <c r="AE23" i="12"/>
  <c r="AE22" i="12"/>
  <c r="J10" i="12"/>
  <c r="X22" i="12"/>
  <c r="W22" i="12"/>
  <c r="C11" i="12"/>
  <c r="U22" i="12"/>
  <c r="R23" i="12"/>
  <c r="U11" i="12"/>
  <c r="Q23" i="12"/>
  <c r="T11" i="12"/>
  <c r="O23" i="12"/>
  <c r="R11" i="12"/>
  <c r="N23" i="12"/>
  <c r="Q11" i="12"/>
  <c r="AE15" i="12"/>
  <c r="I14" i="12"/>
  <c r="X27" i="12"/>
  <c r="J22" i="12"/>
  <c r="I22" i="12"/>
  <c r="O10" i="12"/>
  <c r="C23" i="12"/>
  <c r="C22" i="12"/>
  <c r="AE21" i="12"/>
  <c r="X33" i="12"/>
  <c r="X21" i="12"/>
  <c r="W33" i="12"/>
  <c r="W21" i="12"/>
  <c r="C10" i="12"/>
  <c r="T22" i="12"/>
  <c r="X10" i="12"/>
  <c r="R22" i="12"/>
  <c r="W10" i="12"/>
  <c r="Q22" i="12"/>
  <c r="U10" i="12"/>
  <c r="O22" i="12"/>
  <c r="T10" i="12"/>
  <c r="R10" i="12"/>
  <c r="T29" i="12"/>
  <c r="N22" i="12"/>
  <c r="O21" i="12"/>
  <c r="J33" i="12"/>
  <c r="J21" i="12"/>
  <c r="I33" i="12"/>
  <c r="I21" i="12"/>
  <c r="I32" i="12"/>
  <c r="J20" i="12"/>
  <c r="C33" i="12"/>
  <c r="I20" i="12"/>
  <c r="C21" i="12"/>
  <c r="X32" i="12"/>
  <c r="AE20" i="12"/>
  <c r="U33" i="12"/>
  <c r="U21" i="12"/>
  <c r="T33" i="12"/>
  <c r="T21" i="12"/>
  <c r="R33" i="12"/>
  <c r="Q33" i="12"/>
  <c r="O32" i="12"/>
  <c r="T30" i="12"/>
  <c r="U18" i="12"/>
  <c r="U17" i="12"/>
  <c r="N32" i="12"/>
  <c r="O20" i="12"/>
  <c r="J32" i="12"/>
  <c r="N20" i="12"/>
  <c r="J31" i="12"/>
  <c r="I31" i="12"/>
  <c r="J19" i="12"/>
  <c r="C32" i="12"/>
  <c r="I19" i="12"/>
  <c r="AE31" i="12"/>
  <c r="C20" i="12"/>
  <c r="W32" i="12"/>
  <c r="X20" i="12"/>
  <c r="U32" i="12"/>
  <c r="W20" i="12"/>
  <c r="T32" i="12"/>
  <c r="U20" i="12"/>
  <c r="R32" i="12"/>
  <c r="T20" i="12"/>
  <c r="X26" i="12"/>
  <c r="Q20" i="12"/>
  <c r="W28" i="12"/>
  <c r="U30" i="29"/>
  <c r="W29" i="29"/>
  <c r="X17" i="29"/>
  <c r="X28" i="29"/>
  <c r="AE16" i="29"/>
  <c r="W28" i="29"/>
  <c r="X16" i="29"/>
  <c r="I23" i="29"/>
  <c r="AE27" i="29"/>
  <c r="I15" i="29"/>
  <c r="X27" i="29"/>
  <c r="C16" i="29"/>
  <c r="J22" i="29"/>
  <c r="Q30" i="29"/>
  <c r="R18" i="29"/>
  <c r="T27" i="29"/>
  <c r="W15" i="29"/>
  <c r="C22" i="29"/>
  <c r="J30" i="29"/>
  <c r="J29" i="29"/>
  <c r="N17" i="29"/>
  <c r="O24" i="29"/>
  <c r="AE10" i="29"/>
  <c r="AE30" i="29"/>
  <c r="X14" i="29"/>
  <c r="R12" i="29"/>
  <c r="Q12" i="29"/>
  <c r="N12" i="29"/>
  <c r="J12" i="29"/>
  <c r="AE31" i="29"/>
  <c r="I28" i="29"/>
  <c r="C10" i="29"/>
  <c r="C27" i="29"/>
  <c r="J14" i="29"/>
  <c r="AE26" i="29"/>
  <c r="N33" i="29"/>
  <c r="N21" i="29"/>
  <c r="R29" i="29"/>
  <c r="T17" i="29"/>
  <c r="U26" i="29"/>
  <c r="J24" i="29"/>
  <c r="O12" i="29"/>
  <c r="I24" i="29"/>
  <c r="Q31" i="29"/>
  <c r="R19" i="29"/>
  <c r="U27" i="29"/>
  <c r="X15" i="29"/>
  <c r="X24" i="29"/>
  <c r="N23" i="29"/>
  <c r="Q11" i="29"/>
  <c r="J23" i="29"/>
  <c r="R30" i="29"/>
  <c r="T18" i="29"/>
  <c r="W26" i="29"/>
  <c r="AE14" i="29"/>
  <c r="AE23" i="29"/>
  <c r="O29" i="29"/>
  <c r="O22" i="29"/>
  <c r="T10" i="29"/>
  <c r="N22" i="29"/>
  <c r="T29" i="29"/>
  <c r="U17" i="29"/>
  <c r="X25" i="29"/>
  <c r="O33" i="29"/>
  <c r="U28" i="29"/>
  <c r="T28" i="29"/>
  <c r="O30" i="29"/>
  <c r="J31" i="29"/>
  <c r="Q17" i="29"/>
  <c r="T25" i="29"/>
  <c r="U23" i="29"/>
  <c r="AE29" i="29"/>
  <c r="O15" i="29"/>
  <c r="W12" i="29"/>
  <c r="C19" i="29"/>
  <c r="R13" i="29"/>
  <c r="O11" i="29"/>
  <c r="O10" i="29"/>
  <c r="W32" i="29"/>
  <c r="AE19" i="29"/>
  <c r="AE21" i="29"/>
  <c r="Q32" i="29"/>
  <c r="W27" i="29"/>
  <c r="AE24" i="29"/>
  <c r="Q29" i="29"/>
  <c r="N30" i="29"/>
  <c r="R16" i="29"/>
  <c r="U24" i="29"/>
  <c r="W22" i="29"/>
  <c r="C29" i="29"/>
  <c r="AE13" i="29"/>
  <c r="W11" i="29"/>
  <c r="C17" i="29"/>
  <c r="R11" i="29"/>
  <c r="Q10" i="29"/>
  <c r="X32" i="29"/>
  <c r="O25" i="29"/>
  <c r="AE17" i="29"/>
  <c r="U21" i="29"/>
  <c r="R31" i="29"/>
  <c r="X26" i="29"/>
  <c r="C24" i="29"/>
  <c r="R28" i="29"/>
  <c r="Q28" i="29"/>
  <c r="U15" i="29"/>
  <c r="W23" i="29"/>
  <c r="X21" i="29"/>
  <c r="I27" i="29"/>
  <c r="X12" i="29"/>
  <c r="X10" i="29"/>
  <c r="T13" i="29"/>
  <c r="R10" i="29"/>
  <c r="R33" i="29"/>
  <c r="I29" i="29"/>
  <c r="Q22" i="29"/>
  <c r="R15" i="29"/>
  <c r="AE12" i="29"/>
  <c r="Q33" i="29"/>
  <c r="T30" i="29"/>
  <c r="AE25" i="29"/>
  <c r="I22" i="29"/>
  <c r="W25" i="29"/>
  <c r="R27" i="29"/>
  <c r="W14" i="29"/>
  <c r="X33" i="29"/>
  <c r="C21" i="29"/>
  <c r="J26" i="29"/>
  <c r="X11" i="29"/>
  <c r="J27" i="29"/>
  <c r="T12" i="29"/>
  <c r="U33" i="29"/>
  <c r="X29" i="29"/>
  <c r="Q25" i="29"/>
  <c r="I20" i="29"/>
  <c r="I14" i="29"/>
  <c r="C20" i="29"/>
  <c r="R32" i="29"/>
  <c r="U29" i="29"/>
  <c r="C25" i="29"/>
  <c r="J21" i="29"/>
  <c r="C23" i="29"/>
  <c r="T26" i="29"/>
  <c r="X13" i="29"/>
  <c r="AE32" i="29"/>
  <c r="I19" i="29"/>
  <c r="N25" i="29"/>
  <c r="C31" i="29"/>
  <c r="R23" i="29"/>
  <c r="T11" i="29"/>
  <c r="C30" i="29"/>
  <c r="I26" i="29"/>
  <c r="R22" i="29"/>
  <c r="O14" i="29"/>
  <c r="C13" i="29"/>
  <c r="AE11" i="29"/>
  <c r="T31" i="29"/>
  <c r="C26" i="29"/>
  <c r="Q20" i="29"/>
  <c r="O20" i="29"/>
  <c r="I21" i="29"/>
  <c r="U25" i="29"/>
  <c r="AE33" i="29"/>
  <c r="C32" i="29"/>
  <c r="J18" i="29"/>
  <c r="Q23" i="29"/>
  <c r="N27" i="29"/>
  <c r="J15" i="29"/>
  <c r="U10" i="29"/>
  <c r="N26" i="29"/>
  <c r="T22" i="29"/>
  <c r="U20" i="29"/>
  <c r="I13" i="29"/>
  <c r="C12" i="29"/>
  <c r="X19" i="29"/>
  <c r="I25" i="29"/>
  <c r="O21" i="29"/>
  <c r="W16" i="29"/>
  <c r="Q19" i="29"/>
  <c r="N20" i="29"/>
  <c r="W24" i="29"/>
  <c r="C33" i="29"/>
  <c r="I30" i="29"/>
  <c r="O16" i="29"/>
  <c r="U31" i="29"/>
  <c r="T23" i="29"/>
  <c r="U13" i="29"/>
  <c r="O26" i="29"/>
  <c r="U22" i="29"/>
  <c r="W20" i="29"/>
  <c r="I18" i="29"/>
  <c r="I12" i="29"/>
  <c r="AE28" i="29"/>
  <c r="I10" i="29"/>
  <c r="Q21" i="29"/>
  <c r="R20" i="29"/>
  <c r="AE15" i="29"/>
  <c r="U16" i="29"/>
  <c r="O19" i="29"/>
  <c r="X23" i="29"/>
  <c r="I31" i="29"/>
  <c r="N28" i="29"/>
  <c r="W33" i="29"/>
  <c r="C28" i="29"/>
  <c r="R21" i="29"/>
  <c r="U12" i="29"/>
  <c r="X22" i="29"/>
  <c r="X20" i="29"/>
  <c r="N18" i="29"/>
  <c r="I16" i="29"/>
  <c r="I11" i="29"/>
  <c r="T15" i="29"/>
  <c r="T32" i="29"/>
  <c r="T20" i="29"/>
  <c r="T19" i="29"/>
  <c r="C15" i="29"/>
  <c r="C14" i="29"/>
  <c r="Q18" i="29"/>
  <c r="AE22" i="29"/>
  <c r="N29" i="29"/>
  <c r="O27" i="29"/>
  <c r="T33" i="29"/>
  <c r="N24" i="29"/>
  <c r="J19" i="29"/>
  <c r="U11" i="29"/>
  <c r="AE20" i="29"/>
  <c r="X18" i="29"/>
  <c r="J16" i="29"/>
  <c r="Q14" i="29"/>
  <c r="J10" i="29"/>
  <c r="Q15" i="29"/>
  <c r="X31" i="29"/>
  <c r="U19" i="29"/>
  <c r="U18" i="29"/>
  <c r="J33" i="29"/>
  <c r="I33" i="29"/>
  <c r="R17" i="29"/>
  <c r="J20" i="29"/>
  <c r="O28" i="29"/>
  <c r="Q26" i="29"/>
  <c r="U32" i="29"/>
  <c r="T21" i="29"/>
  <c r="I17" i="29"/>
  <c r="W10" i="29"/>
  <c r="AE18" i="29"/>
  <c r="N16" i="29"/>
  <c r="R14" i="29"/>
  <c r="J13" i="29"/>
  <c r="J28" i="29"/>
  <c r="J25" i="29"/>
  <c r="C18" i="29"/>
  <c r="W18" i="29"/>
  <c r="W17" i="29"/>
  <c r="N32" i="29"/>
  <c r="J32" i="29"/>
  <c r="T16" i="29"/>
  <c r="N19" i="29"/>
  <c r="Q27" i="29"/>
  <c r="R25" i="29"/>
  <c r="W31" i="29"/>
  <c r="W19" i="29"/>
  <c r="N15" i="29"/>
  <c r="W30" i="29"/>
  <c r="Q16" i="29"/>
  <c r="T14" i="29"/>
  <c r="O13" i="29"/>
  <c r="J11" i="29"/>
  <c r="R24" i="29"/>
  <c r="N14" i="29"/>
  <c r="O17" i="29"/>
  <c r="N13" i="29"/>
  <c r="O32" i="29"/>
  <c r="O31" i="29"/>
  <c r="N31" i="29"/>
  <c r="I32" i="29"/>
  <c r="O18" i="29"/>
  <c r="R26" i="29"/>
  <c r="T24" i="29"/>
  <c r="X30" i="29"/>
  <c r="J17" i="29"/>
  <c r="W13" i="29"/>
  <c r="O23" i="29"/>
  <c r="U14" i="29"/>
  <c r="Q13" i="29"/>
  <c r="N11" i="29"/>
  <c r="N10" i="29"/>
  <c r="W21" i="29"/>
  <c r="Q24" i="29"/>
  <c r="C11" i="29"/>
  <c r="R13" i="33"/>
  <c r="U13" i="33"/>
  <c r="R24" i="33"/>
  <c r="U21" i="33"/>
  <c r="W11" i="33"/>
  <c r="C30" i="33"/>
  <c r="I20" i="33"/>
  <c r="C33" i="33"/>
  <c r="J20" i="33"/>
  <c r="I32" i="33"/>
  <c r="I21" i="33"/>
  <c r="I33" i="33"/>
  <c r="J21" i="33"/>
  <c r="J33" i="33"/>
  <c r="N21" i="33"/>
  <c r="N33" i="33"/>
  <c r="O21" i="33"/>
  <c r="O33" i="33"/>
  <c r="Q21" i="33"/>
  <c r="Q33" i="33"/>
  <c r="R21" i="33"/>
  <c r="R33" i="33"/>
  <c r="T21" i="33"/>
  <c r="T33" i="33"/>
  <c r="AE21" i="8"/>
  <c r="J27" i="8"/>
  <c r="J29" i="8"/>
  <c r="O29" i="8"/>
  <c r="W27" i="8"/>
  <c r="R22" i="8"/>
  <c r="C18" i="8"/>
  <c r="J15" i="8"/>
  <c r="W10" i="8"/>
  <c r="U28" i="8"/>
  <c r="AE28" i="8"/>
  <c r="I18" i="8"/>
  <c r="C31" i="8"/>
  <c r="I31" i="8"/>
  <c r="Q19" i="8"/>
  <c r="O31" i="8"/>
  <c r="T19" i="8"/>
  <c r="R31" i="8"/>
  <c r="Q21" i="8"/>
  <c r="Q33" i="8"/>
  <c r="J10" i="26"/>
  <c r="I23" i="26"/>
  <c r="I24" i="26"/>
  <c r="J16" i="26"/>
  <c r="U10" i="26"/>
  <c r="N21" i="26"/>
  <c r="I17" i="26"/>
  <c r="X28" i="26"/>
  <c r="C28" i="26"/>
  <c r="I16" i="26"/>
  <c r="C29" i="26"/>
  <c r="J27" i="26"/>
  <c r="R14" i="26"/>
  <c r="O26" i="26"/>
  <c r="T14" i="26"/>
  <c r="Q26" i="26"/>
  <c r="T15" i="26"/>
  <c r="Q27" i="26"/>
  <c r="R16" i="26"/>
  <c r="Q28" i="26"/>
  <c r="Q18" i="26"/>
  <c r="O30" i="26"/>
  <c r="O20" i="26"/>
  <c r="N32" i="26"/>
  <c r="U17" i="28"/>
  <c r="J24" i="28"/>
  <c r="AE15" i="28"/>
  <c r="C27" i="28"/>
  <c r="R20" i="28"/>
  <c r="Q32" i="28"/>
  <c r="U20" i="28"/>
  <c r="T32" i="28"/>
  <c r="W20" i="28"/>
  <c r="U32" i="28"/>
  <c r="X20" i="28"/>
  <c r="W32" i="28"/>
  <c r="C20" i="28"/>
  <c r="AE31" i="28"/>
  <c r="I19" i="28"/>
  <c r="C32" i="28"/>
  <c r="J19" i="28"/>
  <c r="I31" i="28"/>
  <c r="N19" i="28"/>
  <c r="J31" i="28"/>
  <c r="N20" i="28"/>
  <c r="J32" i="28"/>
  <c r="O20" i="28"/>
  <c r="N32" i="28"/>
  <c r="N23" i="19"/>
  <c r="N24" i="19"/>
  <c r="U20" i="19"/>
  <c r="R12" i="19"/>
  <c r="O24" i="19"/>
  <c r="O15" i="19"/>
  <c r="I28" i="19"/>
  <c r="Q25" i="19"/>
  <c r="O27" i="19"/>
  <c r="J30" i="19"/>
  <c r="I21" i="19"/>
  <c r="W33" i="33"/>
  <c r="O16" i="33"/>
  <c r="J17" i="33"/>
  <c r="J28" i="33"/>
  <c r="O25" i="33"/>
  <c r="Q15" i="33"/>
  <c r="U33" i="33"/>
  <c r="AE21" i="33"/>
  <c r="AE33" i="33"/>
  <c r="C22" i="33"/>
  <c r="N10" i="33"/>
  <c r="C23" i="33"/>
  <c r="O10" i="33"/>
  <c r="I22" i="33"/>
  <c r="Q10" i="33"/>
  <c r="J22" i="33"/>
  <c r="R10" i="33"/>
  <c r="N22" i="33"/>
  <c r="T10" i="33"/>
  <c r="O22" i="33"/>
  <c r="U10" i="33"/>
  <c r="Q22" i="33"/>
  <c r="W10" i="33"/>
  <c r="R22" i="33"/>
  <c r="AE18" i="8"/>
  <c r="W32" i="8"/>
  <c r="N11" i="8"/>
  <c r="J31" i="8"/>
  <c r="T29" i="8"/>
  <c r="N24" i="8"/>
  <c r="R19" i="8"/>
  <c r="W19" i="8"/>
  <c r="C12" i="8"/>
  <c r="I32" i="8"/>
  <c r="R30" i="8"/>
  <c r="W30" i="8"/>
  <c r="C20" i="8"/>
  <c r="AE31" i="8"/>
  <c r="C33" i="8"/>
  <c r="N20" i="8"/>
  <c r="J32" i="8"/>
  <c r="N32" i="8"/>
  <c r="R20" i="8"/>
  <c r="O22" i="8"/>
  <c r="AE19" i="26"/>
  <c r="U28" i="26"/>
  <c r="U29" i="26"/>
  <c r="U18" i="26"/>
  <c r="O12" i="26"/>
  <c r="X26" i="26"/>
  <c r="T19" i="26"/>
  <c r="W29" i="26"/>
  <c r="AE28" i="26"/>
  <c r="C18" i="26"/>
  <c r="AE29" i="26"/>
  <c r="I28" i="26"/>
  <c r="Q15" i="26"/>
  <c r="N27" i="26"/>
  <c r="R15" i="26"/>
  <c r="O27" i="26"/>
  <c r="Q16" i="26"/>
  <c r="O28" i="26"/>
  <c r="Q17" i="26"/>
  <c r="O29" i="26"/>
  <c r="O19" i="26"/>
  <c r="N31" i="26"/>
  <c r="J21" i="26"/>
  <c r="J33" i="26"/>
  <c r="O22" i="28"/>
  <c r="W29" i="28"/>
  <c r="T20" i="28"/>
  <c r="R32" i="28"/>
  <c r="O21" i="28"/>
  <c r="O33" i="28"/>
  <c r="R21" i="28"/>
  <c r="R33" i="28"/>
  <c r="T21" i="28"/>
  <c r="T33" i="28"/>
  <c r="U21" i="28"/>
  <c r="U33" i="28"/>
  <c r="AE20" i="28"/>
  <c r="X32" i="28"/>
  <c r="C21" i="28"/>
  <c r="AE32" i="28"/>
  <c r="I20" i="28"/>
  <c r="C33" i="28"/>
  <c r="J20" i="28"/>
  <c r="I32" i="28"/>
  <c r="I21" i="28"/>
  <c r="I33" i="28"/>
  <c r="J21" i="28"/>
  <c r="J33" i="28"/>
  <c r="X28" i="19"/>
  <c r="X29" i="19"/>
  <c r="Q32" i="19"/>
  <c r="Q13" i="19"/>
  <c r="N25" i="19"/>
  <c r="J16" i="19"/>
  <c r="C30" i="19"/>
  <c r="O26" i="19"/>
  <c r="N28" i="19"/>
  <c r="R31" i="19"/>
  <c r="C23" i="19"/>
  <c r="Q26" i="33"/>
  <c r="T23" i="33"/>
  <c r="AE20" i="33"/>
  <c r="AE31" i="33"/>
  <c r="W32" i="33"/>
  <c r="C19" i="33"/>
  <c r="I10" i="33"/>
  <c r="X22" i="33"/>
  <c r="J10" i="33"/>
  <c r="AE22" i="33"/>
  <c r="I11" i="33"/>
  <c r="AE23" i="33"/>
  <c r="J11" i="33"/>
  <c r="C24" i="33"/>
  <c r="N11" i="33"/>
  <c r="I23" i="33"/>
  <c r="O11" i="33"/>
  <c r="J23" i="33"/>
  <c r="Q11" i="33"/>
  <c r="N23" i="33"/>
  <c r="R11" i="33"/>
  <c r="O23" i="33"/>
  <c r="T11" i="33"/>
  <c r="Q23" i="33"/>
  <c r="J20" i="8"/>
  <c r="T15" i="8"/>
  <c r="W12" i="8"/>
  <c r="Q11" i="8"/>
  <c r="I10" i="8"/>
  <c r="Q31" i="8"/>
  <c r="T22" i="8"/>
  <c r="W22" i="8"/>
  <c r="X10" i="8"/>
  <c r="O32" i="8"/>
  <c r="T32" i="8"/>
  <c r="AE20" i="8"/>
  <c r="X32" i="8"/>
  <c r="I21" i="8"/>
  <c r="I33" i="8"/>
  <c r="J21" i="8"/>
  <c r="J33" i="8"/>
  <c r="O21" i="8"/>
  <c r="O33" i="8"/>
  <c r="N23" i="8"/>
  <c r="J13" i="26"/>
  <c r="J11" i="26"/>
  <c r="N10" i="26"/>
  <c r="Q10" i="26"/>
  <c r="U20" i="26"/>
  <c r="Q14" i="26"/>
  <c r="O32" i="26"/>
  <c r="J22" i="26"/>
  <c r="U30" i="26"/>
  <c r="X29" i="26"/>
  <c r="AE18" i="26"/>
  <c r="X30" i="26"/>
  <c r="C30" i="26"/>
  <c r="N16" i="26"/>
  <c r="J28" i="26"/>
  <c r="O16" i="26"/>
  <c r="N28" i="26"/>
  <c r="O17" i="26"/>
  <c r="N29" i="26"/>
  <c r="O18" i="26"/>
  <c r="N30" i="26"/>
  <c r="N20" i="26"/>
  <c r="J32" i="26"/>
  <c r="I22" i="26"/>
  <c r="N33" i="28"/>
  <c r="AE27" i="28"/>
  <c r="C15" i="28"/>
  <c r="AE25" i="28"/>
  <c r="R10" i="28"/>
  <c r="N22" i="28"/>
  <c r="U10" i="28"/>
  <c r="Q22" i="28"/>
  <c r="W10" i="28"/>
  <c r="R22" i="28"/>
  <c r="X10" i="28"/>
  <c r="T22" i="28"/>
  <c r="C10" i="28"/>
  <c r="W21" i="28"/>
  <c r="W33" i="28"/>
  <c r="X21" i="28"/>
  <c r="X33" i="28"/>
  <c r="AE21" i="28"/>
  <c r="AE33" i="28"/>
  <c r="C22" i="28"/>
  <c r="N10" i="28"/>
  <c r="C23" i="28"/>
  <c r="O10" i="28"/>
  <c r="I22" i="28"/>
  <c r="O22" i="19"/>
  <c r="N14" i="19"/>
  <c r="U10" i="19"/>
  <c r="O14" i="19"/>
  <c r="J26" i="19"/>
  <c r="I17" i="19"/>
  <c r="W11" i="19"/>
  <c r="N27" i="19"/>
  <c r="J29" i="19"/>
  <c r="O33" i="19"/>
  <c r="C32" i="19"/>
  <c r="R33" i="19"/>
  <c r="X27" i="19"/>
  <c r="C16" i="19"/>
  <c r="AE25" i="19"/>
  <c r="I13" i="19"/>
  <c r="W33" i="19"/>
  <c r="T32" i="19"/>
  <c r="I14" i="19"/>
  <c r="C25" i="19"/>
  <c r="I22" i="19"/>
  <c r="O10" i="19"/>
  <c r="N20" i="19"/>
  <c r="X32" i="19"/>
  <c r="U31" i="19"/>
  <c r="C26" i="19"/>
  <c r="I23" i="19"/>
  <c r="J21" i="19"/>
  <c r="I32" i="19"/>
  <c r="O19" i="19"/>
  <c r="O29" i="19"/>
  <c r="AE31" i="19"/>
  <c r="W30" i="19"/>
  <c r="I24" i="19"/>
  <c r="J22" i="19"/>
  <c r="O20" i="19"/>
  <c r="O30" i="19"/>
  <c r="Q18" i="19"/>
  <c r="Q28" i="19"/>
  <c r="Q27" i="19"/>
  <c r="T15" i="19"/>
  <c r="C31" i="19"/>
  <c r="Q33" i="19"/>
  <c r="J23" i="19"/>
  <c r="O11" i="19"/>
  <c r="N21" i="19"/>
  <c r="J32" i="19"/>
  <c r="Q19" i="19"/>
  <c r="Q29" i="19"/>
  <c r="R27" i="19"/>
  <c r="U15" i="19"/>
  <c r="R26" i="19"/>
  <c r="U14" i="19"/>
  <c r="U13" i="19"/>
  <c r="U33" i="19"/>
  <c r="R32" i="19"/>
  <c r="N22" i="19"/>
  <c r="R10" i="19"/>
  <c r="Q20" i="19"/>
  <c r="Q30" i="19"/>
  <c r="R18" i="19"/>
  <c r="R28" i="19"/>
  <c r="W14" i="19"/>
  <c r="T25" i="19"/>
  <c r="W13" i="19"/>
  <c r="T24" i="19"/>
  <c r="W12" i="19"/>
  <c r="U22" i="19"/>
  <c r="W32" i="19"/>
  <c r="T31" i="19"/>
  <c r="O21" i="19"/>
  <c r="N32" i="19"/>
  <c r="R19" i="19"/>
  <c r="R29" i="19"/>
  <c r="W15" i="19"/>
  <c r="U25" i="19"/>
  <c r="X13" i="19"/>
  <c r="U24" i="19"/>
  <c r="X12" i="19"/>
  <c r="U23" i="19"/>
  <c r="X11" i="19"/>
  <c r="W21" i="19"/>
  <c r="C10" i="19"/>
  <c r="X20" i="19"/>
  <c r="X31" i="19"/>
  <c r="U30" i="19"/>
  <c r="R20" i="19"/>
  <c r="R30" i="19"/>
  <c r="T18" i="19"/>
  <c r="T28" i="19"/>
  <c r="U16" i="19"/>
  <c r="U26" i="19"/>
  <c r="X14" i="19"/>
  <c r="W24" i="19"/>
  <c r="AE12" i="19"/>
  <c r="W23" i="19"/>
  <c r="AE11" i="19"/>
  <c r="W22" i="19"/>
  <c r="C11" i="19"/>
  <c r="AE20" i="19"/>
  <c r="I33" i="19"/>
  <c r="T33" i="19"/>
  <c r="O32" i="19"/>
  <c r="T19" i="19"/>
  <c r="T29" i="19"/>
  <c r="U17" i="19"/>
  <c r="U27" i="19"/>
  <c r="X15" i="19"/>
  <c r="W25" i="19"/>
  <c r="AE13" i="19"/>
  <c r="X23" i="19"/>
  <c r="C12" i="19"/>
  <c r="X22" i="19"/>
  <c r="X21" i="19"/>
  <c r="J33" i="19"/>
  <c r="C20" i="19"/>
  <c r="N31" i="19"/>
  <c r="U32" i="19"/>
  <c r="T30" i="19"/>
  <c r="U18" i="19"/>
  <c r="U28" i="19"/>
  <c r="W16" i="19"/>
  <c r="W26" i="19"/>
  <c r="AE14" i="19"/>
  <c r="X24" i="19"/>
  <c r="C13" i="19"/>
  <c r="AE22" i="19"/>
  <c r="J10" i="19"/>
  <c r="AE21" i="19"/>
  <c r="N33" i="19"/>
  <c r="C21" i="19"/>
  <c r="O31" i="19"/>
  <c r="X33" i="19"/>
  <c r="W31" i="19"/>
  <c r="U29" i="19"/>
  <c r="W17" i="19"/>
  <c r="W27" i="19"/>
  <c r="AE15" i="19"/>
  <c r="X25" i="19"/>
  <c r="C14" i="19"/>
  <c r="AE32" i="19"/>
  <c r="X30" i="19"/>
  <c r="W28" i="19"/>
  <c r="X16" i="19"/>
  <c r="X26" i="19"/>
  <c r="C15" i="19"/>
  <c r="AE24" i="19"/>
  <c r="O29" i="14"/>
  <c r="Q17" i="14"/>
  <c r="N29" i="14"/>
  <c r="O17" i="14"/>
  <c r="J29" i="14"/>
  <c r="N17" i="14"/>
  <c r="I29" i="14"/>
  <c r="J17" i="14"/>
  <c r="AE30" i="14"/>
  <c r="C19" i="14"/>
  <c r="X30" i="14"/>
  <c r="W30" i="14"/>
  <c r="X18" i="14"/>
  <c r="U30" i="14"/>
  <c r="W18" i="14"/>
  <c r="T30" i="14"/>
  <c r="U18" i="14"/>
  <c r="R30" i="14"/>
  <c r="N31" i="14"/>
  <c r="Q19" i="14"/>
  <c r="R28" i="14"/>
  <c r="I21" i="14"/>
  <c r="Q28" i="14"/>
  <c r="R16" i="14"/>
  <c r="O28" i="14"/>
  <c r="Q16" i="14"/>
  <c r="N28" i="14"/>
  <c r="O16" i="14"/>
  <c r="J28" i="14"/>
  <c r="N16" i="14"/>
  <c r="C30" i="14"/>
  <c r="I17" i="14"/>
  <c r="AE29" i="14"/>
  <c r="C18" i="14"/>
  <c r="X29" i="14"/>
  <c r="W29" i="14"/>
  <c r="X17" i="14"/>
  <c r="U29" i="14"/>
  <c r="W17" i="14"/>
  <c r="T29" i="14"/>
  <c r="U17" i="14"/>
  <c r="W25" i="14"/>
  <c r="X14" i="14"/>
  <c r="C23" i="14"/>
  <c r="R27" i="14"/>
  <c r="U15" i="14"/>
  <c r="Q27" i="14"/>
  <c r="T15" i="14"/>
  <c r="O27" i="14"/>
  <c r="R15" i="14"/>
  <c r="N27" i="14"/>
  <c r="Q15" i="14"/>
  <c r="I28" i="14"/>
  <c r="J16" i="14"/>
  <c r="C29" i="14"/>
  <c r="I16" i="14"/>
  <c r="AE28" i="14"/>
  <c r="C17" i="14"/>
  <c r="X28" i="14"/>
  <c r="W28" i="14"/>
  <c r="X16" i="14"/>
  <c r="U28" i="14"/>
  <c r="W16" i="14"/>
  <c r="O20" i="14"/>
  <c r="R29" i="14"/>
  <c r="J11" i="14"/>
  <c r="T26" i="14"/>
  <c r="W14" i="14"/>
  <c r="R26" i="14"/>
  <c r="U14" i="14"/>
  <c r="Q26" i="14"/>
  <c r="T14" i="14"/>
  <c r="O26" i="14"/>
  <c r="R14" i="14"/>
  <c r="J27" i="14"/>
  <c r="O15" i="14"/>
  <c r="I27" i="14"/>
  <c r="N15" i="14"/>
  <c r="C28" i="14"/>
  <c r="J15" i="14"/>
  <c r="AE27" i="14"/>
  <c r="I15" i="14"/>
  <c r="X27" i="14"/>
  <c r="C16" i="14"/>
  <c r="W27" i="14"/>
  <c r="AE15" i="14"/>
  <c r="W15" i="14"/>
  <c r="C24" i="14"/>
  <c r="C13" i="14"/>
  <c r="I11" i="14"/>
  <c r="U25" i="14"/>
  <c r="X13" i="14"/>
  <c r="T25" i="14"/>
  <c r="W13" i="14"/>
  <c r="U13" i="14"/>
  <c r="Q25" i="14"/>
  <c r="T13" i="14"/>
  <c r="N26" i="14"/>
  <c r="Q14" i="14"/>
  <c r="J26" i="14"/>
  <c r="O14" i="14"/>
  <c r="I26" i="14"/>
  <c r="N14" i="14"/>
  <c r="C27" i="14"/>
  <c r="J14" i="14"/>
  <c r="AE26" i="14"/>
  <c r="I14" i="14"/>
  <c r="X26" i="14"/>
  <c r="C15" i="14"/>
  <c r="O10" i="14"/>
  <c r="O19" i="14"/>
  <c r="J33" i="14"/>
  <c r="N32" i="14"/>
  <c r="W24" i="14"/>
  <c r="AE12" i="14"/>
  <c r="U24" i="14"/>
  <c r="X12" i="14"/>
  <c r="T24" i="14"/>
  <c r="W12" i="14"/>
  <c r="U12" i="14"/>
  <c r="O25" i="14"/>
  <c r="R13" i="14"/>
  <c r="N25" i="14"/>
  <c r="Q13" i="14"/>
  <c r="J25" i="14"/>
  <c r="O13" i="14"/>
  <c r="I25" i="14"/>
  <c r="C26" i="14"/>
  <c r="J13" i="14"/>
  <c r="AE25" i="14"/>
  <c r="I13" i="14"/>
  <c r="Q30" i="14"/>
  <c r="C14" i="14"/>
  <c r="U27" i="14"/>
  <c r="J32" i="14"/>
  <c r="X23" i="14"/>
  <c r="C12" i="14"/>
  <c r="W23" i="14"/>
  <c r="U23" i="14"/>
  <c r="X11" i="14"/>
  <c r="T23" i="14"/>
  <c r="W11" i="14"/>
  <c r="Q24" i="14"/>
  <c r="T12" i="14"/>
  <c r="O24" i="14"/>
  <c r="R12" i="14"/>
  <c r="N24" i="14"/>
  <c r="Q12" i="14"/>
  <c r="J24" i="14"/>
  <c r="O12" i="14"/>
  <c r="I24" i="14"/>
  <c r="C25" i="14"/>
  <c r="J12" i="14"/>
  <c r="AE24" i="14"/>
  <c r="Q29" i="14"/>
  <c r="I22" i="14"/>
  <c r="W26" i="14"/>
  <c r="AE22" i="14"/>
  <c r="J10" i="14"/>
  <c r="X22" i="14"/>
  <c r="I10" i="14"/>
  <c r="W22" i="14"/>
  <c r="C11" i="14"/>
  <c r="U22" i="14"/>
  <c r="R23" i="14"/>
  <c r="U11" i="14"/>
  <c r="Q23" i="14"/>
  <c r="T11" i="14"/>
  <c r="O23" i="14"/>
  <c r="R11" i="14"/>
  <c r="N23" i="14"/>
  <c r="Q11" i="14"/>
  <c r="J23" i="14"/>
  <c r="O11" i="14"/>
  <c r="I23" i="14"/>
  <c r="N11" i="14"/>
  <c r="N20" i="14"/>
  <c r="AE23" i="14"/>
  <c r="R17" i="14"/>
  <c r="U26" i="14"/>
  <c r="C22" i="14"/>
  <c r="AE21" i="14"/>
  <c r="X33" i="14"/>
  <c r="X21" i="14"/>
  <c r="W33" i="14"/>
  <c r="W21" i="14"/>
  <c r="C10" i="14"/>
  <c r="T22" i="14"/>
  <c r="X10" i="14"/>
  <c r="R22" i="14"/>
  <c r="W10" i="14"/>
  <c r="Q22" i="14"/>
  <c r="U10" i="14"/>
  <c r="O22" i="14"/>
  <c r="T10" i="14"/>
  <c r="N22" i="14"/>
  <c r="R10" i="14"/>
  <c r="J22" i="14"/>
  <c r="Q10" i="14"/>
  <c r="AE14" i="14"/>
  <c r="R18" i="14"/>
  <c r="I12" i="14"/>
  <c r="J21" i="14"/>
  <c r="I32" i="14"/>
  <c r="J20" i="14"/>
  <c r="C33" i="14"/>
  <c r="I20" i="14"/>
  <c r="C21" i="14"/>
  <c r="X32" i="14"/>
  <c r="AE20" i="14"/>
  <c r="U33" i="14"/>
  <c r="U21" i="14"/>
  <c r="T33" i="14"/>
  <c r="T21" i="14"/>
  <c r="R33" i="14"/>
  <c r="R21" i="14"/>
  <c r="Q33" i="14"/>
  <c r="Q21" i="14"/>
  <c r="O33" i="14"/>
  <c r="O21" i="14"/>
  <c r="N33" i="14"/>
  <c r="N21" i="14"/>
  <c r="O31" i="14"/>
  <c r="N10" i="14"/>
  <c r="AE13" i="14"/>
  <c r="I33" i="14"/>
  <c r="J31" i="14"/>
  <c r="N19" i="14"/>
  <c r="I31" i="14"/>
  <c r="J19" i="14"/>
  <c r="C32" i="14"/>
  <c r="I19" i="14"/>
  <c r="AE31" i="14"/>
  <c r="C20" i="14"/>
  <c r="W32" i="14"/>
  <c r="X20" i="14"/>
  <c r="U32" i="14"/>
  <c r="W20" i="14"/>
  <c r="T32" i="14"/>
  <c r="U20" i="14"/>
  <c r="R32" i="14"/>
  <c r="T20" i="14"/>
  <c r="Q32" i="14"/>
  <c r="R20" i="14"/>
  <c r="O32" i="14"/>
  <c r="Q20" i="14"/>
  <c r="X25" i="14"/>
  <c r="O30" i="14"/>
  <c r="T28" i="14"/>
  <c r="T27" i="14"/>
  <c r="N30" i="14"/>
  <c r="O18" i="14"/>
  <c r="J30" i="14"/>
  <c r="N18" i="14"/>
  <c r="I30" i="14"/>
  <c r="J18" i="14"/>
  <c r="C31" i="14"/>
  <c r="I18" i="14"/>
  <c r="X31" i="14"/>
  <c r="AE19" i="14"/>
  <c r="W31" i="14"/>
  <c r="X19" i="14"/>
  <c r="U31" i="14"/>
  <c r="W19" i="14"/>
  <c r="T31" i="14"/>
  <c r="U19" i="14"/>
  <c r="R31" i="14"/>
  <c r="T19" i="14"/>
  <c r="Q31" i="14"/>
  <c r="R19" i="14"/>
  <c r="X15" i="14"/>
  <c r="X24" i="14"/>
  <c r="Q18" i="14"/>
  <c r="U16" i="14"/>
  <c r="R30" i="32"/>
  <c r="T28" i="32"/>
  <c r="AE33" i="32"/>
  <c r="C32" i="32"/>
  <c r="Q25" i="32"/>
  <c r="W31" i="32"/>
  <c r="J23" i="32"/>
  <c r="O11" i="32"/>
  <c r="T18" i="32"/>
  <c r="I25" i="32"/>
  <c r="I12" i="32"/>
  <c r="T16" i="32"/>
  <c r="AE22" i="32"/>
  <c r="J10" i="32"/>
  <c r="Q16" i="32"/>
  <c r="W22" i="32"/>
  <c r="C11" i="32"/>
  <c r="N16" i="32"/>
  <c r="R23" i="32"/>
  <c r="U11" i="32"/>
  <c r="U20" i="32"/>
  <c r="AE27" i="32"/>
  <c r="R21" i="32"/>
  <c r="U10" i="32"/>
  <c r="T29" i="32"/>
  <c r="U27" i="32"/>
  <c r="C33" i="32"/>
  <c r="I30" i="32"/>
  <c r="U33" i="32"/>
  <c r="X30" i="32"/>
  <c r="N22" i="32"/>
  <c r="R10" i="32"/>
  <c r="U17" i="32"/>
  <c r="C24" i="32"/>
  <c r="J11" i="32"/>
  <c r="W15" i="32"/>
  <c r="C22" i="32"/>
  <c r="J32" i="32"/>
  <c r="T15" i="32"/>
  <c r="X21" i="32"/>
  <c r="T31" i="32"/>
  <c r="Q15" i="32"/>
  <c r="T22" i="32"/>
  <c r="X10" i="32"/>
  <c r="O13" i="32"/>
  <c r="O22" i="32"/>
  <c r="C18" i="32"/>
  <c r="Q33" i="32"/>
  <c r="U28" i="32"/>
  <c r="W26" i="32"/>
  <c r="I31" i="32"/>
  <c r="J29" i="32"/>
  <c r="W32" i="32"/>
  <c r="AE29" i="32"/>
  <c r="O21" i="32"/>
  <c r="I33" i="32"/>
  <c r="W16" i="32"/>
  <c r="I22" i="32"/>
  <c r="O10" i="32"/>
  <c r="X14" i="32"/>
  <c r="J20" i="32"/>
  <c r="Q29" i="32"/>
  <c r="U14" i="32"/>
  <c r="C21" i="32"/>
  <c r="X28" i="32"/>
  <c r="R14" i="32"/>
  <c r="U21" i="32"/>
  <c r="W30" i="32"/>
  <c r="R28" i="32"/>
  <c r="X18" i="32"/>
  <c r="O14" i="32"/>
  <c r="N13" i="32"/>
  <c r="W27" i="32"/>
  <c r="X25" i="32"/>
  <c r="J30" i="32"/>
  <c r="N28" i="32"/>
  <c r="X31" i="32"/>
  <c r="C29" i="32"/>
  <c r="R20" i="32"/>
  <c r="O30" i="32"/>
  <c r="AE15" i="32"/>
  <c r="J21" i="32"/>
  <c r="R32" i="32"/>
  <c r="AE13" i="32"/>
  <c r="N19" i="32"/>
  <c r="AE26" i="32"/>
  <c r="W13" i="32"/>
  <c r="I19" i="32"/>
  <c r="Q26" i="32"/>
  <c r="T13" i="32"/>
  <c r="X20" i="32"/>
  <c r="O23" i="32"/>
  <c r="R22" i="32"/>
  <c r="J15" i="32"/>
  <c r="W25" i="32"/>
  <c r="R33" i="32"/>
  <c r="X26" i="32"/>
  <c r="I32" i="32"/>
  <c r="N29" i="32"/>
  <c r="W33" i="32"/>
  <c r="AE30" i="32"/>
  <c r="I27" i="32"/>
  <c r="T19" i="32"/>
  <c r="T27" i="32"/>
  <c r="C15" i="32"/>
  <c r="O20" i="32"/>
  <c r="W29" i="32"/>
  <c r="C13" i="32"/>
  <c r="O18" i="32"/>
  <c r="X24" i="32"/>
  <c r="X12" i="32"/>
  <c r="J18" i="32"/>
  <c r="T24" i="32"/>
  <c r="U12" i="32"/>
  <c r="AE19" i="32"/>
  <c r="X19" i="32"/>
  <c r="U19" i="32"/>
  <c r="R11" i="32"/>
  <c r="Q21" i="32"/>
  <c r="O24" i="32"/>
  <c r="AE25" i="32"/>
  <c r="J31" i="32"/>
  <c r="O28" i="32"/>
  <c r="X32" i="32"/>
  <c r="C30" i="32"/>
  <c r="J26" i="32"/>
  <c r="U18" i="32"/>
  <c r="J25" i="32"/>
  <c r="I13" i="32"/>
  <c r="Q19" i="32"/>
  <c r="AE23" i="32"/>
  <c r="I11" i="32"/>
  <c r="Q17" i="32"/>
  <c r="W23" i="32"/>
  <c r="AE11" i="32"/>
  <c r="N17" i="32"/>
  <c r="T23" i="32"/>
  <c r="W11" i="32"/>
  <c r="C19" i="32"/>
  <c r="I16" i="32"/>
  <c r="O12" i="32"/>
  <c r="T20" i="32"/>
  <c r="AE17" i="32"/>
  <c r="W20" i="32"/>
  <c r="C25" i="32"/>
  <c r="N30" i="32"/>
  <c r="Q27" i="32"/>
  <c r="AE31" i="32"/>
  <c r="I28" i="32"/>
  <c r="N25" i="32"/>
  <c r="W17" i="32"/>
  <c r="I24" i="32"/>
  <c r="J12" i="32"/>
  <c r="R18" i="32"/>
  <c r="C23" i="32"/>
  <c r="N10" i="32"/>
  <c r="R16" i="32"/>
  <c r="X22" i="32"/>
  <c r="I10" i="32"/>
  <c r="O16" i="32"/>
  <c r="U22" i="32"/>
  <c r="AE10" i="32"/>
  <c r="I17" i="32"/>
  <c r="R12" i="32"/>
  <c r="C28" i="32"/>
  <c r="T21" i="32"/>
  <c r="N14" i="32"/>
  <c r="Q13" i="32"/>
  <c r="J33" i="32"/>
  <c r="O29" i="32"/>
  <c r="R26" i="32"/>
  <c r="C31" i="32"/>
  <c r="J27" i="32"/>
  <c r="O33" i="32"/>
  <c r="X16" i="32"/>
  <c r="I23" i="32"/>
  <c r="N11" i="32"/>
  <c r="T17" i="32"/>
  <c r="I21" i="32"/>
  <c r="Q32" i="32"/>
  <c r="U15" i="32"/>
  <c r="AE21" i="32"/>
  <c r="U31" i="32"/>
  <c r="R15" i="32"/>
  <c r="W21" i="32"/>
  <c r="C10" i="32"/>
  <c r="J16" i="32"/>
  <c r="Q23" i="32"/>
  <c r="Q22" i="32"/>
  <c r="W18" i="32"/>
  <c r="W10" i="32"/>
  <c r="T10" i="32"/>
  <c r="N32" i="32"/>
  <c r="Q28" i="32"/>
  <c r="T25" i="32"/>
  <c r="I29" i="32"/>
  <c r="N26" i="32"/>
  <c r="T30" i="32"/>
  <c r="C16" i="32"/>
  <c r="J22" i="32"/>
  <c r="Q10" i="32"/>
  <c r="U16" i="32"/>
  <c r="N20" i="32"/>
  <c r="U29" i="32"/>
  <c r="W14" i="32"/>
  <c r="I20" i="32"/>
  <c r="AE28" i="32"/>
  <c r="T14" i="32"/>
  <c r="AE20" i="32"/>
  <c r="R31" i="32"/>
  <c r="O15" i="32"/>
  <c r="U30" i="32"/>
  <c r="AE18" i="32"/>
  <c r="I15" i="32"/>
  <c r="C17" i="32"/>
  <c r="N24" i="32"/>
  <c r="N33" i="32"/>
  <c r="O31" i="32"/>
  <c r="R27" i="32"/>
  <c r="U24" i="32"/>
  <c r="J28" i="32"/>
  <c r="O25" i="32"/>
  <c r="X27" i="32"/>
  <c r="I14" i="32"/>
  <c r="N21" i="32"/>
  <c r="T32" i="32"/>
  <c r="X15" i="32"/>
  <c r="O19" i="32"/>
  <c r="C27" i="32"/>
  <c r="X13" i="32"/>
  <c r="J19" i="32"/>
  <c r="U26" i="32"/>
  <c r="U13" i="32"/>
  <c r="C20" i="32"/>
  <c r="W28" i="32"/>
  <c r="Q14" i="32"/>
  <c r="N23" i="32"/>
  <c r="N15" i="32"/>
  <c r="Q11" i="32"/>
  <c r="Q24" i="32"/>
  <c r="O32" i="32"/>
  <c r="Q30" i="32"/>
  <c r="T26" i="32"/>
  <c r="X33" i="32"/>
  <c r="N27" i="32"/>
  <c r="T33" i="32"/>
  <c r="R25" i="32"/>
  <c r="J13" i="32"/>
  <c r="Q20" i="32"/>
  <c r="X29" i="32"/>
  <c r="AE14" i="32"/>
  <c r="Q18" i="32"/>
  <c r="AE24" i="32"/>
  <c r="AE12" i="32"/>
  <c r="N18" i="32"/>
  <c r="W24" i="32"/>
  <c r="W12" i="32"/>
  <c r="I18" i="32"/>
  <c r="I26" i="32"/>
  <c r="R13" i="32"/>
  <c r="W19" i="32"/>
  <c r="T11" i="32"/>
  <c r="AE16" i="32"/>
  <c r="X17" i="32"/>
  <c r="Q31" i="32"/>
  <c r="R29" i="32"/>
  <c r="U25" i="32"/>
  <c r="AE32" i="32"/>
  <c r="O26" i="32"/>
  <c r="U32" i="32"/>
  <c r="J24" i="32"/>
  <c r="N12" i="32"/>
  <c r="R19" i="32"/>
  <c r="O27" i="32"/>
  <c r="C14" i="32"/>
  <c r="R17" i="32"/>
  <c r="X23" i="32"/>
  <c r="C12" i="32"/>
  <c r="O17" i="32"/>
  <c r="U23" i="32"/>
  <c r="X11" i="32"/>
  <c r="J17" i="32"/>
  <c r="R24" i="32"/>
  <c r="T12" i="32"/>
  <c r="Q12" i="32"/>
  <c r="N31" i="32"/>
  <c r="C26" i="32"/>
  <c r="J14" i="32"/>
  <c r="W12" i="33"/>
  <c r="N27" i="33"/>
  <c r="Q24" i="33"/>
  <c r="U22" i="33"/>
  <c r="U11" i="33"/>
  <c r="X21" i="33"/>
  <c r="AE11" i="33"/>
  <c r="W23" i="33"/>
  <c r="C12" i="33"/>
  <c r="X23" i="33"/>
  <c r="C13" i="33"/>
  <c r="X24" i="33"/>
  <c r="I12" i="33"/>
  <c r="AE24" i="33"/>
  <c r="J12" i="33"/>
  <c r="C25" i="33"/>
  <c r="N12" i="33"/>
  <c r="I24" i="33"/>
  <c r="O12" i="33"/>
  <c r="J24" i="33"/>
  <c r="Q12" i="33"/>
  <c r="N24" i="33"/>
  <c r="R12" i="33"/>
  <c r="O24" i="33"/>
  <c r="C29" i="8"/>
  <c r="Q23" i="8"/>
  <c r="O14" i="8"/>
  <c r="X12" i="8"/>
  <c r="R11" i="8"/>
  <c r="N33" i="8"/>
  <c r="C28" i="8"/>
  <c r="O24" i="8"/>
  <c r="X19" i="8"/>
  <c r="J12" i="8"/>
  <c r="W21" i="8"/>
  <c r="W33" i="8"/>
  <c r="N10" i="8"/>
  <c r="C23" i="8"/>
  <c r="O10" i="8"/>
  <c r="I22" i="8"/>
  <c r="R10" i="8"/>
  <c r="N22" i="8"/>
  <c r="O12" i="8"/>
  <c r="J24" i="8"/>
  <c r="J15" i="26"/>
  <c r="N22" i="26"/>
  <c r="Q11" i="26"/>
  <c r="U11" i="26"/>
  <c r="T30" i="26"/>
  <c r="X16" i="26"/>
  <c r="X10" i="26"/>
  <c r="W27" i="26"/>
  <c r="T31" i="26"/>
  <c r="W30" i="26"/>
  <c r="X19" i="26"/>
  <c r="W31" i="26"/>
  <c r="AE30" i="26"/>
  <c r="J17" i="26"/>
  <c r="I29" i="26"/>
  <c r="N17" i="26"/>
  <c r="J29" i="26"/>
  <c r="N18" i="26"/>
  <c r="J30" i="26"/>
  <c r="N19" i="26"/>
  <c r="J31" i="26"/>
  <c r="I21" i="26"/>
  <c r="I33" i="26"/>
  <c r="C24" i="26"/>
  <c r="U28" i="28"/>
  <c r="Q33" i="28"/>
  <c r="U19" i="28"/>
  <c r="Q31" i="28"/>
  <c r="O11" i="28"/>
  <c r="J23" i="28"/>
  <c r="R11" i="28"/>
  <c r="O23" i="28"/>
  <c r="T11" i="28"/>
  <c r="Q23" i="28"/>
  <c r="U11" i="28"/>
  <c r="R23" i="28"/>
  <c r="AE10" i="28"/>
  <c r="U22" i="28"/>
  <c r="C11" i="28"/>
  <c r="W22" i="28"/>
  <c r="I10" i="28"/>
  <c r="X22" i="28"/>
  <c r="J10" i="28"/>
  <c r="AE22" i="28"/>
  <c r="I11" i="28"/>
  <c r="AE23" i="28"/>
  <c r="J11" i="28"/>
  <c r="C24" i="28"/>
  <c r="Q22" i="19"/>
  <c r="W18" i="19"/>
  <c r="W19" i="19"/>
  <c r="I26" i="19"/>
  <c r="N15" i="19"/>
  <c r="I27" i="19"/>
  <c r="C19" i="19"/>
  <c r="U12" i="19"/>
  <c r="J28" i="19"/>
  <c r="I30" i="19"/>
  <c r="Q17" i="19"/>
  <c r="J11" i="19"/>
  <c r="N33" i="11"/>
  <c r="O28" i="11"/>
  <c r="Q16" i="11"/>
  <c r="O27" i="11"/>
  <c r="R15" i="11"/>
  <c r="O26" i="11"/>
  <c r="R14" i="11"/>
  <c r="N26" i="11"/>
  <c r="Q14" i="11"/>
  <c r="N25" i="11"/>
  <c r="N24" i="11"/>
  <c r="N23" i="11"/>
  <c r="Q11" i="11"/>
  <c r="N22" i="11"/>
  <c r="R10" i="11"/>
  <c r="N21" i="11"/>
  <c r="N32" i="11"/>
  <c r="O20" i="11"/>
  <c r="AE23" i="11"/>
  <c r="AE22" i="11"/>
  <c r="U26" i="11"/>
  <c r="U25" i="11"/>
  <c r="J33" i="11"/>
  <c r="Q27" i="11"/>
  <c r="T15" i="11"/>
  <c r="Q26" i="11"/>
  <c r="T14" i="11"/>
  <c r="O25" i="11"/>
  <c r="R13" i="11"/>
  <c r="O24" i="11"/>
  <c r="R12" i="11"/>
  <c r="O23" i="11"/>
  <c r="R11" i="11"/>
  <c r="O22" i="11"/>
  <c r="T10" i="11"/>
  <c r="O21" i="11"/>
  <c r="O32" i="11"/>
  <c r="Q20" i="11"/>
  <c r="O31" i="11"/>
  <c r="I33" i="11"/>
  <c r="R26" i="11"/>
  <c r="U14" i="11"/>
  <c r="U13" i="11"/>
  <c r="U12" i="11"/>
  <c r="Q23" i="11"/>
  <c r="T11" i="11"/>
  <c r="Q22" i="11"/>
  <c r="U10" i="11"/>
  <c r="Q21" i="11"/>
  <c r="Q32" i="11"/>
  <c r="R20" i="11"/>
  <c r="Q31" i="11"/>
  <c r="R19" i="11"/>
  <c r="Q30" i="11"/>
  <c r="R18" i="11"/>
  <c r="X13" i="11"/>
  <c r="R33" i="11"/>
  <c r="I32" i="11"/>
  <c r="X14" i="11"/>
  <c r="T25" i="11"/>
  <c r="W13" i="11"/>
  <c r="T24" i="11"/>
  <c r="W12" i="11"/>
  <c r="T23" i="11"/>
  <c r="W11" i="11"/>
  <c r="R23" i="11"/>
  <c r="U11" i="11"/>
  <c r="R22" i="11"/>
  <c r="W10" i="11"/>
  <c r="R21" i="11"/>
  <c r="R32" i="11"/>
  <c r="T20" i="11"/>
  <c r="R31" i="11"/>
  <c r="R30" i="11"/>
  <c r="R29" i="11"/>
  <c r="T17" i="11"/>
  <c r="O29" i="11"/>
  <c r="T27" i="11"/>
  <c r="T26" i="11"/>
  <c r="O19" i="11"/>
  <c r="X33" i="11"/>
  <c r="U24" i="11"/>
  <c r="X12" i="11"/>
  <c r="U23" i="11"/>
  <c r="X11" i="11"/>
  <c r="U22" i="11"/>
  <c r="T22" i="11"/>
  <c r="X10" i="11"/>
  <c r="T21" i="11"/>
  <c r="T32" i="11"/>
  <c r="U20" i="11"/>
  <c r="T31" i="11"/>
  <c r="U19" i="11"/>
  <c r="T30" i="11"/>
  <c r="U18" i="11"/>
  <c r="T29" i="11"/>
  <c r="U17" i="11"/>
  <c r="T28" i="11"/>
  <c r="U16" i="11"/>
  <c r="X23" i="11"/>
  <c r="T16" i="11"/>
  <c r="W15" i="11"/>
  <c r="W33" i="11"/>
  <c r="W23" i="11"/>
  <c r="W22" i="11"/>
  <c r="C11" i="11"/>
  <c r="W21" i="11"/>
  <c r="C10" i="11"/>
  <c r="U21" i="11"/>
  <c r="U32" i="11"/>
  <c r="W20" i="11"/>
  <c r="U31" i="11"/>
  <c r="W19" i="11"/>
  <c r="U30" i="11"/>
  <c r="W18" i="11"/>
  <c r="U29" i="11"/>
  <c r="W17" i="11"/>
  <c r="U28" i="11"/>
  <c r="W16" i="11"/>
  <c r="U27" i="11"/>
  <c r="X15" i="11"/>
  <c r="O18" i="11"/>
  <c r="C12" i="11"/>
  <c r="N10" i="11"/>
  <c r="W14" i="11"/>
  <c r="U33" i="11"/>
  <c r="X22" i="11"/>
  <c r="I10" i="11"/>
  <c r="X21" i="11"/>
  <c r="X32" i="11"/>
  <c r="AE20" i="11"/>
  <c r="W32" i="11"/>
  <c r="X20" i="11"/>
  <c r="W31" i="11"/>
  <c r="X19" i="11"/>
  <c r="W30" i="11"/>
  <c r="X18" i="11"/>
  <c r="W29" i="11"/>
  <c r="X17" i="11"/>
  <c r="W28" i="11"/>
  <c r="X16" i="11"/>
  <c r="W27" i="11"/>
  <c r="AE15" i="11"/>
  <c r="W26" i="11"/>
  <c r="AE14" i="11"/>
  <c r="C13" i="11"/>
  <c r="Q33" i="11"/>
  <c r="N31" i="11"/>
  <c r="AE13" i="11"/>
  <c r="T33" i="11"/>
  <c r="AE21" i="11"/>
  <c r="C21" i="11"/>
  <c r="AE31" i="11"/>
  <c r="C20" i="11"/>
  <c r="X31" i="11"/>
  <c r="AE19" i="11"/>
  <c r="X30" i="11"/>
  <c r="AE18" i="11"/>
  <c r="X29" i="11"/>
  <c r="AE17" i="11"/>
  <c r="X28" i="11"/>
  <c r="AE16" i="11"/>
  <c r="X27" i="11"/>
  <c r="C16" i="11"/>
  <c r="X26" i="11"/>
  <c r="C15" i="11"/>
  <c r="X25" i="11"/>
  <c r="C14" i="11"/>
  <c r="R28" i="11"/>
  <c r="R27" i="11"/>
  <c r="W25" i="11"/>
  <c r="C33" i="11"/>
  <c r="I20" i="11"/>
  <c r="C32" i="11"/>
  <c r="I19" i="11"/>
  <c r="C31" i="11"/>
  <c r="I18" i="11"/>
  <c r="AE30" i="11"/>
  <c r="C19" i="11"/>
  <c r="AE29" i="11"/>
  <c r="C18" i="11"/>
  <c r="AE28" i="11"/>
  <c r="C17" i="11"/>
  <c r="AE27" i="11"/>
  <c r="I15" i="11"/>
  <c r="AE26" i="11"/>
  <c r="I14" i="11"/>
  <c r="AE25" i="11"/>
  <c r="I13" i="11"/>
  <c r="AE24" i="11"/>
  <c r="I12" i="11"/>
  <c r="C23" i="11"/>
  <c r="C22" i="11"/>
  <c r="N20" i="11"/>
  <c r="N30" i="11"/>
  <c r="I31" i="11"/>
  <c r="J19" i="11"/>
  <c r="I30" i="11"/>
  <c r="J18" i="11"/>
  <c r="I29" i="11"/>
  <c r="J17" i="11"/>
  <c r="C30" i="11"/>
  <c r="I17" i="11"/>
  <c r="C29" i="11"/>
  <c r="I16" i="11"/>
  <c r="C28" i="11"/>
  <c r="J15" i="11"/>
  <c r="C27" i="11"/>
  <c r="J14" i="11"/>
  <c r="C26" i="11"/>
  <c r="J13" i="11"/>
  <c r="C25" i="11"/>
  <c r="J12" i="11"/>
  <c r="C24" i="11"/>
  <c r="J11" i="11"/>
  <c r="R17" i="11"/>
  <c r="R16" i="11"/>
  <c r="U15" i="11"/>
  <c r="X24" i="11"/>
  <c r="J30" i="11"/>
  <c r="J29" i="11"/>
  <c r="N17" i="11"/>
  <c r="J28" i="11"/>
  <c r="N16" i="11"/>
  <c r="I28" i="11"/>
  <c r="J16" i="11"/>
  <c r="I27" i="11"/>
  <c r="N15" i="11"/>
  <c r="I26" i="11"/>
  <c r="N14" i="11"/>
  <c r="I25" i="11"/>
  <c r="I24" i="11"/>
  <c r="I23" i="11"/>
  <c r="N11" i="11"/>
  <c r="I22" i="11"/>
  <c r="O10" i="11"/>
  <c r="AE12" i="11"/>
  <c r="I11" i="11"/>
  <c r="J10" i="11"/>
  <c r="W24" i="11"/>
  <c r="N29" i="11"/>
  <c r="J24" i="11"/>
  <c r="J31" i="11"/>
  <c r="O17" i="11"/>
  <c r="J20" i="11"/>
  <c r="N28" i="11"/>
  <c r="J23" i="11"/>
  <c r="O30" i="11"/>
  <c r="O16" i="11"/>
  <c r="O11" i="11"/>
  <c r="N27" i="11"/>
  <c r="J22" i="11"/>
  <c r="Q15" i="11"/>
  <c r="Q10" i="11"/>
  <c r="J27" i="11"/>
  <c r="J21" i="11"/>
  <c r="O15" i="11"/>
  <c r="Q29" i="11"/>
  <c r="J26" i="11"/>
  <c r="Q28" i="11"/>
  <c r="O14" i="11"/>
  <c r="Q17" i="11"/>
  <c r="J25" i="11"/>
  <c r="J32" i="11"/>
  <c r="O33" i="11"/>
  <c r="I21" i="11"/>
  <c r="Q21" i="4"/>
  <c r="J31" i="4"/>
  <c r="N12" i="4"/>
  <c r="N28" i="4"/>
  <c r="R22" i="4"/>
  <c r="T21" i="4"/>
  <c r="J33" i="4"/>
  <c r="AE18" i="4"/>
  <c r="N10" i="4"/>
  <c r="W13" i="4"/>
  <c r="W29" i="4"/>
  <c r="T26" i="4"/>
  <c r="T24" i="4"/>
  <c r="C12" i="4"/>
  <c r="U26" i="4"/>
  <c r="C31" i="4"/>
  <c r="R17" i="4"/>
  <c r="R33" i="4"/>
  <c r="O33" i="4"/>
  <c r="X26" i="4"/>
  <c r="C33" i="4"/>
  <c r="Q24" i="4"/>
  <c r="I10" i="4"/>
  <c r="N19" i="4"/>
  <c r="J11" i="4"/>
  <c r="X13" i="4"/>
  <c r="X29" i="4"/>
  <c r="Q25" i="4"/>
  <c r="R30" i="4"/>
  <c r="W22" i="4"/>
  <c r="C20" i="4"/>
  <c r="X22" i="4"/>
  <c r="C21" i="4"/>
  <c r="AE26" i="4"/>
  <c r="J17" i="4"/>
  <c r="N27" i="4"/>
  <c r="C18" i="4"/>
  <c r="T28" i="4"/>
  <c r="O13" i="4"/>
  <c r="AE21" i="4"/>
  <c r="I13" i="4"/>
  <c r="N18" i="4"/>
  <c r="AE10" i="4"/>
  <c r="T11" i="4"/>
  <c r="T27" i="4"/>
  <c r="N17" i="4"/>
  <c r="U19" i="4"/>
  <c r="J16" i="4"/>
  <c r="AE27" i="4"/>
  <c r="X11" i="4"/>
  <c r="N24" i="4"/>
  <c r="C32" i="4"/>
  <c r="O24" i="4"/>
  <c r="N21" i="4"/>
  <c r="Q28" i="4"/>
  <c r="O25" i="4"/>
  <c r="R28" i="4"/>
  <c r="O11" i="4"/>
  <c r="O31" i="4"/>
  <c r="T22" i="4"/>
  <c r="Q23" i="4"/>
  <c r="I25" i="4"/>
  <c r="J14" i="4"/>
  <c r="X12" i="4"/>
  <c r="X28" i="4"/>
  <c r="W27" i="4"/>
  <c r="AE20" i="4"/>
  <c r="J28" i="4"/>
  <c r="Q29" i="4"/>
  <c r="O21" i="4"/>
  <c r="R25" i="4"/>
  <c r="N33" i="4"/>
  <c r="T25" i="4"/>
  <c r="X19" i="4"/>
  <c r="U29" i="4"/>
  <c r="N11" i="4"/>
  <c r="N31" i="4"/>
  <c r="T12" i="4"/>
  <c r="T32" i="4"/>
  <c r="X31" i="4"/>
  <c r="U24" i="4"/>
  <c r="C13" i="4"/>
  <c r="W20" i="4"/>
  <c r="J26" i="4"/>
  <c r="O14" i="4"/>
  <c r="O30" i="4"/>
  <c r="C17" i="4"/>
  <c r="Q22" i="4"/>
  <c r="I16" i="4"/>
  <c r="AE11" i="4"/>
  <c r="U30" i="4"/>
  <c r="T30" i="4"/>
  <c r="W26" i="4"/>
  <c r="C29" i="4"/>
  <c r="O28" i="4"/>
  <c r="AE30" i="4"/>
  <c r="R12" i="4"/>
  <c r="R32" i="4"/>
  <c r="O15" i="4"/>
  <c r="X33" i="4"/>
  <c r="J30" i="4"/>
  <c r="AE25" i="4"/>
  <c r="C25" i="4"/>
  <c r="N22" i="4"/>
  <c r="I14" i="4"/>
  <c r="T15" i="4"/>
  <c r="T31" i="4"/>
  <c r="U23" i="4"/>
  <c r="I28" i="4"/>
  <c r="AE31" i="4"/>
  <c r="J18" i="4"/>
  <c r="R29" i="4"/>
  <c r="T14" i="4"/>
  <c r="T29" i="4"/>
  <c r="U13" i="4"/>
  <c r="Q32" i="4"/>
  <c r="N15" i="4"/>
  <c r="W33" i="4"/>
  <c r="T16" i="4"/>
  <c r="J12" i="4"/>
  <c r="Q27" i="4"/>
  <c r="N13" i="4"/>
  <c r="R23" i="4"/>
  <c r="I26" i="4"/>
  <c r="X16" i="4"/>
  <c r="X32" i="4"/>
  <c r="O29" i="4"/>
  <c r="AE24" i="4"/>
  <c r="C16" i="4"/>
  <c r="U14" i="4"/>
  <c r="Q33" i="4"/>
  <c r="C30" i="4"/>
  <c r="W30" i="4"/>
  <c r="O12" i="4"/>
  <c r="X30" i="4"/>
  <c r="AE14" i="4"/>
  <c r="U33" i="4"/>
  <c r="R16" i="4"/>
  <c r="J23" i="4"/>
  <c r="X17" i="4"/>
  <c r="J24" i="4"/>
  <c r="U12" i="4"/>
  <c r="U28" i="4"/>
  <c r="U10" i="4"/>
  <c r="W24" i="4"/>
  <c r="C14" i="4"/>
  <c r="O18" i="4"/>
  <c r="X10" i="4"/>
  <c r="I30" i="4"/>
  <c r="Q26" i="4"/>
  <c r="C28" i="4"/>
  <c r="Q17" i="4"/>
  <c r="J19" i="4"/>
  <c r="W14" i="4"/>
  <c r="X14" i="4"/>
  <c r="T33" i="4"/>
  <c r="U17" i="4"/>
  <c r="J10" i="4"/>
  <c r="R20" i="4"/>
  <c r="I23" i="4"/>
  <c r="T20" i="4"/>
  <c r="I24" i="4"/>
  <c r="Q15" i="4"/>
  <c r="Q31" i="4"/>
  <c r="R11" i="4"/>
  <c r="R27" i="4"/>
  <c r="W23" i="4"/>
  <c r="X20" i="4"/>
  <c r="J27" i="4"/>
  <c r="AE12" i="4"/>
  <c r="AE28" i="4"/>
  <c r="R26" i="4"/>
  <c r="U18" i="4"/>
  <c r="I19" i="4"/>
  <c r="N16" i="4"/>
  <c r="J20" i="4"/>
  <c r="O16" i="4"/>
  <c r="O10" i="4"/>
  <c r="Q20" i="4"/>
  <c r="I22" i="4"/>
  <c r="W21" i="4"/>
  <c r="C11" i="4"/>
  <c r="X21" i="4"/>
  <c r="C24" i="4"/>
  <c r="U16" i="4"/>
  <c r="U32" i="4"/>
  <c r="W12" i="4"/>
  <c r="W28" i="4"/>
  <c r="W31" i="4"/>
  <c r="O22" i="4"/>
  <c r="I15" i="4"/>
  <c r="Q14" i="4"/>
  <c r="Q30" i="4"/>
  <c r="J29" i="4"/>
  <c r="AE19" i="4"/>
  <c r="I31" i="4"/>
  <c r="W18" i="4"/>
  <c r="J32" i="4"/>
  <c r="T17" i="4"/>
  <c r="J21" i="4"/>
  <c r="U21" i="4"/>
  <c r="C22" i="4"/>
  <c r="N23" i="4"/>
  <c r="C23" i="4"/>
  <c r="O23" i="4"/>
  <c r="W11" i="4"/>
  <c r="AE17" i="4"/>
  <c r="AE33" i="4"/>
  <c r="N14" i="4"/>
  <c r="N30" i="4"/>
  <c r="I29" i="4"/>
  <c r="T23" i="4"/>
  <c r="I27" i="4"/>
  <c r="U15" i="4"/>
  <c r="U31" i="4"/>
  <c r="O17" i="4"/>
  <c r="U22" i="4"/>
  <c r="C19" i="4"/>
  <c r="N20" i="4"/>
  <c r="I20" i="4"/>
  <c r="X18" i="4"/>
  <c r="I21" i="4"/>
  <c r="AE22" i="4"/>
  <c r="C10" i="4"/>
  <c r="R24" i="4"/>
  <c r="R14" i="4"/>
  <c r="X25" i="4"/>
  <c r="N25" i="4"/>
  <c r="J13" i="4"/>
  <c r="R15" i="4"/>
  <c r="R31" i="4"/>
  <c r="X15" i="4"/>
  <c r="X24" i="4"/>
  <c r="C15" i="4"/>
  <c r="AE16" i="4"/>
  <c r="AE32" i="4"/>
  <c r="X27" i="4"/>
  <c r="AE23" i="4"/>
  <c r="W19" i="4"/>
  <c r="R21" i="4"/>
  <c r="I32" i="4"/>
  <c r="O20" i="4"/>
  <c r="I33" i="4"/>
  <c r="U25" i="4"/>
  <c r="W25" i="4"/>
  <c r="N29" i="4"/>
  <c r="O27" i="4"/>
  <c r="I17" i="4"/>
  <c r="U20" i="4"/>
  <c r="J25" i="4"/>
  <c r="W16" i="4"/>
  <c r="W32" i="4"/>
  <c r="T10" i="4"/>
  <c r="O26" i="4"/>
  <c r="C27" i="4"/>
  <c r="W10" i="4"/>
  <c r="I18" i="4"/>
  <c r="AE15" i="4"/>
  <c r="AE13" i="4"/>
  <c r="R10" i="4"/>
  <c r="AE29" i="4"/>
  <c r="R13" i="4"/>
  <c r="X23" i="4"/>
  <c r="N32" i="4"/>
  <c r="N26" i="4"/>
  <c r="T13" i="4"/>
  <c r="C26" i="4"/>
  <c r="O32" i="4"/>
  <c r="Q16" i="4"/>
  <c r="J15" i="4"/>
  <c r="J22" i="4"/>
  <c r="U11" i="4"/>
  <c r="W17" i="4"/>
  <c r="U27" i="4"/>
  <c r="I11" i="4"/>
  <c r="W15" i="4"/>
  <c r="O19" i="4"/>
  <c r="I12" i="4"/>
  <c r="N16" i="33"/>
  <c r="C31" i="33"/>
  <c r="I28" i="33"/>
  <c r="C11" i="33"/>
  <c r="O15" i="33"/>
  <c r="R25" i="33"/>
  <c r="X12" i="33"/>
  <c r="U24" i="33"/>
  <c r="AE12" i="33"/>
  <c r="W24" i="33"/>
  <c r="AE13" i="33"/>
  <c r="W25" i="33"/>
  <c r="C14" i="33"/>
  <c r="X25" i="33"/>
  <c r="I13" i="33"/>
  <c r="AE25" i="33"/>
  <c r="J13" i="33"/>
  <c r="C26" i="33"/>
  <c r="N13" i="33"/>
  <c r="I25" i="33"/>
  <c r="O13" i="33"/>
  <c r="J25" i="33"/>
  <c r="Q13" i="33"/>
  <c r="N25" i="33"/>
  <c r="R12" i="8"/>
  <c r="U15" i="8"/>
  <c r="AE15" i="8"/>
  <c r="Q14" i="8"/>
  <c r="AE12" i="8"/>
  <c r="J10" i="8"/>
  <c r="X29" i="8"/>
  <c r="J26" i="8"/>
  <c r="N26" i="8"/>
  <c r="N21" i="8"/>
  <c r="W16" i="8"/>
  <c r="W13" i="8"/>
  <c r="Q12" i="8"/>
  <c r="U22" i="8"/>
  <c r="W23" i="8"/>
  <c r="I11" i="8"/>
  <c r="AE23" i="8"/>
  <c r="J11" i="8"/>
  <c r="C24" i="8"/>
  <c r="O11" i="8"/>
  <c r="J23" i="8"/>
  <c r="I25" i="8"/>
  <c r="X27" i="26"/>
  <c r="O11" i="26"/>
  <c r="R13" i="26"/>
  <c r="I14" i="26"/>
  <c r="T10" i="26"/>
  <c r="X18" i="26"/>
  <c r="T12" i="26"/>
  <c r="N33" i="26"/>
  <c r="R32" i="26"/>
  <c r="U31" i="26"/>
  <c r="W20" i="26"/>
  <c r="U32" i="26"/>
  <c r="X31" i="26"/>
  <c r="I18" i="26"/>
  <c r="C31" i="26"/>
  <c r="J18" i="26"/>
  <c r="I30" i="26"/>
  <c r="J19" i="26"/>
  <c r="I31" i="26"/>
  <c r="J20" i="26"/>
  <c r="I32" i="26"/>
  <c r="C23" i="26"/>
  <c r="I12" i="26"/>
  <c r="AE24" i="26"/>
  <c r="J12" i="28"/>
  <c r="N13" i="28"/>
  <c r="C25" i="28"/>
  <c r="T31" i="28"/>
  <c r="N12" i="28"/>
  <c r="I24" i="28"/>
  <c r="Q12" i="28"/>
  <c r="N24" i="28"/>
  <c r="R12" i="28"/>
  <c r="O24" i="28"/>
  <c r="T12" i="28"/>
  <c r="Q24" i="28"/>
  <c r="W11" i="28"/>
  <c r="T23" i="28"/>
  <c r="X11" i="28"/>
  <c r="U23" i="28"/>
  <c r="AE11" i="28"/>
  <c r="W23" i="28"/>
  <c r="C12" i="28"/>
  <c r="X23" i="28"/>
  <c r="C13" i="28"/>
  <c r="X24" i="28"/>
  <c r="I12" i="28"/>
  <c r="AE24" i="28"/>
  <c r="O23" i="19"/>
  <c r="I25" i="19"/>
  <c r="C33" i="19"/>
  <c r="I16" i="19"/>
  <c r="C29" i="19"/>
  <c r="AE19" i="19"/>
  <c r="T13" i="19"/>
  <c r="I29" i="19"/>
  <c r="Q31" i="19"/>
  <c r="O18" i="19"/>
  <c r="I12" i="19"/>
  <c r="N33" i="15"/>
  <c r="N21" i="15"/>
  <c r="J33" i="15"/>
  <c r="J21" i="15"/>
  <c r="I33" i="15"/>
  <c r="I21" i="15"/>
  <c r="I32" i="15"/>
  <c r="O32" i="15"/>
  <c r="Q20" i="15"/>
  <c r="N32" i="15"/>
  <c r="O20" i="15"/>
  <c r="J32" i="15"/>
  <c r="N20" i="15"/>
  <c r="J31" i="15"/>
  <c r="Q31" i="15"/>
  <c r="R19" i="15"/>
  <c r="O31" i="15"/>
  <c r="N31" i="15"/>
  <c r="O19" i="15"/>
  <c r="N30" i="15"/>
  <c r="O18" i="15"/>
  <c r="J30" i="15"/>
  <c r="T29" i="15"/>
  <c r="U17" i="15"/>
  <c r="R29" i="15"/>
  <c r="T17" i="15"/>
  <c r="Q29" i="15"/>
  <c r="R17" i="15"/>
  <c r="Q28" i="15"/>
  <c r="R16" i="15"/>
  <c r="O28" i="15"/>
  <c r="Q16" i="15"/>
  <c r="U28" i="15"/>
  <c r="W16" i="15"/>
  <c r="T28" i="15"/>
  <c r="U16" i="15"/>
  <c r="R28" i="15"/>
  <c r="T16" i="15"/>
  <c r="R27" i="15"/>
  <c r="U15" i="15"/>
  <c r="Q27" i="15"/>
  <c r="T15" i="15"/>
  <c r="O27" i="15"/>
  <c r="W27" i="15"/>
  <c r="AE15" i="15"/>
  <c r="U27" i="15"/>
  <c r="X15" i="15"/>
  <c r="W15" i="15"/>
  <c r="W14" i="15"/>
  <c r="R26" i="15"/>
  <c r="X26" i="15"/>
  <c r="C15" i="15"/>
  <c r="W26" i="15"/>
  <c r="AE14" i="15"/>
  <c r="U26" i="15"/>
  <c r="X14" i="15"/>
  <c r="U25" i="15"/>
  <c r="X13" i="15"/>
  <c r="T25" i="15"/>
  <c r="W13" i="15"/>
  <c r="U13" i="15"/>
  <c r="Q25" i="15"/>
  <c r="T13" i="15"/>
  <c r="N26" i="15"/>
  <c r="Q14" i="15"/>
  <c r="J26" i="15"/>
  <c r="O14" i="15"/>
  <c r="I26" i="15"/>
  <c r="N14" i="15"/>
  <c r="N22" i="15"/>
  <c r="T31" i="15"/>
  <c r="T19" i="15"/>
  <c r="AE25" i="15"/>
  <c r="I13" i="15"/>
  <c r="X25" i="15"/>
  <c r="C14" i="15"/>
  <c r="W25" i="15"/>
  <c r="AE13" i="15"/>
  <c r="W24" i="15"/>
  <c r="AE12" i="15"/>
  <c r="U24" i="15"/>
  <c r="X12" i="15"/>
  <c r="T24" i="15"/>
  <c r="W12" i="15"/>
  <c r="C25" i="15"/>
  <c r="J12" i="15"/>
  <c r="AE24" i="15"/>
  <c r="I12" i="15"/>
  <c r="X24" i="15"/>
  <c r="C13" i="15"/>
  <c r="X23" i="15"/>
  <c r="C12" i="15"/>
  <c r="W23" i="15"/>
  <c r="U23" i="15"/>
  <c r="X11" i="15"/>
  <c r="I23" i="15"/>
  <c r="N11" i="15"/>
  <c r="C24" i="15"/>
  <c r="J11" i="15"/>
  <c r="AE23" i="15"/>
  <c r="I11" i="15"/>
  <c r="AE22" i="15"/>
  <c r="J10" i="15"/>
  <c r="X22" i="15"/>
  <c r="I10" i="15"/>
  <c r="W22" i="15"/>
  <c r="C11" i="15"/>
  <c r="U22" i="15"/>
  <c r="R23" i="15"/>
  <c r="U11" i="15"/>
  <c r="Q23" i="15"/>
  <c r="T11" i="15"/>
  <c r="J22" i="15"/>
  <c r="Q10" i="15"/>
  <c r="I22" i="15"/>
  <c r="O10" i="15"/>
  <c r="C23" i="15"/>
  <c r="N10" i="15"/>
  <c r="C22" i="15"/>
  <c r="AE21" i="15"/>
  <c r="X33" i="15"/>
  <c r="X21" i="15"/>
  <c r="W33" i="15"/>
  <c r="W21" i="15"/>
  <c r="C10" i="15"/>
  <c r="T22" i="15"/>
  <c r="X10" i="15"/>
  <c r="R22" i="15"/>
  <c r="W10" i="15"/>
  <c r="Q22" i="15"/>
  <c r="U10" i="15"/>
  <c r="J13" i="15"/>
  <c r="C27" i="15"/>
  <c r="C16" i="15"/>
  <c r="J24" i="15"/>
  <c r="C33" i="15"/>
  <c r="N28" i="15"/>
  <c r="I29" i="15"/>
  <c r="R14" i="15"/>
  <c r="U21" i="15"/>
  <c r="X30" i="15"/>
  <c r="N15" i="15"/>
  <c r="O23" i="15"/>
  <c r="I24" i="15"/>
  <c r="W17" i="15"/>
  <c r="O21" i="15"/>
  <c r="J14" i="15"/>
  <c r="I31" i="15"/>
  <c r="Q26" i="15"/>
  <c r="J28" i="15"/>
  <c r="U12" i="15"/>
  <c r="X20" i="15"/>
  <c r="AE29" i="15"/>
  <c r="Q13" i="15"/>
  <c r="R21" i="15"/>
  <c r="W18" i="15"/>
  <c r="O12" i="15"/>
  <c r="O11" i="15"/>
  <c r="T30" i="15"/>
  <c r="R30" i="15"/>
  <c r="N29" i="15"/>
  <c r="C21" i="15"/>
  <c r="N27" i="15"/>
  <c r="W11" i="15"/>
  <c r="AE19" i="15"/>
  <c r="C29" i="15"/>
  <c r="R12" i="15"/>
  <c r="U20" i="15"/>
  <c r="I14" i="15"/>
  <c r="O33" i="15"/>
  <c r="R31" i="15"/>
  <c r="W29" i="15"/>
  <c r="T18" i="15"/>
  <c r="I20" i="15"/>
  <c r="I19" i="15"/>
  <c r="O26" i="15"/>
  <c r="U33" i="15"/>
  <c r="C19" i="15"/>
  <c r="I27" i="15"/>
  <c r="R33" i="15"/>
  <c r="W19" i="15"/>
  <c r="X28" i="15"/>
  <c r="X27" i="15"/>
  <c r="C26" i="15"/>
  <c r="Q30" i="15"/>
  <c r="J19" i="15"/>
  <c r="J18" i="15"/>
  <c r="W32" i="15"/>
  <c r="I17" i="15"/>
  <c r="N25" i="15"/>
  <c r="T32" i="15"/>
  <c r="X18" i="15"/>
  <c r="N23" i="15"/>
  <c r="AE16" i="15"/>
  <c r="T20" i="15"/>
  <c r="R18" i="15"/>
  <c r="N18" i="15"/>
  <c r="N17" i="15"/>
  <c r="T23" i="15"/>
  <c r="X31" i="15"/>
  <c r="J16" i="15"/>
  <c r="O24" i="15"/>
  <c r="U31" i="15"/>
  <c r="AE17" i="15"/>
  <c r="U18" i="15"/>
  <c r="T10" i="15"/>
  <c r="Q18" i="15"/>
  <c r="U14" i="15"/>
  <c r="R15" i="15"/>
  <c r="C20" i="15"/>
  <c r="C30" i="15"/>
  <c r="R13" i="15"/>
  <c r="W20" i="15"/>
  <c r="X29" i="15"/>
  <c r="J15" i="15"/>
  <c r="J23" i="15"/>
  <c r="Q21" i="15"/>
  <c r="I25" i="15"/>
  <c r="O29" i="15"/>
  <c r="T14" i="15"/>
  <c r="I18" i="15"/>
  <c r="I28" i="15"/>
  <c r="X19" i="15"/>
  <c r="AE28" i="15"/>
  <c r="O13" i="15"/>
  <c r="X17" i="15"/>
  <c r="X16" i="15"/>
  <c r="R20" i="15"/>
  <c r="J20" i="15"/>
  <c r="C32" i="15"/>
  <c r="X32" i="15"/>
  <c r="J17" i="15"/>
  <c r="J27" i="15"/>
  <c r="T33" i="15"/>
  <c r="AE18" i="15"/>
  <c r="C28" i="15"/>
  <c r="Q12" i="15"/>
  <c r="Q33" i="15"/>
  <c r="Q11" i="15"/>
  <c r="I15" i="15"/>
  <c r="N19" i="15"/>
  <c r="I30" i="15"/>
  <c r="AE31" i="15"/>
  <c r="N16" i="15"/>
  <c r="O25" i="15"/>
  <c r="U32" i="15"/>
  <c r="C18" i="15"/>
  <c r="J25" i="15"/>
  <c r="R11" i="15"/>
  <c r="Q32" i="15"/>
  <c r="R10" i="15"/>
  <c r="Q17" i="15"/>
  <c r="J29" i="15"/>
  <c r="C31" i="15"/>
  <c r="Q15" i="15"/>
  <c r="Q24" i="15"/>
  <c r="W31" i="15"/>
  <c r="I16" i="15"/>
  <c r="N24" i="15"/>
  <c r="U29" i="15"/>
  <c r="O22" i="15"/>
  <c r="U19" i="15"/>
  <c r="O30" i="15"/>
  <c r="O17" i="15"/>
  <c r="O16" i="15"/>
  <c r="AE20" i="15"/>
  <c r="AE30" i="15"/>
  <c r="O15" i="15"/>
  <c r="T21" i="15"/>
  <c r="W30" i="15"/>
  <c r="C17" i="15"/>
  <c r="W28" i="15"/>
  <c r="R32" i="15"/>
  <c r="U30" i="15"/>
  <c r="U27" i="7"/>
  <c r="X15" i="7"/>
  <c r="T27" i="7"/>
  <c r="W15" i="7"/>
  <c r="T26" i="7"/>
  <c r="W14" i="7"/>
  <c r="U24" i="7"/>
  <c r="X12" i="7"/>
  <c r="T24" i="7"/>
  <c r="W12" i="7"/>
  <c r="Q24" i="7"/>
  <c r="T12" i="7"/>
  <c r="N24" i="7"/>
  <c r="J24" i="7"/>
  <c r="J33" i="7"/>
  <c r="O20" i="7"/>
  <c r="N31" i="7"/>
  <c r="Q28" i="7"/>
  <c r="U15" i="7"/>
  <c r="W23" i="7"/>
  <c r="I10" i="7"/>
  <c r="X21" i="7"/>
  <c r="W32" i="7"/>
  <c r="AE19" i="7"/>
  <c r="W30" i="7"/>
  <c r="AE17" i="7"/>
  <c r="X28" i="7"/>
  <c r="I15" i="7"/>
  <c r="I27" i="7"/>
  <c r="AE18" i="7"/>
  <c r="I29" i="7"/>
  <c r="N11" i="7"/>
  <c r="Q25" i="7"/>
  <c r="C15" i="7"/>
  <c r="X19" i="7"/>
  <c r="N32" i="7"/>
  <c r="O30" i="7"/>
  <c r="R17" i="7"/>
  <c r="R27" i="7"/>
  <c r="X13" i="7"/>
  <c r="X22" i="7"/>
  <c r="X33" i="7"/>
  <c r="C21" i="7"/>
  <c r="X31" i="7"/>
  <c r="C19" i="7"/>
  <c r="X29" i="7"/>
  <c r="C17" i="7"/>
  <c r="AE27" i="7"/>
  <c r="X32" i="7"/>
  <c r="O24" i="7"/>
  <c r="I16" i="7"/>
  <c r="O26" i="7"/>
  <c r="AE15" i="7"/>
  <c r="Q31" i="7"/>
  <c r="U22" i="7"/>
  <c r="O33" i="7"/>
  <c r="O31" i="7"/>
  <c r="R18" i="7"/>
  <c r="Q29" i="7"/>
  <c r="T16" i="7"/>
  <c r="U25" i="7"/>
  <c r="AE12" i="7"/>
  <c r="AE21" i="7"/>
  <c r="AE32" i="7"/>
  <c r="AE30" i="7"/>
  <c r="I17" i="7"/>
  <c r="AE28" i="7"/>
  <c r="J15" i="7"/>
  <c r="C27" i="7"/>
  <c r="N27" i="7"/>
  <c r="T21" i="7"/>
  <c r="W11" i="7"/>
  <c r="T23" i="7"/>
  <c r="U28" i="7"/>
  <c r="Q20" i="7"/>
  <c r="W10" i="7"/>
  <c r="T19" i="7"/>
  <c r="Q30" i="7"/>
  <c r="T17" i="7"/>
  <c r="R28" i="7"/>
  <c r="X14" i="7"/>
  <c r="W24" i="7"/>
  <c r="AE33" i="7"/>
  <c r="I20" i="7"/>
  <c r="C32" i="7"/>
  <c r="J18" i="7"/>
  <c r="C30" i="7"/>
  <c r="J16" i="7"/>
  <c r="C28" i="7"/>
  <c r="N14" i="7"/>
  <c r="I25" i="7"/>
  <c r="N16" i="7"/>
  <c r="C10" i="7"/>
  <c r="T18" i="7"/>
  <c r="O11" i="7"/>
  <c r="AE25" i="7"/>
  <c r="U17" i="7"/>
  <c r="W27" i="7"/>
  <c r="N33" i="7"/>
  <c r="R29" i="7"/>
  <c r="U16" i="7"/>
  <c r="U26" i="7"/>
  <c r="AE13" i="7"/>
  <c r="X23" i="7"/>
  <c r="C33" i="7"/>
  <c r="J19" i="7"/>
  <c r="I30" i="7"/>
  <c r="N17" i="7"/>
  <c r="I28" i="7"/>
  <c r="O15" i="7"/>
  <c r="I26" i="7"/>
  <c r="N23" i="7"/>
  <c r="W21" i="7"/>
  <c r="I14" i="7"/>
  <c r="O32" i="7"/>
  <c r="C16" i="7"/>
  <c r="R31" i="7"/>
  <c r="I23" i="7"/>
  <c r="U12" i="7"/>
  <c r="O14" i="7"/>
  <c r="T30" i="7"/>
  <c r="T28" i="7"/>
  <c r="AE14" i="7"/>
  <c r="W25" i="7"/>
  <c r="C13" i="7"/>
  <c r="AE22" i="7"/>
  <c r="I31" i="7"/>
  <c r="J29" i="7"/>
  <c r="O16" i="7"/>
  <c r="J27" i="7"/>
  <c r="Q14" i="7"/>
  <c r="J25" i="7"/>
  <c r="R11" i="7"/>
  <c r="O22" i="7"/>
  <c r="R19" i="7"/>
  <c r="C12" i="7"/>
  <c r="T29" i="7"/>
  <c r="W28" i="7"/>
  <c r="R20" i="7"/>
  <c r="X16" i="7"/>
  <c r="W26" i="7"/>
  <c r="C14" i="7"/>
  <c r="X24" i="7"/>
  <c r="I11" i="7"/>
  <c r="C22" i="7"/>
  <c r="J30" i="7"/>
  <c r="O17" i="7"/>
  <c r="N28" i="7"/>
  <c r="R15" i="7"/>
  <c r="N26" i="7"/>
  <c r="O23" i="7"/>
  <c r="U10" i="7"/>
  <c r="W16" i="7"/>
  <c r="J10" i="7"/>
  <c r="X26" i="7"/>
  <c r="Q11" i="7"/>
  <c r="C26" i="7"/>
  <c r="W17" i="7"/>
  <c r="T33" i="7"/>
  <c r="C25" i="7"/>
  <c r="R30" i="7"/>
  <c r="X25" i="7"/>
  <c r="I12" i="7"/>
  <c r="AE23" i="7"/>
  <c r="N10" i="7"/>
  <c r="J20" i="7"/>
  <c r="N29" i="7"/>
  <c r="Q16" i="7"/>
  <c r="O27" i="7"/>
  <c r="T14" i="7"/>
  <c r="O25" i="7"/>
  <c r="U11" i="7"/>
  <c r="Q22" i="7"/>
  <c r="Q33" i="7"/>
  <c r="T20" i="7"/>
  <c r="J14" i="7"/>
  <c r="Q32" i="7"/>
  <c r="N21" i="7"/>
  <c r="W31" i="7"/>
  <c r="J23" i="7"/>
  <c r="N15" i="7"/>
  <c r="X30" i="7"/>
  <c r="X27" i="7"/>
  <c r="AE24" i="7"/>
  <c r="J11" i="7"/>
  <c r="C23" i="7"/>
  <c r="I32" i="7"/>
  <c r="O28" i="7"/>
  <c r="T15" i="7"/>
  <c r="Q26" i="7"/>
  <c r="U13" i="7"/>
  <c r="R23" i="7"/>
  <c r="X10" i="7"/>
  <c r="R32" i="7"/>
  <c r="U19" i="7"/>
  <c r="U29" i="7"/>
  <c r="U18" i="7"/>
  <c r="C29" i="7"/>
  <c r="W20" i="7"/>
  <c r="I13" i="7"/>
  <c r="N25" i="7"/>
  <c r="N22" i="7"/>
  <c r="R14" i="7"/>
  <c r="C24" i="7"/>
  <c r="O10" i="7"/>
  <c r="I21" i="7"/>
  <c r="J31" i="7"/>
  <c r="O18" i="7"/>
  <c r="Q27" i="7"/>
  <c r="U14" i="7"/>
  <c r="X11" i="7"/>
  <c r="T22" i="7"/>
  <c r="R33" i="7"/>
  <c r="U20" i="7"/>
  <c r="T31" i="7"/>
  <c r="W18" i="7"/>
  <c r="Q10" i="7"/>
  <c r="AE26" i="7"/>
  <c r="T13" i="7"/>
  <c r="J26" i="7"/>
  <c r="C18" i="7"/>
  <c r="W33" i="7"/>
  <c r="R22" i="7"/>
  <c r="J22" i="7"/>
  <c r="I22" i="7"/>
  <c r="I33" i="7"/>
  <c r="N20" i="7"/>
  <c r="N30" i="7"/>
  <c r="Q17" i="7"/>
  <c r="R26" i="7"/>
  <c r="W13" i="7"/>
  <c r="U23" i="7"/>
  <c r="C11" i="7"/>
  <c r="U21" i="7"/>
  <c r="T32" i="7"/>
  <c r="W19" i="7"/>
  <c r="U30" i="7"/>
  <c r="X17" i="7"/>
  <c r="U32" i="7"/>
  <c r="I24" i="7"/>
  <c r="T11" i="7"/>
  <c r="Q23" i="7"/>
  <c r="Q15" i="7"/>
  <c r="C31" i="7"/>
  <c r="C20" i="7"/>
  <c r="T10" i="7"/>
  <c r="J21" i="7"/>
  <c r="J32" i="7"/>
  <c r="O19" i="7"/>
  <c r="O29" i="7"/>
  <c r="R16" i="7"/>
  <c r="T25" i="7"/>
  <c r="W22" i="7"/>
  <c r="U33" i="7"/>
  <c r="X20" i="7"/>
  <c r="U31" i="7"/>
  <c r="X18" i="7"/>
  <c r="W29" i="7"/>
  <c r="AE16" i="7"/>
  <c r="AE29" i="7"/>
  <c r="O21" i="7"/>
  <c r="AE31" i="7"/>
  <c r="AE20" i="7"/>
  <c r="J28" i="7"/>
  <c r="J17" i="7"/>
  <c r="R10" i="7"/>
  <c r="C20" i="33"/>
  <c r="T13" i="33"/>
  <c r="X31" i="33"/>
  <c r="R14" i="33"/>
  <c r="J18" i="33"/>
  <c r="J29" i="33"/>
  <c r="W13" i="33"/>
  <c r="T25" i="33"/>
  <c r="X13" i="33"/>
  <c r="U25" i="33"/>
  <c r="X14" i="33"/>
  <c r="U26" i="33"/>
  <c r="AE14" i="33"/>
  <c r="W26" i="33"/>
  <c r="C15" i="33"/>
  <c r="X26" i="33"/>
  <c r="I14" i="33"/>
  <c r="AE26" i="33"/>
  <c r="J14" i="33"/>
  <c r="C27" i="33"/>
  <c r="N14" i="33"/>
  <c r="I26" i="33"/>
  <c r="O14" i="33"/>
  <c r="Q20" i="8"/>
  <c r="R23" i="8"/>
  <c r="T14" i="8"/>
  <c r="U31" i="8"/>
  <c r="AE29" i="8"/>
  <c r="X22" i="8"/>
  <c r="N18" i="8"/>
  <c r="O15" i="8"/>
  <c r="X13" i="8"/>
  <c r="W11" i="8"/>
  <c r="T23" i="8"/>
  <c r="C13" i="8"/>
  <c r="X24" i="8"/>
  <c r="I12" i="8"/>
  <c r="AE24" i="8"/>
  <c r="I24" i="8"/>
  <c r="J14" i="8"/>
  <c r="O33" i="26"/>
  <c r="J23" i="26"/>
  <c r="C16" i="26"/>
  <c r="T18" i="26"/>
  <c r="N12" i="26"/>
  <c r="C26" i="26"/>
  <c r="C17" i="26"/>
  <c r="Q21" i="26"/>
  <c r="Q33" i="26"/>
  <c r="T32" i="26"/>
  <c r="T21" i="26"/>
  <c r="T33" i="26"/>
  <c r="W32" i="26"/>
  <c r="C20" i="26"/>
  <c r="AE31" i="26"/>
  <c r="I19" i="26"/>
  <c r="C32" i="26"/>
  <c r="I20" i="26"/>
  <c r="C33" i="26"/>
  <c r="C22" i="26"/>
  <c r="I11" i="26"/>
  <c r="AE23" i="26"/>
  <c r="C14" i="26"/>
  <c r="I13" i="28"/>
  <c r="T18" i="28"/>
  <c r="R30" i="28"/>
  <c r="N11" i="28"/>
  <c r="J13" i="28"/>
  <c r="C26" i="28"/>
  <c r="O13" i="28"/>
  <c r="J25" i="28"/>
  <c r="Q13" i="28"/>
  <c r="N25" i="28"/>
  <c r="R13" i="28"/>
  <c r="O25" i="28"/>
  <c r="U12" i="28"/>
  <c r="R24" i="28"/>
  <c r="W12" i="28"/>
  <c r="T24" i="28"/>
  <c r="X12" i="28"/>
  <c r="U24" i="28"/>
  <c r="AE12" i="28"/>
  <c r="W24" i="28"/>
  <c r="AE13" i="28"/>
  <c r="W25" i="28"/>
  <c r="C14" i="28"/>
  <c r="C28" i="19"/>
  <c r="AE28" i="19"/>
  <c r="AE30" i="19"/>
  <c r="Q21" i="19"/>
  <c r="C18" i="19"/>
  <c r="AE29" i="19"/>
  <c r="U21" i="19"/>
  <c r="R14" i="19"/>
  <c r="T14" i="19"/>
  <c r="Q16" i="19"/>
  <c r="N19" i="19"/>
  <c r="C24" i="19"/>
  <c r="AS24" i="18" a="1"/>
  <c r="AS24" i="18" s="1"/>
  <c r="AS23" i="18" a="1"/>
  <c r="AS23" i="18" s="1"/>
  <c r="AS11" i="18" a="1"/>
  <c r="AS11" i="18" s="1"/>
  <c r="AS28" i="18" a="1"/>
  <c r="AS28" i="18" s="1"/>
  <c r="AS31" i="18" a="1"/>
  <c r="AS31" i="18" s="1"/>
  <c r="AS34" i="18" a="1"/>
  <c r="AS34" i="18" s="1"/>
  <c r="AS29" i="18" a="1"/>
  <c r="AS29" i="18" s="1"/>
  <c r="AS14" i="18" a="1"/>
  <c r="AS14" i="18" s="1"/>
  <c r="AS35" i="18" a="1"/>
  <c r="AS35" i="18" s="1"/>
  <c r="AS32" i="18" a="1"/>
  <c r="AS32" i="18" s="1"/>
  <c r="AS30" i="18" a="1"/>
  <c r="AS30" i="18" s="1"/>
  <c r="AS21" i="18" a="1"/>
  <c r="AS21" i="18" s="1"/>
  <c r="AS10" i="18" a="1"/>
  <c r="AS10" i="18" s="1"/>
  <c r="AS20" i="18" a="1"/>
  <c r="AS20" i="18" s="1"/>
  <c r="AS22" i="18" a="1"/>
  <c r="AS22" i="18" s="1"/>
  <c r="AS12" i="18" a="1"/>
  <c r="AS12" i="18" s="1"/>
  <c r="AS19" i="18" a="1"/>
  <c r="AS19" i="18" s="1"/>
  <c r="AS16" i="18" a="1"/>
  <c r="AS16" i="18" s="1"/>
  <c r="AS27" i="18" a="1"/>
  <c r="AS27" i="18" s="1"/>
  <c r="AS15" i="18" a="1"/>
  <c r="AS15" i="18" s="1"/>
  <c r="AS18" i="18" a="1"/>
  <c r="AS18" i="18" s="1"/>
  <c r="AS17" i="18" a="1"/>
  <c r="AS17" i="18" s="1"/>
  <c r="AS33" i="18" a="1"/>
  <c r="AS33" i="18" s="1"/>
  <c r="AS25" i="18" a="1"/>
  <c r="AS25" i="18" s="1"/>
  <c r="AS9" i="18" a="1"/>
  <c r="AS9" i="18" s="1"/>
  <c r="AS26" i="18" a="1"/>
  <c r="AS26" i="18" s="1"/>
  <c r="AS36" i="18" a="1"/>
  <c r="AS36" i="18" s="1"/>
  <c r="AS13" i="18" a="1"/>
  <c r="AS13" i="18" s="1"/>
  <c r="AR19" i="22" a="1"/>
  <c r="AR19" i="22" s="1"/>
  <c r="AR11" i="22" a="1"/>
  <c r="AR11" i="22" s="1"/>
  <c r="AR17" i="22" a="1"/>
  <c r="AR17" i="22" s="1"/>
  <c r="AR12" i="22" a="1"/>
  <c r="AR12" i="22" s="1"/>
  <c r="AR36" i="22" a="1"/>
  <c r="AR36" i="22" s="1"/>
  <c r="AR23" i="22" a="1"/>
  <c r="AR23" i="22" s="1"/>
  <c r="AR27" i="22" a="1"/>
  <c r="AR27" i="22" s="1"/>
  <c r="AR29" i="22" a="1"/>
  <c r="AR29" i="22" s="1"/>
  <c r="AR13" i="22" a="1"/>
  <c r="AR13" i="22" s="1"/>
  <c r="AR31" i="22" a="1"/>
  <c r="AR31" i="22" s="1"/>
  <c r="AR25" i="22" a="1"/>
  <c r="AR25" i="22" s="1"/>
  <c r="AR15" i="22" a="1"/>
  <c r="AR15" i="22" s="1"/>
  <c r="AR28" i="22" a="1"/>
  <c r="AR28" i="22" s="1"/>
  <c r="AR9" i="22" a="1"/>
  <c r="AR9" i="22" s="1"/>
  <c r="AR26" i="22" a="1"/>
  <c r="AR26" i="22" s="1"/>
  <c r="AR33" i="22" a="1"/>
  <c r="AR33" i="22" s="1"/>
  <c r="AR35" i="22" a="1"/>
  <c r="AR35" i="22" s="1"/>
  <c r="AR24" i="22" a="1"/>
  <c r="AR24" i="22" s="1"/>
  <c r="AR20" i="22" a="1"/>
  <c r="AR20" i="22" s="1"/>
  <c r="AR32" i="22" a="1"/>
  <c r="AR32" i="22" s="1"/>
  <c r="AR18" i="22" a="1"/>
  <c r="AR18" i="22" s="1"/>
  <c r="AR22" i="22" a="1"/>
  <c r="AR22" i="22" s="1"/>
  <c r="AR16" i="22" a="1"/>
  <c r="AR16" i="22" s="1"/>
  <c r="AR10" i="22" a="1"/>
  <c r="AR10" i="22" s="1"/>
  <c r="AR34" i="22" a="1"/>
  <c r="AR34" i="22" s="1"/>
  <c r="AR14" i="22" a="1"/>
  <c r="AR14" i="22" s="1"/>
  <c r="AR21" i="22" a="1"/>
  <c r="AR21" i="22" s="1"/>
  <c r="AR30" i="22" a="1"/>
  <c r="AR30" i="22" s="1"/>
  <c r="AR16" i="13" a="1"/>
  <c r="AR16" i="13" s="1"/>
  <c r="AR32" i="13" a="1"/>
  <c r="AR32" i="13" s="1"/>
  <c r="AR12" i="13" a="1"/>
  <c r="AR12" i="13" s="1"/>
  <c r="AR29" i="13" a="1"/>
  <c r="AR29" i="13" s="1"/>
  <c r="AR33" i="13" a="1"/>
  <c r="AR33" i="13" s="1"/>
  <c r="AR13" i="13" a="1"/>
  <c r="AR13" i="13" s="1"/>
  <c r="AR35" i="13" a="1"/>
  <c r="AR35" i="13" s="1"/>
  <c r="AR21" i="13" a="1"/>
  <c r="AR21" i="13" s="1"/>
  <c r="AR18" i="13" a="1"/>
  <c r="AR18" i="13" s="1"/>
  <c r="AR36" i="13" a="1"/>
  <c r="AR36" i="13" s="1"/>
  <c r="AR23" i="13" a="1"/>
  <c r="AR23" i="13" s="1"/>
  <c r="AR19" i="13" a="1"/>
  <c r="AR19" i="13" s="1"/>
  <c r="AR24" i="13" a="1"/>
  <c r="AR24" i="13" s="1"/>
  <c r="AR27" i="13" a="1"/>
  <c r="AR27" i="13" s="1"/>
  <c r="AR20" i="13" a="1"/>
  <c r="AR20" i="13" s="1"/>
  <c r="AR17" i="13" a="1"/>
  <c r="AR17" i="13" s="1"/>
  <c r="AR9" i="13" a="1"/>
  <c r="AR9" i="13" s="1"/>
  <c r="AR14" i="13" a="1"/>
  <c r="AR14" i="13" s="1"/>
  <c r="AR31" i="13" a="1"/>
  <c r="AR31" i="13" s="1"/>
  <c r="AR11" i="13" a="1"/>
  <c r="AR11" i="13" s="1"/>
  <c r="AR10" i="13" a="1"/>
  <c r="AR10" i="13" s="1"/>
  <c r="AR28" i="13" a="1"/>
  <c r="AR28" i="13" s="1"/>
  <c r="AR25" i="13" a="1"/>
  <c r="AR25" i="13" s="1"/>
  <c r="AR26" i="13" a="1"/>
  <c r="AR26" i="13" s="1"/>
  <c r="AR30" i="13" a="1"/>
  <c r="AR30" i="13" s="1"/>
  <c r="AR22" i="13" a="1"/>
  <c r="AR22" i="13" s="1"/>
  <c r="AR34" i="13" a="1"/>
  <c r="AR34" i="13" s="1"/>
  <c r="AR15" i="13" a="1"/>
  <c r="AR15" i="13" s="1"/>
  <c r="AR20" i="31" a="1"/>
  <c r="AR20" i="31" s="1"/>
  <c r="AR35" i="31" a="1"/>
  <c r="AR35" i="31" s="1"/>
  <c r="AR14" i="31" a="1"/>
  <c r="AR14" i="31" s="1"/>
  <c r="AR10" i="31" a="1"/>
  <c r="AR10" i="31" s="1"/>
  <c r="AR30" i="31" a="1"/>
  <c r="AR30" i="31" s="1"/>
  <c r="AR26" i="31" a="1"/>
  <c r="AR26" i="31" s="1"/>
  <c r="AR33" i="31" a="1"/>
  <c r="AR33" i="31" s="1"/>
  <c r="AR34" i="31" a="1"/>
  <c r="AR34" i="31" s="1"/>
  <c r="AR25" i="31" a="1"/>
  <c r="AR25" i="31" s="1"/>
  <c r="AR31" i="31" a="1"/>
  <c r="AR31" i="31" s="1"/>
  <c r="AR9" i="31" a="1"/>
  <c r="AR9" i="31" s="1"/>
  <c r="AR11" i="31" a="1"/>
  <c r="AR11" i="31" s="1"/>
  <c r="AR12" i="31" a="1"/>
  <c r="AR12" i="31" s="1"/>
  <c r="AR24" i="31" a="1"/>
  <c r="AR24" i="31" s="1"/>
  <c r="AR32" i="31" a="1"/>
  <c r="AR32" i="31" s="1"/>
  <c r="AR22" i="31" a="1"/>
  <c r="AR22" i="31" s="1"/>
  <c r="AR29" i="31" a="1"/>
  <c r="AR29" i="31" s="1"/>
  <c r="AR16" i="31" a="1"/>
  <c r="AR16" i="31" s="1"/>
  <c r="AR19" i="31" a="1"/>
  <c r="AR19" i="31" s="1"/>
  <c r="AR21" i="31" a="1"/>
  <c r="AR21" i="31" s="1"/>
  <c r="AR23" i="31" a="1"/>
  <c r="AR23" i="31" s="1"/>
  <c r="AR18" i="31" a="1"/>
  <c r="AR18" i="31" s="1"/>
  <c r="AR28" i="31" a="1"/>
  <c r="AR28" i="31" s="1"/>
  <c r="AR36" i="31" a="1"/>
  <c r="AR36" i="31" s="1"/>
  <c r="AR13" i="31" a="1"/>
  <c r="AR13" i="31" s="1"/>
  <c r="AR15" i="31" a="1"/>
  <c r="AR15" i="31" s="1"/>
  <c r="AR17" i="31" a="1"/>
  <c r="AR17" i="31" s="1"/>
  <c r="AR27" i="31" a="1"/>
  <c r="AR27" i="31" s="1"/>
  <c r="AR34" i="30" a="1"/>
  <c r="AR34" i="30" s="1"/>
  <c r="AR16" i="30" a="1"/>
  <c r="AR16" i="30" s="1"/>
  <c r="AR13" i="30" a="1"/>
  <c r="AR13" i="30" s="1"/>
  <c r="AR9" i="30" a="1"/>
  <c r="AR9" i="30" s="1"/>
  <c r="AR15" i="30" a="1"/>
  <c r="AR15" i="30" s="1"/>
  <c r="AR28" i="30" a="1"/>
  <c r="AR28" i="30" s="1"/>
  <c r="AR22" i="30" a="1"/>
  <c r="AR22" i="30" s="1"/>
  <c r="AR31" i="30" a="1"/>
  <c r="AR31" i="30" s="1"/>
  <c r="AR33" i="30" a="1"/>
  <c r="AR33" i="30" s="1"/>
  <c r="AR19" i="30" a="1"/>
  <c r="AR19" i="30" s="1"/>
  <c r="AR27" i="30" a="1"/>
  <c r="AR27" i="30" s="1"/>
  <c r="AR23" i="30" a="1"/>
  <c r="AR23" i="30" s="1"/>
  <c r="AR14" i="30" a="1"/>
  <c r="AR14" i="30" s="1"/>
  <c r="AR11" i="30" a="1"/>
  <c r="AR11" i="30" s="1"/>
  <c r="AR21" i="30" a="1"/>
  <c r="AR21" i="30" s="1"/>
  <c r="AR17" i="30" a="1"/>
  <c r="AR17" i="30" s="1"/>
  <c r="AR24" i="28" a="1"/>
  <c r="AR24" i="28" s="1"/>
  <c r="AR19" i="28" a="1"/>
  <c r="AR19" i="28" s="1"/>
  <c r="AR32" i="28" a="1"/>
  <c r="AR32" i="28" s="1"/>
  <c r="AR18" i="28" a="1"/>
  <c r="AR18" i="28" s="1"/>
  <c r="AR31" i="28" a="1"/>
  <c r="AR31" i="28" s="1"/>
  <c r="AR16" i="28" a="1"/>
  <c r="AR16" i="28" s="1"/>
  <c r="AR35" i="28" a="1"/>
  <c r="AR35" i="28" s="1"/>
  <c r="AR12" i="28" a="1"/>
  <c r="AR12" i="28" s="1"/>
  <c r="AR33" i="28" a="1"/>
  <c r="AR33" i="28" s="1"/>
  <c r="AR36" i="28" a="1"/>
  <c r="AR36" i="28" s="1"/>
  <c r="AR15" i="28" a="1"/>
  <c r="AR15" i="28" s="1"/>
  <c r="AR20" i="28" a="1"/>
  <c r="AR20" i="28" s="1"/>
  <c r="AR26" i="28" a="1"/>
  <c r="AR26" i="28" s="1"/>
  <c r="AR23" i="28" a="1"/>
  <c r="AR23" i="28" s="1"/>
  <c r="AR14" i="28" a="1"/>
  <c r="AR14" i="28" s="1"/>
  <c r="AR13" i="28" a="1"/>
  <c r="AR13" i="28" s="1"/>
  <c r="AR27" i="28" a="1"/>
  <c r="AR27" i="28" s="1"/>
  <c r="AR22" i="28" a="1"/>
  <c r="AR22" i="28" s="1"/>
  <c r="AR34" i="28" a="1"/>
  <c r="AR34" i="28" s="1"/>
  <c r="AR28" i="28" a="1"/>
  <c r="AR28" i="28" s="1"/>
  <c r="AR29" i="28" a="1"/>
  <c r="AR29" i="28" s="1"/>
  <c r="AR11" i="28" a="1"/>
  <c r="AR11" i="28" s="1"/>
  <c r="AR9" i="28" a="1"/>
  <c r="AR9" i="28" s="1"/>
  <c r="AR30" i="28" a="1"/>
  <c r="AR30" i="28" s="1"/>
  <c r="AR10" i="28" a="1"/>
  <c r="AR10" i="28" s="1"/>
  <c r="AR17" i="28" a="1"/>
  <c r="AR17" i="28" s="1"/>
  <c r="AR25" i="28" a="1"/>
  <c r="AR25" i="28" s="1"/>
  <c r="AR21" i="28" a="1"/>
  <c r="AR21" i="28" s="1"/>
  <c r="AR19" i="15" a="1"/>
  <c r="AR19" i="15" s="1"/>
  <c r="AR27" i="15" a="1"/>
  <c r="AR27" i="15" s="1"/>
  <c r="AR18" i="15" a="1"/>
  <c r="AR18" i="15" s="1"/>
  <c r="AR12" i="15" a="1"/>
  <c r="AR12" i="15" s="1"/>
  <c r="AR23" i="15" a="1"/>
  <c r="AR23" i="15" s="1"/>
  <c r="AR32" i="15" a="1"/>
  <c r="AR32" i="15" s="1"/>
  <c r="AR24" i="15" a="1"/>
  <c r="AR24" i="15" s="1"/>
  <c r="AR16" i="15" a="1"/>
  <c r="AR16" i="15" s="1"/>
  <c r="AR13" i="15" a="1"/>
  <c r="AR13" i="15" s="1"/>
  <c r="AR11" i="15" a="1"/>
  <c r="AR11" i="15" s="1"/>
  <c r="AR33" i="15" a="1"/>
  <c r="AR33" i="15" s="1"/>
  <c r="AR22" i="15" a="1"/>
  <c r="AR22" i="15" s="1"/>
  <c r="AR31" i="15" a="1"/>
  <c r="AR31" i="15" s="1"/>
  <c r="AR34" i="15" a="1"/>
  <c r="AR34" i="15" s="1"/>
  <c r="AR36" i="15" a="1"/>
  <c r="AR36" i="15" s="1"/>
  <c r="AR30" i="15" a="1"/>
  <c r="AR30" i="15" s="1"/>
  <c r="AR26" i="15" a="1"/>
  <c r="AR26" i="15" s="1"/>
  <c r="AR20" i="15" a="1"/>
  <c r="AR20" i="15" s="1"/>
  <c r="AR29" i="15" a="1"/>
  <c r="AR29" i="15" s="1"/>
  <c r="AR14" i="15" a="1"/>
  <c r="AR14" i="15" s="1"/>
  <c r="AR28" i="15" a="1"/>
  <c r="AR28" i="15" s="1"/>
  <c r="AR25" i="15" a="1"/>
  <c r="AR25" i="15" s="1"/>
  <c r="AR15" i="15" a="1"/>
  <c r="AR15" i="15" s="1"/>
  <c r="AR17" i="15" a="1"/>
  <c r="AR17" i="15" s="1"/>
  <c r="AR9" i="15" a="1"/>
  <c r="AR9" i="15" s="1"/>
  <c r="AR35" i="15" a="1"/>
  <c r="AR35" i="15" s="1"/>
  <c r="AR10" i="15" a="1"/>
  <c r="AR10" i="15" s="1"/>
  <c r="AR21" i="15" a="1"/>
  <c r="AR21" i="15" s="1"/>
  <c r="AR21" i="23" a="1"/>
  <c r="AR21" i="23" s="1"/>
  <c r="AR30" i="23" a="1"/>
  <c r="AR30" i="23" s="1"/>
  <c r="AR11" i="23" a="1"/>
  <c r="AR11" i="23" s="1"/>
  <c r="AR22" i="23" a="1"/>
  <c r="AR22" i="23" s="1"/>
  <c r="AR14" i="23" a="1"/>
  <c r="AR14" i="23" s="1"/>
  <c r="AR26" i="23" a="1"/>
  <c r="AR26" i="23" s="1"/>
  <c r="AR18" i="23" a="1"/>
  <c r="AR18" i="23" s="1"/>
  <c r="AR9" i="23" a="1"/>
  <c r="AR9" i="23" s="1"/>
  <c r="AR36" i="23" a="1"/>
  <c r="AR36" i="23" s="1"/>
  <c r="AR29" i="23" a="1"/>
  <c r="AR29" i="23" s="1"/>
  <c r="AR10" i="23" a="1"/>
  <c r="AR10" i="23" s="1"/>
  <c r="AR23" i="23" a="1"/>
  <c r="AR23" i="23" s="1"/>
  <c r="AR27" i="23" a="1"/>
  <c r="AR27" i="23" s="1"/>
  <c r="AR32" i="23" a="1"/>
  <c r="AR32" i="23" s="1"/>
  <c r="AR24" i="23" a="1"/>
  <c r="AR24" i="23" s="1"/>
  <c r="AR28" i="23" a="1"/>
  <c r="AR28" i="23" s="1"/>
  <c r="AR17" i="23" a="1"/>
  <c r="AR17" i="23" s="1"/>
  <c r="AR15" i="23" a="1"/>
  <c r="AR15" i="23" s="1"/>
  <c r="AR16" i="23" a="1"/>
  <c r="AR16" i="23" s="1"/>
  <c r="AR12" i="23" a="1"/>
  <c r="AR12" i="23" s="1"/>
  <c r="AR35" i="23" a="1"/>
  <c r="AR35" i="23" s="1"/>
  <c r="AR19" i="23" a="1"/>
  <c r="AR19" i="23" s="1"/>
  <c r="AR34" i="23" a="1"/>
  <c r="AR34" i="23" s="1"/>
  <c r="AR33" i="23" a="1"/>
  <c r="AR33" i="23" s="1"/>
  <c r="AR13" i="23" a="1"/>
  <c r="AR13" i="23" s="1"/>
  <c r="AR31" i="23" a="1"/>
  <c r="AR31" i="23" s="1"/>
  <c r="AR20" i="23" a="1"/>
  <c r="AR20" i="23" s="1"/>
  <c r="AR25" i="23" a="1"/>
  <c r="AR25" i="23" s="1"/>
  <c r="AR34" i="5" a="1"/>
  <c r="AR34" i="5" s="1"/>
  <c r="AR29" i="5" a="1"/>
  <c r="AR29" i="5" s="1"/>
  <c r="AR10" i="5" a="1"/>
  <c r="AR10" i="5" s="1"/>
  <c r="AR26" i="5" a="1"/>
  <c r="AR26" i="5" s="1"/>
  <c r="AR25" i="5" a="1"/>
  <c r="AR25" i="5" s="1"/>
  <c r="AR24" i="5" a="1"/>
  <c r="AR24" i="5" s="1"/>
  <c r="AR27" i="5" a="1"/>
  <c r="AR27" i="5" s="1"/>
  <c r="AR31" i="5" a="1"/>
  <c r="AR31" i="5" s="1"/>
  <c r="AR12" i="5" a="1"/>
  <c r="AR12" i="5" s="1"/>
  <c r="AR16" i="5" a="1"/>
  <c r="AR16" i="5" s="1"/>
  <c r="AR13" i="5" a="1"/>
  <c r="AR13" i="5" s="1"/>
  <c r="AR21" i="5" a="1"/>
  <c r="AR21" i="5" s="1"/>
  <c r="AR36" i="5" a="1"/>
  <c r="AR36" i="5" s="1"/>
  <c r="AR11" i="5" a="1"/>
  <c r="AR11" i="5" s="1"/>
  <c r="AR30" i="5" a="1"/>
  <c r="AR30" i="5" s="1"/>
  <c r="AR15" i="5" a="1"/>
  <c r="AR15" i="5" s="1"/>
  <c r="AR19" i="5" a="1"/>
  <c r="AR19" i="5" s="1"/>
  <c r="AR22" i="5" a="1"/>
  <c r="AR22" i="5" s="1"/>
  <c r="AR23" i="5" a="1"/>
  <c r="AR23" i="5" s="1"/>
  <c r="AR20" i="5" a="1"/>
  <c r="AR20" i="5" s="1"/>
  <c r="AR14" i="5" a="1"/>
  <c r="AR14" i="5" s="1"/>
  <c r="AR17" i="5" a="1"/>
  <c r="AR17" i="5" s="1"/>
  <c r="AR28" i="5" a="1"/>
  <c r="AR28" i="5" s="1"/>
  <c r="AR18" i="5" a="1"/>
  <c r="AR18" i="5" s="1"/>
  <c r="AR32" i="5" a="1"/>
  <c r="AR32" i="5" s="1"/>
  <c r="AR33" i="5" a="1"/>
  <c r="AR33" i="5" s="1"/>
  <c r="AR35" i="5" a="1"/>
  <c r="AR35" i="5" s="1"/>
  <c r="AR9" i="5" a="1"/>
  <c r="AR9" i="5" s="1"/>
  <c r="AR19" i="11" a="1"/>
  <c r="AR19" i="11" s="1"/>
  <c r="AR26" i="11" a="1"/>
  <c r="AR26" i="11" s="1"/>
  <c r="AR36" i="11" a="1"/>
  <c r="AR36" i="11" s="1"/>
  <c r="AR30" i="11" a="1"/>
  <c r="AR30" i="11" s="1"/>
  <c r="AR9" i="11" a="1"/>
  <c r="AR9" i="11" s="1"/>
  <c r="AR16" i="11" a="1"/>
  <c r="AR16" i="11" s="1"/>
  <c r="AR17" i="11" a="1"/>
  <c r="AR17" i="11" s="1"/>
  <c r="AR22" i="11" a="1"/>
  <c r="AR22" i="11" s="1"/>
  <c r="AR25" i="11" a="1"/>
  <c r="AR25" i="11" s="1"/>
  <c r="AR29" i="11" a="1"/>
  <c r="AR29" i="11" s="1"/>
  <c r="AR31" i="11" a="1"/>
  <c r="AR31" i="11" s="1"/>
  <c r="AR15" i="11" a="1"/>
  <c r="AR15" i="11" s="1"/>
  <c r="AR33" i="11" a="1"/>
  <c r="AR33" i="11" s="1"/>
  <c r="AR11" i="11" a="1"/>
  <c r="AR11" i="11" s="1"/>
  <c r="AR28" i="11" a="1"/>
  <c r="AR28" i="11" s="1"/>
  <c r="AR21" i="11" a="1"/>
  <c r="AR21" i="11" s="1"/>
  <c r="AR27" i="11" a="1"/>
  <c r="AR27" i="11" s="1"/>
  <c r="AR32" i="11" a="1"/>
  <c r="AR32" i="11" s="1"/>
  <c r="AR34" i="11" a="1"/>
  <c r="AR34" i="11" s="1"/>
  <c r="AR24" i="11" a="1"/>
  <c r="AR24" i="11" s="1"/>
  <c r="AR23" i="11" a="1"/>
  <c r="AR23" i="11" s="1"/>
  <c r="AR20" i="11" a="1"/>
  <c r="AR20" i="11" s="1"/>
  <c r="AR10" i="11" a="1"/>
  <c r="AR10" i="11" s="1"/>
  <c r="AR18" i="11" a="1"/>
  <c r="AR18" i="11" s="1"/>
  <c r="AR35" i="11" a="1"/>
  <c r="AR35" i="11" s="1"/>
  <c r="AR13" i="11" a="1"/>
  <c r="AR13" i="11" s="1"/>
  <c r="AR12" i="11" a="1"/>
  <c r="AR12" i="11" s="1"/>
  <c r="AR14" i="11" a="1"/>
  <c r="AR14" i="11" s="1"/>
  <c r="AR9" i="17" a="1"/>
  <c r="AR9" i="17" s="1"/>
  <c r="AR18" i="17" a="1"/>
  <c r="AR18" i="17" s="1"/>
  <c r="AR21" i="17" a="1"/>
  <c r="AR21" i="17" s="1"/>
  <c r="AR35" i="17" a="1"/>
  <c r="AR35" i="17" s="1"/>
  <c r="AR22" i="17" a="1"/>
  <c r="AR22" i="17" s="1"/>
  <c r="AR26" i="17" a="1"/>
  <c r="AR26" i="17" s="1"/>
  <c r="AR25" i="17" a="1"/>
  <c r="AR25" i="17" s="1"/>
  <c r="AR27" i="17" a="1"/>
  <c r="AR27" i="17" s="1"/>
  <c r="AR32" i="17" a="1"/>
  <c r="AR32" i="17" s="1"/>
  <c r="AR16" i="17" a="1"/>
  <c r="AR16" i="17" s="1"/>
  <c r="AR12" i="17" a="1"/>
  <c r="AR12" i="17" s="1"/>
  <c r="AR31" i="17" a="1"/>
  <c r="AR31" i="17" s="1"/>
  <c r="AR34" i="17" a="1"/>
  <c r="AR34" i="17" s="1"/>
  <c r="AR33" i="17" a="1"/>
  <c r="AR33" i="17" s="1"/>
  <c r="AR20" i="17" a="1"/>
  <c r="AR20" i="17" s="1"/>
  <c r="AR17" i="17" a="1"/>
  <c r="AR17" i="17" s="1"/>
  <c r="AR28" i="17" a="1"/>
  <c r="AR28" i="17" s="1"/>
  <c r="AR19" i="17" a="1"/>
  <c r="AR19" i="17" s="1"/>
  <c r="AR13" i="17" a="1"/>
  <c r="AR13" i="17" s="1"/>
  <c r="AR14" i="17" a="1"/>
  <c r="AR14" i="17" s="1"/>
  <c r="AR29" i="17" a="1"/>
  <c r="AR29" i="17" s="1"/>
  <c r="AR11" i="17" a="1"/>
  <c r="AR11" i="17" s="1"/>
  <c r="AR36" i="17" a="1"/>
  <c r="AR36" i="17" s="1"/>
  <c r="AR23" i="17" a="1"/>
  <c r="AR23" i="17" s="1"/>
  <c r="AR24" i="17" a="1"/>
  <c r="AR24" i="17" s="1"/>
  <c r="AR10" i="17" a="1"/>
  <c r="AR10" i="17" s="1"/>
  <c r="AR30" i="17" a="1"/>
  <c r="AR30" i="17" s="1"/>
  <c r="AR15" i="17" a="1"/>
  <c r="AR15" i="17" s="1"/>
  <c r="AR14" i="27" a="1"/>
  <c r="AR14" i="27" s="1"/>
  <c r="AR17" i="27" a="1"/>
  <c r="AR17" i="27" s="1"/>
  <c r="AR23" i="27" a="1"/>
  <c r="AR23" i="27" s="1"/>
  <c r="AR20" i="27" a="1"/>
  <c r="AR20" i="27" s="1"/>
  <c r="AR10" i="27" a="1"/>
  <c r="AR10" i="27" s="1"/>
  <c r="AR32" i="27" a="1"/>
  <c r="AR32" i="27" s="1"/>
  <c r="AR30" i="27" a="1"/>
  <c r="AR30" i="27" s="1"/>
  <c r="AR9" i="27" a="1"/>
  <c r="AR9" i="27" s="1"/>
  <c r="AR29" i="27" a="1"/>
  <c r="AR29" i="27" s="1"/>
  <c r="AR34" i="27" a="1"/>
  <c r="AR34" i="27" s="1"/>
  <c r="AR35" i="27" a="1"/>
  <c r="AR35" i="27" s="1"/>
  <c r="AR12" i="27" a="1"/>
  <c r="AR12" i="27" s="1"/>
  <c r="AR15" i="27" a="1"/>
  <c r="AR15" i="27" s="1"/>
  <c r="AR11" i="27" a="1"/>
  <c r="AR11" i="27" s="1"/>
  <c r="AR19" i="27" a="1"/>
  <c r="AR19" i="27" s="1"/>
  <c r="AR24" i="27" a="1"/>
  <c r="AR24" i="27" s="1"/>
  <c r="AR18" i="27" a="1"/>
  <c r="AR18" i="27" s="1"/>
  <c r="AR22" i="27" a="1"/>
  <c r="AR22" i="27" s="1"/>
  <c r="AR31" i="27" a="1"/>
  <c r="AR31" i="27" s="1"/>
  <c r="AR26" i="27" a="1"/>
  <c r="AR26" i="27" s="1"/>
  <c r="AR27" i="27" a="1"/>
  <c r="AR27" i="27" s="1"/>
  <c r="AR21" i="27" a="1"/>
  <c r="AR21" i="27" s="1"/>
  <c r="AR33" i="27" a="1"/>
  <c r="AR33" i="27" s="1"/>
  <c r="AR13" i="27" a="1"/>
  <c r="AR13" i="27" s="1"/>
  <c r="AR16" i="27" a="1"/>
  <c r="AR16" i="27" s="1"/>
  <c r="AR28" i="27" a="1"/>
  <c r="AR28" i="27" s="1"/>
  <c r="AR25" i="27" a="1"/>
  <c r="AR25" i="27" s="1"/>
  <c r="AR36" i="27" a="1"/>
  <c r="AR36" i="27" s="1"/>
  <c r="AR35" i="24" a="1"/>
  <c r="AR35" i="24" s="1"/>
  <c r="AR12" i="24" a="1"/>
  <c r="AR12" i="24" s="1"/>
  <c r="AR33" i="24" a="1"/>
  <c r="AR33" i="24" s="1"/>
  <c r="AR30" i="24" a="1"/>
  <c r="AR30" i="24" s="1"/>
  <c r="AR9" i="24" a="1"/>
  <c r="AR9" i="24" s="1"/>
  <c r="AR32" i="24" a="1"/>
  <c r="AR32" i="24" s="1"/>
  <c r="AR18" i="24" a="1"/>
  <c r="AR18" i="24" s="1"/>
  <c r="AR27" i="24" a="1"/>
  <c r="AR27" i="24" s="1"/>
  <c r="AR34" i="24" a="1"/>
  <c r="AR34" i="24" s="1"/>
  <c r="AR36" i="24" a="1"/>
  <c r="AR36" i="24" s="1"/>
  <c r="AR22" i="24" a="1"/>
  <c r="AR22" i="24" s="1"/>
  <c r="AR21" i="24" a="1"/>
  <c r="AR21" i="24" s="1"/>
  <c r="AR25" i="24" a="1"/>
  <c r="AR25" i="24" s="1"/>
  <c r="AR10" i="24" a="1"/>
  <c r="AR10" i="24" s="1"/>
  <c r="AR29" i="24" a="1"/>
  <c r="AR29" i="24" s="1"/>
  <c r="AR26" i="24" a="1"/>
  <c r="AR26" i="24" s="1"/>
  <c r="AR20" i="24" a="1"/>
  <c r="AR20" i="24" s="1"/>
  <c r="AR17" i="24" a="1"/>
  <c r="AR17" i="24" s="1"/>
  <c r="AR19" i="24" a="1"/>
  <c r="AR19" i="24" s="1"/>
  <c r="AR15" i="24" a="1"/>
  <c r="AR15" i="24" s="1"/>
  <c r="AR31" i="24" a="1"/>
  <c r="AR31" i="24" s="1"/>
  <c r="AR14" i="24" a="1"/>
  <c r="AR14" i="24" s="1"/>
  <c r="AR28" i="24" a="1"/>
  <c r="AR28" i="24" s="1"/>
  <c r="AR16" i="24" a="1"/>
  <c r="AR16" i="24" s="1"/>
  <c r="AR23" i="24" a="1"/>
  <c r="AR23" i="24" s="1"/>
  <c r="AR13" i="24" a="1"/>
  <c r="AR13" i="24" s="1"/>
  <c r="AR11" i="24" a="1"/>
  <c r="AR11" i="24" s="1"/>
  <c r="AR24" i="24" a="1"/>
  <c r="AR24" i="24" s="1"/>
  <c r="AR9" i="26" a="1"/>
  <c r="AR9" i="26" s="1"/>
  <c r="AR34" i="26" a="1"/>
  <c r="AR34" i="26" s="1"/>
  <c r="AR24" i="26" a="1"/>
  <c r="AR24" i="26" s="1"/>
  <c r="AR16" i="26" a="1"/>
  <c r="AR16" i="26" s="1"/>
  <c r="AR26" i="26" a="1"/>
  <c r="AR26" i="26" s="1"/>
  <c r="AR15" i="26" a="1"/>
  <c r="AR15" i="26" s="1"/>
  <c r="AR30" i="26" a="1"/>
  <c r="AR30" i="26" s="1"/>
  <c r="AR31" i="26" a="1"/>
  <c r="AR31" i="26" s="1"/>
  <c r="AR33" i="26" a="1"/>
  <c r="AR33" i="26" s="1"/>
  <c r="AR36" i="26" a="1"/>
  <c r="AR36" i="26" s="1"/>
  <c r="AR12" i="26" a="1"/>
  <c r="AR12" i="26" s="1"/>
  <c r="AR20" i="26" a="1"/>
  <c r="AR20" i="26" s="1"/>
  <c r="AR27" i="25" a="1"/>
  <c r="AR27" i="25" s="1"/>
  <c r="AR23" i="25" a="1"/>
  <c r="AR23" i="25" s="1"/>
  <c r="AR24" i="25" a="1"/>
  <c r="AR24" i="25" s="1"/>
  <c r="AR21" i="25" a="1"/>
  <c r="AR21" i="25" s="1"/>
  <c r="AR30" i="25" a="1"/>
  <c r="AR30" i="25" s="1"/>
  <c r="AR17" i="25" a="1"/>
  <c r="AR17" i="25" s="1"/>
  <c r="AR18" i="25" a="1"/>
  <c r="AR18" i="25" s="1"/>
  <c r="AR14" i="25" a="1"/>
  <c r="AR14" i="25" s="1"/>
  <c r="AR22" i="25" a="1"/>
  <c r="AR22" i="25" s="1"/>
  <c r="AR20" i="25" a="1"/>
  <c r="AR20" i="25" s="1"/>
  <c r="AR26" i="25" a="1"/>
  <c r="AR26" i="25" s="1"/>
  <c r="AR32" i="25" a="1"/>
  <c r="AR32" i="25" s="1"/>
  <c r="AR29" i="25" a="1"/>
  <c r="AR29" i="25" s="1"/>
  <c r="AR34" i="25" a="1"/>
  <c r="AR34" i="25" s="1"/>
  <c r="AR31" i="25" a="1"/>
  <c r="AR31" i="25" s="1"/>
  <c r="AR29" i="10" a="1"/>
  <c r="AR29" i="10" s="1"/>
  <c r="AR33" i="10" a="1"/>
  <c r="AR33" i="10" s="1"/>
  <c r="AR9" i="10" a="1"/>
  <c r="AR9" i="10" s="1"/>
  <c r="AR23" i="10" a="1"/>
  <c r="AR23" i="10" s="1"/>
  <c r="AR26" i="10" a="1"/>
  <c r="AR26" i="10" s="1"/>
  <c r="AR11" i="10" a="1"/>
  <c r="AR11" i="10" s="1"/>
  <c r="AR27" i="10" a="1"/>
  <c r="AR27" i="10" s="1"/>
  <c r="AR30" i="10" a="1"/>
  <c r="AR30" i="10" s="1"/>
  <c r="AR25" i="10" a="1"/>
  <c r="AR25" i="10" s="1"/>
  <c r="AR10" i="10" a="1"/>
  <c r="AR10" i="10" s="1"/>
  <c r="AR20" i="10" a="1"/>
  <c r="AR20" i="10" s="1"/>
  <c r="AR31" i="10" a="1"/>
  <c r="AR31" i="10" s="1"/>
  <c r="AR15" i="10" a="1"/>
  <c r="AR15" i="10" s="1"/>
  <c r="AR24" i="10" a="1"/>
  <c r="AR24" i="10" s="1"/>
  <c r="AR28" i="10" a="1"/>
  <c r="AR28" i="10" s="1"/>
  <c r="AR18" i="10" a="1"/>
  <c r="AR18" i="10" s="1"/>
  <c r="AR16" i="10" a="1"/>
  <c r="AR16" i="10" s="1"/>
  <c r="AR36" i="10" a="1"/>
  <c r="AR36" i="10" s="1"/>
  <c r="AR14" i="10" a="1"/>
  <c r="AR14" i="10" s="1"/>
  <c r="AR21" i="10" a="1"/>
  <c r="AR21" i="10" s="1"/>
  <c r="AR22" i="10" a="1"/>
  <c r="AR22" i="10" s="1"/>
  <c r="AR34" i="10" a="1"/>
  <c r="AR34" i="10" s="1"/>
  <c r="AR13" i="10" a="1"/>
  <c r="AR13" i="10" s="1"/>
  <c r="AR19" i="10" a="1"/>
  <c r="AR19" i="10" s="1"/>
  <c r="AR17" i="10" a="1"/>
  <c r="AR17" i="10" s="1"/>
  <c r="AR32" i="10" a="1"/>
  <c r="AR32" i="10" s="1"/>
  <c r="AR12" i="10" a="1"/>
  <c r="AR12" i="10" s="1"/>
  <c r="AR35" i="10" a="1"/>
  <c r="AR35" i="10" s="1"/>
  <c r="AR28" i="14" a="1"/>
  <c r="AR28" i="14" s="1"/>
  <c r="AR30" i="14" a="1"/>
  <c r="AR30" i="14" s="1"/>
  <c r="AR33" i="14" a="1"/>
  <c r="AR33" i="14" s="1"/>
  <c r="AR17" i="14" a="1"/>
  <c r="AR17" i="14" s="1"/>
  <c r="AR32" i="14" a="1"/>
  <c r="AR32" i="14" s="1"/>
  <c r="AR26" i="14" a="1"/>
  <c r="AR26" i="14" s="1"/>
  <c r="AR18" i="14" a="1"/>
  <c r="AR18" i="14" s="1"/>
  <c r="AR25" i="14" a="1"/>
  <c r="AR25" i="14" s="1"/>
  <c r="AR22" i="14" a="1"/>
  <c r="AR22" i="14" s="1"/>
  <c r="AR24" i="14" a="1"/>
  <c r="AR24" i="14" s="1"/>
  <c r="AR27" i="14" a="1"/>
  <c r="AR27" i="14" s="1"/>
  <c r="AR13" i="14" a="1"/>
  <c r="AR13" i="14" s="1"/>
  <c r="AR9" i="14" a="1"/>
  <c r="AR9" i="14" s="1"/>
  <c r="AR35" i="14" a="1"/>
  <c r="AR35" i="14" s="1"/>
  <c r="AR12" i="14" a="1"/>
  <c r="AR12" i="14" s="1"/>
  <c r="AR15" i="14" a="1"/>
  <c r="AR15" i="14" s="1"/>
  <c r="AR34" i="14" a="1"/>
  <c r="AR34" i="14" s="1"/>
  <c r="AR16" i="14" a="1"/>
  <c r="AR16" i="14" s="1"/>
  <c r="AR36" i="14" a="1"/>
  <c r="AR36" i="14" s="1"/>
  <c r="AR29" i="14" a="1"/>
  <c r="AR29" i="14" s="1"/>
  <c r="AR20" i="14" a="1"/>
  <c r="AR20" i="14" s="1"/>
  <c r="AR19" i="14" a="1"/>
  <c r="AR19" i="14" s="1"/>
  <c r="AR10" i="14" a="1"/>
  <c r="AR10" i="14" s="1"/>
  <c r="AR11" i="14" a="1"/>
  <c r="AR11" i="14" s="1"/>
  <c r="AR14" i="14" a="1"/>
  <c r="AR14" i="14" s="1"/>
  <c r="AR21" i="14" a="1"/>
  <c r="AR21" i="14" s="1"/>
  <c r="AR23" i="14" a="1"/>
  <c r="AR23" i="14" s="1"/>
  <c r="AR31" i="14" a="1"/>
  <c r="AR31" i="14" s="1"/>
  <c r="AR35" i="21" a="1"/>
  <c r="AR35" i="21" s="1"/>
  <c r="AR30" i="21" a="1"/>
  <c r="AR30" i="21" s="1"/>
  <c r="AR15" i="21" a="1"/>
  <c r="AR15" i="21" s="1"/>
  <c r="AR34" i="21" a="1"/>
  <c r="AR34" i="21" s="1"/>
  <c r="AR19" i="21" a="1"/>
  <c r="AR19" i="21" s="1"/>
  <c r="AR21" i="21" a="1"/>
  <c r="AR21" i="21" s="1"/>
  <c r="AR36" i="21" a="1"/>
  <c r="AR36" i="21" s="1"/>
  <c r="AR9" i="21" a="1"/>
  <c r="AR9" i="21" s="1"/>
  <c r="AR23" i="21" a="1"/>
  <c r="AR23" i="21" s="1"/>
  <c r="AR27" i="21" a="1"/>
  <c r="AR27" i="21" s="1"/>
  <c r="AR29" i="21" a="1"/>
  <c r="AR29" i="21" s="1"/>
  <c r="AR18" i="21" a="1"/>
  <c r="AR18" i="21" s="1"/>
  <c r="AR20" i="21" a="1"/>
  <c r="AR20" i="21" s="1"/>
  <c r="AR22" i="21" a="1"/>
  <c r="AR22" i="21" s="1"/>
  <c r="AR31" i="21" a="1"/>
  <c r="AR31" i="21" s="1"/>
  <c r="AR13" i="21" a="1"/>
  <c r="AR13" i="21" s="1"/>
  <c r="AR16" i="21" a="1"/>
  <c r="AR16" i="21" s="1"/>
  <c r="AR12" i="21" a="1"/>
  <c r="AR12" i="21" s="1"/>
  <c r="AR33" i="21" a="1"/>
  <c r="AR33" i="21" s="1"/>
  <c r="AR28" i="21" a="1"/>
  <c r="AR28" i="21" s="1"/>
  <c r="AR10" i="21" a="1"/>
  <c r="AR10" i="21" s="1"/>
  <c r="AR11" i="21" a="1"/>
  <c r="AR11" i="21" s="1"/>
  <c r="AR32" i="21" a="1"/>
  <c r="AR32" i="21" s="1"/>
  <c r="AR26" i="21" a="1"/>
  <c r="AR26" i="21" s="1"/>
  <c r="AR17" i="21" a="1"/>
  <c r="AR17" i="21" s="1"/>
  <c r="AR24" i="21" a="1"/>
  <c r="AR24" i="21" s="1"/>
  <c r="AR25" i="21" a="1"/>
  <c r="AR25" i="21" s="1"/>
  <c r="AR14" i="21" a="1"/>
  <c r="AR14" i="21" s="1"/>
  <c r="AS15" i="16" a="1"/>
  <c r="AS15" i="16" s="1"/>
  <c r="AS9" i="16" a="1"/>
  <c r="AS9" i="16" s="1"/>
  <c r="AS25" i="16" a="1"/>
  <c r="AS25" i="16" s="1"/>
  <c r="AS26" i="16" a="1"/>
  <c r="AS26" i="16" s="1"/>
  <c r="AS17" i="16" a="1"/>
  <c r="AS17" i="16" s="1"/>
  <c r="AS16" i="16" a="1"/>
  <c r="AS16" i="16" s="1"/>
  <c r="AS24" i="16" a="1"/>
  <c r="AS24" i="16" s="1"/>
  <c r="AS36" i="16" a="1"/>
  <c r="AS36" i="16" s="1"/>
  <c r="AS35" i="16" a="1"/>
  <c r="AS35" i="16" s="1"/>
  <c r="AS33" i="16" a="1"/>
  <c r="AS33" i="16" s="1"/>
  <c r="AS13" i="16" a="1"/>
  <c r="AS13" i="16" s="1"/>
  <c r="AS29" i="16" a="1"/>
  <c r="AS29" i="16" s="1"/>
  <c r="AS10" i="16" a="1"/>
  <c r="AS10" i="16" s="1"/>
  <c r="AS31" i="16" a="1"/>
  <c r="AS31" i="16" s="1"/>
  <c r="AS23" i="16" a="1"/>
  <c r="AS23" i="16" s="1"/>
  <c r="AS27" i="16" a="1"/>
  <c r="AS27" i="16" s="1"/>
  <c r="AS18" i="16" a="1"/>
  <c r="AS18" i="16" s="1"/>
  <c r="AS30" i="16" a="1"/>
  <c r="AS30" i="16" s="1"/>
  <c r="AS28" i="16" a="1"/>
  <c r="AS28" i="16" s="1"/>
  <c r="AS14" i="16" a="1"/>
  <c r="AS14" i="16" s="1"/>
  <c r="AS21" i="16" a="1"/>
  <c r="AS21" i="16" s="1"/>
  <c r="AS32" i="16" a="1"/>
  <c r="AS32" i="16" s="1"/>
  <c r="AS20" i="16" a="1"/>
  <c r="AS20" i="16" s="1"/>
  <c r="AS19" i="16" a="1"/>
  <c r="AS19" i="16" s="1"/>
  <c r="AS22" i="16" a="1"/>
  <c r="AS22" i="16" s="1"/>
  <c r="AS12" i="16" a="1"/>
  <c r="AS12" i="16" s="1"/>
  <c r="AS11" i="16" a="1"/>
  <c r="AS11" i="16" s="1"/>
  <c r="AS34" i="16" a="1"/>
  <c r="AS34" i="16" s="1"/>
  <c r="AR17" i="12" a="1"/>
  <c r="AR17" i="12" s="1"/>
  <c r="AR28" i="12" a="1"/>
  <c r="AR28" i="12" s="1"/>
  <c r="AR23" i="12" a="1"/>
  <c r="AR23" i="12" s="1"/>
  <c r="AR14" i="12" a="1"/>
  <c r="AR14" i="12" s="1"/>
  <c r="AR15" i="12" a="1"/>
  <c r="AR15" i="12" s="1"/>
  <c r="AR36" i="12" a="1"/>
  <c r="AR36" i="12" s="1"/>
  <c r="AR10" i="12" a="1"/>
  <c r="AR10" i="12" s="1"/>
  <c r="AR19" i="12" a="1"/>
  <c r="AR19" i="12" s="1"/>
  <c r="AR32" i="12" a="1"/>
  <c r="AR32" i="12" s="1"/>
  <c r="AR31" i="12" a="1"/>
  <c r="AR31" i="12" s="1"/>
  <c r="AR16" i="12" a="1"/>
  <c r="AR16" i="12" s="1"/>
  <c r="AR12" i="12" a="1"/>
  <c r="AR12" i="12" s="1"/>
  <c r="AR26" i="12" a="1"/>
  <c r="AR26" i="12" s="1"/>
  <c r="AR9" i="12" a="1"/>
  <c r="AR9" i="12" s="1"/>
  <c r="AR34" i="12" a="1"/>
  <c r="AR34" i="12" s="1"/>
  <c r="AR21" i="12" a="1"/>
  <c r="AR21" i="12" s="1"/>
  <c r="AR24" i="12" a="1"/>
  <c r="AR24" i="12" s="1"/>
  <c r="AR18" i="12" a="1"/>
  <c r="AR18" i="12" s="1"/>
  <c r="AR35" i="12" a="1"/>
  <c r="AR35" i="12" s="1"/>
  <c r="AR22" i="12" a="1"/>
  <c r="AR22" i="12" s="1"/>
  <c r="AR29" i="12" a="1"/>
  <c r="AR29" i="12" s="1"/>
  <c r="AR20" i="12" a="1"/>
  <c r="AR20" i="12" s="1"/>
  <c r="AR13" i="12" a="1"/>
  <c r="AR13" i="12" s="1"/>
  <c r="AR25" i="12" a="1"/>
  <c r="AR25" i="12" s="1"/>
  <c r="AR33" i="12" a="1"/>
  <c r="AR33" i="12" s="1"/>
  <c r="AR11" i="12" a="1"/>
  <c r="AR11" i="12" s="1"/>
  <c r="AR30" i="12" a="1"/>
  <c r="AR30" i="12" s="1"/>
  <c r="AR27" i="12" a="1"/>
  <c r="AR27" i="12" s="1"/>
  <c r="AR12" i="19" a="1"/>
  <c r="AR12" i="19" s="1"/>
  <c r="AR9" i="19" a="1"/>
  <c r="AR9" i="19" s="1"/>
  <c r="AR21" i="19" a="1"/>
  <c r="AR21" i="19" s="1"/>
  <c r="AR24" i="19" a="1"/>
  <c r="AR24" i="19" s="1"/>
  <c r="AR36" i="19" a="1"/>
  <c r="AR36" i="19" s="1"/>
  <c r="AR10" i="19" a="1"/>
  <c r="AR10" i="19" s="1"/>
  <c r="AR11" i="19" a="1"/>
  <c r="AR11" i="19" s="1"/>
  <c r="AR13" i="19" a="1"/>
  <c r="AR13" i="19" s="1"/>
  <c r="AR29" i="19" a="1"/>
  <c r="AR29" i="19" s="1"/>
  <c r="AR27" i="19" a="1"/>
  <c r="AR27" i="19" s="1"/>
  <c r="AR18" i="19" a="1"/>
  <c r="AR18" i="19" s="1"/>
  <c r="AR22" i="19" a="1"/>
  <c r="AR22" i="19" s="1"/>
  <c r="AR30" i="19" a="1"/>
  <c r="AR30" i="19" s="1"/>
  <c r="AR17" i="19" a="1"/>
  <c r="AR17" i="19" s="1"/>
  <c r="AR15" i="19" a="1"/>
  <c r="AR15" i="19" s="1"/>
  <c r="AR25" i="19" a="1"/>
  <c r="AR25" i="19" s="1"/>
  <c r="AR26" i="19" a="1"/>
  <c r="AR26" i="19" s="1"/>
  <c r="AR33" i="19" a="1"/>
  <c r="AR33" i="19" s="1"/>
  <c r="AR20" i="19" a="1"/>
  <c r="AR20" i="19" s="1"/>
  <c r="AR35" i="19" a="1"/>
  <c r="AR35" i="19" s="1"/>
  <c r="AR28" i="19" a="1"/>
  <c r="AR28" i="19" s="1"/>
  <c r="AR14" i="19" a="1"/>
  <c r="AR14" i="19" s="1"/>
  <c r="AR31" i="19" a="1"/>
  <c r="AR31" i="19" s="1"/>
  <c r="AR16" i="19" a="1"/>
  <c r="AR16" i="19" s="1"/>
  <c r="AR19" i="19" a="1"/>
  <c r="AR19" i="19" s="1"/>
  <c r="AR23" i="19" a="1"/>
  <c r="AR23" i="19" s="1"/>
  <c r="AR32" i="19" a="1"/>
  <c r="AR32" i="19" s="1"/>
  <c r="AR34" i="19" a="1"/>
  <c r="AR34" i="19" s="1"/>
  <c r="AR23" i="8" a="1"/>
  <c r="AR23" i="8" s="1"/>
  <c r="AR12" i="8" a="1"/>
  <c r="AR12" i="8" s="1"/>
  <c r="AR31" i="8" a="1"/>
  <c r="AR31" i="8" s="1"/>
  <c r="AR14" i="8" a="1"/>
  <c r="AR14" i="8" s="1"/>
  <c r="AR13" i="8" a="1"/>
  <c r="AR13" i="8" s="1"/>
  <c r="AR32" i="8" a="1"/>
  <c r="AR32" i="8" s="1"/>
  <c r="AR22" i="8" a="1"/>
  <c r="AR22" i="8" s="1"/>
  <c r="AR15" i="8" a="1"/>
  <c r="AR15" i="8" s="1"/>
  <c r="AR9" i="8" a="1"/>
  <c r="AR9" i="8" s="1"/>
  <c r="AR27" i="8" a="1"/>
  <c r="AR27" i="8" s="1"/>
  <c r="AR17" i="8" a="1"/>
  <c r="AR17" i="8" s="1"/>
  <c r="AR26" i="8" a="1"/>
  <c r="AR26" i="8" s="1"/>
  <c r="AR16" i="8" a="1"/>
  <c r="AR16" i="8" s="1"/>
  <c r="AR35" i="8" a="1"/>
  <c r="AR35" i="8" s="1"/>
  <c r="AR11" i="8" a="1"/>
  <c r="AR11" i="8" s="1"/>
  <c r="AR19" i="8" a="1"/>
  <c r="AR19" i="8" s="1"/>
  <c r="AR28" i="8" a="1"/>
  <c r="AR28" i="8" s="1"/>
  <c r="AR21" i="8" a="1"/>
  <c r="AR21" i="8" s="1"/>
  <c r="AR36" i="8" a="1"/>
  <c r="AR36" i="8" s="1"/>
  <c r="AR25" i="8" a="1"/>
  <c r="AR25" i="8" s="1"/>
  <c r="AR24" i="8" a="1"/>
  <c r="AR24" i="8" s="1"/>
  <c r="AR10" i="8" a="1"/>
  <c r="AR10" i="8" s="1"/>
  <c r="AR33" i="8" a="1"/>
  <c r="AR33" i="8" s="1"/>
  <c r="AR34" i="8" a="1"/>
  <c r="AR34" i="8" s="1"/>
  <c r="AR18" i="8" a="1"/>
  <c r="AR18" i="8" s="1"/>
  <c r="AR30" i="8" a="1"/>
  <c r="AR30" i="8" s="1"/>
  <c r="AR29" i="8" a="1"/>
  <c r="AR29" i="8" s="1"/>
  <c r="AR20" i="8" a="1"/>
  <c r="AR20" i="8" s="1"/>
  <c r="AR34" i="7" a="1"/>
  <c r="AR34" i="7" s="1"/>
  <c r="AR36" i="7" a="1"/>
  <c r="AR36" i="7" s="1"/>
  <c r="AR31" i="7" a="1"/>
  <c r="AR31" i="7" s="1"/>
  <c r="AR13" i="7" a="1"/>
  <c r="AR13" i="7" s="1"/>
  <c r="AR35" i="7" a="1"/>
  <c r="AR35" i="7" s="1"/>
  <c r="AR16" i="7" a="1"/>
  <c r="AR16" i="7" s="1"/>
  <c r="AR21" i="7" a="1"/>
  <c r="AR21" i="7" s="1"/>
  <c r="AR20" i="7" a="1"/>
  <c r="AR20" i="7" s="1"/>
  <c r="AR24" i="7" a="1"/>
  <c r="AR24" i="7" s="1"/>
  <c r="AR19" i="7" a="1"/>
  <c r="AR19" i="7" s="1"/>
  <c r="AR12" i="7" a="1"/>
  <c r="AR12" i="7" s="1"/>
  <c r="AR26" i="7" a="1"/>
  <c r="AR26" i="7" s="1"/>
  <c r="AR15" i="7" a="1"/>
  <c r="AR15" i="7" s="1"/>
  <c r="AR32" i="7" a="1"/>
  <c r="AR32" i="7" s="1"/>
  <c r="AR9" i="7" a="1"/>
  <c r="AR9" i="7" s="1"/>
  <c r="AR10" i="7" a="1"/>
  <c r="AR10" i="7" s="1"/>
  <c r="AR17" i="7" a="1"/>
  <c r="AR17" i="7" s="1"/>
  <c r="AR14" i="7" a="1"/>
  <c r="AR14" i="7" s="1"/>
  <c r="AR23" i="7" a="1"/>
  <c r="AR23" i="7" s="1"/>
  <c r="AR25" i="7" a="1"/>
  <c r="AR25" i="7" s="1"/>
  <c r="AR27" i="7" a="1"/>
  <c r="AR27" i="7" s="1"/>
  <c r="AR11" i="7" a="1"/>
  <c r="AR11" i="7" s="1"/>
  <c r="AR33" i="7" a="1"/>
  <c r="AR33" i="7" s="1"/>
  <c r="AR29" i="7" a="1"/>
  <c r="AR29" i="7" s="1"/>
  <c r="AR30" i="7" a="1"/>
  <c r="AR30" i="7" s="1"/>
  <c r="AR28" i="7" a="1"/>
  <c r="AR28" i="7" s="1"/>
  <c r="AR22" i="7" a="1"/>
  <c r="AR22" i="7" s="1"/>
  <c r="AR18" i="7" a="1"/>
  <c r="AR18" i="7" s="1"/>
  <c r="AR23" i="9" a="1"/>
  <c r="AR23" i="9" s="1"/>
  <c r="AR19" i="9" a="1"/>
  <c r="AR19" i="9" s="1"/>
  <c r="AR15" i="9" a="1"/>
  <c r="AR15" i="9" s="1"/>
  <c r="AR18" i="9" a="1"/>
  <c r="AR18" i="9" s="1"/>
  <c r="AR11" i="9" a="1"/>
  <c r="AR11" i="9" s="1"/>
  <c r="AR35" i="9" a="1"/>
  <c r="AR35" i="9" s="1"/>
  <c r="AR13" i="9" a="1"/>
  <c r="AR13" i="9" s="1"/>
  <c r="AR28" i="9" a="1"/>
  <c r="AR28" i="9" s="1"/>
  <c r="AR21" i="9" a="1"/>
  <c r="AR21" i="9" s="1"/>
  <c r="AR10" i="9" a="1"/>
  <c r="AR10" i="9" s="1"/>
  <c r="AR24" i="9" a="1"/>
  <c r="AR24" i="9" s="1"/>
  <c r="AR16" i="9" a="1"/>
  <c r="AR16" i="9" s="1"/>
  <c r="AR14" i="9" a="1"/>
  <c r="AR14" i="9" s="1"/>
  <c r="AR12" i="9" a="1"/>
  <c r="AR12" i="9" s="1"/>
  <c r="AR29" i="9" a="1"/>
  <c r="AR29" i="9" s="1"/>
  <c r="AR26" i="9" a="1"/>
  <c r="AR26" i="9" s="1"/>
  <c r="AR17" i="9" a="1"/>
  <c r="AR17" i="9" s="1"/>
  <c r="AR9" i="9" a="1"/>
  <c r="AR9" i="9" s="1"/>
  <c r="AR27" i="9" a="1"/>
  <c r="AR27" i="9" s="1"/>
  <c r="AR30" i="9" a="1"/>
  <c r="AR30" i="9" s="1"/>
  <c r="AR31" i="9" a="1"/>
  <c r="AR31" i="9" s="1"/>
  <c r="AR32" i="9" a="1"/>
  <c r="AR32" i="9" s="1"/>
  <c r="AR20" i="9" a="1"/>
  <c r="AR20" i="9" s="1"/>
  <c r="AR34" i="9" a="1"/>
  <c r="AR34" i="9" s="1"/>
  <c r="AR25" i="9" a="1"/>
  <c r="AR25" i="9" s="1"/>
  <c r="AR33" i="9" a="1"/>
  <c r="AR33" i="9" s="1"/>
  <c r="AR22" i="9" a="1"/>
  <c r="AR22" i="9" s="1"/>
  <c r="AR36" i="9" a="1"/>
  <c r="AR36" i="9" s="1"/>
  <c r="AR25" i="20" a="1"/>
  <c r="AR25" i="20" s="1"/>
  <c r="AR35" i="20" a="1"/>
  <c r="AR35" i="20" s="1"/>
  <c r="AR32" i="20" a="1"/>
  <c r="AR32" i="20" s="1"/>
  <c r="AR30" i="20" a="1"/>
  <c r="AR30" i="20" s="1"/>
  <c r="AR22" i="20" a="1"/>
  <c r="AR22" i="20" s="1"/>
  <c r="AR17" i="20" a="1"/>
  <c r="AR17" i="20" s="1"/>
  <c r="AR31" i="20" a="1"/>
  <c r="AR31" i="20" s="1"/>
  <c r="AR27" i="20" a="1"/>
  <c r="AR27" i="20" s="1"/>
  <c r="AR9" i="20" a="1"/>
  <c r="AR9" i="20" s="1"/>
  <c r="AR12" i="20" a="1"/>
  <c r="AR12" i="20" s="1"/>
  <c r="AR23" i="20" a="1"/>
  <c r="AR23" i="20" s="1"/>
  <c r="AR34" i="20" a="1"/>
  <c r="AR34" i="20" s="1"/>
  <c r="AR24" i="20" a="1"/>
  <c r="AR24" i="20" s="1"/>
  <c r="AR36" i="20" a="1"/>
  <c r="AR36" i="20" s="1"/>
  <c r="AR18" i="20" a="1"/>
  <c r="AR18" i="20" s="1"/>
  <c r="AS37" i="20"/>
  <c r="AR28" i="20" a="1"/>
  <c r="AR28" i="20" s="1"/>
  <c r="AR20" i="20" a="1"/>
  <c r="AR20" i="20" s="1"/>
  <c r="AR37" i="20"/>
  <c r="AT37" i="20" s="1"/>
  <c r="AR16" i="20" a="1"/>
  <c r="AR16" i="20" s="1"/>
  <c r="AR21" i="20" a="1"/>
  <c r="AR21" i="20" s="1"/>
  <c r="AR10" i="20" a="1"/>
  <c r="AR10" i="20" s="1"/>
  <c r="AR19" i="20" a="1"/>
  <c r="AR19" i="20" s="1"/>
  <c r="AR14" i="20" a="1"/>
  <c r="AR14" i="20" s="1"/>
  <c r="AR33" i="20" a="1"/>
  <c r="AR33" i="20" s="1"/>
  <c r="AR15" i="20" a="1"/>
  <c r="AR15" i="20" s="1"/>
  <c r="AR11" i="20" a="1"/>
  <c r="AR11" i="20" s="1"/>
  <c r="AR13" i="20" a="1"/>
  <c r="AR13" i="20" s="1"/>
  <c r="AR29" i="20" a="1"/>
  <c r="AR29" i="20" s="1"/>
  <c r="AR26" i="20" a="1"/>
  <c r="AR26" i="20" s="1"/>
  <c r="AR11" i="29" a="1"/>
  <c r="AR11" i="29" s="1"/>
  <c r="AR29" i="29" a="1"/>
  <c r="AR29" i="29" s="1"/>
  <c r="AR35" i="29" a="1"/>
  <c r="AR35" i="29" s="1"/>
  <c r="AR10" i="29" a="1"/>
  <c r="AR10" i="29" s="1"/>
  <c r="AR9" i="29" a="1"/>
  <c r="AR9" i="29" s="1"/>
  <c r="AR33" i="29" a="1"/>
  <c r="AR33" i="29" s="1"/>
  <c r="AR32" i="29" a="1"/>
  <c r="AR32" i="29" s="1"/>
  <c r="AR26" i="29" a="1"/>
  <c r="AR26" i="29" s="1"/>
  <c r="AR27" i="29" a="1"/>
  <c r="AR27" i="29" s="1"/>
  <c r="AR12" i="29" a="1"/>
  <c r="AR12" i="29" s="1"/>
  <c r="AR30" i="29" a="1"/>
  <c r="AR30" i="29" s="1"/>
  <c r="AR21" i="29" a="1"/>
  <c r="AR21" i="29" s="1"/>
  <c r="AR23" i="29" a="1"/>
  <c r="AR23" i="29" s="1"/>
  <c r="AR13" i="29" a="1"/>
  <c r="AR13" i="29" s="1"/>
  <c r="AR25" i="29" a="1"/>
  <c r="AR25" i="29" s="1"/>
  <c r="AR31" i="29" a="1"/>
  <c r="AR31" i="29" s="1"/>
  <c r="AR22" i="29" a="1"/>
  <c r="AR22" i="29" s="1"/>
  <c r="AR15" i="29" a="1"/>
  <c r="AR15" i="29" s="1"/>
  <c r="AR14" i="29" a="1"/>
  <c r="AR14" i="29" s="1"/>
  <c r="AR20" i="29" a="1"/>
  <c r="AR20" i="29" s="1"/>
  <c r="AR17" i="29" a="1"/>
  <c r="AR17" i="29" s="1"/>
  <c r="AR16" i="29" a="1"/>
  <c r="AR16" i="29" s="1"/>
  <c r="AR18" i="29" a="1"/>
  <c r="AR18" i="29" s="1"/>
  <c r="AR34" i="29" a="1"/>
  <c r="AR34" i="29" s="1"/>
  <c r="AR24" i="29" a="1"/>
  <c r="AR24" i="29" s="1"/>
  <c r="AR36" i="29" a="1"/>
  <c r="AR36" i="29" s="1"/>
  <c r="AR19" i="29" a="1"/>
  <c r="AR19" i="29" s="1"/>
  <c r="AR28" i="29" a="1"/>
  <c r="AR28" i="29" s="1"/>
  <c r="AR30" i="4" a="1"/>
  <c r="AR30" i="4" s="1"/>
  <c r="AR26" i="4" a="1"/>
  <c r="AR26" i="4" s="1"/>
  <c r="AR16" i="4" a="1"/>
  <c r="AR16" i="4" s="1"/>
  <c r="AR10" i="4" a="1"/>
  <c r="AR10" i="4" s="1"/>
  <c r="AR11" i="4" a="1"/>
  <c r="AR11" i="4" s="1"/>
  <c r="AR35" i="4" a="1"/>
  <c r="AR35" i="4" s="1"/>
  <c r="AR9" i="4" a="1"/>
  <c r="AR9" i="4" s="1"/>
  <c r="AR12" i="4" a="1"/>
  <c r="AR12" i="4" s="1"/>
  <c r="AR28" i="4" a="1"/>
  <c r="AR28" i="4" s="1"/>
  <c r="AR24" i="4" a="1"/>
  <c r="AR24" i="4" s="1"/>
  <c r="AR32" i="4" a="1"/>
  <c r="AR32" i="4" s="1"/>
  <c r="AR13" i="4" a="1"/>
  <c r="AR13" i="4" s="1"/>
  <c r="AR27" i="4" a="1"/>
  <c r="AR27" i="4" s="1"/>
  <c r="AR31" i="4" a="1"/>
  <c r="AR31" i="4" s="1"/>
  <c r="AR15" i="4" a="1"/>
  <c r="AR15" i="4" s="1"/>
  <c r="AR29" i="4" a="1"/>
  <c r="AR29" i="4" s="1"/>
  <c r="AR21" i="4" a="1"/>
  <c r="AR21" i="4" s="1"/>
  <c r="AR18" i="4" a="1"/>
  <c r="AR18" i="4" s="1"/>
  <c r="AR37" i="4"/>
  <c r="AT37" i="4" s="1"/>
  <c r="AR17" i="4" a="1"/>
  <c r="AR17" i="4" s="1"/>
  <c r="AR33" i="4" a="1"/>
  <c r="AR33" i="4" s="1"/>
  <c r="AR19" i="4" a="1"/>
  <c r="AR19" i="4" s="1"/>
  <c r="AR22" i="4" a="1"/>
  <c r="AR22" i="4" s="1"/>
  <c r="AR25" i="4" a="1"/>
  <c r="AR25" i="4" s="1"/>
  <c r="AR34" i="4" a="1"/>
  <c r="AR34" i="4" s="1"/>
  <c r="AR20" i="4" a="1"/>
  <c r="AR20" i="4" s="1"/>
  <c r="AR14" i="4" a="1"/>
  <c r="AR14" i="4" s="1"/>
  <c r="AR36" i="4" a="1"/>
  <c r="AR36" i="4" s="1"/>
  <c r="AS37" i="4"/>
  <c r="AR23" i="4" a="1"/>
  <c r="AR23" i="4" s="1"/>
  <c r="AR9" i="25" a="1"/>
  <c r="AR9" i="25" s="1"/>
  <c r="AR10" i="26" a="1"/>
  <c r="AR10" i="26" s="1"/>
  <c r="AR29" i="26" a="1"/>
  <c r="AR29" i="26" s="1"/>
  <c r="AR36" i="30" a="1"/>
  <c r="AR36" i="30" s="1"/>
  <c r="AR12" i="30" a="1"/>
  <c r="AR12" i="30" s="1"/>
  <c r="AR22" i="26" a="1"/>
  <c r="AR22" i="26" s="1"/>
  <c r="AR16" i="25" a="1"/>
  <c r="AR16" i="25" s="1"/>
  <c r="AR32" i="30" a="1"/>
  <c r="AR32" i="30" s="1"/>
  <c r="AR19" i="25" a="1"/>
  <c r="AR19" i="25" s="1"/>
  <c r="AR13" i="25" a="1"/>
  <c r="AR13" i="25" s="1"/>
  <c r="AR35" i="30" a="1"/>
  <c r="AR35" i="30" s="1"/>
  <c r="AR28" i="25" a="1"/>
  <c r="AR28" i="25" s="1"/>
  <c r="AR33" i="25" a="1"/>
  <c r="AR33" i="25" s="1"/>
  <c r="AR28" i="26" a="1"/>
  <c r="AR28" i="26" s="1"/>
  <c r="AR10" i="25" a="1"/>
  <c r="AR10" i="25" s="1"/>
  <c r="AR21" i="26" a="1"/>
  <c r="AR21" i="26" s="1"/>
  <c r="AR17" i="26" a="1"/>
  <c r="AR17" i="26" s="1"/>
  <c r="AR13" i="26" a="1"/>
  <c r="AR13" i="26" s="1"/>
  <c r="AR35" i="26" a="1"/>
  <c r="AR35" i="26" s="1"/>
  <c r="AR15" i="25" a="1"/>
  <c r="AR15" i="25" s="1"/>
  <c r="AR25" i="25" a="1"/>
  <c r="AR25" i="25" s="1"/>
  <c r="AR36" i="25" a="1"/>
  <c r="AR36" i="25" s="1"/>
  <c r="AR23" i="26" a="1"/>
  <c r="AR23" i="26" s="1"/>
  <c r="AR29" i="30" a="1"/>
  <c r="AR29" i="30" s="1"/>
  <c r="AR26" i="30" a="1"/>
  <c r="AR26" i="30" s="1"/>
  <c r="AR30" i="30" a="1"/>
  <c r="AR30" i="30" s="1"/>
  <c r="AR20" i="30" a="1"/>
  <c r="AR20" i="30" s="1"/>
  <c r="AR25" i="26" a="1"/>
  <c r="AR25" i="26" s="1"/>
  <c r="AR27" i="26" a="1"/>
  <c r="AR27" i="26" s="1"/>
  <c r="AR18" i="30" a="1"/>
  <c r="AR18" i="30" s="1"/>
  <c r="AR24" i="30" a="1"/>
  <c r="AR24" i="30" s="1"/>
  <c r="AR25" i="30" a="1"/>
  <c r="AR25" i="30" s="1"/>
  <c r="AR32" i="26" a="1"/>
  <c r="AR32" i="26" s="1"/>
  <c r="AR11" i="26" a="1"/>
  <c r="AR11" i="26" s="1"/>
  <c r="AR35" i="25" a="1"/>
  <c r="AR35" i="25" s="1"/>
  <c r="AR14" i="26" a="1"/>
  <c r="AR14" i="26" s="1"/>
  <c r="AR19" i="26" a="1"/>
  <c r="AR19" i="26" s="1"/>
  <c r="AR18" i="26" a="1"/>
  <c r="AR18" i="26" s="1"/>
  <c r="AR12" i="25" a="1"/>
  <c r="AR12" i="25" s="1"/>
  <c r="AR11" i="25" a="1"/>
  <c r="AR11" i="25" s="1"/>
  <c r="AR10" i="30" a="1"/>
  <c r="AR10" i="30" s="1"/>
  <c r="AR37" i="34"/>
  <c r="AT37" i="34" s="1"/>
  <c r="AS37" i="34"/>
  <c r="AR27" i="34" a="1"/>
  <c r="AR27" i="34" s="1"/>
  <c r="AR11" i="34" a="1"/>
  <c r="AR11" i="34" s="1"/>
  <c r="AR13" i="34" a="1"/>
  <c r="AR13" i="34" s="1"/>
  <c r="AR26" i="34" a="1"/>
  <c r="AR26" i="34" s="1"/>
  <c r="AR33" i="34" a="1"/>
  <c r="AR33" i="34" s="1"/>
  <c r="AR17" i="34" a="1"/>
  <c r="AR17" i="34" s="1"/>
  <c r="AR22" i="34" a="1"/>
  <c r="AR22" i="34" s="1"/>
  <c r="AR12" i="34" a="1"/>
  <c r="AR12" i="34" s="1"/>
  <c r="AR18" i="34" a="1"/>
  <c r="AR18" i="34" s="1"/>
  <c r="AR34" i="34" a="1"/>
  <c r="AR34" i="34" s="1"/>
  <c r="AR36" i="34" a="1"/>
  <c r="AR36" i="34" s="1"/>
  <c r="AR23" i="34" a="1"/>
  <c r="AR23" i="34" s="1"/>
  <c r="AR10" i="34" a="1"/>
  <c r="AR10" i="34" s="1"/>
  <c r="AR14" i="34" a="1"/>
  <c r="AR14" i="34" s="1"/>
  <c r="AR21" i="34" a="1"/>
  <c r="AR21" i="34" s="1"/>
  <c r="AR28" i="34" a="1"/>
  <c r="AR28" i="34" s="1"/>
  <c r="AR9" i="34" a="1"/>
  <c r="AR9" i="34" s="1"/>
  <c r="AR31" i="34" a="1"/>
  <c r="AR31" i="34" s="1"/>
  <c r="AR29" i="34" a="1"/>
  <c r="AR29" i="34" s="1"/>
  <c r="AR24" i="34" a="1"/>
  <c r="AR24" i="34" s="1"/>
  <c r="AR19" i="34" a="1"/>
  <c r="AR19" i="34" s="1"/>
  <c r="AR32" i="34" a="1"/>
  <c r="AR32" i="34" s="1"/>
  <c r="AR20" i="34" a="1"/>
  <c r="AR20" i="34" s="1"/>
  <c r="AR30" i="34" a="1"/>
  <c r="AR30" i="34" s="1"/>
  <c r="AR16" i="34" a="1"/>
  <c r="AR16" i="34" s="1"/>
  <c r="AR25" i="34" a="1"/>
  <c r="AR25" i="34" s="1"/>
  <c r="AR15" i="34" a="1"/>
  <c r="AR15" i="34" s="1"/>
  <c r="AR35" i="34" a="1"/>
  <c r="AR35" i="34" s="1"/>
  <c r="AS37" i="32"/>
  <c r="AR37" i="32"/>
  <c r="AT37" i="32" s="1"/>
  <c r="AR35" i="32" a="1"/>
  <c r="AR35" i="32" s="1"/>
  <c r="AR36" i="32" a="1"/>
  <c r="AR36" i="32" s="1"/>
  <c r="AR26" i="32" a="1"/>
  <c r="AR26" i="32" s="1"/>
  <c r="AR12" i="32" a="1"/>
  <c r="AR12" i="32" s="1"/>
  <c r="AR32" i="32" a="1"/>
  <c r="AR32" i="32" s="1"/>
  <c r="AR22" i="32" a="1"/>
  <c r="AR22" i="32" s="1"/>
  <c r="AR15" i="32" a="1"/>
  <c r="AR15" i="32" s="1"/>
  <c r="AR23" i="32" a="1"/>
  <c r="AR23" i="32" s="1"/>
  <c r="AR19" i="32" a="1"/>
  <c r="AR19" i="32" s="1"/>
  <c r="AR14" i="32" a="1"/>
  <c r="AR14" i="32" s="1"/>
  <c r="AR16" i="32" a="1"/>
  <c r="AR16" i="32" s="1"/>
  <c r="AR11" i="32" a="1"/>
  <c r="AR11" i="32" s="1"/>
  <c r="AR34" i="32" a="1"/>
  <c r="AR34" i="32" s="1"/>
  <c r="AR31" i="32" a="1"/>
  <c r="AR31" i="32" s="1"/>
  <c r="AR27" i="32" a="1"/>
  <c r="AR27" i="32" s="1"/>
  <c r="AR20" i="32" a="1"/>
  <c r="AR20" i="32" s="1"/>
  <c r="AR29" i="32" a="1"/>
  <c r="AR29" i="32" s="1"/>
  <c r="AR17" i="32" a="1"/>
  <c r="AR17" i="32" s="1"/>
  <c r="AR10" i="32" a="1"/>
  <c r="AR10" i="32" s="1"/>
  <c r="AR25" i="32" a="1"/>
  <c r="AR25" i="32" s="1"/>
  <c r="AR18" i="32" a="1"/>
  <c r="AR18" i="32" s="1"/>
  <c r="AR21" i="32" a="1"/>
  <c r="AR21" i="32" s="1"/>
  <c r="AR33" i="32" a="1"/>
  <c r="AR33" i="32" s="1"/>
  <c r="AR28" i="32" a="1"/>
  <c r="AR28" i="32" s="1"/>
  <c r="AR9" i="32" a="1"/>
  <c r="AR9" i="32" s="1"/>
  <c r="AR24" i="32" a="1"/>
  <c r="AR24" i="32" s="1"/>
  <c r="AR30" i="32" a="1"/>
  <c r="AR30" i="32" s="1"/>
  <c r="AR13" i="32" a="1"/>
  <c r="AR13" i="32" s="1"/>
  <c r="AS37" i="33"/>
  <c r="AR37" i="33"/>
  <c r="AT37" i="33" s="1"/>
  <c r="AR15" i="33" a="1"/>
  <c r="AR15" i="33" s="1"/>
  <c r="AR14" i="33" a="1"/>
  <c r="AR14" i="33" s="1"/>
  <c r="AR24" i="33" a="1"/>
  <c r="AR24" i="33" s="1"/>
  <c r="AR22" i="33" a="1"/>
  <c r="AR22" i="33" s="1"/>
  <c r="AR12" i="33" a="1"/>
  <c r="AR12" i="33" s="1"/>
  <c r="AR16" i="33" a="1"/>
  <c r="AR16" i="33" s="1"/>
  <c r="AR36" i="33" a="1"/>
  <c r="AR36" i="33" s="1"/>
  <c r="AR27" i="33" a="1"/>
  <c r="AR27" i="33" s="1"/>
  <c r="AR28" i="33" a="1"/>
  <c r="AR28" i="33" s="1"/>
  <c r="AR34" i="33" a="1"/>
  <c r="AR34" i="33" s="1"/>
  <c r="AR31" i="33" a="1"/>
  <c r="AR31" i="33" s="1"/>
  <c r="AR35" i="33" a="1"/>
  <c r="AR35" i="33" s="1"/>
  <c r="AR21" i="33" a="1"/>
  <c r="AR21" i="33" s="1"/>
  <c r="AR30" i="33" a="1"/>
  <c r="AR30" i="33" s="1"/>
  <c r="AR29" i="33" a="1"/>
  <c r="AR29" i="33" s="1"/>
  <c r="AR26" i="33" a="1"/>
  <c r="AR26" i="33" s="1"/>
  <c r="AR9" i="33" a="1"/>
  <c r="AR9" i="33" s="1"/>
  <c r="AR18" i="33" a="1"/>
  <c r="AR18" i="33" s="1"/>
  <c r="AR32" i="33" a="1"/>
  <c r="AR32" i="33" s="1"/>
  <c r="AR25" i="33" a="1"/>
  <c r="AR25" i="33" s="1"/>
  <c r="AR13" i="33" a="1"/>
  <c r="AR13" i="33" s="1"/>
  <c r="AR17" i="33" a="1"/>
  <c r="AR17" i="33" s="1"/>
  <c r="AR19" i="33" a="1"/>
  <c r="AR19" i="33" s="1"/>
  <c r="AR10" i="33" a="1"/>
  <c r="AR10" i="33" s="1"/>
  <c r="AR33" i="33" a="1"/>
  <c r="AR33" i="33" s="1"/>
  <c r="AR20" i="33" a="1"/>
  <c r="AR20" i="33" s="1"/>
  <c r="AR11" i="33" a="1"/>
  <c r="AR11" i="33" s="1"/>
  <c r="AR23" i="33" a="1"/>
  <c r="AR23" i="33" s="1"/>
  <c r="AS37" i="25"/>
  <c r="AR37" i="25"/>
  <c r="AT37" i="25" s="1"/>
  <c r="AR37" i="30"/>
  <c r="AT37" i="30" s="1"/>
  <c r="AS37" i="30"/>
  <c r="AR37" i="24"/>
  <c r="AT37" i="24" s="1"/>
  <c r="AS37" i="24"/>
  <c r="AS37" i="22"/>
  <c r="AR37" i="22"/>
  <c r="AT37" i="22" s="1"/>
  <c r="AS37" i="26"/>
  <c r="AR37" i="26"/>
  <c r="AT37" i="26" s="1"/>
  <c r="AS37" i="7"/>
  <c r="AR37" i="7"/>
  <c r="AT37" i="7" s="1"/>
  <c r="AS37" i="6"/>
  <c r="AU37" i="6" s="1"/>
  <c r="AT37" i="6"/>
  <c r="AS37" i="10"/>
  <c r="AR37" i="10"/>
  <c r="AT37" i="10" s="1"/>
  <c r="AR37" i="23"/>
  <c r="AT37" i="23" s="1"/>
  <c r="AS37" i="23"/>
  <c r="AS37" i="19"/>
  <c r="AR37" i="19"/>
  <c r="AT37" i="19" s="1"/>
  <c r="AR37" i="15"/>
  <c r="AT37" i="15" s="1"/>
  <c r="AS37" i="15"/>
  <c r="AS37" i="21"/>
  <c r="AR37" i="21"/>
  <c r="AT37" i="21" s="1"/>
  <c r="AR37" i="14"/>
  <c r="AT37" i="14" s="1"/>
  <c r="AS37" i="14"/>
  <c r="AR37" i="29"/>
  <c r="AT37" i="29" s="1"/>
  <c r="AS37" i="29"/>
  <c r="AR37" i="17"/>
  <c r="AT37" i="17" s="1"/>
  <c r="AS37" i="17"/>
  <c r="AT37" i="16"/>
  <c r="AS37" i="16"/>
  <c r="AU37" i="16" s="1"/>
  <c r="AS37" i="31"/>
  <c r="AR37" i="31"/>
  <c r="AT37" i="31" s="1"/>
  <c r="AR37" i="8"/>
  <c r="AT37" i="8" s="1"/>
  <c r="AS37" i="8"/>
  <c r="AS37" i="28"/>
  <c r="AR37" i="28"/>
  <c r="AT37" i="28" s="1"/>
  <c r="AR37" i="12"/>
  <c r="AT37" i="12" s="1"/>
  <c r="AS37" i="12"/>
  <c r="AR37" i="5"/>
  <c r="AT37" i="5" s="1"/>
  <c r="AS37" i="5"/>
  <c r="AS37" i="18"/>
  <c r="AU37" i="18" s="1"/>
  <c r="AT37" i="18"/>
  <c r="AR37" i="9"/>
  <c r="AT37" i="9" s="1"/>
  <c r="AS37" i="9"/>
  <c r="AS37" i="27"/>
  <c r="AR37" i="27"/>
  <c r="AT37" i="27" s="1"/>
  <c r="AR37" i="13"/>
  <c r="AT37" i="13" s="1"/>
  <c r="AS37" i="13"/>
  <c r="AR37" i="11"/>
  <c r="AT37" i="11" s="1"/>
  <c r="AS37" i="11"/>
  <c r="BC12" i="30"/>
  <c r="BC10" i="22"/>
  <c r="BC14" i="30"/>
  <c r="BC18" i="34"/>
  <c r="BC18" i="26"/>
  <c r="BC19" i="34"/>
  <c r="BC20" i="34"/>
  <c r="BC12" i="15"/>
  <c r="BC10" i="34"/>
  <c r="BC16" i="34"/>
  <c r="BD18" i="16"/>
  <c r="BC12" i="17"/>
  <c r="BC17" i="25"/>
  <c r="BC17" i="29"/>
  <c r="BC9" i="34"/>
  <c r="BC11" i="34"/>
  <c r="BC13" i="34"/>
  <c r="BC12" i="34"/>
  <c r="BC16" i="19"/>
  <c r="BC15" i="19"/>
  <c r="BC13" i="31"/>
  <c r="BC10" i="26"/>
  <c r="BC17" i="34"/>
  <c r="BC17" i="31"/>
  <c r="BC14" i="34"/>
  <c r="BC15" i="34"/>
  <c r="BC11" i="15"/>
  <c r="BC10" i="15"/>
  <c r="BC18" i="15"/>
  <c r="BC18" i="19"/>
  <c r="BC13" i="19"/>
  <c r="BC16" i="25"/>
  <c r="BC12" i="28"/>
  <c r="BC9" i="28"/>
  <c r="BC18" i="29"/>
  <c r="BC16" i="15"/>
  <c r="BC12" i="19"/>
  <c r="BC9" i="25"/>
  <c r="BC15" i="29"/>
  <c r="BC20" i="25"/>
  <c r="BC14" i="28"/>
  <c r="BC14" i="29"/>
  <c r="BC16" i="13"/>
  <c r="BC10" i="19"/>
  <c r="BC9" i="19"/>
  <c r="BC18" i="22"/>
  <c r="BC12" i="25"/>
  <c r="BC15" i="25"/>
  <c r="BC13" i="28"/>
  <c r="BC20" i="28"/>
  <c r="BC12" i="29"/>
  <c r="BC11" i="19"/>
  <c r="BC19" i="25"/>
  <c r="BC15" i="28"/>
  <c r="BC9" i="29"/>
  <c r="BC14" i="31"/>
  <c r="BC14" i="19"/>
  <c r="BC19" i="19"/>
  <c r="BC19" i="30"/>
  <c r="BC17" i="22"/>
  <c r="BC13" i="25"/>
  <c r="BC17" i="28"/>
  <c r="BC11" i="23"/>
  <c r="BC16" i="23"/>
  <c r="BC10" i="21"/>
  <c r="BC12" i="21"/>
  <c r="BC11" i="29"/>
  <c r="BC17" i="15"/>
  <c r="BC13" i="15"/>
  <c r="BC12" i="33"/>
  <c r="BC14" i="33"/>
  <c r="BC19" i="13"/>
  <c r="BC11" i="7"/>
  <c r="BC11" i="4"/>
  <c r="BC18" i="8"/>
  <c r="BC20" i="11"/>
  <c r="BC20" i="13"/>
  <c r="BD18" i="6"/>
  <c r="BC15" i="26"/>
  <c r="BC11" i="26"/>
  <c r="BC14" i="15"/>
  <c r="BC15" i="32"/>
  <c r="BC9" i="32"/>
  <c r="BC18" i="32"/>
  <c r="BC16" i="7"/>
  <c r="BC13" i="4"/>
  <c r="BC9" i="31"/>
  <c r="BC17" i="8"/>
  <c r="BC12" i="11"/>
  <c r="BC17" i="11"/>
  <c r="BC10" i="14"/>
  <c r="BC11" i="13"/>
  <c r="BD14" i="6"/>
  <c r="BC16" i="10"/>
  <c r="BC13" i="10"/>
  <c r="BC11" i="5"/>
  <c r="BC10" i="24"/>
  <c r="BC20" i="24"/>
  <c r="BC11" i="12"/>
  <c r="BC20" i="17"/>
  <c r="BC15" i="9"/>
  <c r="BC13" i="21"/>
  <c r="BC14" i="26"/>
  <c r="BC19" i="15"/>
  <c r="BC15" i="15"/>
  <c r="BC14" i="32"/>
  <c r="BC13" i="7"/>
  <c r="BC18" i="7"/>
  <c r="BC15" i="20"/>
  <c r="BC18" i="4"/>
  <c r="BC19" i="8"/>
  <c r="BC12" i="8"/>
  <c r="BC16" i="11"/>
  <c r="BC16" i="14"/>
  <c r="BD16" i="6"/>
  <c r="BC19" i="10"/>
  <c r="BC17" i="10"/>
  <c r="BC14" i="5"/>
  <c r="BC14" i="12"/>
  <c r="BC10" i="12"/>
  <c r="BC20" i="9"/>
  <c r="BC12" i="32"/>
  <c r="BC15" i="7"/>
  <c r="BC10" i="7"/>
  <c r="BC14" i="4"/>
  <c r="BC10" i="31"/>
  <c r="BC9" i="11"/>
  <c r="BC12" i="14"/>
  <c r="BC15" i="13"/>
  <c r="BD17" i="6"/>
  <c r="BC20" i="10"/>
  <c r="BC19" i="5"/>
  <c r="BC17" i="26"/>
  <c r="BC10" i="32"/>
  <c r="BC14" i="7"/>
  <c r="BC12" i="7"/>
  <c r="BC20" i="7"/>
  <c r="BC17" i="4"/>
  <c r="BC16" i="31"/>
  <c r="BC20" i="8"/>
  <c r="BC17" i="14"/>
  <c r="BC9" i="14"/>
  <c r="BC14" i="14"/>
  <c r="BC12" i="13"/>
  <c r="BC10" i="13"/>
  <c r="BD11" i="6"/>
  <c r="BC10" i="10"/>
  <c r="BC16" i="5"/>
  <c r="BC13" i="5"/>
  <c r="BC13" i="12"/>
  <c r="BC12" i="23"/>
  <c r="BC16" i="17"/>
  <c r="BC13" i="17"/>
  <c r="BC17" i="9"/>
  <c r="BC13" i="9"/>
  <c r="BC17" i="21"/>
  <c r="BC9" i="15"/>
  <c r="BC20" i="32"/>
  <c r="BC17" i="32"/>
  <c r="BC19" i="31"/>
  <c r="BC13" i="11"/>
  <c r="BC9" i="13"/>
  <c r="BC17" i="13"/>
  <c r="BC18" i="13"/>
  <c r="BD12" i="6"/>
  <c r="BC18" i="23"/>
  <c r="BC9" i="23"/>
  <c r="BC11" i="32"/>
  <c r="BC16" i="33"/>
  <c r="BC19" i="7"/>
  <c r="BC19" i="20"/>
  <c r="BC18" i="31"/>
  <c r="BC18" i="14"/>
  <c r="BC20" i="14"/>
  <c r="BC14" i="13"/>
  <c r="BC12" i="26"/>
  <c r="BC20" i="15"/>
  <c r="BC17" i="7"/>
  <c r="BC20" i="31"/>
  <c r="BC13" i="13"/>
  <c r="BC19" i="26"/>
  <c r="BC9" i="7"/>
  <c r="BC12" i="4"/>
  <c r="BC15" i="10"/>
  <c r="BC17" i="30"/>
  <c r="BC20" i="22"/>
  <c r="BC14" i="21"/>
  <c r="BD13" i="18"/>
  <c r="BD19" i="6"/>
  <c r="BC9" i="22"/>
  <c r="BC17" i="12"/>
  <c r="BC16" i="21"/>
  <c r="BC10" i="4"/>
  <c r="BC17" i="19"/>
  <c r="BC15" i="8"/>
  <c r="BD9" i="6"/>
  <c r="BC14" i="22"/>
  <c r="BC10" i="28"/>
  <c r="BC19" i="24"/>
  <c r="BC19" i="23"/>
  <c r="BC17" i="17"/>
  <c r="BC9" i="27"/>
  <c r="BC11" i="8"/>
  <c r="BC11" i="25"/>
  <c r="BC20" i="12"/>
  <c r="BC18" i="9"/>
  <c r="BD9" i="18"/>
  <c r="BC18" i="30"/>
  <c r="BC11" i="22"/>
  <c r="BC17" i="23"/>
  <c r="BD14" i="18"/>
  <c r="BC9" i="24"/>
  <c r="BC18" i="17"/>
  <c r="BD20" i="16"/>
  <c r="BC20" i="4"/>
  <c r="BD19" i="18"/>
  <c r="BC18" i="11"/>
  <c r="BC15" i="5"/>
  <c r="BC18" i="12"/>
  <c r="BD17" i="16"/>
  <c r="BD10" i="18"/>
  <c r="BC11" i="10"/>
  <c r="BC10" i="5"/>
  <c r="BC13" i="23"/>
  <c r="BC15" i="21"/>
  <c r="BC16" i="8"/>
  <c r="BD15" i="6"/>
  <c r="BC14" i="10"/>
  <c r="BC11" i="9"/>
  <c r="BD18" i="18"/>
  <c r="BC15" i="30"/>
  <c r="BC18" i="5"/>
  <c r="BC18" i="24"/>
  <c r="BC9" i="17"/>
  <c r="BC9" i="9"/>
  <c r="BD14" i="16"/>
  <c r="BC15" i="33"/>
  <c r="BC16" i="27"/>
  <c r="BC20" i="27"/>
  <c r="BC18" i="20"/>
  <c r="BC20" i="20"/>
  <c r="BD16" i="16"/>
  <c r="BD11" i="16"/>
  <c r="BC15" i="27"/>
  <c r="BC10" i="20"/>
  <c r="BC15" i="24"/>
  <c r="BC16" i="12"/>
  <c r="BC12" i="12"/>
  <c r="BC20" i="23"/>
  <c r="BC19" i="17"/>
  <c r="BC11" i="33"/>
  <c r="BC18" i="27"/>
  <c r="BC10" i="27"/>
  <c r="BC14" i="20"/>
  <c r="BC16" i="20"/>
  <c r="BD10" i="16"/>
  <c r="BC11" i="27"/>
  <c r="BC12" i="20"/>
  <c r="BD15" i="18"/>
  <c r="BC10" i="30"/>
  <c r="BC16" i="30"/>
  <c r="BC13" i="24"/>
  <c r="BC10" i="9"/>
  <c r="BC13" i="33"/>
  <c r="BC13" i="27"/>
  <c r="BD12" i="18"/>
  <c r="BC14" i="24"/>
  <c r="BC17" i="24"/>
  <c r="BC13" i="8"/>
  <c r="BC20" i="30"/>
  <c r="BC13" i="22"/>
  <c r="BC9" i="5"/>
  <c r="BC10" i="23"/>
  <c r="BC16" i="4"/>
  <c r="BC9" i="8"/>
  <c r="BD20" i="6"/>
  <c r="BC12" i="10"/>
  <c r="BD19" i="16"/>
  <c r="BC9" i="33"/>
  <c r="BC9" i="20"/>
  <c r="BC14" i="11"/>
  <c r="BC11" i="17"/>
  <c r="BC11" i="21"/>
  <c r="BC16" i="29"/>
  <c r="BC14" i="27"/>
  <c r="BD11" i="18"/>
  <c r="BC19" i="22"/>
  <c r="BC19" i="9"/>
  <c r="BC20" i="21"/>
  <c r="BD9" i="16"/>
  <c r="BD13" i="16"/>
  <c r="BC10" i="29"/>
  <c r="BC20" i="33"/>
  <c r="BC17" i="20"/>
  <c r="BC15" i="4"/>
  <c r="BC14" i="8"/>
  <c r="BD20" i="18"/>
  <c r="BC19" i="11"/>
  <c r="BC10" i="11"/>
  <c r="BC11" i="30"/>
  <c r="BD10" i="6"/>
  <c r="BC15" i="22"/>
  <c r="BC18" i="10"/>
  <c r="BC18" i="25"/>
  <c r="BC12" i="5"/>
  <c r="BC11" i="24"/>
  <c r="BC12" i="24"/>
  <c r="BC15" i="23"/>
  <c r="BC14" i="17"/>
  <c r="BC12" i="9"/>
  <c r="BD12" i="16"/>
  <c r="BD15" i="16"/>
  <c r="BC13" i="29"/>
  <c r="BC19" i="27"/>
  <c r="BC9" i="4"/>
  <c r="BC11" i="31"/>
  <c r="BC20" i="19"/>
  <c r="BC10" i="8"/>
  <c r="BD17" i="18"/>
  <c r="BC11" i="11"/>
  <c r="BC15" i="11"/>
  <c r="BC15" i="14"/>
  <c r="BC11" i="14"/>
  <c r="BC9" i="30"/>
  <c r="BD13" i="6"/>
  <c r="BC16" i="22"/>
  <c r="BC14" i="25"/>
  <c r="BC20" i="5"/>
  <c r="BC19" i="28"/>
  <c r="BC18" i="28"/>
  <c r="BC9" i="12"/>
  <c r="BC15" i="12"/>
  <c r="BC14" i="23"/>
  <c r="BC10" i="17"/>
  <c r="BC18" i="21"/>
  <c r="BC19" i="29"/>
  <c r="BC13" i="26"/>
  <c r="BC9" i="26"/>
  <c r="BC20" i="26"/>
  <c r="BC19" i="32"/>
  <c r="BC17" i="33"/>
  <c r="BC10" i="33"/>
  <c r="BC11" i="20"/>
  <c r="BC19" i="4"/>
  <c r="BC12" i="31"/>
  <c r="BC15" i="31"/>
  <c r="BD16" i="18"/>
  <c r="BC19" i="14"/>
  <c r="BC13" i="14"/>
  <c r="BC13" i="30"/>
  <c r="BC12" i="22"/>
  <c r="BC9" i="10"/>
  <c r="BC10" i="25"/>
  <c r="BC17" i="5"/>
  <c r="BC11" i="28"/>
  <c r="BC16" i="28"/>
  <c r="BC16" i="24"/>
  <c r="BC19" i="12"/>
  <c r="BC15" i="17"/>
  <c r="BC16" i="9"/>
  <c r="BC14" i="9"/>
  <c r="BC19" i="21"/>
  <c r="BC9" i="21"/>
  <c r="BC20" i="29"/>
  <c r="BC16" i="26"/>
  <c r="BC13" i="32"/>
  <c r="BC16" i="32"/>
  <c r="BC18" i="33"/>
  <c r="BC19" i="33"/>
  <c r="BC12" i="27"/>
  <c r="BC17" i="27"/>
  <c r="BC13" i="20"/>
  <c r="G29" i="25" l="1"/>
  <c r="G28" i="25"/>
  <c r="G29" i="31"/>
  <c r="G28" i="31"/>
  <c r="G23" i="14"/>
  <c r="G22" i="14"/>
  <c r="G15" i="28"/>
  <c r="G14" i="28"/>
  <c r="G15" i="21"/>
  <c r="G14" i="21"/>
  <c r="G27" i="5"/>
  <c r="G26" i="5"/>
  <c r="G29" i="28"/>
  <c r="G28" i="28"/>
  <c r="G15" i="24"/>
  <c r="G14" i="24"/>
  <c r="G15" i="17"/>
  <c r="G14" i="17"/>
  <c r="G27" i="23"/>
  <c r="G26" i="23"/>
  <c r="G33" i="22"/>
  <c r="G32" i="22"/>
  <c r="G27" i="11"/>
  <c r="G26" i="11"/>
  <c r="G23" i="28"/>
  <c r="G22" i="28"/>
  <c r="G29" i="19"/>
  <c r="G28" i="19"/>
  <c r="G31" i="34"/>
  <c r="G30" i="34"/>
  <c r="G25" i="26"/>
  <c r="G24" i="26"/>
  <c r="G13" i="25"/>
  <c r="G12" i="25"/>
  <c r="G27" i="33"/>
  <c r="G26" i="33"/>
  <c r="G31" i="28"/>
  <c r="G30" i="28"/>
  <c r="G32" i="19"/>
  <c r="G33" i="19"/>
  <c r="G17" i="5"/>
  <c r="G16" i="5"/>
  <c r="G33" i="33"/>
  <c r="G32" i="33"/>
  <c r="G21" i="11"/>
  <c r="G20" i="11"/>
  <c r="G15" i="27"/>
  <c r="G14" i="27"/>
  <c r="G29" i="24"/>
  <c r="G28" i="24"/>
  <c r="G15" i="22"/>
  <c r="G14" i="22"/>
  <c r="G21" i="22"/>
  <c r="G20" i="22"/>
  <c r="G27" i="30"/>
  <c r="G26" i="30"/>
  <c r="G29" i="14"/>
  <c r="G28" i="14"/>
  <c r="G19" i="5"/>
  <c r="G18" i="5"/>
  <c r="G33" i="7"/>
  <c r="G32" i="7"/>
  <c r="G23" i="9"/>
  <c r="G22" i="9"/>
  <c r="G17" i="11"/>
  <c r="G16" i="11"/>
  <c r="G31" i="25"/>
  <c r="G30" i="25"/>
  <c r="G21" i="28"/>
  <c r="G20" i="28"/>
  <c r="G29" i="15"/>
  <c r="G28" i="15"/>
  <c r="G19" i="34"/>
  <c r="G18" i="34"/>
  <c r="G29" i="26"/>
  <c r="G28" i="26"/>
  <c r="G22" i="27"/>
  <c r="G23" i="27"/>
  <c r="G13" i="29"/>
  <c r="G12" i="29"/>
  <c r="G29" i="34"/>
  <c r="G28" i="34"/>
  <c r="G17" i="22"/>
  <c r="G16" i="22"/>
  <c r="G33" i="26"/>
  <c r="G32" i="26"/>
  <c r="G21" i="25"/>
  <c r="G20" i="25"/>
  <c r="G29" i="10"/>
  <c r="G28" i="10"/>
  <c r="G11" i="33"/>
  <c r="G10" i="33"/>
  <c r="G21" i="24"/>
  <c r="G20" i="24"/>
  <c r="I15" i="16"/>
  <c r="I14" i="16"/>
  <c r="G23" i="30"/>
  <c r="G22" i="30"/>
  <c r="G29" i="12"/>
  <c r="G28" i="12"/>
  <c r="G23" i="8"/>
  <c r="G22" i="8"/>
  <c r="G31" i="20"/>
  <c r="G30" i="20"/>
  <c r="G27" i="32"/>
  <c r="G26" i="32"/>
  <c r="G21" i="7"/>
  <c r="G20" i="7"/>
  <c r="G23" i="7"/>
  <c r="G22" i="7"/>
  <c r="G30" i="8"/>
  <c r="G31" i="8"/>
  <c r="G15" i="12"/>
  <c r="G14" i="12"/>
  <c r="G11" i="31"/>
  <c r="G10" i="31"/>
  <c r="G28" i="8"/>
  <c r="G29" i="8"/>
  <c r="G15" i="23"/>
  <c r="G14" i="23"/>
  <c r="G16" i="29"/>
  <c r="G17" i="29"/>
  <c r="G23" i="29"/>
  <c r="G22" i="29"/>
  <c r="G14" i="15"/>
  <c r="G15" i="15"/>
  <c r="G10" i="34"/>
  <c r="G11" i="34"/>
  <c r="G21" i="30"/>
  <c r="G20" i="30"/>
  <c r="G15" i="19"/>
  <c r="G14" i="19"/>
  <c r="G19" i="30"/>
  <c r="G18" i="30"/>
  <c r="G25" i="22"/>
  <c r="G24" i="22"/>
  <c r="G23" i="22"/>
  <c r="G22" i="22"/>
  <c r="I31" i="16"/>
  <c r="I30" i="16"/>
  <c r="G21" i="20"/>
  <c r="G20" i="20"/>
  <c r="H28" i="18"/>
  <c r="H29" i="18"/>
  <c r="G28" i="9"/>
  <c r="G29" i="9"/>
  <c r="G33" i="32"/>
  <c r="G32" i="32"/>
  <c r="G13" i="32"/>
  <c r="G12" i="32"/>
  <c r="G27" i="28"/>
  <c r="G26" i="28"/>
  <c r="G11" i="25"/>
  <c r="G10" i="25"/>
  <c r="G26" i="29"/>
  <c r="G27" i="29"/>
  <c r="G13" i="22"/>
  <c r="G12" i="22"/>
  <c r="G15" i="31"/>
  <c r="G14" i="31"/>
  <c r="G30" i="31"/>
  <c r="G31" i="31"/>
  <c r="G15" i="34"/>
  <c r="G14" i="34"/>
  <c r="G31" i="21"/>
  <c r="G30" i="21"/>
  <c r="G11" i="26"/>
  <c r="G10" i="26"/>
  <c r="G31" i="27"/>
  <c r="G30" i="27"/>
  <c r="H17" i="18"/>
  <c r="H16" i="18"/>
  <c r="G22" i="5"/>
  <c r="G23" i="5"/>
  <c r="G31" i="7"/>
  <c r="G30" i="7"/>
  <c r="H14" i="6"/>
  <c r="H15" i="6"/>
  <c r="G16" i="32"/>
  <c r="G17" i="32"/>
  <c r="G33" i="24"/>
  <c r="G32" i="24"/>
  <c r="G33" i="28"/>
  <c r="G32" i="28"/>
  <c r="G23" i="34"/>
  <c r="G22" i="34"/>
  <c r="G19" i="14"/>
  <c r="G18" i="14"/>
  <c r="G19" i="26"/>
  <c r="G18" i="26"/>
  <c r="H19" i="6"/>
  <c r="H18" i="6"/>
  <c r="G19" i="29"/>
  <c r="G18" i="29"/>
  <c r="G19" i="27"/>
  <c r="G18" i="27"/>
  <c r="G12" i="27"/>
  <c r="G13" i="27"/>
  <c r="G33" i="20"/>
  <c r="G32" i="20"/>
  <c r="G15" i="9"/>
  <c r="G14" i="9"/>
  <c r="G29" i="11"/>
  <c r="G28" i="11"/>
  <c r="G31" i="26"/>
  <c r="G30" i="26"/>
  <c r="G25" i="33"/>
  <c r="G24" i="33"/>
  <c r="G27" i="26"/>
  <c r="G26" i="26"/>
  <c r="G33" i="9"/>
  <c r="G32" i="9"/>
  <c r="G23" i="20"/>
  <c r="G22" i="20"/>
  <c r="G13" i="24"/>
  <c r="G12" i="24"/>
  <c r="G14" i="7"/>
  <c r="G15" i="7"/>
  <c r="G19" i="25"/>
  <c r="G18" i="25"/>
  <c r="G19" i="28"/>
  <c r="G18" i="28"/>
  <c r="G17" i="19"/>
  <c r="G16" i="19"/>
  <c r="G20" i="34"/>
  <c r="G21" i="34"/>
  <c r="G27" i="25"/>
  <c r="G26" i="25"/>
  <c r="G17" i="30"/>
  <c r="G16" i="30"/>
  <c r="G11" i="10"/>
  <c r="G10" i="10"/>
  <c r="G32" i="25"/>
  <c r="G33" i="25"/>
  <c r="G31" i="14"/>
  <c r="G30" i="14"/>
  <c r="G31" i="29"/>
  <c r="G30" i="29"/>
  <c r="G30" i="9"/>
  <c r="G31" i="9"/>
  <c r="G19" i="33"/>
  <c r="G18" i="33"/>
  <c r="G28" i="20"/>
  <c r="G29" i="20"/>
  <c r="H31" i="18"/>
  <c r="H30" i="18"/>
  <c r="G15" i="32"/>
  <c r="G14" i="32"/>
  <c r="G16" i="13"/>
  <c r="G17" i="13"/>
  <c r="G31" i="5"/>
  <c r="G30" i="5"/>
  <c r="G29" i="7"/>
  <c r="G28" i="7"/>
  <c r="G29" i="32"/>
  <c r="G28" i="32"/>
  <c r="G31" i="13"/>
  <c r="G30" i="13"/>
  <c r="G27" i="22"/>
  <c r="G26" i="22"/>
  <c r="G23" i="25"/>
  <c r="G22" i="25"/>
  <c r="G27" i="31"/>
  <c r="G26" i="31"/>
  <c r="G33" i="29"/>
  <c r="G32" i="29"/>
  <c r="G29" i="5"/>
  <c r="G28" i="5"/>
  <c r="G11" i="30"/>
  <c r="G10" i="30"/>
  <c r="G15" i="30"/>
  <c r="G14" i="30"/>
  <c r="G29" i="27"/>
  <c r="G28" i="27"/>
  <c r="G21" i="10"/>
  <c r="G20" i="10"/>
  <c r="G15" i="25"/>
  <c r="G14" i="25"/>
  <c r="G19" i="13"/>
  <c r="G18" i="13"/>
  <c r="G27" i="21"/>
  <c r="G26" i="21"/>
  <c r="G27" i="27"/>
  <c r="G26" i="27"/>
  <c r="G29" i="21"/>
  <c r="G28" i="21"/>
  <c r="G15" i="14"/>
  <c r="G14" i="14"/>
  <c r="I17" i="16"/>
  <c r="I16" i="16"/>
  <c r="G30" i="22"/>
  <c r="G31" i="22"/>
  <c r="G15" i="33"/>
  <c r="G14" i="33"/>
  <c r="G32" i="27"/>
  <c r="G33" i="27"/>
  <c r="G15" i="8"/>
  <c r="G14" i="8"/>
  <c r="G27" i="12"/>
  <c r="G26" i="12"/>
  <c r="G33" i="31"/>
  <c r="G32" i="31"/>
  <c r="G11" i="23"/>
  <c r="G10" i="23"/>
  <c r="G21" i="14"/>
  <c r="G20" i="14"/>
  <c r="G33" i="10"/>
  <c r="G32" i="10"/>
  <c r="G20" i="12"/>
  <c r="G18" i="7"/>
  <c r="G19" i="7"/>
  <c r="G11" i="32"/>
  <c r="G10" i="32"/>
  <c r="G21" i="33"/>
  <c r="G20" i="33"/>
  <c r="G30" i="30"/>
  <c r="G31" i="30"/>
  <c r="G17" i="25"/>
  <c r="G16" i="25"/>
  <c r="G28" i="29"/>
  <c r="G29" i="29"/>
  <c r="G27" i="34"/>
  <c r="G26" i="34"/>
  <c r="G33" i="5"/>
  <c r="G32" i="5"/>
  <c r="G29" i="30"/>
  <c r="G28" i="30"/>
  <c r="G16" i="8"/>
  <c r="G17" i="8"/>
  <c r="G31" i="12"/>
  <c r="G30" i="12"/>
  <c r="G30" i="11"/>
  <c r="G18" i="24"/>
  <c r="G19" i="24"/>
  <c r="G27" i="7"/>
  <c r="G26" i="7"/>
  <c r="G21" i="5"/>
  <c r="G20" i="5"/>
  <c r="G23" i="32"/>
  <c r="G22" i="32"/>
  <c r="G17" i="33"/>
  <c r="G16" i="33"/>
  <c r="G31" i="19"/>
  <c r="G30" i="19"/>
  <c r="G29" i="22"/>
  <c r="G28" i="22"/>
  <c r="G11" i="28"/>
  <c r="G10" i="28"/>
  <c r="G13" i="26"/>
  <c r="G12" i="26"/>
  <c r="G25" i="34"/>
  <c r="G24" i="34"/>
  <c r="G33" i="17"/>
  <c r="G32" i="17"/>
  <c r="G19" i="20"/>
  <c r="G18" i="20"/>
  <c r="G17" i="9"/>
  <c r="G16" i="9"/>
  <c r="G25" i="27"/>
  <c r="G24" i="27"/>
  <c r="G11" i="27"/>
  <c r="G10" i="27"/>
  <c r="G29" i="23"/>
  <c r="G28" i="23"/>
  <c r="G30" i="33"/>
  <c r="G31" i="33"/>
  <c r="G17" i="31"/>
  <c r="G16" i="31"/>
  <c r="G23" i="11"/>
  <c r="G22" i="11"/>
  <c r="G21" i="27"/>
  <c r="G20" i="27"/>
  <c r="G33" i="23"/>
  <c r="G32" i="23"/>
  <c r="G23" i="21"/>
  <c r="G22" i="21"/>
  <c r="H31" i="6"/>
  <c r="H30" i="6"/>
  <c r="G23" i="13"/>
  <c r="G22" i="13"/>
  <c r="G23" i="15"/>
  <c r="G22" i="15"/>
  <c r="G21" i="15"/>
  <c r="G20" i="15"/>
  <c r="G19" i="31"/>
  <c r="G18" i="31"/>
  <c r="G26" i="24"/>
  <c r="G27" i="24"/>
  <c r="G17" i="27"/>
  <c r="G16" i="27"/>
  <c r="H15" i="18"/>
  <c r="H14" i="18"/>
  <c r="G31" i="17"/>
  <c r="G30" i="17"/>
  <c r="G11" i="22"/>
  <c r="G10" i="22"/>
  <c r="G21" i="32"/>
  <c r="G20" i="32"/>
  <c r="G25" i="24"/>
  <c r="G24" i="24"/>
  <c r="G21" i="23"/>
  <c r="G20" i="23"/>
  <c r="H33" i="18"/>
  <c r="H32" i="18"/>
  <c r="G13" i="23"/>
  <c r="G12" i="23"/>
  <c r="G25" i="30"/>
  <c r="G24" i="30"/>
  <c r="G23" i="33"/>
  <c r="G22" i="33"/>
  <c r="H17" i="6"/>
  <c r="H16" i="6"/>
  <c r="G27" i="14"/>
  <c r="G26" i="14"/>
  <c r="G27" i="10"/>
  <c r="G26" i="10"/>
  <c r="H21" i="6"/>
  <c r="H20" i="6"/>
  <c r="G18" i="15"/>
  <c r="G21" i="19"/>
  <c r="G20" i="19"/>
  <c r="G17" i="28"/>
  <c r="G16" i="28"/>
  <c r="G13" i="34"/>
  <c r="G12" i="34"/>
  <c r="G28" i="33"/>
  <c r="G29" i="33"/>
  <c r="G25" i="28"/>
  <c r="G24" i="28"/>
  <c r="G23" i="12"/>
  <c r="G22" i="12"/>
  <c r="G15" i="11"/>
  <c r="G14" i="11"/>
  <c r="G23" i="23"/>
  <c r="G22" i="23"/>
  <c r="G20" i="8"/>
  <c r="G21" i="8"/>
  <c r="G25" i="29"/>
  <c r="G24" i="29"/>
  <c r="G11" i="5"/>
  <c r="G10" i="5"/>
  <c r="G13" i="30"/>
  <c r="G12" i="30"/>
  <c r="I21" i="16"/>
  <c r="I20" i="16"/>
  <c r="G19" i="23"/>
  <c r="G18" i="23"/>
  <c r="G11" i="24"/>
  <c r="G10" i="24"/>
  <c r="G31" i="23"/>
  <c r="G30" i="23"/>
  <c r="H18" i="18"/>
  <c r="H19" i="18"/>
  <c r="G17" i="26"/>
  <c r="G16" i="26"/>
  <c r="G29" i="13"/>
  <c r="G28" i="13"/>
  <c r="G17" i="14"/>
  <c r="G16" i="14"/>
  <c r="G31" i="10"/>
  <c r="G30" i="10"/>
  <c r="G15" i="13"/>
  <c r="G14" i="13"/>
  <c r="G15" i="26"/>
  <c r="G14" i="26"/>
  <c r="G21" i="31"/>
  <c r="G20" i="31"/>
  <c r="G25" i="25"/>
  <c r="G24" i="25"/>
  <c r="G23" i="19"/>
  <c r="G22" i="19"/>
  <c r="G17" i="15"/>
  <c r="G16" i="15"/>
  <c r="G31" i="32"/>
  <c r="G30" i="32"/>
  <c r="G22" i="10"/>
  <c r="G23" i="10"/>
  <c r="G25" i="23"/>
  <c r="G24" i="23"/>
  <c r="G17" i="24"/>
  <c r="G16" i="24"/>
  <c r="G19" i="22"/>
  <c r="G18" i="22"/>
  <c r="G10" i="9"/>
  <c r="G11" i="9"/>
  <c r="G31" i="24"/>
  <c r="G30" i="24"/>
  <c r="G20" i="21"/>
  <c r="G21" i="21"/>
  <c r="G21" i="13"/>
  <c r="G20" i="13"/>
  <c r="G26" i="13"/>
  <c r="G27" i="13"/>
  <c r="G17" i="23"/>
  <c r="G16" i="23"/>
  <c r="G25" i="31"/>
  <c r="G24" i="31"/>
  <c r="G21" i="26"/>
  <c r="G20" i="26"/>
  <c r="G23" i="26"/>
  <c r="G22" i="26"/>
  <c r="G15" i="29"/>
  <c r="G14" i="29"/>
  <c r="G11" i="29"/>
  <c r="G10" i="29"/>
  <c r="G19" i="19"/>
  <c r="G18" i="19"/>
  <c r="G32" i="34"/>
  <c r="G33" i="34"/>
  <c r="G16" i="7"/>
  <c r="G17" i="7"/>
  <c r="G23" i="31"/>
  <c r="G22" i="31"/>
  <c r="G24" i="32"/>
  <c r="G25" i="32"/>
  <c r="G15" i="20"/>
  <c r="G14" i="20"/>
  <c r="H23" i="18"/>
  <c r="H22" i="18"/>
  <c r="G19" i="32"/>
  <c r="G18" i="32"/>
  <c r="G13" i="33"/>
  <c r="G12" i="33"/>
  <c r="G27" i="20"/>
  <c r="G26" i="20"/>
  <c r="G33" i="30"/>
  <c r="G32" i="30"/>
  <c r="G23" i="24"/>
  <c r="G22" i="24"/>
  <c r="G15" i="10"/>
  <c r="G14" i="10"/>
  <c r="G13" i="28"/>
  <c r="G12" i="28"/>
  <c r="G13" i="31"/>
  <c r="G12" i="31"/>
  <c r="G19" i="21"/>
  <c r="G18" i="21"/>
  <c r="H29" i="6"/>
  <c r="H28" i="6"/>
  <c r="G20" i="29"/>
  <c r="G21" i="29"/>
  <c r="G17" i="34"/>
  <c r="G16" i="34"/>
  <c r="AU17" i="34"/>
  <c r="AU14" i="34"/>
  <c r="AU29" i="34"/>
  <c r="AU20" i="7"/>
  <c r="AU32" i="7"/>
  <c r="AU10" i="7"/>
  <c r="AU22" i="7"/>
  <c r="AU34" i="7"/>
  <c r="AU11" i="7"/>
  <c r="AU23" i="7"/>
  <c r="AU35" i="7"/>
  <c r="AU12" i="7"/>
  <c r="AU24" i="7"/>
  <c r="AU36" i="7"/>
  <c r="AU14" i="7"/>
  <c r="AU26" i="7"/>
  <c r="AU15" i="7"/>
  <c r="AU27" i="7"/>
  <c r="AU16" i="7"/>
  <c r="AU28" i="7"/>
  <c r="AU17" i="7"/>
  <c r="AU29" i="7"/>
  <c r="AU25" i="7"/>
  <c r="AU30" i="7"/>
  <c r="AU31" i="7"/>
  <c r="AU33" i="7"/>
  <c r="AU13" i="7"/>
  <c r="AU18" i="7"/>
  <c r="AU19" i="7"/>
  <c r="AU9" i="7"/>
  <c r="AU21" i="7"/>
  <c r="AT18" i="33"/>
  <c r="AT30" i="33"/>
  <c r="AT19" i="33"/>
  <c r="AT31" i="33"/>
  <c r="AT33" i="33"/>
  <c r="AT11" i="33"/>
  <c r="AT20" i="33"/>
  <c r="AT32" i="33"/>
  <c r="AT21" i="33"/>
  <c r="AT36" i="33"/>
  <c r="AT23" i="33"/>
  <c r="AT9" i="33"/>
  <c r="AT10" i="33"/>
  <c r="AT22" i="33"/>
  <c r="AT34" i="33"/>
  <c r="AT35" i="33"/>
  <c r="AT12" i="33"/>
  <c r="AT24" i="33"/>
  <c r="AT13" i="33"/>
  <c r="AT25" i="33"/>
  <c r="AT14" i="33"/>
  <c r="AT26" i="33"/>
  <c r="AT15" i="33"/>
  <c r="AT27" i="33"/>
  <c r="AT16" i="33"/>
  <c r="AT28" i="33"/>
  <c r="AT17" i="33"/>
  <c r="AT29" i="33"/>
  <c r="AU14" i="5"/>
  <c r="AU26" i="5"/>
  <c r="AU16" i="5"/>
  <c r="AU28" i="5"/>
  <c r="AU17" i="5"/>
  <c r="AU29" i="5"/>
  <c r="AU18" i="5"/>
  <c r="AU30" i="5"/>
  <c r="AU20" i="5"/>
  <c r="AU32" i="5"/>
  <c r="AU21" i="5"/>
  <c r="AU33" i="5"/>
  <c r="AU10" i="5"/>
  <c r="AU22" i="5"/>
  <c r="AU34" i="5"/>
  <c r="AU11" i="5"/>
  <c r="AU23" i="5"/>
  <c r="AU35" i="5"/>
  <c r="AU12" i="5"/>
  <c r="AU13" i="5"/>
  <c r="AU15" i="5"/>
  <c r="AU19" i="5"/>
  <c r="AU24" i="5"/>
  <c r="AU25" i="5"/>
  <c r="AU27" i="5"/>
  <c r="AU31" i="5"/>
  <c r="AU9" i="5"/>
  <c r="AU36" i="5"/>
  <c r="AT17" i="10"/>
  <c r="AT29" i="10"/>
  <c r="AT11" i="10"/>
  <c r="AT23" i="10"/>
  <c r="AT35" i="10"/>
  <c r="AT12" i="10"/>
  <c r="AT24" i="10"/>
  <c r="AT36" i="10"/>
  <c r="AT13" i="10"/>
  <c r="AT25" i="10"/>
  <c r="AT14" i="10"/>
  <c r="AT26" i="10"/>
  <c r="AT16" i="10"/>
  <c r="AT34" i="10"/>
  <c r="AT18" i="10"/>
  <c r="AT19" i="10"/>
  <c r="AT20" i="10"/>
  <c r="AT9" i="10"/>
  <c r="AT21" i="10"/>
  <c r="AT22" i="10"/>
  <c r="AT27" i="10"/>
  <c r="AT28" i="10"/>
  <c r="AT30" i="10"/>
  <c r="AT31" i="10"/>
  <c r="AT10" i="10"/>
  <c r="AT32" i="10"/>
  <c r="AT15" i="10"/>
  <c r="AT33" i="10"/>
  <c r="AT17" i="14"/>
  <c r="AT29" i="14"/>
  <c r="AT11" i="14"/>
  <c r="AT23" i="14"/>
  <c r="AT35" i="14"/>
  <c r="AT12" i="14"/>
  <c r="AT24" i="14"/>
  <c r="AT36" i="14"/>
  <c r="AT13" i="14"/>
  <c r="AT25" i="14"/>
  <c r="AT14" i="14"/>
  <c r="AT26" i="14"/>
  <c r="AT31" i="14"/>
  <c r="AT10" i="14"/>
  <c r="AT32" i="14"/>
  <c r="AT15" i="14"/>
  <c r="AT33" i="14"/>
  <c r="AT16" i="14"/>
  <c r="AT34" i="14"/>
  <c r="AT18" i="14"/>
  <c r="AT19" i="14"/>
  <c r="AT20" i="14"/>
  <c r="AT21" i="14"/>
  <c r="AT22" i="14"/>
  <c r="AT27" i="14"/>
  <c r="AT28" i="14"/>
  <c r="AT9" i="14"/>
  <c r="AT30" i="14"/>
  <c r="AT14" i="15"/>
  <c r="AT26" i="15"/>
  <c r="AT20" i="15"/>
  <c r="AT32" i="15"/>
  <c r="AT21" i="15"/>
  <c r="AT33" i="15"/>
  <c r="AT10" i="15"/>
  <c r="AT22" i="15"/>
  <c r="AT34" i="15"/>
  <c r="AT11" i="15"/>
  <c r="AT23" i="15"/>
  <c r="AT35" i="15"/>
  <c r="AT25" i="15"/>
  <c r="AT27" i="15"/>
  <c r="AT28" i="15"/>
  <c r="AT29" i="15"/>
  <c r="AT12" i="15"/>
  <c r="AT30" i="15"/>
  <c r="AT13" i="15"/>
  <c r="AT31" i="15"/>
  <c r="AT15" i="15"/>
  <c r="AT36" i="15"/>
  <c r="AT16" i="15"/>
  <c r="AT17" i="15"/>
  <c r="AT9" i="15"/>
  <c r="AT18" i="15"/>
  <c r="AT19" i="15"/>
  <c r="AT24" i="15"/>
  <c r="AT20" i="9"/>
  <c r="AT32" i="9"/>
  <c r="AT14" i="9"/>
  <c r="AT26" i="9"/>
  <c r="AT15" i="9"/>
  <c r="AT27" i="9"/>
  <c r="AT16" i="9"/>
  <c r="AT28" i="9"/>
  <c r="AT17" i="9"/>
  <c r="AT29" i="9"/>
  <c r="AT22" i="9"/>
  <c r="AT23" i="9"/>
  <c r="AT24" i="9"/>
  <c r="AT25" i="9"/>
  <c r="AT30" i="9"/>
  <c r="AT10" i="9"/>
  <c r="AT31" i="9"/>
  <c r="AT9" i="9"/>
  <c r="AT11" i="9"/>
  <c r="AT33" i="9"/>
  <c r="AT12" i="9"/>
  <c r="AT34" i="9"/>
  <c r="AT13" i="9"/>
  <c r="AT35" i="9"/>
  <c r="AT18" i="9"/>
  <c r="AT36" i="9"/>
  <c r="AT19" i="9"/>
  <c r="AT21" i="9"/>
  <c r="AU20" i="19"/>
  <c r="AU32" i="19"/>
  <c r="AU11" i="19"/>
  <c r="AU23" i="19"/>
  <c r="AU35" i="19"/>
  <c r="AU14" i="19"/>
  <c r="AU26" i="19"/>
  <c r="AU15" i="19"/>
  <c r="AU27" i="19"/>
  <c r="AU17" i="19"/>
  <c r="AU29" i="19"/>
  <c r="AU24" i="19"/>
  <c r="AU25" i="19"/>
  <c r="AU28" i="19"/>
  <c r="AU30" i="19"/>
  <c r="AU10" i="19"/>
  <c r="AU31" i="19"/>
  <c r="AU12" i="19"/>
  <c r="AU33" i="19"/>
  <c r="AU13" i="19"/>
  <c r="AU34" i="19"/>
  <c r="AU16" i="19"/>
  <c r="AU36" i="19"/>
  <c r="AU18" i="19"/>
  <c r="AU19" i="19"/>
  <c r="AU21" i="19"/>
  <c r="AU9" i="19"/>
  <c r="AU22" i="19"/>
  <c r="AT17" i="22"/>
  <c r="AT11" i="22"/>
  <c r="AT14" i="22"/>
  <c r="AT27" i="22"/>
  <c r="AT15" i="22"/>
  <c r="AT28" i="22"/>
  <c r="AT30" i="22"/>
  <c r="AT16" i="22"/>
  <c r="AT29" i="22"/>
  <c r="AT18" i="22"/>
  <c r="AT19" i="22"/>
  <c r="AT31" i="22"/>
  <c r="AT9" i="22"/>
  <c r="AT20" i="22"/>
  <c r="AT32" i="22"/>
  <c r="AT21" i="22"/>
  <c r="AT33" i="22"/>
  <c r="AT22" i="22"/>
  <c r="AT34" i="22"/>
  <c r="AT23" i="22"/>
  <c r="AT35" i="22"/>
  <c r="AT10" i="22"/>
  <c r="AT24" i="22"/>
  <c r="AT36" i="22"/>
  <c r="AT12" i="22"/>
  <c r="AT25" i="22"/>
  <c r="AT13" i="22"/>
  <c r="AT26" i="22"/>
  <c r="AU11" i="33"/>
  <c r="AU23" i="33"/>
  <c r="AU12" i="33"/>
  <c r="AU24" i="33"/>
  <c r="AU36" i="33"/>
  <c r="AU17" i="33"/>
  <c r="AU18" i="33"/>
  <c r="AU30" i="33"/>
  <c r="AU19" i="33"/>
  <c r="AU31" i="33"/>
  <c r="AU20" i="33"/>
  <c r="AU32" i="33"/>
  <c r="AU21" i="33"/>
  <c r="AU33" i="33"/>
  <c r="AU13" i="33"/>
  <c r="AU9" i="33"/>
  <c r="AU14" i="33"/>
  <c r="AU15" i="33"/>
  <c r="AU16" i="33"/>
  <c r="AU22" i="33"/>
  <c r="AU25" i="33"/>
  <c r="AU26" i="33"/>
  <c r="AU27" i="33"/>
  <c r="AU28" i="33"/>
  <c r="AU29" i="33"/>
  <c r="AU34" i="33"/>
  <c r="AU10" i="33"/>
  <c r="AU35" i="33"/>
  <c r="AU35" i="34"/>
  <c r="AU28" i="34"/>
  <c r="AU17" i="20"/>
  <c r="AU29" i="20"/>
  <c r="AU20" i="20"/>
  <c r="AU32" i="20"/>
  <c r="AU11" i="20"/>
  <c r="AU23" i="20"/>
  <c r="AU35" i="20"/>
  <c r="AU12" i="20"/>
  <c r="AU24" i="20"/>
  <c r="AU36" i="20"/>
  <c r="AU14" i="20"/>
  <c r="AU26" i="20"/>
  <c r="AU18" i="20"/>
  <c r="AU19" i="20"/>
  <c r="AU21" i="20"/>
  <c r="AU22" i="20"/>
  <c r="AU25" i="20"/>
  <c r="AU27" i="20"/>
  <c r="AU28" i="20"/>
  <c r="AU30" i="20"/>
  <c r="AU10" i="20"/>
  <c r="AU31" i="20"/>
  <c r="AU13" i="20"/>
  <c r="AU33" i="20"/>
  <c r="AU15" i="20"/>
  <c r="AU34" i="20"/>
  <c r="AU9" i="20"/>
  <c r="AU16" i="20"/>
  <c r="AT20" i="21"/>
  <c r="AT32" i="21"/>
  <c r="AT14" i="21"/>
  <c r="AT26" i="21"/>
  <c r="AT12" i="21"/>
  <c r="AT27" i="21"/>
  <c r="AT13" i="21"/>
  <c r="AT28" i="21"/>
  <c r="AT30" i="21"/>
  <c r="AT9" i="21"/>
  <c r="AT15" i="21"/>
  <c r="AT29" i="21"/>
  <c r="AT16" i="21"/>
  <c r="AT17" i="21"/>
  <c r="AT31" i="21"/>
  <c r="AT18" i="21"/>
  <c r="AT33" i="21"/>
  <c r="AT19" i="21"/>
  <c r="AT34" i="21"/>
  <c r="AT21" i="21"/>
  <c r="AT35" i="21"/>
  <c r="AT22" i="21"/>
  <c r="AT36" i="21"/>
  <c r="AT23" i="21"/>
  <c r="AT10" i="21"/>
  <c r="AT24" i="21"/>
  <c r="AT11" i="21"/>
  <c r="AT25" i="21"/>
  <c r="AU20" i="23"/>
  <c r="AU32" i="23"/>
  <c r="AU11" i="23"/>
  <c r="AU14" i="23"/>
  <c r="AU26" i="23"/>
  <c r="AU15" i="23"/>
  <c r="AU27" i="23"/>
  <c r="AU18" i="23"/>
  <c r="AU34" i="23"/>
  <c r="AU19" i="23"/>
  <c r="AU35" i="23"/>
  <c r="AU21" i="23"/>
  <c r="AU22" i="23"/>
  <c r="AU23" i="23"/>
  <c r="AU24" i="23"/>
  <c r="AU25" i="23"/>
  <c r="AU10" i="23"/>
  <c r="AU28" i="23"/>
  <c r="AU12" i="23"/>
  <c r="AU29" i="23"/>
  <c r="AU13" i="23"/>
  <c r="AU30" i="23"/>
  <c r="AU16" i="23"/>
  <c r="AU31" i="23"/>
  <c r="AU17" i="23"/>
  <c r="AU33" i="23"/>
  <c r="AU36" i="23"/>
  <c r="AU9" i="23"/>
  <c r="AU11" i="16"/>
  <c r="AU23" i="16"/>
  <c r="AU35" i="16"/>
  <c r="AU17" i="16"/>
  <c r="AU29" i="16"/>
  <c r="AU18" i="16"/>
  <c r="AU30" i="16"/>
  <c r="AU19" i="16"/>
  <c r="AU31" i="16"/>
  <c r="AU20" i="16"/>
  <c r="AU32" i="16"/>
  <c r="AU16" i="16"/>
  <c r="AU9" i="16"/>
  <c r="AU21" i="16"/>
  <c r="AU22" i="16"/>
  <c r="AU24" i="16"/>
  <c r="AU25" i="16"/>
  <c r="AU26" i="16"/>
  <c r="AU27" i="16"/>
  <c r="AU10" i="16"/>
  <c r="AU28" i="16"/>
  <c r="AU12" i="16"/>
  <c r="AU33" i="16"/>
  <c r="AU13" i="16"/>
  <c r="AU34" i="16"/>
  <c r="AU14" i="16"/>
  <c r="AU36" i="16"/>
  <c r="AU15" i="16"/>
  <c r="AU11" i="14"/>
  <c r="AU23" i="14"/>
  <c r="AU35" i="14"/>
  <c r="AU14" i="14"/>
  <c r="AU26" i="14"/>
  <c r="AU17" i="14"/>
  <c r="AU29" i="14"/>
  <c r="AU18" i="14"/>
  <c r="AU30" i="14"/>
  <c r="AU20" i="14"/>
  <c r="AU32" i="14"/>
  <c r="AU15" i="14"/>
  <c r="AU36" i="14"/>
  <c r="AU16" i="14"/>
  <c r="AU19" i="14"/>
  <c r="AU21" i="14"/>
  <c r="AU22" i="14"/>
  <c r="AU24" i="14"/>
  <c r="AU25" i="14"/>
  <c r="AU27" i="14"/>
  <c r="AU28" i="14"/>
  <c r="AU10" i="14"/>
  <c r="AU31" i="14"/>
  <c r="AU12" i="14"/>
  <c r="AU33" i="14"/>
  <c r="AU13" i="14"/>
  <c r="AU34" i="14"/>
  <c r="AU9" i="14"/>
  <c r="AT27" i="34"/>
  <c r="AT16" i="34"/>
  <c r="AT28" i="34"/>
  <c r="AT30" i="34"/>
  <c r="AT20" i="34"/>
  <c r="AT17" i="34"/>
  <c r="AT29" i="34"/>
  <c r="AT18" i="34"/>
  <c r="AT9" i="34"/>
  <c r="AT32" i="34"/>
  <c r="AT33" i="34"/>
  <c r="AT19" i="34"/>
  <c r="AT31" i="34"/>
  <c r="AT21" i="34"/>
  <c r="AT10" i="34"/>
  <c r="AT22" i="34"/>
  <c r="AT34" i="34"/>
  <c r="AT26" i="34"/>
  <c r="AT11" i="34"/>
  <c r="AT23" i="34"/>
  <c r="AT35" i="34"/>
  <c r="AT14" i="34"/>
  <c r="AT12" i="34"/>
  <c r="AT24" i="34"/>
  <c r="AT36" i="34"/>
  <c r="AT13" i="34"/>
  <c r="AT25" i="34"/>
  <c r="AT15" i="34"/>
  <c r="AU13" i="34"/>
  <c r="AU16" i="34"/>
  <c r="AT20" i="5"/>
  <c r="AT32" i="5"/>
  <c r="AT14" i="5"/>
  <c r="AT26" i="5"/>
  <c r="AT15" i="5"/>
  <c r="AT27" i="5"/>
  <c r="AT16" i="5"/>
  <c r="AT28" i="5"/>
  <c r="AT17" i="5"/>
  <c r="AT29" i="5"/>
  <c r="AT25" i="5"/>
  <c r="AT30" i="5"/>
  <c r="AT9" i="5"/>
  <c r="AT10" i="5"/>
  <c r="AT31" i="5"/>
  <c r="AT11" i="5"/>
  <c r="AT33" i="5"/>
  <c r="AT12" i="5"/>
  <c r="AT34" i="5"/>
  <c r="AT13" i="5"/>
  <c r="AT35" i="5"/>
  <c r="AT18" i="5"/>
  <c r="AT36" i="5"/>
  <c r="AT19" i="5"/>
  <c r="AT21" i="5"/>
  <c r="AT22" i="5"/>
  <c r="AT23" i="5"/>
  <c r="AT24" i="5"/>
  <c r="AU17" i="6"/>
  <c r="AU29" i="6"/>
  <c r="AU11" i="6"/>
  <c r="AU23" i="6"/>
  <c r="AU35" i="6"/>
  <c r="AU12" i="6"/>
  <c r="AU24" i="6"/>
  <c r="AU36" i="6"/>
  <c r="AU13" i="6"/>
  <c r="AU25" i="6"/>
  <c r="AU14" i="6"/>
  <c r="AU26" i="6"/>
  <c r="AU20" i="6"/>
  <c r="AU21" i="6"/>
  <c r="AU22" i="6"/>
  <c r="AU9" i="6"/>
  <c r="AU27" i="6"/>
  <c r="AU28" i="6"/>
  <c r="AU30" i="6"/>
  <c r="AU31" i="6"/>
  <c r="AU10" i="6"/>
  <c r="AU32" i="6"/>
  <c r="AU15" i="6"/>
  <c r="AU33" i="6"/>
  <c r="AU16" i="6"/>
  <c r="AU34" i="6"/>
  <c r="AU18" i="6"/>
  <c r="AU19" i="6"/>
  <c r="AT20" i="13"/>
  <c r="AT32" i="13"/>
  <c r="AT14" i="13"/>
  <c r="AT26" i="13"/>
  <c r="AT15" i="13"/>
  <c r="AT27" i="13"/>
  <c r="AT16" i="13"/>
  <c r="AT28" i="13"/>
  <c r="AT17" i="13"/>
  <c r="AT29" i="13"/>
  <c r="AT18" i="13"/>
  <c r="AT36" i="13"/>
  <c r="AT19" i="13"/>
  <c r="AT21" i="13"/>
  <c r="AT22" i="13"/>
  <c r="AT23" i="13"/>
  <c r="AT24" i="13"/>
  <c r="AT25" i="13"/>
  <c r="AT30" i="13"/>
  <c r="AT10" i="13"/>
  <c r="AT31" i="13"/>
  <c r="AT11" i="13"/>
  <c r="AT33" i="13"/>
  <c r="AT9" i="13"/>
  <c r="AT12" i="13"/>
  <c r="AT34" i="13"/>
  <c r="AT13" i="13"/>
  <c r="AT35" i="13"/>
  <c r="AU14" i="13"/>
  <c r="AU26" i="13"/>
  <c r="AU17" i="13"/>
  <c r="AU29" i="13"/>
  <c r="AU20" i="13"/>
  <c r="AU32" i="13"/>
  <c r="AU21" i="13"/>
  <c r="AU33" i="13"/>
  <c r="AU11" i="13"/>
  <c r="AU23" i="13"/>
  <c r="AU35" i="13"/>
  <c r="AU22" i="13"/>
  <c r="AU24" i="13"/>
  <c r="AU25" i="13"/>
  <c r="AU27" i="13"/>
  <c r="AU28" i="13"/>
  <c r="AU10" i="13"/>
  <c r="AU30" i="13"/>
  <c r="AU12" i="13"/>
  <c r="AU31" i="13"/>
  <c r="AU13" i="13"/>
  <c r="AU34" i="13"/>
  <c r="AU15" i="13"/>
  <c r="AU36" i="13"/>
  <c r="AU16" i="13"/>
  <c r="AU18" i="13"/>
  <c r="AU9" i="13"/>
  <c r="AU19" i="13"/>
  <c r="AT14" i="11"/>
  <c r="AT26" i="11"/>
  <c r="AT20" i="11"/>
  <c r="AT32" i="11"/>
  <c r="AT21" i="11"/>
  <c r="AT33" i="11"/>
  <c r="AT10" i="11"/>
  <c r="AT22" i="11"/>
  <c r="AT34" i="11"/>
  <c r="AT11" i="11"/>
  <c r="AT23" i="11"/>
  <c r="AT35" i="11"/>
  <c r="AT29" i="11"/>
  <c r="AT12" i="11"/>
  <c r="AT30" i="11"/>
  <c r="AT36" i="11"/>
  <c r="AT13" i="11"/>
  <c r="AT31" i="11"/>
  <c r="AT15" i="11"/>
  <c r="AT16" i="11"/>
  <c r="AT17" i="11"/>
  <c r="AT18" i="11"/>
  <c r="AT19" i="11"/>
  <c r="AT9" i="11"/>
  <c r="AT24" i="11"/>
  <c r="AT25" i="11"/>
  <c r="AT27" i="11"/>
  <c r="AT28" i="11"/>
  <c r="AU34" i="34"/>
  <c r="AU27" i="34"/>
  <c r="AT13" i="4"/>
  <c r="AT25" i="4"/>
  <c r="AT14" i="4"/>
  <c r="AT26" i="4"/>
  <c r="AT27" i="4"/>
  <c r="AT17" i="4"/>
  <c r="AT15" i="4"/>
  <c r="AT16" i="4"/>
  <c r="AT28" i="4"/>
  <c r="AT29" i="4"/>
  <c r="AT30" i="4"/>
  <c r="AT18" i="4"/>
  <c r="AT19" i="4"/>
  <c r="AT31" i="4"/>
  <c r="AT9" i="4"/>
  <c r="AT36" i="4"/>
  <c r="AT20" i="4"/>
  <c r="AT32" i="4"/>
  <c r="AT24" i="4"/>
  <c r="AT21" i="4"/>
  <c r="AT33" i="4"/>
  <c r="AT23" i="4"/>
  <c r="AT12" i="4"/>
  <c r="AT10" i="4"/>
  <c r="AT22" i="4"/>
  <c r="AT34" i="4"/>
  <c r="AT11" i="4"/>
  <c r="AT35" i="4"/>
  <c r="AU18" i="4"/>
  <c r="AU30" i="4"/>
  <c r="AU12" i="4"/>
  <c r="AU24" i="4"/>
  <c r="AU36" i="4"/>
  <c r="AU13" i="4"/>
  <c r="AU25" i="4"/>
  <c r="AU14" i="4"/>
  <c r="AU26" i="4"/>
  <c r="AU15" i="4"/>
  <c r="AU27" i="4"/>
  <c r="AU22" i="4"/>
  <c r="AU23" i="4"/>
  <c r="AU9" i="4"/>
  <c r="AU28" i="4"/>
  <c r="AU29" i="4"/>
  <c r="AU31" i="4"/>
  <c r="AU10" i="4"/>
  <c r="AU32" i="4"/>
  <c r="AU11" i="4"/>
  <c r="AU33" i="4"/>
  <c r="AU16" i="4"/>
  <c r="AU34" i="4"/>
  <c r="AU17" i="4"/>
  <c r="AU35" i="4"/>
  <c r="AU19" i="4"/>
  <c r="AU20" i="4"/>
  <c r="AU21" i="4"/>
  <c r="AT15" i="26"/>
  <c r="AT27" i="26"/>
  <c r="AT16" i="26"/>
  <c r="AT28" i="26"/>
  <c r="AT30" i="26"/>
  <c r="AT17" i="26"/>
  <c r="AT29" i="26"/>
  <c r="AT18" i="26"/>
  <c r="AT19" i="26"/>
  <c r="AT31" i="26"/>
  <c r="AT20" i="26"/>
  <c r="AT32" i="26"/>
  <c r="AT21" i="26"/>
  <c r="AT33" i="26"/>
  <c r="AT10" i="26"/>
  <c r="AT22" i="26"/>
  <c r="AT34" i="26"/>
  <c r="AT11" i="26"/>
  <c r="AT23" i="26"/>
  <c r="AT35" i="26"/>
  <c r="AT12" i="26"/>
  <c r="AT24" i="26"/>
  <c r="AT36" i="26"/>
  <c r="AT13" i="26"/>
  <c r="AT25" i="26"/>
  <c r="AT9" i="26"/>
  <c r="AT14" i="26"/>
  <c r="AT26" i="26"/>
  <c r="AU20" i="26"/>
  <c r="AU32" i="26"/>
  <c r="AU21" i="26"/>
  <c r="AU33" i="26"/>
  <c r="AU14" i="26"/>
  <c r="AU26" i="26"/>
  <c r="AU15" i="26"/>
  <c r="AU27" i="26"/>
  <c r="AU16" i="26"/>
  <c r="AU28" i="26"/>
  <c r="AU17" i="26"/>
  <c r="AU29" i="26"/>
  <c r="AU18" i="26"/>
  <c r="AU30" i="26"/>
  <c r="AU25" i="26"/>
  <c r="AU31" i="26"/>
  <c r="AU34" i="26"/>
  <c r="AU35" i="26"/>
  <c r="AU10" i="26"/>
  <c r="AU36" i="26"/>
  <c r="AU11" i="26"/>
  <c r="AU12" i="26"/>
  <c r="AU13" i="26"/>
  <c r="AU19" i="26"/>
  <c r="AU22" i="26"/>
  <c r="AU9" i="26"/>
  <c r="AU23" i="26"/>
  <c r="AU24" i="26"/>
  <c r="AT11" i="12"/>
  <c r="AT23" i="12"/>
  <c r="AT35" i="12"/>
  <c r="AT17" i="12"/>
  <c r="AT29" i="12"/>
  <c r="AT18" i="12"/>
  <c r="AT30" i="12"/>
  <c r="AT19" i="12"/>
  <c r="AT31" i="12"/>
  <c r="AT20" i="12"/>
  <c r="AT32" i="12"/>
  <c r="AT24" i="12"/>
  <c r="AT25" i="12"/>
  <c r="AT26" i="12"/>
  <c r="AT27" i="12"/>
  <c r="AT10" i="12"/>
  <c r="AT28" i="12"/>
  <c r="AT12" i="12"/>
  <c r="AT33" i="12"/>
  <c r="AT13" i="12"/>
  <c r="AT34" i="12"/>
  <c r="AT14" i="12"/>
  <c r="AT36" i="12"/>
  <c r="AT15" i="12"/>
  <c r="AT9" i="12"/>
  <c r="AT16" i="12"/>
  <c r="AT21" i="12"/>
  <c r="AT22" i="12"/>
  <c r="AU20" i="30"/>
  <c r="AU32" i="30"/>
  <c r="AU21" i="30"/>
  <c r="AU33" i="30"/>
  <c r="AU14" i="30"/>
  <c r="AU26" i="30"/>
  <c r="AU15" i="30"/>
  <c r="AU27" i="30"/>
  <c r="AU16" i="30"/>
  <c r="AU28" i="30"/>
  <c r="AU17" i="30"/>
  <c r="AU29" i="30"/>
  <c r="AU9" i="30"/>
  <c r="AU18" i="30"/>
  <c r="AU30" i="30"/>
  <c r="AU35" i="30"/>
  <c r="AU10" i="30"/>
  <c r="AU36" i="30"/>
  <c r="AU11" i="30"/>
  <c r="AU12" i="30"/>
  <c r="AU13" i="30"/>
  <c r="AU19" i="30"/>
  <c r="AU22" i="30"/>
  <c r="AU23" i="30"/>
  <c r="AU24" i="30"/>
  <c r="AU25" i="30"/>
  <c r="AU31" i="30"/>
  <c r="AU34" i="30"/>
  <c r="AT14" i="19"/>
  <c r="AT26" i="19"/>
  <c r="AT20" i="19"/>
  <c r="AT32" i="19"/>
  <c r="AT23" i="19"/>
  <c r="AT10" i="19"/>
  <c r="AT24" i="19"/>
  <c r="AT11" i="19"/>
  <c r="AT25" i="19"/>
  <c r="AT12" i="19"/>
  <c r="AT9" i="19"/>
  <c r="AT27" i="19"/>
  <c r="AT13" i="19"/>
  <c r="AT28" i="19"/>
  <c r="AT15" i="19"/>
  <c r="AT29" i="19"/>
  <c r="AT16" i="19"/>
  <c r="AT30" i="19"/>
  <c r="AT17" i="19"/>
  <c r="AT31" i="19"/>
  <c r="AT18" i="19"/>
  <c r="AT33" i="19"/>
  <c r="AT19" i="19"/>
  <c r="AT34" i="19"/>
  <c r="AT21" i="19"/>
  <c r="AT35" i="19"/>
  <c r="AT22" i="19"/>
  <c r="AT36" i="19"/>
  <c r="AU14" i="32"/>
  <c r="AU26" i="32"/>
  <c r="AU15" i="32"/>
  <c r="AU27" i="32"/>
  <c r="AU20" i="32"/>
  <c r="AU32" i="32"/>
  <c r="AU21" i="32"/>
  <c r="AU33" i="32"/>
  <c r="AU10" i="32"/>
  <c r="AU22" i="32"/>
  <c r="AU34" i="32"/>
  <c r="AU11" i="32"/>
  <c r="AU23" i="32"/>
  <c r="AU35" i="32"/>
  <c r="AU12" i="32"/>
  <c r="AU24" i="32"/>
  <c r="AU36" i="32"/>
  <c r="AU13" i="32"/>
  <c r="AU16" i="32"/>
  <c r="AU17" i="32"/>
  <c r="AU18" i="32"/>
  <c r="AU19" i="32"/>
  <c r="AU25" i="32"/>
  <c r="AU28" i="32"/>
  <c r="AU29" i="32"/>
  <c r="AU30" i="32"/>
  <c r="AU31" i="32"/>
  <c r="AU9" i="32"/>
  <c r="AU17" i="24"/>
  <c r="AU29" i="24"/>
  <c r="AU11" i="24"/>
  <c r="AU23" i="24"/>
  <c r="AU35" i="24"/>
  <c r="AU21" i="24"/>
  <c r="AU36" i="24"/>
  <c r="AU22" i="24"/>
  <c r="AU10" i="24"/>
  <c r="AU25" i="24"/>
  <c r="AU13" i="24"/>
  <c r="AU27" i="24"/>
  <c r="AU14" i="24"/>
  <c r="AU28" i="24"/>
  <c r="AU15" i="24"/>
  <c r="AU30" i="24"/>
  <c r="AU16" i="24"/>
  <c r="AU31" i="24"/>
  <c r="AU18" i="24"/>
  <c r="AU32" i="24"/>
  <c r="AU19" i="24"/>
  <c r="AU33" i="24"/>
  <c r="AU12" i="24"/>
  <c r="AU20" i="24"/>
  <c r="AU24" i="24"/>
  <c r="AU26" i="24"/>
  <c r="AU34" i="24"/>
  <c r="AU9" i="24"/>
  <c r="AU26" i="34"/>
  <c r="AU12" i="34"/>
  <c r="AU15" i="34"/>
  <c r="AU17" i="27"/>
  <c r="AU29" i="27"/>
  <c r="AU18" i="27"/>
  <c r="AU30" i="27"/>
  <c r="AU11" i="27"/>
  <c r="AU23" i="27"/>
  <c r="AU35" i="27"/>
  <c r="AU12" i="27"/>
  <c r="AU24" i="27"/>
  <c r="AU36" i="27"/>
  <c r="AU13" i="27"/>
  <c r="AU25" i="27"/>
  <c r="AU14" i="27"/>
  <c r="AU26" i="27"/>
  <c r="AU15" i="27"/>
  <c r="AU27" i="27"/>
  <c r="AU31" i="27"/>
  <c r="AU32" i="27"/>
  <c r="AU33" i="27"/>
  <c r="AU34" i="27"/>
  <c r="AU10" i="27"/>
  <c r="AU16" i="27"/>
  <c r="AU19" i="27"/>
  <c r="AU20" i="27"/>
  <c r="AU21" i="27"/>
  <c r="AU22" i="27"/>
  <c r="AU9" i="27"/>
  <c r="AU28" i="27"/>
  <c r="AT14" i="7"/>
  <c r="AT26" i="7"/>
  <c r="AT20" i="7"/>
  <c r="AT32" i="7"/>
  <c r="AT21" i="7"/>
  <c r="AT33" i="7"/>
  <c r="AT10" i="7"/>
  <c r="AT22" i="7"/>
  <c r="AT34" i="7"/>
  <c r="AT11" i="7"/>
  <c r="AT23" i="7"/>
  <c r="AT35" i="7"/>
  <c r="AT15" i="7"/>
  <c r="AT36" i="7"/>
  <c r="AT16" i="7"/>
  <c r="AT9" i="7"/>
  <c r="AT17" i="7"/>
  <c r="AT18" i="7"/>
  <c r="AT19" i="7"/>
  <c r="AT24" i="7"/>
  <c r="AT25" i="7"/>
  <c r="AT27" i="7"/>
  <c r="AT28" i="7"/>
  <c r="AT29" i="7"/>
  <c r="AT12" i="7"/>
  <c r="AT30" i="7"/>
  <c r="AT13" i="7"/>
  <c r="AT31" i="7"/>
  <c r="AT12" i="23"/>
  <c r="AT24" i="23"/>
  <c r="AT36" i="23"/>
  <c r="AT13" i="23"/>
  <c r="AT25" i="23"/>
  <c r="AT14" i="23"/>
  <c r="AT26" i="23"/>
  <c r="AT15" i="23"/>
  <c r="AT27" i="23"/>
  <c r="AT16" i="23"/>
  <c r="AT28" i="23"/>
  <c r="AT17" i="23"/>
  <c r="AT29" i="23"/>
  <c r="AT18" i="23"/>
  <c r="AT30" i="23"/>
  <c r="AT19" i="23"/>
  <c r="AT31" i="23"/>
  <c r="AT9" i="23"/>
  <c r="AT20" i="23"/>
  <c r="AT32" i="23"/>
  <c r="AT21" i="23"/>
  <c r="AT33" i="23"/>
  <c r="AT10" i="23"/>
  <c r="AT22" i="23"/>
  <c r="AT34" i="23"/>
  <c r="AT11" i="23"/>
  <c r="AT23" i="23"/>
  <c r="AT35" i="23"/>
  <c r="AU17" i="8"/>
  <c r="AU29" i="8"/>
  <c r="AU19" i="8"/>
  <c r="AU31" i="8"/>
  <c r="AU20" i="8"/>
  <c r="AU32" i="8"/>
  <c r="AU21" i="8"/>
  <c r="AU33" i="8"/>
  <c r="AU11" i="8"/>
  <c r="AU23" i="8"/>
  <c r="AU35" i="8"/>
  <c r="AU12" i="8"/>
  <c r="AU24" i="8"/>
  <c r="AU36" i="8"/>
  <c r="AU13" i="8"/>
  <c r="AU25" i="8"/>
  <c r="AU14" i="8"/>
  <c r="AU26" i="8"/>
  <c r="AU34" i="8"/>
  <c r="AU10" i="8"/>
  <c r="AU15" i="8"/>
  <c r="AU16" i="8"/>
  <c r="AU18" i="8"/>
  <c r="AU22" i="8"/>
  <c r="AU27" i="8"/>
  <c r="AU28" i="8"/>
  <c r="AU30" i="8"/>
  <c r="AU9" i="8"/>
  <c r="AU17" i="18"/>
  <c r="AU29" i="18"/>
  <c r="AU11" i="18"/>
  <c r="AU23" i="18"/>
  <c r="AU35" i="18"/>
  <c r="AU13" i="18"/>
  <c r="AU14" i="18"/>
  <c r="AU21" i="18"/>
  <c r="AU36" i="18"/>
  <c r="AU22" i="18"/>
  <c r="AU9" i="18"/>
  <c r="AU25" i="18"/>
  <c r="AU24" i="18"/>
  <c r="AU26" i="18"/>
  <c r="AU10" i="18"/>
  <c r="AU27" i="18"/>
  <c r="AU12" i="18"/>
  <c r="AU28" i="18"/>
  <c r="AU15" i="18"/>
  <c r="AU30" i="18"/>
  <c r="AU16" i="18"/>
  <c r="AU31" i="18"/>
  <c r="AU18" i="18"/>
  <c r="AU32" i="18"/>
  <c r="AU19" i="18"/>
  <c r="AU33" i="18"/>
  <c r="AU20" i="18"/>
  <c r="AU34" i="18"/>
  <c r="AU25" i="34"/>
  <c r="AU32" i="34"/>
  <c r="AU9" i="34"/>
  <c r="AT15" i="30"/>
  <c r="AT27" i="30"/>
  <c r="AT16" i="30"/>
  <c r="AT28" i="30"/>
  <c r="AT30" i="30"/>
  <c r="AT17" i="30"/>
  <c r="AT29" i="30"/>
  <c r="AT9" i="30"/>
  <c r="AT18" i="30"/>
  <c r="AT19" i="30"/>
  <c r="AT31" i="30"/>
  <c r="AT20" i="30"/>
  <c r="AT32" i="30"/>
  <c r="AT21" i="30"/>
  <c r="AT33" i="30"/>
  <c r="AT10" i="30"/>
  <c r="AT22" i="30"/>
  <c r="AT34" i="30"/>
  <c r="AT26" i="30"/>
  <c r="AT11" i="30"/>
  <c r="AT23" i="30"/>
  <c r="AT35" i="30"/>
  <c r="AT12" i="30"/>
  <c r="AT24" i="30"/>
  <c r="AT36" i="30"/>
  <c r="AT13" i="30"/>
  <c r="AT25" i="30"/>
  <c r="AT14" i="30"/>
  <c r="AT21" i="28"/>
  <c r="AT33" i="28"/>
  <c r="AT10" i="28"/>
  <c r="AT22" i="28"/>
  <c r="AT34" i="28"/>
  <c r="AT24" i="28"/>
  <c r="AT11" i="28"/>
  <c r="AT23" i="28"/>
  <c r="AT35" i="28"/>
  <c r="AT12" i="28"/>
  <c r="AT36" i="28"/>
  <c r="AT14" i="28"/>
  <c r="AT13" i="28"/>
  <c r="AT25" i="28"/>
  <c r="AT26" i="28"/>
  <c r="AT15" i="28"/>
  <c r="AT27" i="28"/>
  <c r="AT16" i="28"/>
  <c r="AT28" i="28"/>
  <c r="AT17" i="28"/>
  <c r="AT29" i="28"/>
  <c r="AT18" i="28"/>
  <c r="AT30" i="28"/>
  <c r="AT9" i="28"/>
  <c r="AT19" i="28"/>
  <c r="AT31" i="28"/>
  <c r="AT20" i="28"/>
  <c r="AT32" i="28"/>
  <c r="AU14" i="25"/>
  <c r="AU20" i="25"/>
  <c r="AU23" i="25"/>
  <c r="AU35" i="25"/>
  <c r="AU10" i="25"/>
  <c r="AU24" i="25"/>
  <c r="AU36" i="25"/>
  <c r="AU12" i="25"/>
  <c r="AU15" i="25"/>
  <c r="AU16" i="25"/>
  <c r="AU29" i="25"/>
  <c r="AU17" i="25"/>
  <c r="AU30" i="25"/>
  <c r="AU18" i="25"/>
  <c r="AU31" i="25"/>
  <c r="AU19" i="25"/>
  <c r="AU32" i="25"/>
  <c r="AU21" i="25"/>
  <c r="AU33" i="25"/>
  <c r="AU26" i="25"/>
  <c r="AU27" i="25"/>
  <c r="AU28" i="25"/>
  <c r="AU34" i="25"/>
  <c r="AU11" i="25"/>
  <c r="AU9" i="25"/>
  <c r="AU13" i="25"/>
  <c r="AU22" i="25"/>
  <c r="AU25" i="25"/>
  <c r="AT18" i="25"/>
  <c r="AT30" i="25"/>
  <c r="AT19" i="25"/>
  <c r="AT31" i="25"/>
  <c r="AT21" i="25"/>
  <c r="AT20" i="25"/>
  <c r="AT32" i="25"/>
  <c r="AT33" i="25"/>
  <c r="AT10" i="25"/>
  <c r="AT22" i="25"/>
  <c r="AT34" i="25"/>
  <c r="AT11" i="25"/>
  <c r="AT23" i="25"/>
  <c r="AT35" i="25"/>
  <c r="AT12" i="25"/>
  <c r="AT24" i="25"/>
  <c r="AT36" i="25"/>
  <c r="AT13" i="25"/>
  <c r="AT25" i="25"/>
  <c r="AT14" i="25"/>
  <c r="AT26" i="25"/>
  <c r="AT15" i="25"/>
  <c r="AT27" i="25"/>
  <c r="AT9" i="25"/>
  <c r="AT16" i="25"/>
  <c r="AT28" i="25"/>
  <c r="AT17" i="25"/>
  <c r="AT29" i="25"/>
  <c r="AU24" i="34"/>
  <c r="AU11" i="34"/>
  <c r="AU33" i="34"/>
  <c r="AU11" i="10"/>
  <c r="AU23" i="10"/>
  <c r="AU35" i="10"/>
  <c r="AU13" i="10"/>
  <c r="AU25" i="10"/>
  <c r="AU14" i="10"/>
  <c r="AU26" i="10"/>
  <c r="AU15" i="10"/>
  <c r="AU27" i="10"/>
  <c r="AU17" i="10"/>
  <c r="AU29" i="10"/>
  <c r="AU18" i="10"/>
  <c r="AU30" i="10"/>
  <c r="AU20" i="10"/>
  <c r="AU32" i="10"/>
  <c r="AU16" i="10"/>
  <c r="AU19" i="10"/>
  <c r="AU9" i="10"/>
  <c r="AU21" i="10"/>
  <c r="AU22" i="10"/>
  <c r="AU24" i="10"/>
  <c r="AU28" i="10"/>
  <c r="AU31" i="10"/>
  <c r="AU33" i="10"/>
  <c r="AU34" i="10"/>
  <c r="AU36" i="10"/>
  <c r="AU10" i="10"/>
  <c r="AU12" i="10"/>
  <c r="AV11" i="6"/>
  <c r="AV23" i="6"/>
  <c r="AV35" i="6"/>
  <c r="AV13" i="6"/>
  <c r="AV25" i="6"/>
  <c r="AV14" i="6"/>
  <c r="AV26" i="6"/>
  <c r="AV15" i="6"/>
  <c r="AV27" i="6"/>
  <c r="AV17" i="6"/>
  <c r="AV29" i="6"/>
  <c r="AV18" i="6"/>
  <c r="AV30" i="6"/>
  <c r="AV19" i="6"/>
  <c r="AV31" i="6"/>
  <c r="AV20" i="6"/>
  <c r="AV32" i="6"/>
  <c r="AV16" i="6"/>
  <c r="AV21" i="6"/>
  <c r="AV22" i="6"/>
  <c r="AV24" i="6"/>
  <c r="AV28" i="6"/>
  <c r="AV33" i="6"/>
  <c r="AV34" i="6"/>
  <c r="AV36" i="6"/>
  <c r="AV9" i="6"/>
  <c r="AV10" i="6"/>
  <c r="AV12" i="6"/>
  <c r="AU23" i="34"/>
  <c r="AU31" i="34"/>
  <c r="AU21" i="34"/>
  <c r="AT12" i="27"/>
  <c r="AT24" i="27"/>
  <c r="AT36" i="27"/>
  <c r="AT13" i="27"/>
  <c r="AT25" i="27"/>
  <c r="AT17" i="27"/>
  <c r="AT14" i="27"/>
  <c r="AT26" i="27"/>
  <c r="AT15" i="27"/>
  <c r="AT27" i="27"/>
  <c r="AT16" i="27"/>
  <c r="AT28" i="27"/>
  <c r="AT29" i="27"/>
  <c r="AT18" i="27"/>
  <c r="AT30" i="27"/>
  <c r="AT19" i="27"/>
  <c r="AT31" i="27"/>
  <c r="AT9" i="27"/>
  <c r="AT20" i="27"/>
  <c r="AT32" i="27"/>
  <c r="AT21" i="27"/>
  <c r="AT33" i="27"/>
  <c r="AT10" i="27"/>
  <c r="AT22" i="27"/>
  <c r="AT34" i="27"/>
  <c r="AT11" i="27"/>
  <c r="AT23" i="27"/>
  <c r="AT35" i="27"/>
  <c r="AT20" i="17"/>
  <c r="AT32" i="17"/>
  <c r="AT14" i="17"/>
  <c r="AT26" i="17"/>
  <c r="AT15" i="17"/>
  <c r="AT16" i="17"/>
  <c r="AT28" i="17"/>
  <c r="AT17" i="17"/>
  <c r="AT29" i="17"/>
  <c r="AT11" i="17"/>
  <c r="AT31" i="17"/>
  <c r="AT12" i="17"/>
  <c r="AT33" i="17"/>
  <c r="AT9" i="17"/>
  <c r="AT13" i="17"/>
  <c r="AT34" i="17"/>
  <c r="AT18" i="17"/>
  <c r="AT35" i="17"/>
  <c r="AT19" i="17"/>
  <c r="AT36" i="17"/>
  <c r="AT21" i="17"/>
  <c r="AT22" i="17"/>
  <c r="AT23" i="17"/>
  <c r="AT24" i="17"/>
  <c r="AT25" i="17"/>
  <c r="AT27" i="17"/>
  <c r="AT10" i="17"/>
  <c r="AT30" i="17"/>
  <c r="AU17" i="12"/>
  <c r="AU29" i="12"/>
  <c r="AU20" i="12"/>
  <c r="AU32" i="12"/>
  <c r="AU11" i="12"/>
  <c r="AU23" i="12"/>
  <c r="AU35" i="12"/>
  <c r="AU12" i="12"/>
  <c r="AU24" i="12"/>
  <c r="AU36" i="12"/>
  <c r="AU14" i="12"/>
  <c r="AU26" i="12"/>
  <c r="AU28" i="12"/>
  <c r="AU30" i="12"/>
  <c r="AU10" i="12"/>
  <c r="AU31" i="12"/>
  <c r="AU13" i="12"/>
  <c r="AU33" i="12"/>
  <c r="AU15" i="12"/>
  <c r="AU34" i="12"/>
  <c r="AU16" i="12"/>
  <c r="AU18" i="12"/>
  <c r="AU19" i="12"/>
  <c r="AU21" i="12"/>
  <c r="AU22" i="12"/>
  <c r="AU25" i="12"/>
  <c r="AU9" i="12"/>
  <c r="AU27" i="12"/>
  <c r="AU11" i="29"/>
  <c r="AU23" i="29"/>
  <c r="AU35" i="29"/>
  <c r="AU12" i="29"/>
  <c r="AU24" i="29"/>
  <c r="AU36" i="29"/>
  <c r="AU17" i="29"/>
  <c r="AU29" i="29"/>
  <c r="AU18" i="29"/>
  <c r="AU30" i="29"/>
  <c r="AU19" i="29"/>
  <c r="AU31" i="29"/>
  <c r="AU9" i="29"/>
  <c r="AU20" i="29"/>
  <c r="AU32" i="29"/>
  <c r="AU21" i="29"/>
  <c r="AU33" i="29"/>
  <c r="AU34" i="29"/>
  <c r="AU10" i="29"/>
  <c r="AU13" i="29"/>
  <c r="AU14" i="29"/>
  <c r="AU15" i="29"/>
  <c r="AU16" i="29"/>
  <c r="AU22" i="29"/>
  <c r="AU25" i="29"/>
  <c r="AU26" i="29"/>
  <c r="AU27" i="29"/>
  <c r="AU28" i="29"/>
  <c r="AT21" i="24"/>
  <c r="AT33" i="24"/>
  <c r="AT10" i="24"/>
  <c r="AT22" i="24"/>
  <c r="AT34" i="24"/>
  <c r="AT24" i="24"/>
  <c r="AT11" i="24"/>
  <c r="AT23" i="24"/>
  <c r="AT35" i="24"/>
  <c r="AT12" i="24"/>
  <c r="AT36" i="24"/>
  <c r="AT13" i="24"/>
  <c r="AT25" i="24"/>
  <c r="AT14" i="24"/>
  <c r="AT26" i="24"/>
  <c r="AT15" i="24"/>
  <c r="AT27" i="24"/>
  <c r="AT16" i="24"/>
  <c r="AT28" i="24"/>
  <c r="AT17" i="24"/>
  <c r="AT29" i="24"/>
  <c r="AT9" i="24"/>
  <c r="AT18" i="24"/>
  <c r="AT30" i="24"/>
  <c r="AT19" i="24"/>
  <c r="AT31" i="24"/>
  <c r="AT20" i="24"/>
  <c r="AT32" i="24"/>
  <c r="AU22" i="34"/>
  <c r="AU10" i="34"/>
  <c r="AT21" i="32"/>
  <c r="AT33" i="32"/>
  <c r="AT10" i="32"/>
  <c r="AT22" i="32"/>
  <c r="AT34" i="32"/>
  <c r="AT12" i="32"/>
  <c r="AT11" i="32"/>
  <c r="AT23" i="32"/>
  <c r="AT35" i="32"/>
  <c r="AT24" i="32"/>
  <c r="AT26" i="32"/>
  <c r="AT36" i="32"/>
  <c r="AT13" i="32"/>
  <c r="AT25" i="32"/>
  <c r="AT9" i="32"/>
  <c r="AT14" i="32"/>
  <c r="AT15" i="32"/>
  <c r="AT27" i="32"/>
  <c r="AT16" i="32"/>
  <c r="AT28" i="32"/>
  <c r="AT32" i="32"/>
  <c r="AT17" i="32"/>
  <c r="AT29" i="32"/>
  <c r="AT18" i="32"/>
  <c r="AT30" i="32"/>
  <c r="AT20" i="32"/>
  <c r="AT19" i="32"/>
  <c r="AT31" i="32"/>
  <c r="AU14" i="17"/>
  <c r="AU26" i="17"/>
  <c r="AU17" i="17"/>
  <c r="AU29" i="17"/>
  <c r="AU20" i="17"/>
  <c r="AU32" i="17"/>
  <c r="AU21" i="17"/>
  <c r="AU33" i="17"/>
  <c r="AU11" i="17"/>
  <c r="AU23" i="17"/>
  <c r="AU35" i="17"/>
  <c r="AU16" i="17"/>
  <c r="AU18" i="17"/>
  <c r="AU19" i="17"/>
  <c r="AU22" i="17"/>
  <c r="AU24" i="17"/>
  <c r="AU25" i="17"/>
  <c r="AU27" i="17"/>
  <c r="AU28" i="17"/>
  <c r="AU10" i="17"/>
  <c r="AU30" i="17"/>
  <c r="AU9" i="17"/>
  <c r="AU12" i="17"/>
  <c r="AU31" i="17"/>
  <c r="AU13" i="17"/>
  <c r="AU34" i="17"/>
  <c r="AU15" i="17"/>
  <c r="AU36" i="17"/>
  <c r="AT12" i="31"/>
  <c r="AT24" i="31"/>
  <c r="AT36" i="31"/>
  <c r="AT13" i="31"/>
  <c r="AT25" i="31"/>
  <c r="AT17" i="31"/>
  <c r="AT14" i="31"/>
  <c r="AT26" i="31"/>
  <c r="AT15" i="31"/>
  <c r="AT27" i="31"/>
  <c r="AT9" i="31"/>
  <c r="AT29" i="31"/>
  <c r="AT16" i="31"/>
  <c r="AT28" i="31"/>
  <c r="AT18" i="31"/>
  <c r="AT30" i="31"/>
  <c r="AT19" i="31"/>
  <c r="AT31" i="31"/>
  <c r="AT20" i="31"/>
  <c r="AT32" i="31"/>
  <c r="AT11" i="31"/>
  <c r="AT21" i="31"/>
  <c r="AT33" i="31"/>
  <c r="AT10" i="31"/>
  <c r="AT22" i="31"/>
  <c r="AT34" i="31"/>
  <c r="AT23" i="31"/>
  <c r="AT35" i="31"/>
  <c r="AV17" i="16"/>
  <c r="AV29" i="16"/>
  <c r="AV20" i="16"/>
  <c r="AV32" i="16"/>
  <c r="AV11" i="16"/>
  <c r="AV23" i="16"/>
  <c r="AV35" i="16"/>
  <c r="AV12" i="16"/>
  <c r="AV24" i="16"/>
  <c r="AV36" i="16"/>
  <c r="AV14" i="16"/>
  <c r="AV26" i="16"/>
  <c r="AV22" i="16"/>
  <c r="AV25" i="16"/>
  <c r="AV27" i="16"/>
  <c r="AV28" i="16"/>
  <c r="AV30" i="16"/>
  <c r="AV10" i="16"/>
  <c r="AV31" i="16"/>
  <c r="AV13" i="16"/>
  <c r="AV33" i="16"/>
  <c r="AV15" i="16"/>
  <c r="AV34" i="16"/>
  <c r="AV9" i="16"/>
  <c r="AV16" i="16"/>
  <c r="AV18" i="16"/>
  <c r="AV19" i="16"/>
  <c r="AV21" i="16"/>
  <c r="AU20" i="15"/>
  <c r="AU32" i="15"/>
  <c r="AU11" i="15"/>
  <c r="AU23" i="15"/>
  <c r="AU35" i="15"/>
  <c r="AU14" i="15"/>
  <c r="AU26" i="15"/>
  <c r="AU15" i="15"/>
  <c r="AU27" i="15"/>
  <c r="AU17" i="15"/>
  <c r="AU29" i="15"/>
  <c r="AU30" i="15"/>
  <c r="AU10" i="15"/>
  <c r="AU31" i="15"/>
  <c r="AU12" i="15"/>
  <c r="AU33" i="15"/>
  <c r="AU13" i="15"/>
  <c r="AU34" i="15"/>
  <c r="AU16" i="15"/>
  <c r="AU36" i="15"/>
  <c r="AU18" i="15"/>
  <c r="AU19" i="15"/>
  <c r="AU21" i="15"/>
  <c r="AU22" i="15"/>
  <c r="AU24" i="15"/>
  <c r="AU25" i="15"/>
  <c r="AU28" i="15"/>
  <c r="AU9" i="15"/>
  <c r="AU20" i="34"/>
  <c r="AU30" i="34"/>
  <c r="AU11" i="22"/>
  <c r="AU23" i="22"/>
  <c r="AU35" i="22"/>
  <c r="AU14" i="22"/>
  <c r="AU26" i="22"/>
  <c r="AU17" i="22"/>
  <c r="AU29" i="22"/>
  <c r="AU18" i="22"/>
  <c r="AU30" i="22"/>
  <c r="AU20" i="22"/>
  <c r="AU32" i="22"/>
  <c r="AU25" i="22"/>
  <c r="AU27" i="22"/>
  <c r="AU9" i="22"/>
  <c r="AU28" i="22"/>
  <c r="AU10" i="22"/>
  <c r="AU31" i="22"/>
  <c r="AU12" i="22"/>
  <c r="AU33" i="22"/>
  <c r="AU13" i="22"/>
  <c r="AU34" i="22"/>
  <c r="AU15" i="22"/>
  <c r="AU36" i="22"/>
  <c r="AU16" i="22"/>
  <c r="AU19" i="22"/>
  <c r="AU21" i="22"/>
  <c r="AU22" i="22"/>
  <c r="AU24" i="22"/>
  <c r="AU14" i="28"/>
  <c r="AU26" i="28"/>
  <c r="AU15" i="28"/>
  <c r="AU27" i="28"/>
  <c r="AU20" i="28"/>
  <c r="AU32" i="28"/>
  <c r="AU21" i="28"/>
  <c r="AU33" i="28"/>
  <c r="AU9" i="28"/>
  <c r="AU10" i="28"/>
  <c r="AU22" i="28"/>
  <c r="AU34" i="28"/>
  <c r="AU11" i="28"/>
  <c r="AU23" i="28"/>
  <c r="AU35" i="28"/>
  <c r="AU12" i="28"/>
  <c r="AU24" i="28"/>
  <c r="AU36" i="28"/>
  <c r="AU30" i="28"/>
  <c r="AU31" i="28"/>
  <c r="AU13" i="28"/>
  <c r="AU16" i="28"/>
  <c r="AU17" i="28"/>
  <c r="AU18" i="28"/>
  <c r="AU19" i="28"/>
  <c r="AU25" i="28"/>
  <c r="AU28" i="28"/>
  <c r="AU29" i="28"/>
  <c r="AT11" i="8"/>
  <c r="AT23" i="8"/>
  <c r="AT35" i="8"/>
  <c r="AT17" i="8"/>
  <c r="AT29" i="8"/>
  <c r="AT18" i="8"/>
  <c r="AT30" i="8"/>
  <c r="AT19" i="8"/>
  <c r="AT31" i="8"/>
  <c r="AT20" i="8"/>
  <c r="AT32" i="8"/>
  <c r="AT27" i="8"/>
  <c r="AT10" i="8"/>
  <c r="AT28" i="8"/>
  <c r="AT12" i="8"/>
  <c r="AT33" i="8"/>
  <c r="AT13" i="8"/>
  <c r="AT34" i="8"/>
  <c r="AT14" i="8"/>
  <c r="AT36" i="8"/>
  <c r="AT9" i="8"/>
  <c r="AT15" i="8"/>
  <c r="AT16" i="8"/>
  <c r="AT21" i="8"/>
  <c r="AT22" i="8"/>
  <c r="AT24" i="8"/>
  <c r="AT25" i="8"/>
  <c r="AT26" i="8"/>
  <c r="AU20" i="11"/>
  <c r="AU32" i="11"/>
  <c r="AU11" i="11"/>
  <c r="AU23" i="11"/>
  <c r="AU35" i="11"/>
  <c r="AU14" i="11"/>
  <c r="AU26" i="11"/>
  <c r="AU15" i="11"/>
  <c r="AU27" i="11"/>
  <c r="AU17" i="11"/>
  <c r="AU29" i="11"/>
  <c r="AU13" i="11"/>
  <c r="AU34" i="11"/>
  <c r="AU16" i="11"/>
  <c r="AU36" i="11"/>
  <c r="AU18" i="11"/>
  <c r="AU19" i="11"/>
  <c r="AU21" i="11"/>
  <c r="AU22" i="11"/>
  <c r="AU24" i="11"/>
  <c r="AU25" i="11"/>
  <c r="AU28" i="11"/>
  <c r="AU30" i="11"/>
  <c r="AU10" i="11"/>
  <c r="AU31" i="11"/>
  <c r="AU12" i="11"/>
  <c r="AU33" i="11"/>
  <c r="AU9" i="11"/>
  <c r="AT18" i="29"/>
  <c r="AT30" i="29"/>
  <c r="AT19" i="29"/>
  <c r="AT31" i="29"/>
  <c r="AT9" i="29"/>
  <c r="AT33" i="29"/>
  <c r="AT23" i="29"/>
  <c r="AT20" i="29"/>
  <c r="AT32" i="29"/>
  <c r="AT21" i="29"/>
  <c r="AT35" i="29"/>
  <c r="AT10" i="29"/>
  <c r="AT22" i="29"/>
  <c r="AT34" i="29"/>
  <c r="AT11" i="29"/>
  <c r="AT12" i="29"/>
  <c r="AT24" i="29"/>
  <c r="AT36" i="29"/>
  <c r="AT13" i="29"/>
  <c r="AT25" i="29"/>
  <c r="AT14" i="29"/>
  <c r="AT26" i="29"/>
  <c r="AT15" i="29"/>
  <c r="AT27" i="29"/>
  <c r="AT16" i="29"/>
  <c r="AT28" i="29"/>
  <c r="AT29" i="29"/>
  <c r="AT17" i="29"/>
  <c r="AU19" i="34"/>
  <c r="AU18" i="34"/>
  <c r="AT11" i="20"/>
  <c r="AT23" i="20"/>
  <c r="AT35" i="20"/>
  <c r="AT17" i="20"/>
  <c r="AT29" i="20"/>
  <c r="AT10" i="20"/>
  <c r="AT25" i="20"/>
  <c r="AT12" i="20"/>
  <c r="AT26" i="20"/>
  <c r="AT14" i="20"/>
  <c r="AT13" i="20"/>
  <c r="AT27" i="20"/>
  <c r="AT28" i="20"/>
  <c r="AT15" i="20"/>
  <c r="AT30" i="20"/>
  <c r="AT9" i="20"/>
  <c r="AT16" i="20"/>
  <c r="AT31" i="20"/>
  <c r="AT18" i="20"/>
  <c r="AT32" i="20"/>
  <c r="AT19" i="20"/>
  <c r="AT33" i="20"/>
  <c r="AT20" i="20"/>
  <c r="AT34" i="20"/>
  <c r="AT21" i="20"/>
  <c r="AT36" i="20"/>
  <c r="AT22" i="20"/>
  <c r="AT24" i="20"/>
  <c r="AU14" i="21"/>
  <c r="AU26" i="21"/>
  <c r="AU17" i="21"/>
  <c r="AU29" i="21"/>
  <c r="AU20" i="21"/>
  <c r="AU32" i="21"/>
  <c r="AU21" i="21"/>
  <c r="AU33" i="21"/>
  <c r="AU11" i="21"/>
  <c r="AU23" i="21"/>
  <c r="AU35" i="21"/>
  <c r="AU12" i="21"/>
  <c r="AU31" i="21"/>
  <c r="AU13" i="21"/>
  <c r="AU34" i="21"/>
  <c r="AU15" i="21"/>
  <c r="AU36" i="21"/>
  <c r="AU16" i="21"/>
  <c r="AU18" i="21"/>
  <c r="AU19" i="21"/>
  <c r="AU22" i="21"/>
  <c r="AU24" i="21"/>
  <c r="AU25" i="21"/>
  <c r="AU27" i="21"/>
  <c r="AU28" i="21"/>
  <c r="AU9" i="21"/>
  <c r="AU10" i="21"/>
  <c r="AU30" i="21"/>
  <c r="AU14" i="9"/>
  <c r="AU26" i="9"/>
  <c r="AU16" i="9"/>
  <c r="AU28" i="9"/>
  <c r="AU17" i="9"/>
  <c r="AU29" i="9"/>
  <c r="AU18" i="9"/>
  <c r="AU30" i="9"/>
  <c r="AU20" i="9"/>
  <c r="AU32" i="9"/>
  <c r="AU21" i="9"/>
  <c r="AU33" i="9"/>
  <c r="AU10" i="9"/>
  <c r="AU22" i="9"/>
  <c r="AU34" i="9"/>
  <c r="AU11" i="9"/>
  <c r="AU23" i="9"/>
  <c r="AU35" i="9"/>
  <c r="AU12" i="9"/>
  <c r="AU13" i="9"/>
  <c r="AU15" i="9"/>
  <c r="AU19" i="9"/>
  <c r="AU24" i="9"/>
  <c r="AU25" i="9"/>
  <c r="AU27" i="9"/>
  <c r="AU31" i="9"/>
  <c r="AU36" i="9"/>
  <c r="AU9" i="9"/>
  <c r="AU17" i="31"/>
  <c r="AU29" i="31"/>
  <c r="AU18" i="31"/>
  <c r="AU30" i="31"/>
  <c r="AU11" i="31"/>
  <c r="AU23" i="31"/>
  <c r="AU35" i="31"/>
  <c r="AU12" i="31"/>
  <c r="AU24" i="31"/>
  <c r="AU36" i="31"/>
  <c r="AU13" i="31"/>
  <c r="AU25" i="31"/>
  <c r="AU14" i="31"/>
  <c r="AU26" i="31"/>
  <c r="AU15" i="31"/>
  <c r="AU27" i="31"/>
  <c r="AU9" i="31"/>
  <c r="AU34" i="31"/>
  <c r="AU10" i="31"/>
  <c r="AU16" i="31"/>
  <c r="AU19" i="31"/>
  <c r="AU20" i="31"/>
  <c r="AU21" i="31"/>
  <c r="AU22" i="31"/>
  <c r="AU28" i="31"/>
  <c r="AU31" i="31"/>
  <c r="AU32" i="31"/>
  <c r="AU33" i="31"/>
  <c r="AV11" i="18"/>
  <c r="AV23" i="18"/>
  <c r="AV35" i="18"/>
  <c r="AV14" i="18"/>
  <c r="AV26" i="18"/>
  <c r="AV17" i="18"/>
  <c r="AV29" i="18"/>
  <c r="AV18" i="18"/>
  <c r="AV30" i="18"/>
  <c r="AV20" i="18"/>
  <c r="AV32" i="18"/>
  <c r="AV10" i="18"/>
  <c r="AV31" i="18"/>
  <c r="AV12" i="18"/>
  <c r="AV33" i="18"/>
  <c r="AV13" i="18"/>
  <c r="AV34" i="18"/>
  <c r="AV15" i="18"/>
  <c r="AV36" i="18"/>
  <c r="AV16" i="18"/>
  <c r="AV19" i="18"/>
  <c r="AV21" i="18"/>
  <c r="AV22" i="18"/>
  <c r="AV24" i="18"/>
  <c r="AV25" i="18"/>
  <c r="AV9" i="18"/>
  <c r="AV27" i="18"/>
  <c r="AV28" i="18"/>
  <c r="AU36" i="34"/>
  <c r="G17" i="4"/>
  <c r="G21" i="4"/>
  <c r="G22" i="4"/>
  <c r="G31" i="4"/>
  <c r="G30" i="4"/>
  <c r="G25" i="4"/>
  <c r="G10" i="4"/>
  <c r="G11" i="4"/>
  <c r="G14" i="4"/>
  <c r="G15" i="4"/>
  <c r="G27" i="4"/>
  <c r="G26" i="4"/>
  <c r="G18" i="4"/>
  <c r="G19" i="4"/>
  <c r="G33" i="4"/>
  <c r="G32" i="4"/>
  <c r="G12" i="4"/>
  <c r="G13" i="4"/>
  <c r="G28" i="4"/>
  <c r="G29" i="4"/>
  <c r="AS26" i="21" l="1" a="1"/>
  <c r="AS26" i="21" s="1"/>
  <c r="AS15" i="21" a="1"/>
  <c r="AS15" i="21" s="1"/>
  <c r="AS36" i="21" a="1"/>
  <c r="AS36" i="21" s="1"/>
  <c r="AS25" i="21" a="1"/>
  <c r="AS25" i="21" s="1"/>
  <c r="AS14" i="21" a="1"/>
  <c r="AS14" i="21" s="1"/>
  <c r="AS35" i="21" a="1"/>
  <c r="AS35" i="21" s="1"/>
  <c r="AS24" i="21" a="1"/>
  <c r="AS24" i="21" s="1"/>
  <c r="AS13" i="21" a="1"/>
  <c r="AS13" i="21" s="1"/>
  <c r="AS23" i="21" a="1"/>
  <c r="AS23" i="21" s="1"/>
  <c r="AS12" i="21" a="1"/>
  <c r="AS12" i="21" s="1"/>
  <c r="AS34" i="21" a="1"/>
  <c r="AS34" i="21" s="1"/>
  <c r="AS22" i="21" a="1"/>
  <c r="AS22" i="21" s="1"/>
  <c r="AS11" i="21" a="1"/>
  <c r="AS11" i="21" s="1"/>
  <c r="AS33" i="21" a="1"/>
  <c r="AS33" i="21" s="1"/>
  <c r="AS21" i="21" a="1"/>
  <c r="AS21" i="21" s="1"/>
  <c r="AS32" i="21" a="1"/>
  <c r="AS32" i="21" s="1"/>
  <c r="AS20" i="21" a="1"/>
  <c r="AS20" i="21" s="1"/>
  <c r="AS10" i="21" a="1"/>
  <c r="AS10" i="21" s="1"/>
  <c r="AS31" i="21" a="1"/>
  <c r="AS31" i="21" s="1"/>
  <c r="AS19" i="21" a="1"/>
  <c r="AS19" i="21" s="1"/>
  <c r="AS9" i="21" a="1"/>
  <c r="AS9" i="21" s="1"/>
  <c r="AS30" i="21" a="1"/>
  <c r="AS30" i="21" s="1"/>
  <c r="AS29" i="21" a="1"/>
  <c r="AS29" i="21" s="1"/>
  <c r="AS18" i="21" a="1"/>
  <c r="AS18" i="21" s="1"/>
  <c r="AS28" i="21" a="1"/>
  <c r="AS28" i="21" s="1"/>
  <c r="AS17" i="21" a="1"/>
  <c r="AS17" i="21" s="1"/>
  <c r="AS27" i="21" a="1"/>
  <c r="AS27" i="21" s="1"/>
  <c r="AS16" i="21" a="1"/>
  <c r="AS16" i="21" s="1"/>
  <c r="AS26" i="20" a="1"/>
  <c r="AS26" i="20" s="1"/>
  <c r="AS36" i="20" a="1"/>
  <c r="AS36" i="20" s="1"/>
  <c r="AS25" i="20" a="1"/>
  <c r="AS25" i="20" s="1"/>
  <c r="AS14" i="20" a="1"/>
  <c r="AS14" i="20" s="1"/>
  <c r="AS35" i="20" a="1"/>
  <c r="AS35" i="20" s="1"/>
  <c r="AS24" i="20" a="1"/>
  <c r="AS24" i="20" s="1"/>
  <c r="AS13" i="20" a="1"/>
  <c r="AS13" i="20" s="1"/>
  <c r="AS34" i="20" a="1"/>
  <c r="AS34" i="20" s="1"/>
  <c r="AS23" i="20" a="1"/>
  <c r="AS23" i="20" s="1"/>
  <c r="AS12" i="20" a="1"/>
  <c r="AS12" i="20" s="1"/>
  <c r="AS33" i="20" a="1"/>
  <c r="AS33" i="20" s="1"/>
  <c r="AS22" i="20" a="1"/>
  <c r="AS22" i="20" s="1"/>
  <c r="AS11" i="20" a="1"/>
  <c r="AS11" i="20" s="1"/>
  <c r="AS32" i="20" a="1"/>
  <c r="AS32" i="20" s="1"/>
  <c r="AS21" i="20" a="1"/>
  <c r="AS21" i="20" s="1"/>
  <c r="AS10" i="20" a="1"/>
  <c r="AS10" i="20" s="1"/>
  <c r="AS31" i="20" a="1"/>
  <c r="AS31" i="20" s="1"/>
  <c r="AS20" i="20" a="1"/>
  <c r="AS20" i="20" s="1"/>
  <c r="AS9" i="20" a="1"/>
  <c r="AS9" i="20" s="1"/>
  <c r="AS19" i="20" a="1"/>
  <c r="AS19" i="20" s="1"/>
  <c r="AS30" i="20" a="1"/>
  <c r="AS30" i="20" s="1"/>
  <c r="AS18" i="20" a="1"/>
  <c r="AS18" i="20" s="1"/>
  <c r="AS29" i="20" a="1"/>
  <c r="AS29" i="20" s="1"/>
  <c r="AS17" i="20" a="1"/>
  <c r="AS17" i="20" s="1"/>
  <c r="AS28" i="20" a="1"/>
  <c r="AS28" i="20" s="1"/>
  <c r="AS16" i="20" a="1"/>
  <c r="AS16" i="20" s="1"/>
  <c r="AS27" i="20" a="1"/>
  <c r="AS27" i="20" s="1"/>
  <c r="AS15" i="20" a="1"/>
  <c r="AS15" i="20" s="1"/>
  <c r="AS15" i="19" a="1"/>
  <c r="AS15" i="19" s="1"/>
  <c r="AS36" i="19" a="1"/>
  <c r="AS36" i="19" s="1"/>
  <c r="AS26" i="19" a="1"/>
  <c r="AS26" i="19" s="1"/>
  <c r="AS14" i="19" a="1"/>
  <c r="AS14" i="19" s="1"/>
  <c r="AS35" i="19" a="1"/>
  <c r="AS35" i="19" s="1"/>
  <c r="AS25" i="19" a="1"/>
  <c r="AS25" i="19" s="1"/>
  <c r="AS13" i="19" a="1"/>
  <c r="AS13" i="19" s="1"/>
  <c r="AS24" i="19" a="1"/>
  <c r="AS24" i="19" s="1"/>
  <c r="AS12" i="19" a="1"/>
  <c r="AS12" i="19" s="1"/>
  <c r="AS34" i="19" a="1"/>
  <c r="AS34" i="19" s="1"/>
  <c r="AS23" i="19" a="1"/>
  <c r="AS23" i="19" s="1"/>
  <c r="AS11" i="19" a="1"/>
  <c r="AS11" i="19" s="1"/>
  <c r="AS33" i="19" a="1"/>
  <c r="AS33" i="19" s="1"/>
  <c r="AS22" i="19" a="1"/>
  <c r="AS22" i="19" s="1"/>
  <c r="AS32" i="19" a="1"/>
  <c r="AS32" i="19" s="1"/>
  <c r="AS21" i="19" a="1"/>
  <c r="AS21" i="19" s="1"/>
  <c r="AS10" i="19" a="1"/>
  <c r="AS10" i="19" s="1"/>
  <c r="AS31" i="19" a="1"/>
  <c r="AS31" i="19" s="1"/>
  <c r="AS20" i="19" a="1"/>
  <c r="AS20" i="19" s="1"/>
  <c r="AS9" i="19" a="1"/>
  <c r="AS9" i="19" s="1"/>
  <c r="AS30" i="19" a="1"/>
  <c r="AS30" i="19" s="1"/>
  <c r="AS19" i="19" a="1"/>
  <c r="AS19" i="19" s="1"/>
  <c r="AS29" i="19" a="1"/>
  <c r="AS29" i="19" s="1"/>
  <c r="AS18" i="19" a="1"/>
  <c r="AS18" i="19" s="1"/>
  <c r="AS28" i="19" a="1"/>
  <c r="AS28" i="19" s="1"/>
  <c r="AS17" i="19" a="1"/>
  <c r="AS17" i="19" s="1"/>
  <c r="AS27" i="19" a="1"/>
  <c r="AS27" i="19" s="1"/>
  <c r="AS16" i="19" a="1"/>
  <c r="AS16" i="19" s="1"/>
  <c r="AT26" i="18" a="1"/>
  <c r="AT26" i="18" s="1"/>
  <c r="AT15" i="18" a="1"/>
  <c r="AT15" i="18" s="1"/>
  <c r="AT36" i="18" a="1"/>
  <c r="AT36" i="18" s="1"/>
  <c r="AT25" i="18" a="1"/>
  <c r="AT25" i="18" s="1"/>
  <c r="AT14" i="18" a="1"/>
  <c r="AT14" i="18" s="1"/>
  <c r="AT35" i="18" a="1"/>
  <c r="AT35" i="18" s="1"/>
  <c r="AT24" i="18" a="1"/>
  <c r="AT24" i="18" s="1"/>
  <c r="AT13" i="18" a="1"/>
  <c r="AT13" i="18" s="1"/>
  <c r="AT19" i="18" a="1"/>
  <c r="AT19" i="18" s="1"/>
  <c r="AT34" i="18" a="1"/>
  <c r="AT34" i="18" s="1"/>
  <c r="AT23" i="18" a="1"/>
  <c r="AT23" i="18" s="1"/>
  <c r="AT12" i="18" a="1"/>
  <c r="AT12" i="18" s="1"/>
  <c r="AT33" i="18" a="1"/>
  <c r="AT33" i="18" s="1"/>
  <c r="AT11" i="18" a="1"/>
  <c r="AT11" i="18" s="1"/>
  <c r="AT32" i="18" a="1"/>
  <c r="AT32" i="18" s="1"/>
  <c r="AT22" i="18" a="1"/>
  <c r="AT22" i="18" s="1"/>
  <c r="AT10" i="18" a="1"/>
  <c r="AT10" i="18" s="1"/>
  <c r="AT31" i="18" a="1"/>
  <c r="AT31" i="18" s="1"/>
  <c r="AT21" i="18" a="1"/>
  <c r="AT21" i="18" s="1"/>
  <c r="AT9" i="18" a="1"/>
  <c r="AT9" i="18" s="1"/>
  <c r="AT20" i="18" a="1"/>
  <c r="AT20" i="18" s="1"/>
  <c r="AT29" i="18" a="1"/>
  <c r="AT29" i="18" s="1"/>
  <c r="AT18" i="18" a="1"/>
  <c r="AT18" i="18" s="1"/>
  <c r="AT30" i="18" a="1"/>
  <c r="AT30" i="18" s="1"/>
  <c r="AT28" i="18" a="1"/>
  <c r="AT28" i="18" s="1"/>
  <c r="AT17" i="18" a="1"/>
  <c r="AT17" i="18" s="1"/>
  <c r="AT27" i="18" a="1"/>
  <c r="AT27" i="18" s="1"/>
  <c r="AT16" i="18" a="1"/>
  <c r="AT16" i="18" s="1"/>
  <c r="AS26" i="17" a="1"/>
  <c r="AS26" i="17" s="1"/>
  <c r="AS36" i="17" a="1"/>
  <c r="AS36" i="17" s="1"/>
  <c r="AS25" i="17" a="1"/>
  <c r="AS25" i="17" s="1"/>
  <c r="AS15" i="17" a="1"/>
  <c r="AS15" i="17" s="1"/>
  <c r="AS35" i="17" a="1"/>
  <c r="AS35" i="17" s="1"/>
  <c r="AS23" i="17" a="1"/>
  <c r="AS23" i="17" s="1"/>
  <c r="AS12" i="17" a="1"/>
  <c r="AS12" i="17" s="1"/>
  <c r="AS32" i="17" a="1"/>
  <c r="AS32" i="17" s="1"/>
  <c r="AS21" i="17" a="1"/>
  <c r="AS21" i="17" s="1"/>
  <c r="AS11" i="17" a="1"/>
  <c r="AS11" i="17" s="1"/>
  <c r="AS31" i="17" a="1"/>
  <c r="AS31" i="17" s="1"/>
  <c r="AS20" i="17" a="1"/>
  <c r="AS20" i="17" s="1"/>
  <c r="AS10" i="17" a="1"/>
  <c r="AS10" i="17" s="1"/>
  <c r="AS33" i="17" a="1"/>
  <c r="AS33" i="17" s="1"/>
  <c r="AS30" i="17" a="1"/>
  <c r="AS30" i="17" s="1"/>
  <c r="AS19" i="17" a="1"/>
  <c r="AS19" i="17" s="1"/>
  <c r="AS9" i="17" a="1"/>
  <c r="AS9" i="17" s="1"/>
  <c r="AS34" i="17" a="1"/>
  <c r="AS34" i="17" s="1"/>
  <c r="AS29" i="17" a="1"/>
  <c r="AS29" i="17" s="1"/>
  <c r="AS28" i="17" a="1"/>
  <c r="AS28" i="17" s="1"/>
  <c r="AS18" i="17" a="1"/>
  <c r="AS18" i="17" s="1"/>
  <c r="AS14" i="17" a="1"/>
  <c r="AS14" i="17" s="1"/>
  <c r="AS27" i="17" a="1"/>
  <c r="AS27" i="17" s="1"/>
  <c r="AS17" i="17" a="1"/>
  <c r="AS17" i="17" s="1"/>
  <c r="AS16" i="17" a="1"/>
  <c r="AS16" i="17" s="1"/>
  <c r="AS24" i="17" a="1"/>
  <c r="AS24" i="17" s="1"/>
  <c r="AS13" i="17" a="1"/>
  <c r="AS13" i="17" s="1"/>
  <c r="AS22" i="17" a="1"/>
  <c r="AS22" i="17" s="1"/>
  <c r="AT22" i="16" a="1"/>
  <c r="AT22" i="16" s="1"/>
  <c r="AT31" i="16" a="1"/>
  <c r="AT31" i="16" s="1"/>
  <c r="AT26" i="16" a="1"/>
  <c r="AT26" i="16" s="1"/>
  <c r="AT13" i="16" a="1"/>
  <c r="AT13" i="16" s="1"/>
  <c r="AT36" i="16" a="1"/>
  <c r="AT36" i="16" s="1"/>
  <c r="AT15" i="16" a="1"/>
  <c r="AT15" i="16" s="1"/>
  <c r="AT11" i="16" a="1"/>
  <c r="AT11" i="16" s="1"/>
  <c r="AT12" i="16" a="1"/>
  <c r="AT12" i="16" s="1"/>
  <c r="AT19" i="16" a="1"/>
  <c r="AT19" i="16" s="1"/>
  <c r="AT30" i="16" a="1"/>
  <c r="AT30" i="16" s="1"/>
  <c r="AT35" i="16" a="1"/>
  <c r="AT35" i="16" s="1"/>
  <c r="AT10" i="16" a="1"/>
  <c r="AT10" i="16" s="1"/>
  <c r="AT24" i="16" a="1"/>
  <c r="AT24" i="16" s="1"/>
  <c r="AT20" i="16" a="1"/>
  <c r="AT20" i="16" s="1"/>
  <c r="AT28" i="16" a="1"/>
  <c r="AT28" i="16" s="1"/>
  <c r="AT23" i="16" a="1"/>
  <c r="AT23" i="16" s="1"/>
  <c r="AT14" i="16" a="1"/>
  <c r="AT14" i="16" s="1"/>
  <c r="AT33" i="16" a="1"/>
  <c r="AT33" i="16" s="1"/>
  <c r="AT34" i="16" a="1"/>
  <c r="AT34" i="16" s="1"/>
  <c r="AT18" i="16" a="1"/>
  <c r="AT18" i="16" s="1"/>
  <c r="AT17" i="16" a="1"/>
  <c r="AT17" i="16" s="1"/>
  <c r="AT9" i="16" a="1"/>
  <c r="AT9" i="16" s="1"/>
  <c r="AT29" i="16" a="1"/>
  <c r="AT29" i="16" s="1"/>
  <c r="AT21" i="16" a="1"/>
  <c r="AT21" i="16" s="1"/>
  <c r="AT27" i="16" a="1"/>
  <c r="AT27" i="16" s="1"/>
  <c r="AT25" i="16" a="1"/>
  <c r="AT25" i="16" s="1"/>
  <c r="AT32" i="16" a="1"/>
  <c r="AT32" i="16" s="1"/>
  <c r="AT16" i="16" a="1"/>
  <c r="AT16" i="16" s="1"/>
  <c r="AS23" i="15" a="1"/>
  <c r="AS23" i="15" s="1"/>
  <c r="AS11" i="15" a="1"/>
  <c r="AS11" i="15" s="1"/>
  <c r="AS34" i="15" a="1"/>
  <c r="AS34" i="15" s="1"/>
  <c r="AS22" i="15" a="1"/>
  <c r="AS22" i="15" s="1"/>
  <c r="AS33" i="15" a="1"/>
  <c r="AS33" i="15" s="1"/>
  <c r="AS21" i="15" a="1"/>
  <c r="AS21" i="15" s="1"/>
  <c r="AS10" i="15" a="1"/>
  <c r="AS10" i="15" s="1"/>
  <c r="AS32" i="15" a="1"/>
  <c r="AS32" i="15" s="1"/>
  <c r="AS20" i="15" a="1"/>
  <c r="AS20" i="15" s="1"/>
  <c r="AS9" i="15" a="1"/>
  <c r="AS9" i="15" s="1"/>
  <c r="AS31" i="15" a="1"/>
  <c r="AS31" i="15" s="1"/>
  <c r="AS19" i="15" a="1"/>
  <c r="AS19" i="15" s="1"/>
  <c r="AS30" i="15" a="1"/>
  <c r="AS30" i="15" s="1"/>
  <c r="AS18" i="15" a="1"/>
  <c r="AS18" i="15" s="1"/>
  <c r="AS29" i="15" a="1"/>
  <c r="AS29" i="15" s="1"/>
  <c r="AS17" i="15" a="1"/>
  <c r="AS17" i="15" s="1"/>
  <c r="AS28" i="15" a="1"/>
  <c r="AS28" i="15" s="1"/>
  <c r="AS16" i="15" a="1"/>
  <c r="AS16" i="15" s="1"/>
  <c r="AS27" i="15" a="1"/>
  <c r="AS27" i="15" s="1"/>
  <c r="AS15" i="15" a="1"/>
  <c r="AS15" i="15" s="1"/>
  <c r="AS26" i="15" a="1"/>
  <c r="AS26" i="15" s="1"/>
  <c r="AS14" i="15" a="1"/>
  <c r="AS14" i="15" s="1"/>
  <c r="AS36" i="15" a="1"/>
  <c r="AS36" i="15" s="1"/>
  <c r="AS25" i="15" a="1"/>
  <c r="AS25" i="15" s="1"/>
  <c r="AS13" i="15" a="1"/>
  <c r="AS13" i="15" s="1"/>
  <c r="AS35" i="15" a="1"/>
  <c r="AS35" i="15" s="1"/>
  <c r="AS24" i="15" a="1"/>
  <c r="AS24" i="15" s="1"/>
  <c r="AS12" i="15" a="1"/>
  <c r="AS12" i="15" s="1"/>
  <c r="AS34" i="14" a="1"/>
  <c r="AS34" i="14" s="1"/>
  <c r="AS24" i="14" a="1"/>
  <c r="AS24" i="14" s="1"/>
  <c r="AS13" i="14" a="1"/>
  <c r="AS13" i="14" s="1"/>
  <c r="AS35" i="14" a="1"/>
  <c r="AS35" i="14" s="1"/>
  <c r="AS33" i="14" a="1"/>
  <c r="AS33" i="14" s="1"/>
  <c r="AS23" i="14" a="1"/>
  <c r="AS23" i="14" s="1"/>
  <c r="AS12" i="14" a="1"/>
  <c r="AS12" i="14" s="1"/>
  <c r="AS32" i="14" a="1"/>
  <c r="AS32" i="14" s="1"/>
  <c r="AS22" i="14" a="1"/>
  <c r="AS22" i="14" s="1"/>
  <c r="AS11" i="14" a="1"/>
  <c r="AS11" i="14" s="1"/>
  <c r="AS31" i="14" a="1"/>
  <c r="AS31" i="14" s="1"/>
  <c r="AS21" i="14" a="1"/>
  <c r="AS21" i="14" s="1"/>
  <c r="AS10" i="14" a="1"/>
  <c r="AS10" i="14" s="1"/>
  <c r="AS25" i="14" a="1"/>
  <c r="AS25" i="14" s="1"/>
  <c r="AS20" i="14" a="1"/>
  <c r="AS20" i="14" s="1"/>
  <c r="AS9" i="14" a="1"/>
  <c r="AS9" i="14" s="1"/>
  <c r="AS30" i="14" a="1"/>
  <c r="AS30" i="14" s="1"/>
  <c r="AS19" i="14" a="1"/>
  <c r="AS19" i="14" s="1"/>
  <c r="AS29" i="14" a="1"/>
  <c r="AS29" i="14" s="1"/>
  <c r="AS18" i="14" a="1"/>
  <c r="AS18" i="14" s="1"/>
  <c r="AS28" i="14" a="1"/>
  <c r="AS28" i="14" s="1"/>
  <c r="AS17" i="14" a="1"/>
  <c r="AS17" i="14" s="1"/>
  <c r="AS16" i="14" a="1"/>
  <c r="AS16" i="14" s="1"/>
  <c r="AS27" i="14" a="1"/>
  <c r="AS27" i="14" s="1"/>
  <c r="AS15" i="14" a="1"/>
  <c r="AS15" i="14" s="1"/>
  <c r="AS14" i="14" a="1"/>
  <c r="AS14" i="14" s="1"/>
  <c r="AS36" i="14" a="1"/>
  <c r="AS36" i="14" s="1"/>
  <c r="AS26" i="14" a="1"/>
  <c r="AS26" i="14" s="1"/>
  <c r="AS16" i="13" a="1"/>
  <c r="AS16" i="13" s="1"/>
  <c r="AS36" i="13" a="1"/>
  <c r="AS36" i="13" s="1"/>
  <c r="AS26" i="13" a="1"/>
  <c r="AS26" i="13" s="1"/>
  <c r="AS15" i="13" a="1"/>
  <c r="AS15" i="13" s="1"/>
  <c r="AS35" i="13" a="1"/>
  <c r="AS35" i="13" s="1"/>
  <c r="AS25" i="13" a="1"/>
  <c r="AS25" i="13" s="1"/>
  <c r="AS14" i="13" a="1"/>
  <c r="AS14" i="13" s="1"/>
  <c r="AS24" i="13" a="1"/>
  <c r="AS24" i="13" s="1"/>
  <c r="AS13" i="13" a="1"/>
  <c r="AS13" i="13" s="1"/>
  <c r="AS34" i="13" a="1"/>
  <c r="AS34" i="13" s="1"/>
  <c r="AS12" i="13" a="1"/>
  <c r="AS12" i="13" s="1"/>
  <c r="AS33" i="13" a="1"/>
  <c r="AS33" i="13" s="1"/>
  <c r="AS23" i="13" a="1"/>
  <c r="AS23" i="13" s="1"/>
  <c r="AS11" i="13" a="1"/>
  <c r="AS11" i="13" s="1"/>
  <c r="AS32" i="13" a="1"/>
  <c r="AS32" i="13" s="1"/>
  <c r="AS22" i="13" a="1"/>
  <c r="AS22" i="13" s="1"/>
  <c r="AS31" i="13" a="1"/>
  <c r="AS31" i="13" s="1"/>
  <c r="AS21" i="13" a="1"/>
  <c r="AS21" i="13" s="1"/>
  <c r="AS10" i="13" a="1"/>
  <c r="AS10" i="13" s="1"/>
  <c r="AS30" i="13" a="1"/>
  <c r="AS30" i="13" s="1"/>
  <c r="AS20" i="13" a="1"/>
  <c r="AS20" i="13" s="1"/>
  <c r="AS9" i="13" a="1"/>
  <c r="AS9" i="13" s="1"/>
  <c r="AS29" i="13" a="1"/>
  <c r="AS29" i="13" s="1"/>
  <c r="AS19" i="13" a="1"/>
  <c r="AS19" i="13" s="1"/>
  <c r="AS28" i="13" a="1"/>
  <c r="AS28" i="13" s="1"/>
  <c r="AS18" i="13" a="1"/>
  <c r="AS18" i="13" s="1"/>
  <c r="AS27" i="13" a="1"/>
  <c r="AS27" i="13" s="1"/>
  <c r="AS17" i="13" a="1"/>
  <c r="AS17" i="13" s="1"/>
  <c r="AS34" i="12" a="1"/>
  <c r="AS34" i="12" s="1"/>
  <c r="AS25" i="12" a="1"/>
  <c r="AS25" i="12" s="1"/>
  <c r="AS16" i="12" a="1"/>
  <c r="AS16" i="12" s="1"/>
  <c r="AS33" i="12" a="1"/>
  <c r="AS33" i="12" s="1"/>
  <c r="AS24" i="12" a="1"/>
  <c r="AS24" i="12" s="1"/>
  <c r="AS15" i="12" a="1"/>
  <c r="AS15" i="12" s="1"/>
  <c r="AS32" i="12" a="1"/>
  <c r="AS32" i="12" s="1"/>
  <c r="AS23" i="12" a="1"/>
  <c r="AS23" i="12" s="1"/>
  <c r="AS14" i="12" a="1"/>
  <c r="AS14" i="12" s="1"/>
  <c r="AS18" i="12" a="1"/>
  <c r="AS18" i="12" s="1"/>
  <c r="AS31" i="12" a="1"/>
  <c r="AS31" i="12" s="1"/>
  <c r="AS13" i="12" a="1"/>
  <c r="AS13" i="12" s="1"/>
  <c r="AS36" i="12" a="1"/>
  <c r="AS36" i="12" s="1"/>
  <c r="AS35" i="12" a="1"/>
  <c r="AS35" i="12" s="1"/>
  <c r="AS22" i="12" a="1"/>
  <c r="AS22" i="12" s="1"/>
  <c r="AS27" i="12" a="1"/>
  <c r="AS27" i="12" s="1"/>
  <c r="AS26" i="12" a="1"/>
  <c r="AS26" i="12" s="1"/>
  <c r="AS17" i="12" a="1"/>
  <c r="AS17" i="12" s="1"/>
  <c r="AS30" i="12" a="1"/>
  <c r="AS30" i="12" s="1"/>
  <c r="AS21" i="12" a="1"/>
  <c r="AS21" i="12" s="1"/>
  <c r="AS12" i="12" a="1"/>
  <c r="AS12" i="12" s="1"/>
  <c r="AS29" i="12" a="1"/>
  <c r="AS29" i="12" s="1"/>
  <c r="AS20" i="12" a="1"/>
  <c r="AS20" i="12" s="1"/>
  <c r="AS11" i="12" a="1"/>
  <c r="AS11" i="12" s="1"/>
  <c r="AS10" i="12" a="1"/>
  <c r="AS10" i="12" s="1"/>
  <c r="AS28" i="12" a="1"/>
  <c r="AS28" i="12" s="1"/>
  <c r="AS19" i="12" a="1"/>
  <c r="AS19" i="12" s="1"/>
  <c r="AS9" i="12" a="1"/>
  <c r="AS9" i="12" s="1"/>
  <c r="AS34" i="11" a="1"/>
  <c r="AS34" i="11" s="1"/>
  <c r="AS25" i="11" a="1"/>
  <c r="AS25" i="11" s="1"/>
  <c r="AS16" i="11" a="1"/>
  <c r="AS16" i="11" s="1"/>
  <c r="AS33" i="11" a="1"/>
  <c r="AS33" i="11" s="1"/>
  <c r="AS24" i="11" a="1"/>
  <c r="AS24" i="11" s="1"/>
  <c r="AS15" i="11" a="1"/>
  <c r="AS15" i="11" s="1"/>
  <c r="AS32" i="11" a="1"/>
  <c r="AS32" i="11" s="1"/>
  <c r="AS23" i="11" a="1"/>
  <c r="AS23" i="11" s="1"/>
  <c r="AS31" i="11" a="1"/>
  <c r="AS31" i="11" s="1"/>
  <c r="AS22" i="11" a="1"/>
  <c r="AS22" i="11" s="1"/>
  <c r="AS14" i="11" a="1"/>
  <c r="AS14" i="11" s="1"/>
  <c r="AS13" i="11" a="1"/>
  <c r="AS13" i="11" s="1"/>
  <c r="AS30" i="11" a="1"/>
  <c r="AS30" i="11" s="1"/>
  <c r="AS21" i="11" a="1"/>
  <c r="AS21" i="11" s="1"/>
  <c r="AS12" i="11" a="1"/>
  <c r="AS12" i="11" s="1"/>
  <c r="AS29" i="11" a="1"/>
  <c r="AS29" i="11" s="1"/>
  <c r="AS20" i="11" a="1"/>
  <c r="AS20" i="11" s="1"/>
  <c r="AS11" i="11" a="1"/>
  <c r="AS11" i="11" s="1"/>
  <c r="AS28" i="11" a="1"/>
  <c r="AS28" i="11" s="1"/>
  <c r="AS19" i="11" a="1"/>
  <c r="AS19" i="11" s="1"/>
  <c r="AS10" i="11" a="1"/>
  <c r="AS10" i="11" s="1"/>
  <c r="AS27" i="11" a="1"/>
  <c r="AS27" i="11" s="1"/>
  <c r="AS9" i="11" a="1"/>
  <c r="AS9" i="11" s="1"/>
  <c r="AS36" i="11" a="1"/>
  <c r="AS36" i="11" s="1"/>
  <c r="AS18" i="11" a="1"/>
  <c r="AS18" i="11" s="1"/>
  <c r="AS35" i="11" a="1"/>
  <c r="AS35" i="11" s="1"/>
  <c r="AS26" i="11" a="1"/>
  <c r="AS26" i="11" s="1"/>
  <c r="AS17" i="11" a="1"/>
  <c r="AS17" i="11" s="1"/>
  <c r="AT17" i="6"/>
  <c r="AT36" i="6"/>
  <c r="AT22" i="6"/>
  <c r="AT24" i="6"/>
  <c r="AT34" i="6"/>
  <c r="AT10" i="6"/>
  <c r="AT16" i="6"/>
  <c r="AT21" i="6"/>
  <c r="AT28" i="6"/>
  <c r="AT20" i="6"/>
  <c r="AT29" i="6"/>
  <c r="AT23" i="6"/>
  <c r="AT31" i="6"/>
  <c r="AT32" i="6"/>
  <c r="AT14" i="6"/>
  <c r="AT15" i="6"/>
  <c r="AT30" i="6"/>
  <c r="AT13" i="6"/>
  <c r="AT26" i="6"/>
  <c r="AT9" i="6"/>
  <c r="AT27" i="6"/>
  <c r="AT18" i="6"/>
  <c r="AT19" i="6"/>
  <c r="AT33" i="6"/>
  <c r="AT25" i="6"/>
  <c r="AT35" i="6"/>
  <c r="AT11" i="6"/>
  <c r="AT12" i="6"/>
  <c r="BH10" i="35" a="1"/>
  <c r="BU30" i="35" a="1"/>
  <c r="E239" i="37" a="1"/>
  <c r="BU11" i="35" a="1"/>
  <c r="E604" i="37" a="1"/>
  <c r="AA4" i="35"/>
  <c r="AS7" i="35"/>
  <c r="AT3" i="35"/>
  <c r="AV10" i="35"/>
  <c r="BI16" i="35" a="1"/>
  <c r="AQ8" i="35"/>
  <c r="AE25" i="35"/>
  <c r="C26" i="35" a="1"/>
  <c r="BK21" i="35" a="1"/>
  <c r="AT9" i="35"/>
  <c r="Y7" i="35"/>
  <c r="AS18" i="35"/>
  <c r="E176" i="37" a="1"/>
  <c r="G22" i="35" a="1"/>
  <c r="BA29" i="35" a="1"/>
  <c r="AM27" i="35"/>
  <c r="AD13" i="35"/>
  <c r="AY19" i="35" a="1"/>
  <c r="E14" i="35" a="1"/>
  <c r="AM8" i="35"/>
  <c r="Y12" i="35"/>
  <c r="AY8" i="35" a="1"/>
  <c r="BA20" i="35" a="1"/>
  <c r="E124" i="37" a="1"/>
  <c r="E13" i="37" a="1"/>
  <c r="E368" i="37" a="1"/>
  <c r="X9" i="35"/>
  <c r="E78" i="37" a="1"/>
  <c r="AD19" i="35"/>
  <c r="E553" i="37" a="1"/>
  <c r="BZ8" i="35" a="1"/>
  <c r="BN21" i="35" a="1"/>
  <c r="E743" i="37" a="1"/>
  <c r="AF9" i="35"/>
  <c r="BB15" i="35" a="1"/>
  <c r="AE15" i="35"/>
  <c r="BN7" i="35" a="1"/>
  <c r="E473" i="37" a="1"/>
  <c r="T28" i="35"/>
  <c r="E26" i="35" a="1"/>
  <c r="G12" i="35" a="1"/>
  <c r="S4" i="35"/>
  <c r="E321" i="37" a="1"/>
  <c r="BY22" i="35" a="1"/>
  <c r="Z19" i="35"/>
  <c r="Y16" i="35"/>
  <c r="AK27" i="35"/>
  <c r="E219" i="37" a="1"/>
  <c r="BZ15" i="35" a="1"/>
  <c r="E300" i="37" a="1"/>
  <c r="AP6" i="35"/>
  <c r="BB3" i="35" a="1"/>
  <c r="AE26" i="35"/>
  <c r="Y23" i="35"/>
  <c r="BU14" i="35" a="1"/>
  <c r="CB22" i="35" a="1"/>
  <c r="T21" i="35"/>
  <c r="AR4" i="35"/>
  <c r="F22" i="35" a="1"/>
  <c r="BG15" i="35" a="1"/>
  <c r="AY29" i="35" a="1"/>
  <c r="AC18" i="35"/>
  <c r="BL26" i="35" a="1"/>
  <c r="E315" i="37" a="1"/>
  <c r="AS6" i="35"/>
  <c r="AG6" i="35"/>
  <c r="BE26" i="35" a="1"/>
  <c r="AR23" i="35"/>
  <c r="AB12" i="35"/>
  <c r="BB27" i="35" a="1"/>
  <c r="E552" i="37" a="1"/>
  <c r="AL22" i="35"/>
  <c r="AP18" i="35"/>
  <c r="AQ19" i="35"/>
  <c r="D10" i="35" a="1"/>
  <c r="BM20" i="35" a="1"/>
  <c r="E64" i="37" a="1"/>
  <c r="BN22" i="35" a="1"/>
  <c r="AV8" i="35"/>
  <c r="E130" i="37" a="1"/>
  <c r="AD6" i="35"/>
  <c r="BD22" i="35" a="1"/>
  <c r="E459" i="37" a="1"/>
  <c r="AZ16" i="35" a="1"/>
  <c r="AE6" i="35"/>
  <c r="BO20" i="35" a="1"/>
  <c r="BX10" i="35" a="1"/>
  <c r="AJ19" i="35"/>
  <c r="AT17" i="35"/>
  <c r="I7" i="35" a="1"/>
  <c r="AN4" i="35"/>
  <c r="F12" i="35" a="1"/>
  <c r="CB12" i="35" a="1"/>
  <c r="AH3" i="35"/>
  <c r="AZ24" i="35" a="1"/>
  <c r="E528" i="37" a="1"/>
  <c r="AO10" i="35"/>
  <c r="E31" i="37" a="1"/>
  <c r="E65" i="37" a="1"/>
  <c r="E603" i="37" a="1"/>
  <c r="BF6" i="35" a="1"/>
  <c r="AD29" i="35"/>
  <c r="BV28" i="35" a="1"/>
  <c r="BB21" i="35" a="1"/>
  <c r="U12" i="35"/>
  <c r="U26" i="35"/>
  <c r="BB11" i="35" a="1"/>
  <c r="E359" i="37" a="1"/>
  <c r="E147" i="37" a="1"/>
  <c r="E724" i="37" a="1"/>
  <c r="R14" i="35"/>
  <c r="E535" i="37" a="1"/>
  <c r="E374" i="37" a="1"/>
  <c r="E519" i="37" a="1"/>
  <c r="E390" i="37" a="1"/>
  <c r="AU22" i="35"/>
  <c r="E87" i="37" a="1"/>
  <c r="E406" i="37" a="1"/>
  <c r="E529" i="37" a="1"/>
  <c r="E249" i="37" a="1"/>
  <c r="E10" i="35" a="1"/>
  <c r="Z20" i="35"/>
  <c r="CA17" i="35" a="1"/>
  <c r="BM24" i="35" a="1"/>
  <c r="E191" i="37" a="1"/>
  <c r="E163" i="37" a="1"/>
  <c r="Z11" i="35"/>
  <c r="E8" i="35" a="1"/>
  <c r="I5" i="35" a="1"/>
  <c r="E203" i="37" a="1"/>
  <c r="E610" i="37" a="1"/>
  <c r="AU10" i="35"/>
  <c r="E401" i="37" a="1"/>
  <c r="BZ26" i="35" a="1"/>
  <c r="E487" i="37" a="1"/>
  <c r="AO3" i="35"/>
  <c r="T20" i="35"/>
  <c r="BF10" i="35" a="1"/>
  <c r="AO11" i="35"/>
  <c r="BM27" i="35" a="1"/>
  <c r="E110" i="37" a="1"/>
  <c r="BA18" i="35" a="1"/>
  <c r="E166" i="37" a="1"/>
  <c r="V10" i="35"/>
  <c r="V16" i="35"/>
  <c r="J22" i="35" a="1"/>
  <c r="BM30" i="35" a="1"/>
  <c r="BJ14" i="35" a="1"/>
  <c r="BK3" i="35" a="1"/>
  <c r="CB21" i="35" a="1"/>
  <c r="BT7" i="35" a="1"/>
  <c r="BE29" i="35" a="1"/>
  <c r="E381" i="37" a="1"/>
  <c r="E222" i="37" a="1"/>
  <c r="BT15" i="35" a="1"/>
  <c r="E575" i="37" a="1"/>
  <c r="E648" i="37" a="1"/>
  <c r="AQ22" i="35"/>
  <c r="V30" i="35"/>
  <c r="AV13" i="35"/>
  <c r="E161" i="37" a="1"/>
  <c r="AG12" i="35"/>
  <c r="E17" i="37" a="1"/>
  <c r="E287" i="37" a="1"/>
  <c r="R7" i="35"/>
  <c r="BL15" i="35" a="1"/>
  <c r="AQ5" i="35"/>
  <c r="Z22" i="35"/>
  <c r="E132" i="37" a="1"/>
  <c r="J19" i="35" a="1"/>
  <c r="E162" i="37" a="1"/>
  <c r="S3" i="35"/>
  <c r="BQ26" i="35" a="1"/>
  <c r="BI19" i="35" a="1"/>
  <c r="BY4" i="35" a="1"/>
  <c r="D29" i="35" a="1"/>
  <c r="BL12" i="35" a="1"/>
  <c r="E211" i="37" a="1"/>
  <c r="E432" i="37" a="1"/>
  <c r="BP14" i="35" a="1"/>
  <c r="BI20" i="35" a="1"/>
  <c r="E262" i="37" a="1"/>
  <c r="BG4" i="35" a="1"/>
  <c r="E623" i="37" a="1"/>
  <c r="E593" i="37" a="1"/>
  <c r="AU4" i="35"/>
  <c r="E736" i="37" a="1"/>
  <c r="J30" i="35" a="1"/>
  <c r="E214" i="37" a="1"/>
  <c r="BP3" i="35" a="1"/>
  <c r="BT8" i="35" a="1"/>
  <c r="C13" i="35" a="1"/>
  <c r="BA13" i="35" a="1"/>
  <c r="AA30" i="35"/>
  <c r="E569" i="37" a="1"/>
  <c r="BC14" i="35" a="1"/>
  <c r="V15" i="35"/>
  <c r="E29" i="35" a="1"/>
  <c r="AB28" i="35"/>
  <c r="E331" i="37" a="1"/>
  <c r="AN18" i="35"/>
  <c r="AF26" i="35"/>
  <c r="BU9" i="35" a="1"/>
  <c r="AO9" i="35"/>
  <c r="C30" i="35" a="1"/>
  <c r="AO28" i="35"/>
  <c r="BS5" i="35" a="1"/>
  <c r="AO22" i="35"/>
  <c r="J8" i="35" a="1"/>
  <c r="E712" i="37" a="1"/>
  <c r="BK17" i="35" a="1"/>
  <c r="V7" i="35"/>
  <c r="D19" i="35" a="1"/>
  <c r="BO7" i="35" a="1"/>
  <c r="AT24" i="35"/>
  <c r="AU30" i="35"/>
  <c r="BY12" i="35" a="1"/>
  <c r="AM16" i="35"/>
  <c r="AL30" i="35"/>
  <c r="AT22" i="35"/>
  <c r="E531" i="37" a="1"/>
  <c r="BM16" i="35" a="1"/>
  <c r="H15" i="35" a="1"/>
  <c r="BV16" i="35" a="1"/>
  <c r="AD7" i="35"/>
  <c r="E199" i="37" a="1"/>
  <c r="Y9" i="35"/>
  <c r="E612" i="37" a="1"/>
  <c r="H17" i="35" a="1"/>
  <c r="E20" i="37" a="1"/>
  <c r="V19" i="35"/>
  <c r="Z17" i="35"/>
  <c r="AZ9" i="35" a="1"/>
  <c r="AU20" i="35"/>
  <c r="BT6" i="35" a="1"/>
  <c r="E180" i="37" a="1"/>
  <c r="J13" i="35" a="1"/>
  <c r="BT17" i="35" a="1"/>
  <c r="AV21" i="35"/>
  <c r="BI30" i="35" a="1"/>
  <c r="T16" i="35"/>
  <c r="BY19" i="35" a="1"/>
  <c r="AK3" i="35"/>
  <c r="BX21" i="35" a="1"/>
  <c r="AM25" i="35"/>
  <c r="E181" i="37" a="1"/>
  <c r="E676" i="37" a="1"/>
  <c r="BM12" i="35" a="1"/>
  <c r="AY13" i="35" a="1"/>
  <c r="H22" i="35" a="1"/>
  <c r="BF20" i="35" a="1"/>
  <c r="AT28" i="35"/>
  <c r="G20" i="35" a="1"/>
  <c r="D8" i="35" a="1"/>
  <c r="E543" i="37" a="1"/>
  <c r="AR19" i="35"/>
  <c r="T30" i="35"/>
  <c r="AP29" i="35"/>
  <c r="C5" i="35" a="1"/>
  <c r="E522" i="37" a="1"/>
  <c r="E450" i="37" a="1"/>
  <c r="AU28" i="35"/>
  <c r="Z7" i="35"/>
  <c r="E466" i="37" a="1"/>
  <c r="BS13" i="35" a="1"/>
  <c r="BO21" i="35" a="1"/>
  <c r="BJ28" i="35" a="1"/>
  <c r="BC11" i="35" a="1"/>
  <c r="E3" i="37" a="1"/>
  <c r="I18" i="35" a="1"/>
  <c r="AS11" i="35"/>
  <c r="BU3" i="35" a="1"/>
  <c r="AK12" i="35"/>
  <c r="E99" i="37" a="1"/>
  <c r="AK29" i="35"/>
  <c r="E479" i="37" a="1"/>
  <c r="E218" i="37" a="1"/>
  <c r="AC30" i="35"/>
  <c r="BM11" i="35" a="1"/>
  <c r="BK14" i="35" a="1"/>
  <c r="BX8" i="35" a="1"/>
  <c r="AQ10" i="35"/>
  <c r="BE30" i="35" a="1"/>
  <c r="E635" i="37" a="1"/>
  <c r="AO18" i="35"/>
  <c r="E513" i="37" a="1"/>
  <c r="G8" i="35" a="1"/>
  <c r="W9" i="35"/>
  <c r="BR24" i="35" a="1"/>
  <c r="T15" i="35"/>
  <c r="E739" i="37" a="1"/>
  <c r="J5" i="35" a="1"/>
  <c r="AS5" i="35"/>
  <c r="E726" i="37" a="1"/>
  <c r="AX17" i="35" a="1"/>
  <c r="E292" i="37" a="1"/>
  <c r="W25" i="35"/>
  <c r="BB8" i="35" a="1"/>
  <c r="BY20" i="35" a="1"/>
  <c r="AD24" i="35"/>
  <c r="BN12" i="35" a="1"/>
  <c r="BG8" i="35" a="1"/>
  <c r="AY23" i="35" a="1"/>
  <c r="AD16" i="35"/>
  <c r="BW11" i="35" a="1"/>
  <c r="AJ27" i="35"/>
  <c r="BX11" i="35" a="1"/>
  <c r="BL21" i="35" a="1"/>
  <c r="T26" i="35"/>
  <c r="BR9" i="35" a="1"/>
  <c r="E358" i="37" a="1"/>
  <c r="BI26" i="35" a="1"/>
  <c r="AC4" i="35"/>
  <c r="BL6" i="35" a="1"/>
  <c r="AR26" i="35"/>
  <c r="H25" i="35" a="1"/>
  <c r="BP15" i="35" a="1"/>
  <c r="Z26" i="35"/>
  <c r="AF3" i="35"/>
  <c r="BQ18" i="35" a="1"/>
  <c r="AL7" i="35"/>
  <c r="I3" i="35" a="1"/>
  <c r="E586" i="37" a="1"/>
  <c r="AJ15" i="35"/>
  <c r="BU19" i="35" a="1"/>
  <c r="T23" i="35"/>
  <c r="E723" i="37" a="1"/>
  <c r="Z14" i="35"/>
  <c r="BZ19" i="35" a="1"/>
  <c r="U3" i="35"/>
  <c r="AV11" i="35"/>
  <c r="C16" i="35" a="1"/>
  <c r="BQ25" i="35" a="1"/>
  <c r="BM17" i="35" a="1"/>
  <c r="BA25" i="35" a="1"/>
  <c r="BL29" i="35" a="1"/>
  <c r="E131" i="37" a="1"/>
  <c r="E549" i="37" a="1"/>
  <c r="E187" i="37" a="1"/>
  <c r="H18" i="35" a="1"/>
  <c r="BB23" i="35" a="1"/>
  <c r="D11" i="35" a="1"/>
  <c r="AK17" i="35"/>
  <c r="BS10" i="35" a="1"/>
  <c r="AM11" i="35"/>
  <c r="BC8" i="35" a="1"/>
  <c r="AZ20" i="35" a="1"/>
  <c r="E28" i="35" a="1"/>
  <c r="E264" i="37" a="1"/>
  <c r="W6" i="35"/>
  <c r="BP30" i="35" a="1"/>
  <c r="E343" i="37" a="1"/>
  <c r="R4" i="35"/>
  <c r="CA20" i="35" a="1"/>
  <c r="BJ15" i="35" a="1"/>
  <c r="G16" i="35" a="1"/>
  <c r="BE10" i="35" a="1"/>
  <c r="AP23" i="35"/>
  <c r="E29" i="37" a="1"/>
  <c r="E270" i="37" a="1"/>
  <c r="AQ26" i="35"/>
  <c r="U30" i="35"/>
  <c r="E659" i="37" a="1"/>
  <c r="BU12" i="35" a="1"/>
  <c r="E418" i="37" a="1"/>
  <c r="E125" i="37" a="1"/>
  <c r="BQ29" i="35" a="1"/>
  <c r="E699" i="37" a="1"/>
  <c r="AF14" i="35"/>
  <c r="AX23" i="35" a="1"/>
  <c r="E10" i="37" a="1"/>
  <c r="E377" i="37" a="1"/>
  <c r="BE14" i="35" a="1"/>
  <c r="AA9" i="35"/>
  <c r="BE12" i="35" a="1"/>
  <c r="E427" i="37" a="1"/>
  <c r="AO15" i="35"/>
  <c r="U16" i="35"/>
  <c r="E403" i="37" a="1"/>
  <c r="AR7" i="35"/>
  <c r="E240" i="37" a="1"/>
  <c r="AP11" i="35"/>
  <c r="BP29" i="35" a="1"/>
  <c r="E640" i="37" a="1"/>
  <c r="E33" i="37" a="1"/>
  <c r="AQ7" i="35"/>
  <c r="BZ11" i="35" a="1"/>
  <c r="AH25" i="35"/>
  <c r="BB17" i="35" a="1"/>
  <c r="F18" i="35" a="1"/>
  <c r="BM18" i="35" a="1"/>
  <c r="BD17" i="35" a="1"/>
  <c r="AG11" i="35"/>
  <c r="BR21" i="35" a="1"/>
  <c r="AU25" i="35"/>
  <c r="AJ10" i="35"/>
  <c r="CB16" i="35" a="1"/>
  <c r="AQ21" i="35"/>
  <c r="E2" i="37" a="1"/>
  <c r="BP5" i="35" a="1"/>
  <c r="AB27" i="35"/>
  <c r="AK10" i="35"/>
  <c r="BF5" i="35" a="1"/>
  <c r="E256" i="37" a="1"/>
  <c r="AD17" i="35"/>
  <c r="G26" i="35" a="1"/>
  <c r="AK7" i="35"/>
  <c r="E334" i="37" a="1"/>
  <c r="E206" i="37" a="1"/>
  <c r="E171" i="37" a="1"/>
  <c r="AM9" i="35"/>
  <c r="BC24" i="35" a="1"/>
  <c r="AJ24" i="35"/>
  <c r="AF7" i="35"/>
  <c r="BV12" i="35" a="1"/>
  <c r="E708" i="37" a="1"/>
  <c r="E740" i="37" a="1"/>
  <c r="W17" i="35"/>
  <c r="BM5" i="35" a="1"/>
  <c r="H13" i="35" a="1"/>
  <c r="AU15" i="35"/>
  <c r="AJ11" i="35"/>
  <c r="BD15" i="35" a="1"/>
  <c r="X25" i="35"/>
  <c r="E680" i="37" a="1"/>
  <c r="E461" i="37" a="1"/>
  <c r="BL9" i="35" a="1"/>
  <c r="AJ14" i="35"/>
  <c r="E47" i="37" a="1"/>
  <c r="BJ21" i="35" a="1"/>
  <c r="E91" i="37" a="1"/>
  <c r="CB30" i="35" a="1"/>
  <c r="BV9" i="35" a="1"/>
  <c r="AQ23" i="35"/>
  <c r="AL16" i="35"/>
  <c r="Z21" i="35"/>
  <c r="E28" i="37" a="1"/>
  <c r="BC9" i="35" a="1"/>
  <c r="C29" i="35" a="1"/>
  <c r="E123" i="37" a="1"/>
  <c r="C23" i="35" a="1"/>
  <c r="V5" i="35"/>
  <c r="E649" i="37" a="1"/>
  <c r="S10" i="35"/>
  <c r="E183" i="37" a="1"/>
  <c r="AN15" i="35"/>
  <c r="E310" i="37" a="1"/>
  <c r="BH5" i="35" a="1"/>
  <c r="E537" i="37" a="1"/>
  <c r="BN25" i="35" a="1"/>
  <c r="BJ8" i="35" a="1"/>
  <c r="BW30" i="35" a="1"/>
  <c r="AI12" i="35"/>
  <c r="AB17" i="35"/>
  <c r="H4" i="35" a="1"/>
  <c r="AV5" i="35"/>
  <c r="BF26" i="35" a="1"/>
  <c r="E232" i="37" a="1"/>
  <c r="E372" i="37" a="1"/>
  <c r="BM25" i="35" a="1"/>
  <c r="BP19" i="35" a="1"/>
  <c r="AA5" i="35"/>
  <c r="BD25" i="35" a="1"/>
  <c r="BB22" i="35" a="1"/>
  <c r="S27" i="35"/>
  <c r="AP4" i="35"/>
  <c r="E533" i="37" a="1"/>
  <c r="E514" i="37" a="1"/>
  <c r="E375" i="37" a="1"/>
  <c r="AZ17" i="35" a="1"/>
  <c r="AT18" i="35"/>
  <c r="E178" i="37" a="1"/>
  <c r="BX15" i="35" a="1"/>
  <c r="BL7" i="35" a="1"/>
  <c r="AT10" i="35"/>
  <c r="BA15" i="35" a="1"/>
  <c r="E228" i="37" a="1"/>
  <c r="BY10" i="35" a="1"/>
  <c r="Y20" i="35"/>
  <c r="W24" i="35"/>
  <c r="E241" i="37" a="1"/>
  <c r="BB5" i="35" a="1"/>
  <c r="BA12" i="35" a="1"/>
  <c r="BS8" i="35" a="1"/>
  <c r="J28" i="35" a="1"/>
  <c r="E52" i="37" a="1"/>
  <c r="E620" i="37" a="1"/>
  <c r="E653" i="37" a="1"/>
  <c r="AV29" i="35"/>
  <c r="E639" i="37" a="1"/>
  <c r="AJ23" i="35"/>
  <c r="AM13" i="35"/>
  <c r="F6" i="35" a="1"/>
  <c r="BR29" i="35" a="1"/>
  <c r="X24" i="35"/>
  <c r="BO16" i="35" a="1"/>
  <c r="BW8" i="35" a="1"/>
  <c r="AZ10" i="35" a="1"/>
  <c r="BJ5" i="35" a="1"/>
  <c r="BP20" i="35" a="1"/>
  <c r="E561" i="37" a="1"/>
  <c r="BY28" i="35" a="1"/>
  <c r="BZ14" i="35" a="1"/>
  <c r="E160" i="37" a="1"/>
  <c r="AG23" i="35"/>
  <c r="AV7" i="35"/>
  <c r="E516" i="37" a="1"/>
  <c r="BG3" i="35" a="1"/>
  <c r="AR16" i="35"/>
  <c r="E663" i="37" a="1"/>
  <c r="E361" i="37" a="1"/>
  <c r="BZ25" i="35" a="1"/>
  <c r="BL27" i="35" a="1"/>
  <c r="D16" i="35" a="1"/>
  <c r="E236" i="37" a="1"/>
  <c r="X15" i="35"/>
  <c r="BN23" i="35" a="1"/>
  <c r="AU12" i="35"/>
  <c r="E439" i="37" a="1"/>
  <c r="AR6" i="35"/>
  <c r="E153" i="37" a="1"/>
  <c r="BL24" i="35" a="1"/>
  <c r="CB10" i="35" a="1"/>
  <c r="U21" i="35"/>
  <c r="E93" i="37" a="1"/>
  <c r="CA25" i="35" a="1"/>
  <c r="AV3" i="35"/>
  <c r="X28" i="35"/>
  <c r="BD7" i="35" a="1"/>
  <c r="E716" i="37" a="1"/>
  <c r="E399" i="37" a="1"/>
  <c r="AG19" i="35"/>
  <c r="AI29" i="35"/>
  <c r="E382" i="37" a="1"/>
  <c r="BN6" i="35" a="1"/>
  <c r="E338" i="37" a="1"/>
  <c r="AK30" i="35"/>
  <c r="E8" i="37" a="1"/>
  <c r="E192" i="37" a="1"/>
  <c r="BY3" i="35" a="1"/>
  <c r="BA17" i="35" a="1"/>
  <c r="AQ27" i="35"/>
  <c r="E697" i="37" a="1"/>
  <c r="E580" i="37" a="1"/>
  <c r="AN23" i="35"/>
  <c r="Y21" i="35"/>
  <c r="AR18" i="35"/>
  <c r="E209" i="37" a="1"/>
  <c r="BS30" i="35" a="1"/>
  <c r="Y10" i="35"/>
  <c r="E320" i="37" a="1"/>
  <c r="E156" i="37" a="1"/>
  <c r="E21" i="35" a="1"/>
  <c r="AZ6" i="35" a="1"/>
  <c r="BC10" i="35" a="1"/>
  <c r="E253" i="37" a="1"/>
  <c r="E251" i="37" a="1"/>
  <c r="BU6" i="35" a="1"/>
  <c r="G15" i="35" a="1"/>
  <c r="J3" i="35" a="1"/>
  <c r="BG25" i="35" a="1"/>
  <c r="BN27" i="35" a="1"/>
  <c r="BP4" i="35" a="1"/>
  <c r="AJ17" i="35"/>
  <c r="X18" i="35"/>
  <c r="C22" i="35" a="1"/>
  <c r="E15" i="35" a="1"/>
  <c r="E376" i="37" a="1"/>
  <c r="AU19" i="35"/>
  <c r="BP26" i="35" a="1"/>
  <c r="BH29" i="35" a="1"/>
  <c r="AN27" i="35"/>
  <c r="E70" i="37" a="1"/>
  <c r="W23" i="35"/>
  <c r="AT21" i="35"/>
  <c r="AX10" i="35" a="1"/>
  <c r="AS3" i="35"/>
  <c r="CA4" i="35" a="1"/>
  <c r="BV23" i="35" a="1"/>
  <c r="BG10" i="35" a="1"/>
  <c r="U23" i="35"/>
  <c r="AO26" i="35"/>
  <c r="E484" i="37" a="1"/>
  <c r="AL25" i="35"/>
  <c r="AX21" i="35" a="1"/>
  <c r="E328" i="37" a="1"/>
  <c r="V29" i="35"/>
  <c r="BT29" i="35" a="1"/>
  <c r="CA15" i="35" a="1"/>
  <c r="AL23" i="35"/>
  <c r="AI9" i="35"/>
  <c r="H10" i="35" a="1"/>
  <c r="AQ20" i="35"/>
  <c r="E43" i="37" a="1"/>
  <c r="E690" i="37" a="1"/>
  <c r="AI7" i="35"/>
  <c r="BY24" i="35" a="1"/>
  <c r="BT19" i="35" a="1"/>
  <c r="G18" i="35" a="1"/>
  <c r="AH9" i="35"/>
  <c r="E616" i="37" a="1"/>
  <c r="E22" i="37" a="1"/>
  <c r="BJ17" i="35" a="1"/>
  <c r="AY4" i="35" a="1"/>
  <c r="E502" i="37" a="1"/>
  <c r="E259" i="37" a="1"/>
  <c r="E291" i="37" a="1"/>
  <c r="V20" i="35"/>
  <c r="BR23" i="35" a="1"/>
  <c r="G3" i="35" a="1"/>
  <c r="E393" i="37" a="1"/>
  <c r="E677" i="37" a="1"/>
  <c r="AB29" i="35"/>
  <c r="BG17" i="35" a="1"/>
  <c r="BZ10" i="35" a="1"/>
  <c r="AI27" i="35"/>
  <c r="C21" i="35" a="1"/>
  <c r="G17" i="35" a="1"/>
  <c r="AR25" i="35"/>
  <c r="C14" i="35" a="1"/>
  <c r="BI3" i="35" a="1"/>
  <c r="AQ30" i="35"/>
  <c r="AD28" i="35"/>
  <c r="R17" i="35"/>
  <c r="BV17" i="35" a="1"/>
  <c r="AI28" i="35"/>
  <c r="T10" i="35"/>
  <c r="BH25" i="35" a="1"/>
  <c r="AR8" i="35"/>
  <c r="AA26" i="35"/>
  <c r="E112" i="37" a="1"/>
  <c r="BT23" i="35" a="1"/>
  <c r="E254" i="37" a="1"/>
  <c r="AB19" i="35"/>
  <c r="E494" i="37" a="1"/>
  <c r="V27" i="35"/>
  <c r="AF11" i="35"/>
  <c r="E63" i="37" a="1"/>
  <c r="BD19" i="35" a="1"/>
  <c r="E386" i="37" a="1"/>
  <c r="Z13" i="35"/>
  <c r="E442" i="37" a="1"/>
  <c r="Z4" i="35"/>
  <c r="AC23" i="35"/>
  <c r="E267" i="37" a="1"/>
  <c r="E97" i="37" a="1"/>
  <c r="AQ12" i="35"/>
  <c r="E420" i="37" a="1"/>
  <c r="BX29" i="35" a="1"/>
  <c r="E73" i="37" a="1"/>
  <c r="BE17" i="35" a="1"/>
  <c r="BD16" i="35" a="1"/>
  <c r="AA19" i="35"/>
  <c r="BJ13" i="35" a="1"/>
  <c r="BD9" i="35" a="1"/>
  <c r="BQ27" i="35" a="1"/>
  <c r="E210" i="37" a="1"/>
  <c r="BC27" i="35" a="1"/>
  <c r="E189" i="37" a="1"/>
  <c r="BR3" i="35" a="1"/>
  <c r="BY7" i="35" a="1"/>
  <c r="S26" i="35"/>
  <c r="I14" i="35" a="1"/>
  <c r="S25" i="35"/>
  <c r="E7" i="37" a="1"/>
  <c r="C27" i="35" a="1"/>
  <c r="AX8" i="35" a="1"/>
  <c r="AX11" i="35" a="1"/>
  <c r="X27" i="35"/>
  <c r="E164" i="37" a="1"/>
  <c r="AB21" i="35"/>
  <c r="BT3" i="35" a="1"/>
  <c r="BH4" i="35" a="1"/>
  <c r="AS22" i="35"/>
  <c r="E25" i="37" a="1"/>
  <c r="G13" i="35" a="1"/>
  <c r="E201" i="37" a="1"/>
  <c r="Z8" i="35"/>
  <c r="E227" i="37" a="1"/>
  <c r="E673" i="37" a="1"/>
  <c r="Y15" i="35"/>
  <c r="AB4" i="35"/>
  <c r="E741" i="37" a="1"/>
  <c r="BQ16" i="35" a="1"/>
  <c r="CA23" i="35" a="1"/>
  <c r="C18" i="35" a="1"/>
  <c r="BP25" i="35" a="1"/>
  <c r="BV7" i="35" a="1"/>
  <c r="AI15" i="35"/>
  <c r="BQ22" i="35" a="1"/>
  <c r="Z24" i="35"/>
  <c r="BI22" i="35" a="1"/>
  <c r="AY24" i="35" a="1"/>
  <c r="T25" i="35"/>
  <c r="AY16" i="35" a="1"/>
  <c r="D25" i="35" a="1"/>
  <c r="E668" i="37" a="1"/>
  <c r="AF5" i="35"/>
  <c r="BP17" i="35" a="1"/>
  <c r="E705" i="37" a="1"/>
  <c r="E190" i="37" a="1"/>
  <c r="AS17" i="35"/>
  <c r="BO11" i="35" a="1"/>
  <c r="BI5" i="35" a="1"/>
  <c r="G23" i="35" a="1"/>
  <c r="BC15" i="35" a="1"/>
  <c r="BG20" i="35" a="1"/>
  <c r="BB18" i="35" a="1"/>
  <c r="BS20" i="35" a="1"/>
  <c r="E482" i="37" a="1"/>
  <c r="E733" i="37" a="1"/>
  <c r="E278" i="37" a="1"/>
  <c r="AQ11" i="35"/>
  <c r="Y25" i="35"/>
  <c r="AI4" i="35"/>
  <c r="AM15" i="35"/>
  <c r="BS6" i="35" a="1"/>
  <c r="W4" i="35"/>
  <c r="E469" i="37" a="1"/>
  <c r="E455" i="37" a="1"/>
  <c r="E297" i="37" a="1"/>
  <c r="AS20" i="35"/>
  <c r="C24" i="35" a="1"/>
  <c r="U15" i="35"/>
  <c r="AO7" i="35"/>
  <c r="AD12" i="35"/>
  <c r="BF3" i="35" a="1"/>
  <c r="H16" i="35" a="1"/>
  <c r="CB3" i="35" a="1"/>
  <c r="BS25" i="35" a="1"/>
  <c r="BZ5" i="35" a="1"/>
  <c r="E16" i="37" a="1"/>
  <c r="BF21" i="35" a="1"/>
  <c r="W8" i="35"/>
  <c r="E491" i="37" a="1"/>
  <c r="D21" i="35" a="1"/>
  <c r="V13" i="35"/>
  <c r="BJ24" i="35" a="1"/>
  <c r="E464" i="37" a="1"/>
  <c r="AV28" i="35"/>
  <c r="E395" i="37" a="1"/>
  <c r="E283" i="37" a="1"/>
  <c r="BD21" i="35" a="1"/>
  <c r="E560" i="37" a="1"/>
  <c r="AD20" i="35"/>
  <c r="E400" i="37" a="1"/>
  <c r="E155" i="37" a="1"/>
  <c r="E333" i="37" a="1"/>
  <c r="BB25" i="35" a="1"/>
  <c r="BL16" i="35" a="1"/>
  <c r="E476" i="37" a="1"/>
  <c r="BC5" i="35" a="1"/>
  <c r="AZ22" i="35" a="1"/>
  <c r="AC24" i="35"/>
  <c r="E592" i="37" a="1"/>
  <c r="E710" i="37" a="1"/>
  <c r="E656" i="37" a="1"/>
  <c r="E413" i="37" a="1"/>
  <c r="T24" i="35"/>
  <c r="BJ26" i="35" a="1"/>
  <c r="AD30" i="35"/>
  <c r="E169" i="37" a="1"/>
  <c r="BL18" i="35" a="1"/>
  <c r="AC28" i="35"/>
  <c r="BA22" i="35" a="1"/>
  <c r="CA24" i="35" a="1"/>
  <c r="V25" i="35"/>
  <c r="BG27" i="35" a="1"/>
  <c r="C7" i="35" a="1"/>
  <c r="AJ22" i="35"/>
  <c r="E385" i="37" a="1"/>
  <c r="AZ11" i="35" a="1"/>
  <c r="AL13" i="35"/>
  <c r="AR24" i="35"/>
  <c r="BG18" i="35" a="1"/>
  <c r="AL19" i="35"/>
  <c r="E285" i="37" a="1"/>
  <c r="BN16" i="35" a="1"/>
  <c r="BX27" i="35" a="1"/>
  <c r="E600" i="37" a="1"/>
  <c r="BN18" i="35" a="1"/>
  <c r="BX5" i="35" a="1"/>
  <c r="E217" i="37" a="1"/>
  <c r="AY21" i="35" a="1"/>
  <c r="E615" i="37" a="1"/>
  <c r="E601" i="37" a="1"/>
  <c r="E389" i="37" a="1"/>
  <c r="CA10" i="35" a="1"/>
  <c r="AA18" i="35"/>
  <c r="E51" i="37" a="1"/>
  <c r="E645" i="37" a="1"/>
  <c r="AG26" i="35"/>
  <c r="E424" i="37" a="1"/>
  <c r="BH8" i="35" a="1"/>
  <c r="X22" i="35"/>
  <c r="R6" i="35"/>
  <c r="AB14" i="35"/>
  <c r="BT4" i="35" a="1"/>
  <c r="E293" i="37" a="1"/>
  <c r="BA9" i="35" a="1"/>
  <c r="F26" i="35" a="1"/>
  <c r="BN13" i="35" a="1"/>
  <c r="E679" i="37" a="1"/>
  <c r="E215" i="37" a="1"/>
  <c r="BO18" i="35" a="1"/>
  <c r="Z29" i="35"/>
  <c r="E295" i="37" a="1"/>
  <c r="BZ21" i="35" a="1"/>
  <c r="T7" i="35"/>
  <c r="E678" i="37" a="1"/>
  <c r="E419" i="37" a="1"/>
  <c r="BI25" i="35" a="1"/>
  <c r="E76" i="37" a="1"/>
  <c r="AD23" i="35"/>
  <c r="E152" i="37" a="1"/>
  <c r="AA11" i="35"/>
  <c r="E570" i="37" a="1"/>
  <c r="AU11" i="35"/>
  <c r="AS10" i="35"/>
  <c r="AM20" i="35"/>
  <c r="E470" i="37" a="1"/>
  <c r="E139" i="37" a="1"/>
  <c r="E637" i="37" a="1"/>
  <c r="BL20" i="35" a="1"/>
  <c r="AS19" i="35"/>
  <c r="C4" i="35" a="1"/>
  <c r="E437" i="37" a="1"/>
  <c r="BE6" i="35" a="1"/>
  <c r="AI10" i="35"/>
  <c r="BZ23" i="35" a="1"/>
  <c r="AH28" i="35"/>
  <c r="AR9" i="35"/>
  <c r="BB26" i="35" a="1"/>
  <c r="BI17" i="35" a="1"/>
  <c r="E525" i="37" a="1"/>
  <c r="E591" i="37" a="1"/>
  <c r="AD9" i="35"/>
  <c r="U4" i="35"/>
  <c r="E541" i="37" a="1"/>
  <c r="E89" i="37" a="1"/>
  <c r="BC19" i="35" a="1"/>
  <c r="E492" i="37" a="1"/>
  <c r="E411" i="37" a="1"/>
  <c r="BD8" i="35" a="1"/>
  <c r="BD11" i="35" a="1"/>
  <c r="E144" i="37" a="1"/>
  <c r="BS23" i="35" a="1"/>
  <c r="D27" i="35" a="1"/>
  <c r="BU10" i="35" a="1"/>
  <c r="BG23" i="35" a="1"/>
  <c r="E11" i="37" a="1"/>
  <c r="E182" i="37" a="1"/>
  <c r="E589" i="37" a="1"/>
  <c r="AA25" i="35"/>
  <c r="E503" i="37" a="1"/>
  <c r="E168" i="37" a="1"/>
  <c r="BK7" i="35" a="1"/>
  <c r="R3" i="35"/>
  <c r="BA8" i="35" a="1"/>
  <c r="E731" i="37" a="1"/>
  <c r="G29" i="35" a="1"/>
  <c r="Y17" i="35"/>
  <c r="E691" i="37" a="1"/>
  <c r="E556" i="37" a="1"/>
  <c r="E578" i="37" a="1"/>
  <c r="E435" i="37" a="1"/>
  <c r="CA21" i="35" a="1"/>
  <c r="BM28" i="35" a="1"/>
  <c r="BI29" i="35" a="1"/>
  <c r="S8" i="35"/>
  <c r="E242" i="37" a="1"/>
  <c r="AI25" i="35"/>
  <c r="U6" i="35"/>
  <c r="E436" i="37" a="1"/>
  <c r="BQ8" i="35" a="1"/>
  <c r="W22" i="35"/>
  <c r="AR30" i="35"/>
  <c r="E508" i="37" a="1"/>
  <c r="AU14" i="35"/>
  <c r="AJ28" i="35"/>
  <c r="AH20" i="35"/>
  <c r="BZ17" i="35" a="1"/>
  <c r="AM19" i="35"/>
  <c r="BO23" i="35" a="1"/>
  <c r="AY30" i="35" a="1"/>
  <c r="AP17" i="35"/>
  <c r="AJ21" i="35"/>
  <c r="BK13" i="35" a="1"/>
  <c r="Z16" i="35"/>
  <c r="AT19" i="35"/>
  <c r="BL10" i="35" a="1"/>
  <c r="BX24" i="35" a="1"/>
  <c r="CA11" i="35" a="1"/>
  <c r="AM17" i="35"/>
  <c r="R24" i="35"/>
  <c r="BD23" i="35" a="1"/>
  <c r="H11" i="35" a="1"/>
  <c r="AN12" i="35"/>
  <c r="AR29" i="35"/>
  <c r="BR11" i="35" a="1"/>
  <c r="E440" i="37" a="1"/>
  <c r="AQ29" i="35"/>
  <c r="AX27" i="35" a="1"/>
  <c r="E266" i="37" a="1"/>
  <c r="E11" i="35" a="1"/>
  <c r="BS18" i="35" a="1"/>
  <c r="BA19" i="35" a="1"/>
  <c r="E722" i="37" a="1"/>
  <c r="BR4" i="35" a="1"/>
  <c r="AM6" i="35"/>
  <c r="AE18" i="35"/>
  <c r="F13" i="35" a="1"/>
  <c r="BY11" i="35" a="1"/>
  <c r="E48" i="37" a="1"/>
  <c r="X16" i="35"/>
  <c r="E410" i="37" a="1"/>
  <c r="E443" i="37" a="1"/>
  <c r="AT30" i="35"/>
  <c r="E5" i="35" a="1"/>
  <c r="BJ18" i="35" a="1"/>
  <c r="CA12" i="35" a="1"/>
  <c r="BQ20" i="35" a="1"/>
  <c r="BU23" i="35" a="1"/>
  <c r="AR3" i="35"/>
  <c r="E660" i="37" a="1"/>
  <c r="AN8" i="35"/>
  <c r="BA23" i="35" a="1"/>
  <c r="D24" i="35" a="1"/>
  <c r="E96" i="37" a="1"/>
  <c r="E613" i="37" a="1"/>
  <c r="BF22" i="35" a="1"/>
  <c r="AE21" i="35"/>
  <c r="AT11" i="35"/>
  <c r="I13" i="35" a="1"/>
  <c r="E646" i="37" a="1"/>
  <c r="E573" i="37" a="1"/>
  <c r="AE8" i="35"/>
  <c r="E633" i="37" a="1"/>
  <c r="AP21" i="35"/>
  <c r="E701" i="37" a="1"/>
  <c r="AK16" i="35"/>
  <c r="AK23" i="35"/>
  <c r="E704" i="37" a="1"/>
  <c r="E465" i="37" a="1"/>
  <c r="E683" i="37" a="1"/>
  <c r="E460" i="37" a="1"/>
  <c r="E77" i="37" a="1"/>
  <c r="V26" i="35"/>
  <c r="AR15" i="35"/>
  <c r="BK18" i="35" a="1"/>
  <c r="BQ19" i="35" a="1"/>
  <c r="BW4" i="35" a="1"/>
  <c r="E175" i="37" a="1"/>
  <c r="U27" i="35"/>
  <c r="I30" i="35" a="1"/>
  <c r="AX20" i="35" a="1"/>
  <c r="E282" i="37" a="1"/>
  <c r="AX14" i="35" a="1"/>
  <c r="E509" i="37" a="1"/>
  <c r="BO19" i="35" a="1"/>
  <c r="E647" i="37" a="1"/>
  <c r="BR17" i="35" a="1"/>
  <c r="AK24" i="35"/>
  <c r="E303" i="37" a="1"/>
  <c r="AP15" i="35"/>
  <c r="E306" i="37" a="1"/>
  <c r="E630" i="37" a="1"/>
  <c r="BU29" i="35" a="1"/>
  <c r="AQ24" i="35"/>
  <c r="C28" i="35" a="1"/>
  <c r="AX30" i="35" a="1"/>
  <c r="I26" i="35" a="1"/>
  <c r="E618" i="37" a="1"/>
  <c r="BK30" i="35" a="1"/>
  <c r="E5" i="37" a="1"/>
  <c r="AY20" i="35" a="1"/>
  <c r="BC29" i="35" a="1"/>
  <c r="BS12" i="35" a="1"/>
  <c r="AE22" i="35"/>
  <c r="AG7" i="35"/>
  <c r="BI8" i="35" a="1"/>
  <c r="E488" i="37" a="1"/>
  <c r="E15" i="37" a="1"/>
  <c r="I12" i="35" a="1"/>
  <c r="BM26" i="35" a="1"/>
  <c r="AG30" i="35"/>
  <c r="BH19" i="35" a="1"/>
  <c r="H30" i="35" a="1"/>
  <c r="F25" i="35" a="1"/>
  <c r="BF19" i="35" a="1"/>
  <c r="E370" i="37" a="1"/>
  <c r="AC25" i="35"/>
  <c r="AL20" i="35"/>
  <c r="E4" i="35" a="1"/>
  <c r="BK12" i="35" a="1"/>
  <c r="BI6" i="35" a="1"/>
  <c r="AJ16" i="35"/>
  <c r="AQ18" i="35"/>
  <c r="E121" i="37" a="1"/>
  <c r="BH6" i="35" a="1"/>
  <c r="BQ15" i="35" a="1"/>
  <c r="AK18" i="35"/>
  <c r="AX3" i="35" a="1"/>
  <c r="E340" i="37" a="1"/>
  <c r="Z10" i="35"/>
  <c r="BF16" i="35" a="1"/>
  <c r="BV13" i="35" a="1"/>
  <c r="AM3" i="35"/>
  <c r="BL25" i="35" a="1"/>
  <c r="E18" i="37" a="1"/>
  <c r="E500" i="37" a="1"/>
  <c r="E468" i="37" a="1"/>
  <c r="E216" i="37" a="1"/>
  <c r="BM10" i="35" a="1"/>
  <c r="E632" i="37" a="1"/>
  <c r="AL27" i="35"/>
  <c r="BF24" i="35" a="1"/>
  <c r="BJ4" i="35" a="1"/>
  <c r="AL6" i="35"/>
  <c r="AP5" i="35"/>
  <c r="E590" i="37" a="1"/>
  <c r="BP6" i="35" a="1"/>
  <c r="E231" i="37" a="1"/>
  <c r="BO15" i="35" a="1"/>
  <c r="E472" i="37" a="1"/>
  <c r="E687" i="37" a="1"/>
  <c r="AM26" i="35"/>
  <c r="AH8" i="35"/>
  <c r="BO14" i="35" a="1"/>
  <c r="T22" i="35"/>
  <c r="E337" i="37" a="1"/>
  <c r="AX28" i="35" a="1"/>
  <c r="E185" i="37" a="1"/>
  <c r="C3" i="35" a="1"/>
  <c r="J12" i="35" a="1"/>
  <c r="AO4" i="35"/>
  <c r="BI21" i="35" a="1"/>
  <c r="BO24" i="35" a="1"/>
  <c r="AM23" i="35"/>
  <c r="AI26" i="35"/>
  <c r="E717" i="37" a="1"/>
  <c r="AH10" i="35"/>
  <c r="BU26" i="35" a="1"/>
  <c r="BK20" i="35" a="1"/>
  <c r="AV12" i="35"/>
  <c r="AB22" i="35"/>
  <c r="BB14" i="35" a="1"/>
  <c r="BD10" i="35" a="1"/>
  <c r="E684" i="37" a="1"/>
  <c r="AE3" i="35"/>
  <c r="Y13" i="35"/>
  <c r="E258" i="37" a="1"/>
  <c r="E367" i="37" a="1"/>
  <c r="AY15" i="35" a="1"/>
  <c r="AO21" i="35"/>
  <c r="AB7" i="35"/>
  <c r="AU21" i="35"/>
  <c r="G28" i="35" a="1"/>
  <c r="BK15" i="35" a="1"/>
  <c r="BO9" i="35" a="1"/>
  <c r="AQ6" i="35"/>
  <c r="E480" i="37" a="1"/>
  <c r="BM23" i="35" a="1"/>
  <c r="E650" i="37" a="1"/>
  <c r="E40" i="37" a="1"/>
  <c r="E327" i="37" a="1"/>
  <c r="U22" i="35"/>
  <c r="V12" i="35"/>
  <c r="E521" i="37" a="1"/>
  <c r="AN20" i="35"/>
  <c r="W5" i="35"/>
  <c r="AE27" i="35"/>
  <c r="AB11" i="35"/>
  <c r="E483" i="37" a="1"/>
  <c r="AN3" i="35"/>
  <c r="BV21" i="35" a="1"/>
  <c r="BE24" i="35" a="1"/>
  <c r="AM28" i="35"/>
  <c r="BW7" i="35" a="1"/>
  <c r="AX9" i="35" a="1"/>
  <c r="E126" i="37" a="1"/>
  <c r="BC7" i="35" a="1"/>
  <c r="BN20" i="35" a="1"/>
  <c r="E539" i="37" a="1"/>
  <c r="E90" i="37" a="1"/>
  <c r="BN26" i="35" a="1"/>
  <c r="S21" i="35"/>
  <c r="E344" i="37" a="1"/>
  <c r="AL17" i="35"/>
  <c r="F24" i="35" a="1"/>
  <c r="E518" i="37" a="1"/>
  <c r="AO17" i="35"/>
  <c r="E558" i="37" a="1"/>
  <c r="E501" i="37" a="1"/>
  <c r="BC6" i="35" a="1"/>
  <c r="E3" i="35" a="1"/>
  <c r="E72" i="37" a="1"/>
  <c r="CB18" i="35" a="1"/>
  <c r="BQ6" i="35" a="1"/>
  <c r="J24" i="35" a="1"/>
  <c r="S30" i="35"/>
  <c r="BY17" i="35" a="1"/>
  <c r="AA3" i="35"/>
  <c r="BT5" i="35" a="1"/>
  <c r="AY6" i="35" a="1"/>
  <c r="AI6" i="35"/>
  <c r="AA21" i="35"/>
  <c r="BQ14" i="35" a="1"/>
  <c r="E364" i="37" a="1"/>
  <c r="AU7" i="35"/>
  <c r="BG14" i="35" a="1"/>
  <c r="E555" i="37" a="1"/>
  <c r="BW21" i="35" a="1"/>
  <c r="AC10" i="35"/>
  <c r="AQ25" i="35"/>
  <c r="F16" i="35" a="1"/>
  <c r="F14" i="35" a="1"/>
  <c r="F21" i="35" a="1"/>
  <c r="E339" i="37" a="1"/>
  <c r="AT14" i="35"/>
  <c r="BS17" i="35" a="1"/>
  <c r="J9" i="35" a="1"/>
  <c r="AM21" i="35"/>
  <c r="BG22" i="35" a="1"/>
  <c r="AG24" i="35"/>
  <c r="E732" i="37" a="1"/>
  <c r="BI27" i="35" a="1"/>
  <c r="E634" i="37" a="1"/>
  <c r="AQ14" i="35"/>
  <c r="R20" i="35"/>
  <c r="BA10" i="35" a="1"/>
  <c r="BO29" i="35" a="1"/>
  <c r="AH17" i="35"/>
  <c r="E323" i="37" a="1"/>
  <c r="AR22" i="35"/>
  <c r="BH9" i="35" a="1"/>
  <c r="AN13" i="35"/>
  <c r="CA29" i="35" a="1"/>
  <c r="AX12" i="35" a="1"/>
  <c r="BY16" i="35" a="1"/>
  <c r="E544" i="37" a="1"/>
  <c r="T9" i="35"/>
  <c r="E279" i="37" a="1"/>
  <c r="BY8" i="35" a="1"/>
  <c r="E243" i="37" a="1"/>
  <c r="G24" i="35" a="1"/>
  <c r="E53" i="37" a="1"/>
  <c r="E540" i="37" a="1"/>
  <c r="T29" i="35"/>
  <c r="S24" i="35"/>
  <c r="BR13" i="35" a="1"/>
  <c r="S5" i="35"/>
  <c r="BM4" i="35" a="1"/>
  <c r="AN7" i="35"/>
  <c r="T6" i="35"/>
  <c r="X7" i="35"/>
  <c r="E24" i="35" a="1"/>
  <c r="BR6" i="35" a="1"/>
  <c r="AK15" i="35"/>
  <c r="AE24" i="35"/>
  <c r="E21" i="37" a="1"/>
  <c r="E445" i="37" a="1"/>
  <c r="E9" i="37" a="1"/>
  <c r="BV29" i="35" a="1"/>
  <c r="G14" i="35" a="1"/>
  <c r="R11" i="35"/>
  <c r="E280" i="37" a="1"/>
  <c r="E355" i="37" a="1"/>
  <c r="BK4" i="35" a="1"/>
  <c r="E498" i="37" a="1"/>
  <c r="BZ18" i="35" a="1"/>
  <c r="AD14" i="35"/>
  <c r="AZ30" i="35" a="1"/>
  <c r="AA15" i="35"/>
  <c r="E485" i="37" a="1"/>
  <c r="AT13" i="35"/>
  <c r="AS8" i="35"/>
  <c r="AH5" i="35"/>
  <c r="AP26" i="35"/>
  <c r="AG10" i="35"/>
  <c r="AG13" i="35"/>
  <c r="V22" i="35"/>
  <c r="BZ22" i="35" a="1"/>
  <c r="E140" i="37" a="1"/>
  <c r="BD6" i="35" a="1"/>
  <c r="BA21" i="35" a="1"/>
  <c r="BT11" i="35" a="1"/>
  <c r="AI11" i="35"/>
  <c r="E173" i="37" a="1"/>
  <c r="R21" i="35"/>
  <c r="E255" i="37" a="1"/>
  <c r="AB16" i="35"/>
  <c r="E79" i="37" a="1"/>
  <c r="AP12" i="35"/>
  <c r="BD18" i="35" a="1"/>
  <c r="BK5" i="35" a="1"/>
  <c r="AH23" i="35"/>
  <c r="AZ4" i="35" a="1"/>
  <c r="BY18" i="35" a="1"/>
  <c r="BI15" i="35" a="1"/>
  <c r="E675" i="37" a="1"/>
  <c r="E587" i="37" a="1"/>
  <c r="D28" i="35" a="1"/>
  <c r="BH11" i="35" a="1"/>
  <c r="AH16" i="35"/>
  <c r="E347" i="37" a="1"/>
  <c r="AJ20" i="35"/>
  <c r="AH14" i="35"/>
  <c r="BG26" i="35" a="1"/>
  <c r="CB25" i="35" a="1"/>
  <c r="AF15" i="35"/>
  <c r="E101" i="37" a="1"/>
  <c r="R22" i="35"/>
  <c r="J25" i="35" a="1"/>
  <c r="BJ11" i="35" a="1"/>
  <c r="BE13" i="35" a="1"/>
  <c r="AP25" i="35"/>
  <c r="BW26" i="35" a="1"/>
  <c r="E409" i="37" a="1"/>
  <c r="BG5" i="35" a="1"/>
  <c r="BE19" i="35" a="1"/>
  <c r="AO13" i="35"/>
  <c r="G5" i="35" a="1"/>
  <c r="BB20" i="35" a="1"/>
  <c r="AA13" i="35"/>
  <c r="J26" i="35" a="1"/>
  <c r="D9" i="35" a="1"/>
  <c r="E725" i="37" a="1"/>
  <c r="I23" i="35" a="1"/>
  <c r="BH21" i="35" a="1"/>
  <c r="BL19" i="35" a="1"/>
  <c r="Z3" i="35"/>
  <c r="E585" i="37" a="1"/>
  <c r="AT27" i="35"/>
  <c r="AT7" i="35"/>
  <c r="AB25" i="35"/>
  <c r="W3" i="35"/>
  <c r="E188" i="37" a="1"/>
  <c r="AF17" i="35"/>
  <c r="BL28" i="35" a="1"/>
  <c r="BF30" i="35" a="1"/>
  <c r="E655" i="37" a="1"/>
  <c r="H8" i="35" a="1"/>
  <c r="BS21" i="35" a="1"/>
  <c r="W29" i="35"/>
  <c r="BB19" i="35" a="1"/>
  <c r="X29" i="35"/>
  <c r="BN30" i="35" a="1"/>
  <c r="E92" i="37" a="1"/>
  <c r="S9" i="35"/>
  <c r="D18" i="35" a="1"/>
  <c r="BY27" i="35" a="1"/>
  <c r="AU16" i="35"/>
  <c r="BU24" i="35" a="1"/>
  <c r="BQ23" i="35" a="1"/>
  <c r="E720" i="37" a="1"/>
  <c r="BY13" i="35" a="1"/>
  <c r="BZ9" i="35" a="1"/>
  <c r="AN5" i="35"/>
  <c r="BF9" i="35" a="1"/>
  <c r="BT27" i="35" a="1"/>
  <c r="CB5" i="35" a="1"/>
  <c r="AG28" i="35"/>
  <c r="I21" i="35" a="1"/>
  <c r="E148" i="37" a="1"/>
  <c r="E19" i="35" a="1"/>
  <c r="W16" i="35"/>
  <c r="BN11" i="35" a="1"/>
  <c r="BU16" i="35" a="1"/>
  <c r="BP28" i="35" a="1"/>
  <c r="C20" i="35" a="1"/>
  <c r="BH23" i="35" a="1"/>
  <c r="BZ20" i="35" a="1"/>
  <c r="AP16" i="35"/>
  <c r="AY10" i="35" a="1"/>
  <c r="E452" i="37" a="1"/>
  <c r="E369" i="37" a="1"/>
  <c r="AB5" i="35"/>
  <c r="E197" i="37" a="1"/>
  <c r="E39" i="37" a="1"/>
  <c r="E154" i="37" a="1"/>
  <c r="X14" i="35"/>
  <c r="E75" i="37" a="1"/>
  <c r="X13" i="35"/>
  <c r="AG14" i="35"/>
  <c r="AF23" i="35"/>
  <c r="AY5" i="35" a="1"/>
  <c r="E82" i="37" a="1"/>
  <c r="E661" i="37" a="1"/>
  <c r="Z28" i="35"/>
  <c r="AF16" i="35"/>
  <c r="E404" i="37" a="1"/>
  <c r="I10" i="35" a="1"/>
  <c r="AO25" i="35"/>
  <c r="E324" i="37" a="1"/>
  <c r="E598" i="37" a="1"/>
  <c r="BE8" i="35" a="1"/>
  <c r="AD22" i="35"/>
  <c r="E41" i="37" a="1"/>
  <c r="E17" i="35" a="1"/>
  <c r="CB20" i="35" a="1"/>
  <c r="AJ13" i="35"/>
  <c r="S6" i="35"/>
  <c r="E594" i="37" a="1"/>
  <c r="E202" i="37" a="1"/>
  <c r="C19" i="35" a="1"/>
  <c r="E314" i="37" a="1"/>
  <c r="E456" i="37" a="1"/>
  <c r="BQ11" i="35" a="1"/>
  <c r="BG9" i="35" a="1"/>
  <c r="AX7" i="35" a="1"/>
  <c r="E510" i="37" a="1"/>
  <c r="BK26" i="35" a="1"/>
  <c r="E441" i="37" a="1"/>
  <c r="BX23" i="35" a="1"/>
  <c r="AF10" i="35"/>
  <c r="E345" i="37" a="1"/>
  <c r="BJ7" i="35" a="1"/>
  <c r="AU8" i="35"/>
  <c r="BR25" i="35" a="1"/>
  <c r="AC6" i="35"/>
  <c r="BS3" i="35" a="1"/>
  <c r="BV25" i="35" a="1"/>
  <c r="AI22" i="35"/>
  <c r="E88" i="37" a="1"/>
  <c r="E414" i="37" a="1"/>
  <c r="E617" i="37" a="1"/>
  <c r="AS30" i="35"/>
  <c r="AX25" i="35" a="1"/>
  <c r="AL29" i="35"/>
  <c r="AT23" i="35"/>
  <c r="AL15" i="35"/>
  <c r="T11" i="35"/>
  <c r="BA5" i="35" a="1"/>
  <c r="BU20" i="35" a="1"/>
  <c r="AP22" i="35"/>
  <c r="AM4" i="35"/>
  <c r="AL28" i="35"/>
  <c r="E276" i="37" a="1"/>
  <c r="BZ3" i="35" a="1"/>
  <c r="BR26" i="35" a="1"/>
  <c r="BZ12" i="35" a="1"/>
  <c r="S19" i="35"/>
  <c r="AF12" i="35"/>
  <c r="AL4" i="35"/>
  <c r="BW19" i="35" a="1"/>
  <c r="E27" i="37" a="1"/>
  <c r="E354" i="37" a="1"/>
  <c r="BI14" i="35" a="1"/>
  <c r="H26" i="35" a="1"/>
  <c r="BY21" i="35" a="1"/>
  <c r="E158" i="37" a="1"/>
  <c r="W20" i="35"/>
  <c r="BJ22" i="35" a="1"/>
  <c r="W28" i="35"/>
  <c r="BH22" i="35" a="1"/>
  <c r="E326" i="37" a="1"/>
  <c r="BF12" i="35" a="1"/>
  <c r="H6" i="35" a="1"/>
  <c r="E68" i="37" a="1"/>
  <c r="E721" i="37" a="1"/>
  <c r="Z6" i="35"/>
  <c r="AJ12" i="35"/>
  <c r="CB13" i="35" a="1"/>
  <c r="E388" i="37" a="1"/>
  <c r="Z27" i="35"/>
  <c r="BM15" i="35" a="1"/>
  <c r="BA14" i="35" a="1"/>
  <c r="E463" i="37" a="1"/>
  <c r="T27" i="35"/>
  <c r="AC20" i="35"/>
  <c r="E62" i="37" a="1"/>
  <c r="AD10" i="35"/>
  <c r="E421" i="37" a="1"/>
  <c r="E294" i="37" a="1"/>
  <c r="BY9" i="35" a="1"/>
  <c r="E36" i="37" a="1"/>
  <c r="E12" i="35" a="1"/>
  <c r="E104" i="37" a="1"/>
  <c r="J7" i="35" a="1"/>
  <c r="E138" i="37" a="1"/>
  <c r="E595" i="37" a="1"/>
  <c r="E204" i="37" a="1"/>
  <c r="Y29" i="35"/>
  <c r="BE25" i="35" a="1"/>
  <c r="BW29" i="35" a="1"/>
  <c r="E422" i="37" a="1"/>
  <c r="E286" i="37" a="1"/>
  <c r="E330" i="37" a="1"/>
  <c r="AE20" i="35"/>
  <c r="E547" i="37" a="1"/>
  <c r="X30" i="35"/>
  <c r="AH29" i="35"/>
  <c r="BN28" i="35" a="1"/>
  <c r="BY26" i="35" a="1"/>
  <c r="E383" i="37" a="1"/>
  <c r="E707" i="37" a="1"/>
  <c r="E134" i="37" a="1"/>
  <c r="BV20" i="35" a="1"/>
  <c r="AF20" i="35"/>
  <c r="BJ16" i="35" a="1"/>
  <c r="AX22" i="35" a="1"/>
  <c r="AO24" i="35"/>
  <c r="G10" i="35" a="1"/>
  <c r="E462" i="37" a="1"/>
  <c r="F19" i="35" a="1"/>
  <c r="AH22" i="35"/>
  <c r="AE28" i="35"/>
  <c r="E12" i="37" a="1"/>
  <c r="BJ6" i="35" a="1"/>
  <c r="BV15" i="35" a="1"/>
  <c r="BK8" i="35" a="1"/>
  <c r="AU5" i="35"/>
  <c r="R13" i="35"/>
  <c r="AN22" i="35"/>
  <c r="BC25" i="35" a="1"/>
  <c r="E85" i="37" a="1"/>
  <c r="BW16" i="35" a="1"/>
  <c r="G4" i="35" a="1"/>
  <c r="R16" i="35"/>
  <c r="BD5" i="35" a="1"/>
  <c r="E729" i="37" a="1"/>
  <c r="AG18" i="35"/>
  <c r="I29" i="35" a="1"/>
  <c r="Y5" i="35"/>
  <c r="BY25" i="35" a="1"/>
  <c r="BR20" i="35" a="1"/>
  <c r="E373" i="37" a="1"/>
  <c r="X4" i="35"/>
  <c r="E426" i="37" a="1"/>
  <c r="AF21" i="35"/>
  <c r="E141" i="37" a="1"/>
  <c r="AS12" i="35"/>
  <c r="F30" i="35" a="1"/>
  <c r="BN14" i="35" a="1"/>
  <c r="V18" i="35"/>
  <c r="E434" i="37" a="1"/>
  <c r="BK25" i="35" a="1"/>
  <c r="AF27" i="35"/>
  <c r="BP16" i="35" a="1"/>
  <c r="AZ15" i="35" a="1"/>
  <c r="BV24" i="35" a="1"/>
  <c r="BB29" i="35" a="1"/>
  <c r="E105" i="37" a="1"/>
  <c r="BU13" i="35" a="1"/>
  <c r="BT16" i="35" a="1"/>
  <c r="E574" i="37" a="1"/>
  <c r="X21" i="35"/>
  <c r="R15" i="35"/>
  <c r="S14" i="35"/>
  <c r="AV25" i="35"/>
  <c r="F17" i="35" a="1"/>
  <c r="E332" i="37" a="1"/>
  <c r="E7" i="35" a="1"/>
  <c r="E489" i="37" a="1"/>
  <c r="BG12" i="35" a="1"/>
  <c r="T18" i="35"/>
  <c r="BK29" i="35" a="1"/>
  <c r="F20" i="35" a="1"/>
  <c r="X6" i="35"/>
  <c r="AQ15" i="35"/>
  <c r="BX9" i="35" a="1"/>
  <c r="E257" i="37" a="1"/>
  <c r="AZ8" i="35" a="1"/>
  <c r="E599" i="37" a="1"/>
  <c r="AL21" i="35"/>
  <c r="Y22" i="35"/>
  <c r="BW23" i="35" a="1"/>
  <c r="CB24" i="35" a="1"/>
  <c r="E430" i="37" a="1"/>
  <c r="E499" i="37" a="1"/>
  <c r="E449" i="37" a="1"/>
  <c r="E614" i="37" a="1"/>
  <c r="AC3" i="35"/>
  <c r="AS27" i="35"/>
  <c r="E357" i="37" a="1"/>
  <c r="AC15" i="35"/>
  <c r="E120" i="37" a="1"/>
  <c r="BC20" i="35" a="1"/>
  <c r="E245" i="37" a="1"/>
  <c r="F5" i="35" a="1"/>
  <c r="BB16" i="35" a="1"/>
  <c r="E313" i="37" a="1"/>
  <c r="E572" i="37" a="1"/>
  <c r="E398" i="37" a="1"/>
  <c r="BH24" i="35" a="1"/>
  <c r="E356" i="37" a="1"/>
  <c r="BT21" i="35" a="1"/>
  <c r="BA6" i="35" a="1"/>
  <c r="AQ13" i="35"/>
  <c r="D13" i="35" a="1"/>
  <c r="E111" i="37" a="1"/>
  <c r="AK14" i="35"/>
  <c r="BI10" i="35" a="1"/>
  <c r="H19" i="35" a="1"/>
  <c r="H20" i="35" a="1"/>
  <c r="BF27" i="35" a="1"/>
  <c r="U5" i="35"/>
  <c r="BX30" i="35" a="1"/>
  <c r="E149" i="37" a="1"/>
  <c r="BK16" i="35" a="1"/>
  <c r="C12" i="35" a="1"/>
  <c r="BX19" i="35" a="1"/>
  <c r="E317" i="37" a="1"/>
  <c r="R25" i="35"/>
  <c r="BG28" i="35" a="1"/>
  <c r="E350" i="37" a="1"/>
  <c r="BK10" i="35" a="1"/>
  <c r="CA27" i="35" a="1"/>
  <c r="AL11" i="35"/>
  <c r="C11" i="35" a="1"/>
  <c r="C9" i="35" a="1"/>
  <c r="E305" i="37" a="1"/>
  <c r="AK9" i="35"/>
  <c r="J14" i="35" a="1"/>
  <c r="F3" i="35" a="1"/>
  <c r="H21" i="35" a="1"/>
  <c r="E351" i="37" a="1"/>
  <c r="BS4" i="35" a="1"/>
  <c r="CA13" i="35" a="1"/>
  <c r="I24" i="35" a="1"/>
  <c r="T8" i="35"/>
  <c r="E230" i="37" a="1"/>
  <c r="X5" i="35"/>
  <c r="E30" i="35" a="1"/>
  <c r="E718" i="37" a="1"/>
  <c r="E127" i="37" a="1"/>
  <c r="E348" i="37" a="1"/>
  <c r="H5" i="35" a="1"/>
  <c r="AC16" i="35"/>
  <c r="E100" i="37" a="1"/>
  <c r="AS26" i="35"/>
  <c r="AS23" i="35"/>
  <c r="AG29" i="35"/>
  <c r="AM22" i="35"/>
  <c r="AC17" i="35"/>
  <c r="AV14" i="35"/>
  <c r="V14" i="35"/>
  <c r="BL22" i="35" a="1"/>
  <c r="BM13" i="35" a="1"/>
  <c r="AA17" i="35"/>
  <c r="AR21" i="35"/>
  <c r="E738" i="37" a="1"/>
  <c r="AK5" i="35"/>
  <c r="E37" i="37" a="1"/>
  <c r="BU4" i="35" a="1"/>
  <c r="W7" i="35"/>
  <c r="BN19" i="35" a="1"/>
  <c r="BH26" i="35" a="1"/>
  <c r="AF28" i="35"/>
  <c r="D4" i="35" a="1"/>
  <c r="E200" i="37" a="1"/>
  <c r="AI8" i="35"/>
  <c r="F29" i="35" a="1"/>
  <c r="AL26" i="35"/>
  <c r="AV4" i="35"/>
  <c r="E322" i="37" a="1"/>
  <c r="BS27" i="35" a="1"/>
  <c r="BB13" i="35" a="1"/>
  <c r="AM7" i="35"/>
  <c r="E506" i="37" a="1"/>
  <c r="E438" i="37" a="1"/>
  <c r="E98" i="37" a="1"/>
  <c r="E685" i="37" a="1"/>
  <c r="E150" i="37" a="1"/>
  <c r="E272" i="37" a="1"/>
  <c r="E446" i="37" a="1"/>
  <c r="AO12" i="35"/>
  <c r="AM12" i="35"/>
  <c r="AC5" i="35"/>
  <c r="U10" i="35"/>
  <c r="BM7" i="35" a="1"/>
  <c r="J16" i="35" a="1"/>
  <c r="BG21" i="35" a="1"/>
  <c r="BP22" i="35" a="1"/>
  <c r="AM14" i="35"/>
  <c r="AB23" i="35"/>
  <c r="AR17" i="35"/>
  <c r="U25" i="35"/>
  <c r="D6" i="35" a="1"/>
  <c r="AZ13" i="35" a="1"/>
  <c r="BT25" i="35" a="1"/>
  <c r="I16" i="35" a="1"/>
  <c r="E507" i="37" a="1"/>
  <c r="BG11" i="35" a="1"/>
  <c r="AR20" i="35"/>
  <c r="U7" i="35"/>
  <c r="BH17" i="35" a="1"/>
  <c r="X17" i="35"/>
  <c r="BI7" i="35" a="1"/>
  <c r="E665" i="37" a="1"/>
  <c r="BX16" i="35" a="1"/>
  <c r="E565" i="37" a="1"/>
  <c r="BT13" i="35" a="1"/>
  <c r="BQ30" i="35" a="1"/>
  <c r="AI24" i="35"/>
  <c r="AC11" i="35"/>
  <c r="BR18" i="35" a="1"/>
  <c r="CA16" i="35" a="1"/>
  <c r="E193" i="37" a="1"/>
  <c r="BI18" i="35" a="1"/>
  <c r="BI23" i="35" a="1"/>
  <c r="AO30" i="35"/>
  <c r="BA27" i="35" a="1"/>
  <c r="J11" i="35" a="1"/>
  <c r="E268" i="37" a="1"/>
  <c r="AV26" i="35"/>
  <c r="BX28" i="35" a="1"/>
  <c r="AA10" i="35"/>
  <c r="BF14" i="35" a="1"/>
  <c r="BP23" i="35" a="1"/>
  <c r="BN4" i="35" a="1"/>
  <c r="AE29" i="35"/>
  <c r="BH18" i="35" a="1"/>
  <c r="E271" i="37" a="1"/>
  <c r="E23" i="35" a="1"/>
  <c r="AI23" i="35"/>
  <c r="BQ5" i="35" a="1"/>
  <c r="E621" i="37" a="1"/>
  <c r="AT6" i="35"/>
  <c r="AU23" i="35"/>
  <c r="AN29" i="35"/>
  <c r="E664" i="37" a="1"/>
  <c r="E688" i="37" a="1"/>
  <c r="AE7" i="35"/>
  <c r="E534" i="37" a="1"/>
  <c r="E177" i="37" a="1"/>
  <c r="BM9" i="35" a="1"/>
  <c r="AG21" i="35"/>
  <c r="E371" i="37" a="1"/>
  <c r="AG5" i="35"/>
  <c r="BZ29" i="35" a="1"/>
  <c r="C10" i="35" a="1"/>
  <c r="AT16" i="35"/>
  <c r="BN9" i="35" a="1"/>
  <c r="E554" i="37" a="1"/>
  <c r="BN17" i="35" a="1"/>
  <c r="BK27" i="35" a="1"/>
  <c r="CA22" i="35" a="1"/>
  <c r="BJ3" i="35" a="1"/>
  <c r="E119" i="37" a="1"/>
  <c r="AU27" i="35"/>
  <c r="AM29" i="35"/>
  <c r="G25" i="35" a="1"/>
  <c r="AF18" i="35"/>
  <c r="AF6" i="35"/>
  <c r="CB23" i="35" a="1"/>
  <c r="AB9" i="35"/>
  <c r="E170" i="37" a="1"/>
  <c r="E235" i="37" a="1"/>
  <c r="E212" i="37" a="1"/>
  <c r="CB14" i="35" a="1"/>
  <c r="W19" i="35"/>
  <c r="AS16" i="35"/>
  <c r="BC21" i="35" a="1"/>
  <c r="BH16" i="35" a="1"/>
  <c r="J20" i="35" a="1"/>
  <c r="BE18" i="35" a="1"/>
  <c r="BY29" i="35" a="1"/>
  <c r="R29" i="35"/>
  <c r="Z25" i="35"/>
  <c r="H3" i="35" a="1"/>
  <c r="I28" i="35" a="1"/>
  <c r="AT29" i="35"/>
  <c r="AL9" i="35"/>
  <c r="AS21" i="35"/>
  <c r="AF13" i="35"/>
  <c r="BX18" i="35" a="1"/>
  <c r="AJ26" i="35"/>
  <c r="BX22" i="35" a="1"/>
  <c r="AJ7" i="35"/>
  <c r="W11" i="35"/>
  <c r="BW9" i="35" a="1"/>
  <c r="AP24" i="35"/>
  <c r="E636" i="37" a="1"/>
  <c r="G11" i="35" a="1"/>
  <c r="I17" i="35" a="1"/>
  <c r="E311" i="37" a="1"/>
  <c r="BK19" i="35" a="1"/>
  <c r="AE11" i="35"/>
  <c r="E694" i="37" a="1"/>
  <c r="E167" i="37" a="1"/>
  <c r="BD26" i="35" a="1"/>
  <c r="W10" i="35"/>
  <c r="E609" i="37" a="1"/>
  <c r="E689" i="37" a="1"/>
  <c r="AZ28" i="35" a="1"/>
  <c r="AZ26" i="35" a="1"/>
  <c r="BC23" i="35" a="1"/>
  <c r="E237" i="37" a="1"/>
  <c r="AB30" i="35"/>
  <c r="BJ30" i="35" a="1"/>
  <c r="BJ20" i="35" a="1"/>
  <c r="F23" i="35" a="1"/>
  <c r="BH20" i="35" a="1"/>
  <c r="E557" i="37" a="1"/>
  <c r="BQ7" i="35" a="1"/>
  <c r="BG19" i="35" a="1"/>
  <c r="AR11" i="35"/>
  <c r="AN6" i="35"/>
  <c r="E662" i="37" a="1"/>
  <c r="AL3" i="35"/>
  <c r="BS15" i="35" a="1"/>
  <c r="E277" i="37" a="1"/>
  <c r="BE28" i="35" a="1"/>
  <c r="E475" i="37" a="1"/>
  <c r="AZ18" i="35" a="1"/>
  <c r="I22" i="35" a="1"/>
  <c r="BP12" i="35" a="1"/>
  <c r="CB11" i="35" a="1"/>
  <c r="S15" i="35"/>
  <c r="AE4" i="35"/>
  <c r="E577" i="37" a="1"/>
  <c r="AL5" i="35"/>
  <c r="E115" i="37" a="1"/>
  <c r="BU21" i="35" a="1"/>
  <c r="G30" i="35" a="1"/>
  <c r="E568" i="37" a="1"/>
  <c r="E229" i="37" a="1"/>
  <c r="BX7" i="35" a="1"/>
  <c r="X26" i="35"/>
  <c r="BX14" i="35" a="1"/>
  <c r="BO28" i="35" a="1"/>
  <c r="E288" i="37" a="1"/>
  <c r="AM10" i="35"/>
  <c r="BS14" i="35" a="1"/>
  <c r="X8" i="35"/>
  <c r="CB7" i="35" a="1"/>
  <c r="AH11" i="35"/>
  <c r="BX17" i="35" a="1"/>
  <c r="S7" i="35"/>
  <c r="BL13" i="35" a="1"/>
  <c r="U8" i="35"/>
  <c r="E448" i="37" a="1"/>
  <c r="AU13" i="35"/>
  <c r="AT20" i="35"/>
  <c r="AD25" i="35"/>
  <c r="AR14" i="35"/>
  <c r="F11" i="35" a="1"/>
  <c r="E44" i="37" a="1"/>
  <c r="BQ13" i="35" a="1"/>
  <c r="E172" i="37" a="1"/>
  <c r="E644" i="37" a="1"/>
  <c r="AH4" i="35"/>
  <c r="AS4" i="35"/>
  <c r="E318" i="37" a="1"/>
  <c r="BR22" i="35" a="1"/>
  <c r="BV19" i="35" a="1"/>
  <c r="AS14" i="35"/>
  <c r="BF8" i="35" a="1"/>
  <c r="BS22" i="35" a="1"/>
  <c r="E16" i="35" a="1"/>
  <c r="E45" i="37" a="1"/>
  <c r="BW6" i="35" a="1"/>
  <c r="E378" i="37" a="1"/>
  <c r="AL18" i="35"/>
  <c r="D26" i="35" a="1"/>
  <c r="E667" i="37" a="1"/>
  <c r="AA20" i="35"/>
  <c r="AV15" i="35"/>
  <c r="G21" i="35" a="1"/>
  <c r="E290" i="37" a="1"/>
  <c r="BA4" i="35" a="1"/>
  <c r="AN30" i="35"/>
  <c r="AD8" i="35"/>
  <c r="BP8" i="35" a="1"/>
  <c r="AD18" i="35"/>
  <c r="E719" i="37" a="1"/>
  <c r="AM24" i="35"/>
  <c r="E454" i="37" a="1"/>
  <c r="AY12" i="35" a="1"/>
  <c r="F4" i="35" a="1"/>
  <c r="BB28" i="35" a="1"/>
  <c r="BZ30" i="35" a="1"/>
  <c r="CA9" i="35" a="1"/>
  <c r="BS19" i="35" a="1"/>
  <c r="AO27" i="35"/>
  <c r="R23" i="35"/>
  <c r="R28" i="35"/>
  <c r="AK19" i="35"/>
  <c r="AP20" i="35"/>
  <c r="E596" i="37" a="1"/>
  <c r="E95" i="37" a="1"/>
  <c r="BN3" i="35" a="1"/>
  <c r="BA11" i="35" a="1"/>
  <c r="BK23" i="35" a="1"/>
  <c r="E24" i="37" a="1"/>
  <c r="AO6" i="35"/>
  <c r="E474" i="37" a="1"/>
  <c r="BA24" i="35" a="1"/>
  <c r="E281" i="37" a="1"/>
  <c r="E745" i="37" a="1"/>
  <c r="AC22" i="35"/>
  <c r="AE13" i="35"/>
  <c r="E576" i="37" a="1"/>
  <c r="BO27" i="35" a="1"/>
  <c r="I27" i="35" a="1"/>
  <c r="BM21" i="35" a="1"/>
  <c r="AR28" i="35"/>
  <c r="I8" i="35" a="1"/>
  <c r="E136" i="37" a="1"/>
  <c r="E380" i="37" a="1"/>
  <c r="E261" i="37" a="1"/>
  <c r="AA16" i="35"/>
  <c r="AE14" i="35"/>
  <c r="BX3" i="35" a="1"/>
  <c r="AJ9" i="35"/>
  <c r="AI16" i="35"/>
  <c r="BR19" i="35" a="1"/>
  <c r="E624" i="37" a="1"/>
  <c r="AK21" i="35"/>
  <c r="E625" i="37" a="1"/>
  <c r="E247" i="37" a="1"/>
  <c r="E301" i="37" a="1"/>
  <c r="E571" i="37" a="1"/>
  <c r="CA6" i="35" a="1"/>
  <c r="AO16" i="35"/>
  <c r="AI3" i="35"/>
  <c r="Y30" i="35"/>
  <c r="E384" i="37" a="1"/>
  <c r="I15" i="35" a="1"/>
  <c r="Y14" i="35"/>
  <c r="AI17" i="35"/>
  <c r="BG13" i="35" a="1"/>
  <c r="E221" i="37" a="1"/>
  <c r="CA7" i="35" a="1"/>
  <c r="BW17" i="35" a="1"/>
  <c r="AE16" i="35"/>
  <c r="E117" i="37" a="1"/>
  <c r="AQ16" i="35"/>
  <c r="S13" i="35"/>
  <c r="BV5" i="35" a="1"/>
  <c r="BW27" i="35" a="1"/>
  <c r="AE30" i="35"/>
  <c r="BM6" i="35" a="1"/>
  <c r="U19" i="35"/>
  <c r="W30" i="35"/>
  <c r="AV24" i="35"/>
  <c r="E682" i="37" a="1"/>
  <c r="AB20" i="35"/>
  <c r="BD14" i="35" a="1"/>
  <c r="E538" i="37" a="1"/>
  <c r="AC9" i="35"/>
  <c r="BS11" i="35" a="1"/>
  <c r="E18" i="35" a="1"/>
  <c r="BE4" i="35" a="1"/>
  <c r="E273" i="37" a="1"/>
  <c r="CB15" i="35" a="1"/>
  <c r="E4" i="37" a="1"/>
  <c r="CB6" i="35" a="1"/>
  <c r="BI12" i="35" a="1"/>
  <c r="E417" i="37" a="1"/>
  <c r="BL3" i="35" a="1"/>
  <c r="AL8" i="35"/>
  <c r="AA8" i="35"/>
  <c r="CA19" i="35" a="1"/>
  <c r="AB24" i="35"/>
  <c r="AA7" i="35"/>
  <c r="AV19" i="35"/>
  <c r="AN24" i="35"/>
  <c r="E198" i="37" a="1"/>
  <c r="BO8" i="35" a="1"/>
  <c r="AJ30" i="35"/>
  <c r="BJ25" i="35" a="1"/>
  <c r="BM19" i="35" a="1"/>
  <c r="BC22" i="35" a="1"/>
  <c r="E225" i="37" a="1"/>
  <c r="AX4" i="35" a="1"/>
  <c r="BM22" i="35" a="1"/>
  <c r="W14" i="35"/>
  <c r="BC18" i="35" a="1"/>
  <c r="BK22" i="35" a="1"/>
  <c r="BX20" i="35" a="1"/>
  <c r="AH13" i="35"/>
  <c r="AD21" i="35"/>
  <c r="AC21" i="35"/>
  <c r="CA18" i="35" a="1"/>
  <c r="E38" i="37" a="1"/>
  <c r="AZ23" i="35" a="1"/>
  <c r="BU18" i="35" a="1"/>
  <c r="AM5" i="35"/>
  <c r="E735" i="37" a="1"/>
  <c r="E194" i="37" a="1"/>
  <c r="T5" i="35"/>
  <c r="BT10" i="35" a="1"/>
  <c r="H7" i="35" a="1"/>
  <c r="E223" i="37" a="1"/>
  <c r="E429" i="37" a="1"/>
  <c r="AS29" i="35"/>
  <c r="E248" i="37" a="1"/>
  <c r="C6" i="35" a="1"/>
  <c r="C17" i="35" a="1"/>
  <c r="E274" i="37" a="1"/>
  <c r="D3" i="35" a="1"/>
  <c r="E265" i="37" a="1"/>
  <c r="AP28" i="35"/>
  <c r="H14" i="35" a="1"/>
  <c r="V8" i="35"/>
  <c r="E392" i="37" a="1"/>
  <c r="BO26" i="35" a="1"/>
  <c r="AD15" i="35"/>
  <c r="E671" i="37" a="1"/>
  <c r="E512" i="37" a="1"/>
  <c r="E425" i="37" a="1"/>
  <c r="AK4" i="35"/>
  <c r="AE23" i="35"/>
  <c r="E299" i="37" a="1"/>
  <c r="Y11" i="35"/>
  <c r="AV16" i="35"/>
  <c r="BD12" i="35" a="1"/>
  <c r="AH26" i="35"/>
  <c r="AS13" i="35"/>
  <c r="AY14" i="35" a="1"/>
  <c r="AX19" i="35" a="1"/>
  <c r="E394" i="37" a="1"/>
  <c r="AA14" i="35"/>
  <c r="E341" i="37" a="1"/>
  <c r="CB8" i="35" a="1"/>
  <c r="AF19" i="35"/>
  <c r="BF15" i="35" a="1"/>
  <c r="BR15" i="35" a="1"/>
  <c r="BL8" i="35" a="1"/>
  <c r="Y8" i="35"/>
  <c r="Z23" i="35"/>
  <c r="E643" i="37" a="1"/>
  <c r="BB9" i="35" a="1"/>
  <c r="E74" i="37" a="1"/>
  <c r="BE16" i="35" a="1"/>
  <c r="E107" i="37" a="1"/>
  <c r="BK28" i="35" a="1"/>
  <c r="AG4" i="35"/>
  <c r="BL30" i="35" a="1"/>
  <c r="V21" i="35"/>
  <c r="AA24" i="35"/>
  <c r="BD28" i="35" a="1"/>
  <c r="E447" i="37" a="1"/>
  <c r="BF28" i="35" a="1"/>
  <c r="E657" i="37" a="1"/>
  <c r="AZ14" i="35" a="1"/>
  <c r="BJ27" i="35" a="1"/>
  <c r="E80" i="37" a="1"/>
  <c r="AH27" i="35"/>
  <c r="CB19" i="35" a="1"/>
  <c r="E174" i="37" a="1"/>
  <c r="Y3" i="35"/>
  <c r="BJ19" i="35" a="1"/>
  <c r="E527" i="37" a="1"/>
  <c r="BU8" i="35" a="1"/>
  <c r="Z30" i="35"/>
  <c r="BZ16" i="35" a="1"/>
  <c r="BG7" i="35" a="1"/>
  <c r="AN9" i="35"/>
  <c r="E702" i="37" a="1"/>
  <c r="BE3" i="35" a="1"/>
  <c r="AV22" i="35"/>
  <c r="AK6" i="35"/>
  <c r="AB13" i="35"/>
  <c r="BV27" i="35" a="1"/>
  <c r="AS24" i="35"/>
  <c r="E50" i="37" a="1"/>
  <c r="U14" i="35"/>
  <c r="E700" i="37" a="1"/>
  <c r="E641" i="37" a="1"/>
  <c r="AT4" i="35"/>
  <c r="W18" i="35"/>
  <c r="E260" i="37" a="1"/>
  <c r="AM18" i="35"/>
  <c r="I4" i="35" a="1"/>
  <c r="J6" i="35" a="1"/>
  <c r="BB12" i="35" a="1"/>
  <c r="I6" i="35" a="1"/>
  <c r="AH18" i="35"/>
  <c r="AO14" i="35"/>
  <c r="BL4" i="35" a="1"/>
  <c r="E408" i="37" a="1"/>
  <c r="E151" i="37" a="1"/>
  <c r="CB17" i="35" a="1"/>
  <c r="E619" i="37" a="1"/>
  <c r="AV23" i="35"/>
  <c r="BC3" i="35" a="1"/>
  <c r="E715" i="37" a="1"/>
  <c r="BA3" i="35" a="1"/>
  <c r="E713" i="37" a="1"/>
  <c r="E342" i="37" a="1"/>
  <c r="E250" i="37" a="1"/>
  <c r="AY3" i="35" a="1"/>
  <c r="AA28" i="35"/>
  <c r="E669" i="37" a="1"/>
  <c r="AT8" i="35"/>
  <c r="E54" i="37" a="1"/>
  <c r="AI20" i="35"/>
  <c r="E69" i="37" a="1"/>
  <c r="AH21" i="35"/>
  <c r="E431" i="37" a="1"/>
  <c r="AK25" i="35"/>
  <c r="AI21" i="35"/>
  <c r="AC27" i="35"/>
  <c r="V11" i="35"/>
  <c r="BY30" i="35" a="1"/>
  <c r="BT9" i="35" a="1"/>
  <c r="F28" i="35" a="1"/>
  <c r="AE19" i="35"/>
  <c r="T17" i="35"/>
  <c r="E184" i="37" a="1"/>
  <c r="BJ29" i="35" a="1"/>
  <c r="E511" i="37" a="1"/>
  <c r="AU18" i="35"/>
  <c r="BJ23" i="35" a="1"/>
  <c r="E545" i="37" a="1"/>
  <c r="AH6" i="35"/>
  <c r="E642" i="37" a="1"/>
  <c r="X23" i="35"/>
  <c r="AY28" i="35" a="1"/>
  <c r="BY23" i="35" a="1"/>
  <c r="J15" i="35" a="1"/>
  <c r="BX4" i="35" a="1"/>
  <c r="E706" i="37" a="1"/>
  <c r="E186" i="37" a="1"/>
  <c r="R30" i="35"/>
  <c r="V17" i="35"/>
  <c r="CA14" i="35" a="1"/>
  <c r="E296" i="37" a="1"/>
  <c r="AI14" i="35"/>
  <c r="E9" i="35" a="1"/>
  <c r="E564" i="37" a="1"/>
  <c r="BI28" i="35" a="1"/>
  <c r="BY14" i="35" a="1"/>
  <c r="V28" i="35"/>
  <c r="BD30" i="35" a="1"/>
  <c r="BU22" i="35" a="1"/>
  <c r="BO6" i="35" a="1"/>
  <c r="BF17" i="35" a="1"/>
  <c r="R27" i="35"/>
  <c r="I9" i="35" a="1"/>
  <c r="BF13" i="35" a="1"/>
  <c r="E629" i="37" a="1"/>
  <c r="BB30" i="35" a="1"/>
  <c r="E49" i="37" a="1"/>
  <c r="E102" i="37" a="1"/>
  <c r="BX13" i="35" a="1"/>
  <c r="BH30" i="35" a="1"/>
  <c r="E86" i="37" a="1"/>
  <c r="F27" i="35" a="1"/>
  <c r="BW10" i="35" a="1"/>
  <c r="E520" i="37" a="1"/>
  <c r="AQ4" i="35"/>
  <c r="BW14" i="35" a="1"/>
  <c r="R8" i="35"/>
  <c r="AB10" i="35"/>
  <c r="AI5" i="35"/>
  <c r="BU5" i="35" a="1"/>
  <c r="BS29" i="35" a="1"/>
  <c r="AL14" i="35"/>
  <c r="D30" i="35" a="1"/>
  <c r="AC8" i="35"/>
  <c r="F8" i="35" a="1"/>
  <c r="E57" i="37" a="1"/>
  <c r="BW22" i="35" a="1"/>
  <c r="I20" i="35" a="1"/>
  <c r="D17" i="35" a="1"/>
  <c r="R10" i="35"/>
  <c r="BA7" i="35" a="1"/>
  <c r="D23" i="35" a="1"/>
  <c r="BH13" i="35" a="1"/>
  <c r="E407" i="37" a="1"/>
  <c r="D15" i="35" a="1"/>
  <c r="BE20" i="35" a="1"/>
  <c r="BE22" i="35" a="1"/>
  <c r="AS25" i="35"/>
  <c r="AY25" i="35" a="1"/>
  <c r="E22" i="35" a="1"/>
  <c r="BC16" i="35" a="1"/>
  <c r="E397" i="37" a="1"/>
  <c r="BE7" i="35" a="1"/>
  <c r="AO23" i="35"/>
  <c r="E626" i="37" a="1"/>
  <c r="W13" i="35"/>
  <c r="E213" i="37" a="1"/>
  <c r="Y4" i="35"/>
  <c r="BI11" i="35" a="1"/>
  <c r="BW5" i="35" a="1"/>
  <c r="E336" i="37" a="1"/>
  <c r="BU25" i="35" a="1"/>
  <c r="BX12" i="35" a="1"/>
  <c r="E66" i="37" a="1"/>
  <c r="H28" i="35" a="1"/>
  <c r="E165" i="37" a="1"/>
  <c r="E548" i="37" a="1"/>
  <c r="J21" i="35" a="1"/>
  <c r="BC17" i="35" a="1"/>
  <c r="E670" i="37" a="1"/>
  <c r="E19" i="37" a="1"/>
  <c r="BO25" i="35" a="1"/>
  <c r="AG20" i="35"/>
  <c r="E714" i="37" a="1"/>
  <c r="CB9" i="35" a="1"/>
  <c r="AF25" i="35"/>
  <c r="BR14" i="35" a="1"/>
  <c r="BH12" i="35" a="1"/>
  <c r="E742" i="37" a="1"/>
  <c r="E71" i="37" a="1"/>
  <c r="Z15" i="35"/>
  <c r="BL17" i="35" a="1"/>
  <c r="AN10" i="35"/>
  <c r="E627" i="37" a="1"/>
  <c r="AC7" i="35"/>
  <c r="AP13" i="35"/>
  <c r="E471" i="37" a="1"/>
  <c r="E94" i="37" a="1"/>
  <c r="AG27" i="35"/>
  <c r="AX15" i="35" a="1"/>
  <c r="AH12" i="35"/>
  <c r="H29" i="35" a="1"/>
  <c r="BP10" i="35" a="1"/>
  <c r="BG6" i="35" a="1"/>
  <c r="AL12" i="35"/>
  <c r="AD11" i="35"/>
  <c r="AK11" i="35"/>
  <c r="BO12" i="35" a="1"/>
  <c r="BZ7" i="35" a="1"/>
  <c r="AK13" i="35"/>
  <c r="AO8" i="35"/>
  <c r="BV4" i="35" a="1"/>
  <c r="AJ8" i="35"/>
  <c r="E698" i="37" a="1"/>
  <c r="E352" i="37" a="1"/>
  <c r="E308" i="37" a="1"/>
  <c r="E61" i="37" a="1"/>
  <c r="BU28" i="35" a="1"/>
  <c r="AC19" i="35"/>
  <c r="AK20" i="35"/>
  <c r="E113" i="37" a="1"/>
  <c r="D22" i="35" a="1"/>
  <c r="E416" i="37" a="1"/>
  <c r="E26" i="37" a="1"/>
  <c r="AP7" i="35"/>
  <c r="BV30" i="35" a="1"/>
  <c r="E205" i="37" a="1"/>
  <c r="AH7" i="35"/>
  <c r="E696" i="37" a="1"/>
  <c r="U24" i="35"/>
  <c r="AN16" i="35"/>
  <c r="AS28" i="35"/>
  <c r="E622" i="37" a="1"/>
  <c r="E325" i="37" a="1"/>
  <c r="E103" i="37" a="1"/>
  <c r="R18" i="35"/>
  <c r="AB26" i="35"/>
  <c r="AZ3" i="35" a="1"/>
  <c r="BW15" i="35" a="1"/>
  <c r="AR10" i="35"/>
  <c r="E6" i="35" a="1"/>
  <c r="BM8" i="35" a="1"/>
  <c r="E584" i="37" a="1"/>
  <c r="BG29" i="35" a="1"/>
  <c r="E628" i="37" a="1"/>
  <c r="E451" i="37" a="1"/>
  <c r="BO10" i="35" a="1"/>
  <c r="BM14" i="35" a="1"/>
  <c r="AI30" i="35"/>
  <c r="V24" i="35"/>
  <c r="V6" i="35"/>
  <c r="E366" i="37" a="1"/>
  <c r="E309" i="37" a="1"/>
  <c r="E145" i="37" a="1"/>
  <c r="Y19" i="35"/>
  <c r="E6" i="37" a="1"/>
  <c r="U29" i="35"/>
  <c r="AK8" i="35"/>
  <c r="BQ24" i="35" a="1"/>
  <c r="BV8" i="35" a="1"/>
  <c r="BT24" i="35" a="1"/>
  <c r="AX29" i="35" a="1"/>
  <c r="S11" i="35"/>
  <c r="E195" i="37" a="1"/>
  <c r="BG24" i="35" a="1"/>
  <c r="BZ6" i="35" a="1"/>
  <c r="AF30" i="35"/>
  <c r="AD5" i="35"/>
  <c r="T12" i="35"/>
  <c r="T13" i="35"/>
  <c r="E654" i="37" a="1"/>
  <c r="BW24" i="35" a="1"/>
  <c r="E651" i="37" a="1"/>
  <c r="BT12" i="35" a="1"/>
  <c r="C25" i="35" a="1"/>
  <c r="E363" i="37" a="1"/>
  <c r="BR27" i="35" a="1"/>
  <c r="E42" i="37" a="1"/>
  <c r="BS28" i="35" a="1"/>
  <c r="AJ29" i="35"/>
  <c r="E562" i="37" a="1"/>
  <c r="AY7" i="35" a="1"/>
  <c r="D12" i="35" a="1"/>
  <c r="AQ9" i="35"/>
  <c r="AN17" i="35"/>
  <c r="E319" i="37" a="1"/>
  <c r="BC13" i="35" a="1"/>
  <c r="E477" i="37" a="1"/>
  <c r="R19" i="35"/>
  <c r="CA30" i="35" a="1"/>
  <c r="E298" i="37" a="1"/>
  <c r="E346" i="37" a="1"/>
  <c r="E302" i="37" a="1"/>
  <c r="BQ12" i="35" a="1"/>
  <c r="E711" i="37" a="1"/>
  <c r="E496" i="37" a="1"/>
  <c r="BE21" i="35" a="1"/>
  <c r="AJ25" i="35"/>
  <c r="E269" i="37" a="1"/>
  <c r="BD3" i="35" a="1"/>
  <c r="E234" i="37" a="1"/>
  <c r="AK28" i="35"/>
  <c r="AM30" i="35"/>
  <c r="E486" i="37" a="1"/>
  <c r="W21" i="35"/>
  <c r="AF29" i="35"/>
  <c r="U20" i="35"/>
  <c r="AG8" i="35"/>
  <c r="E405" i="37" a="1"/>
  <c r="BQ21" i="35" a="1"/>
  <c r="E402" i="37" a="1"/>
  <c r="E478" i="37" a="1"/>
  <c r="AG15" i="35"/>
  <c r="E263" i="37" a="1"/>
  <c r="BL14" i="35" a="1"/>
  <c r="Y6" i="35"/>
  <c r="E289" i="37" a="1"/>
  <c r="AS9" i="35"/>
  <c r="E607" i="37" a="1"/>
  <c r="S18" i="35"/>
  <c r="AR27" i="35"/>
  <c r="AA29" i="35"/>
  <c r="E196" i="37" a="1"/>
  <c r="E396" i="37" a="1"/>
  <c r="E515" i="37" a="1"/>
  <c r="BQ4" i="35" a="1"/>
  <c r="AY11" i="35" a="1"/>
  <c r="E727" i="37" a="1"/>
  <c r="E728" i="37" a="1"/>
  <c r="BC30" i="35" a="1"/>
  <c r="AT25" i="35"/>
  <c r="BQ28" i="35" a="1"/>
  <c r="AV30" i="35"/>
  <c r="BS16" i="35" a="1"/>
  <c r="E542" i="37" a="1"/>
  <c r="AF24" i="35"/>
  <c r="BR10" i="35" a="1"/>
  <c r="E224" i="37" a="1"/>
  <c r="AY22" i="35" a="1"/>
  <c r="BQ9" i="35" a="1"/>
  <c r="BV10" i="35" a="1"/>
  <c r="E652" i="37" a="1"/>
  <c r="BU15" i="35" a="1"/>
  <c r="AZ21" i="35" a="1"/>
  <c r="BE5" i="35" a="1"/>
  <c r="AJ4" i="35"/>
  <c r="AD3" i="35"/>
  <c r="BG16" i="35" a="1"/>
  <c r="E611" i="37" a="1"/>
  <c r="CA3" i="35" a="1"/>
  <c r="BV14" i="35" a="1"/>
  <c r="BC4" i="35" a="1"/>
  <c r="BR7" i="35" a="1"/>
  <c r="AJ18" i="35"/>
  <c r="BP27" i="35" a="1"/>
  <c r="AX6" i="35" a="1"/>
  <c r="BW3" i="35" a="1"/>
  <c r="X3" i="35"/>
  <c r="BS7" i="35" a="1"/>
  <c r="CB28" i="35" a="1"/>
  <c r="BQ10" i="35" a="1"/>
  <c r="E505" i="37" a="1"/>
  <c r="E129" i="37" a="1"/>
  <c r="AZ12" i="35" a="1"/>
  <c r="BZ27" i="35" a="1"/>
  <c r="E329" i="37" a="1"/>
  <c r="E135" i="37" a="1"/>
  <c r="BS26" i="35" a="1"/>
  <c r="J27" i="35" a="1"/>
  <c r="E362" i="37" a="1"/>
  <c r="AG16" i="35"/>
  <c r="BZ24" i="35" a="1"/>
  <c r="E143" i="37" a="1"/>
  <c r="E608" i="37" a="1"/>
  <c r="E563" i="37" a="1"/>
  <c r="E467" i="37" a="1"/>
  <c r="BF11" i="35" a="1"/>
  <c r="S16" i="35"/>
  <c r="E46" i="37" a="1"/>
  <c r="AD4" i="35"/>
  <c r="E159" i="37" a="1"/>
  <c r="BO30" i="35" a="1"/>
  <c r="E602" i="37" a="1"/>
  <c r="AA22" i="35"/>
  <c r="BN24" i="35" a="1"/>
  <c r="AX13" i="35" a="1"/>
  <c r="E335" i="37" a="1"/>
  <c r="CA26" i="35" a="1"/>
  <c r="E631" i="37" a="1"/>
  <c r="E25" i="35" a="1"/>
  <c r="AZ29" i="35" a="1"/>
  <c r="AG22" i="35"/>
  <c r="E316" i="37" a="1"/>
  <c r="BU7" i="35" a="1"/>
  <c r="E526" i="37" a="1"/>
  <c r="BQ3" i="35" a="1"/>
  <c r="E27" i="35" a="1"/>
  <c r="E365" i="37" a="1"/>
  <c r="AG9" i="35"/>
  <c r="AT5" i="35"/>
  <c r="W26" i="35"/>
  <c r="BH15" i="35" a="1"/>
  <c r="AR5" i="35"/>
  <c r="E109" i="37" a="1"/>
  <c r="AB15" i="35"/>
  <c r="D14" i="35" a="1"/>
  <c r="X20" i="35"/>
  <c r="J29" i="35" a="1"/>
  <c r="C15" i="35" a="1"/>
  <c r="E412" i="37" a="1"/>
  <c r="BR16" i="35" a="1"/>
  <c r="E353" i="37" a="1"/>
  <c r="E14" i="37" a="1"/>
  <c r="T3" i="35"/>
  <c r="AV6" i="35"/>
  <c r="E379" i="37" a="1"/>
  <c r="BX26" i="35" a="1"/>
  <c r="BT30" i="35" a="1"/>
  <c r="E672" i="37" a="1"/>
  <c r="S20" i="35"/>
  <c r="AP3" i="35"/>
  <c r="AS15" i="35"/>
  <c r="E246" i="37" a="1"/>
  <c r="Y27" i="35"/>
  <c r="E481" i="37" a="1"/>
  <c r="E208" i="37" a="1"/>
  <c r="BU17" i="35" a="1"/>
  <c r="AV27" i="35"/>
  <c r="AL24" i="35"/>
  <c r="BG30" i="35" a="1"/>
  <c r="CA28" i="35" a="1"/>
  <c r="BF25" i="35" a="1"/>
  <c r="H12" i="35" a="1"/>
  <c r="AK26" i="35"/>
  <c r="U18" i="35"/>
  <c r="E428" i="37" a="1"/>
  <c r="C8" i="35" a="1"/>
  <c r="CB27" i="35" a="1"/>
  <c r="E588" i="37" a="1"/>
  <c r="BV3" i="35" a="1"/>
  <c r="H27" i="35" a="1"/>
  <c r="BP9" i="35" a="1"/>
  <c r="AQ28" i="35"/>
  <c r="CA5" i="35" a="1"/>
  <c r="AI13" i="35"/>
  <c r="E220" i="37" a="1"/>
  <c r="BE27" i="35" a="1"/>
  <c r="AZ27" i="35" a="1"/>
  <c r="Z9" i="35"/>
  <c r="BC26" i="35" a="1"/>
  <c r="E530" i="37" a="1"/>
  <c r="BH28" i="35" a="1"/>
  <c r="I19" i="35" a="1"/>
  <c r="AN11" i="35"/>
  <c r="AA23" i="35"/>
  <c r="G7" i="35" a="1"/>
  <c r="BF23" i="35" a="1"/>
  <c r="X19" i="35"/>
  <c r="BR12" i="35" a="1"/>
  <c r="BA16" i="35" a="1"/>
  <c r="CA8" i="35" a="1"/>
  <c r="AX18" i="35" a="1"/>
  <c r="E304" i="37" a="1"/>
  <c r="J17" i="35" a="1"/>
  <c r="BN5" i="35" a="1"/>
  <c r="E638" i="37" a="1"/>
  <c r="E13" i="35" a="1"/>
  <c r="E238" i="37" a="1"/>
  <c r="E524" i="37" a="1"/>
  <c r="AO29" i="35"/>
  <c r="H23" i="35" a="1"/>
  <c r="E597" i="37" a="1"/>
  <c r="AI18" i="35"/>
  <c r="E693" i="37" a="1"/>
  <c r="BO5" i="35" a="1"/>
  <c r="E581" i="37" a="1"/>
  <c r="AX16" i="35" a="1"/>
  <c r="AJ5" i="35"/>
  <c r="E83" i="37" a="1"/>
  <c r="AE9" i="35"/>
  <c r="E606" i="37" a="1"/>
  <c r="BD4" i="35" a="1"/>
  <c r="AF22" i="35"/>
  <c r="AB18" i="35"/>
  <c r="AJ6" i="35"/>
  <c r="BH14" i="35" a="1"/>
  <c r="BD24" i="35" a="1"/>
  <c r="T19" i="35"/>
  <c r="AE12" i="35"/>
  <c r="BB24" i="35" a="1"/>
  <c r="E523" i="37" a="1"/>
  <c r="E32" i="37" a="1"/>
  <c r="BN10" i="35" a="1"/>
  <c r="BZ13" i="35" a="1"/>
  <c r="BE11" i="35" a="1"/>
  <c r="AY9" i="35" a="1"/>
  <c r="E226" i="37" a="1"/>
  <c r="BW13" i="35" a="1"/>
  <c r="E244" i="37" a="1"/>
  <c r="E252" i="37" a="1"/>
  <c r="E84" i="37" a="1"/>
  <c r="BY6" i="35" a="1"/>
  <c r="S29" i="35"/>
  <c r="BT22" i="35" a="1"/>
  <c r="E744" i="37" a="1"/>
  <c r="AN21" i="35"/>
  <c r="AE10" i="35"/>
  <c r="X12" i="35"/>
  <c r="BJ10" i="35" a="1"/>
  <c r="AG25" i="35"/>
  <c r="E391" i="37" a="1"/>
  <c r="R9" i="35"/>
  <c r="F10" i="35" a="1"/>
  <c r="E349" i="37" a="1"/>
  <c r="AP27" i="35"/>
  <c r="AT12" i="35"/>
  <c r="J4" i="35" a="1"/>
  <c r="AV17" i="35"/>
  <c r="BC12" i="35" a="1"/>
  <c r="E275" i="37" a="1"/>
  <c r="BC28" i="35" a="1"/>
  <c r="AP30" i="35"/>
  <c r="BD27" i="35" a="1"/>
  <c r="E457" i="37" a="1"/>
  <c r="Z18" i="35"/>
  <c r="BK24" i="35" a="1"/>
  <c r="E674" i="37" a="1"/>
  <c r="AB3" i="35"/>
  <c r="S12" i="35"/>
  <c r="E579" i="37" a="1"/>
  <c r="BL5" i="35" a="1"/>
  <c r="BI4" i="35" a="1"/>
  <c r="E546" i="37" a="1"/>
  <c r="AV20" i="35"/>
  <c r="BM29" i="35" a="1"/>
  <c r="BF18" i="35" a="1"/>
  <c r="E233" i="37" a="1"/>
  <c r="BR30" i="35" a="1"/>
  <c r="R12" i="35"/>
  <c r="E114" i="37" a="1"/>
  <c r="BJ12" i="35" a="1"/>
  <c r="E137" i="37" a="1"/>
  <c r="BW12" i="35" a="1"/>
  <c r="I25" i="35" a="1"/>
  <c r="S23" i="35"/>
  <c r="BV6" i="35" a="1"/>
  <c r="AD26" i="35"/>
  <c r="AC26" i="35"/>
  <c r="AO20" i="35"/>
  <c r="BB4" i="35" a="1"/>
  <c r="E458" i="37" a="1"/>
  <c r="BN29" i="35" a="1"/>
  <c r="BF4" i="35" a="1"/>
  <c r="AF4" i="35"/>
  <c r="R5" i="35"/>
  <c r="BD29" i="35" a="1"/>
  <c r="AH15" i="35"/>
  <c r="E106" i="37" a="1"/>
  <c r="AK22" i="35"/>
  <c r="BK9" i="35" a="1"/>
  <c r="X10" i="35"/>
  <c r="U17" i="35"/>
  <c r="AA6" i="35"/>
  <c r="AV9" i="35"/>
  <c r="AN19" i="35"/>
  <c r="E387" i="37" a="1"/>
  <c r="BX6" i="35" a="1"/>
  <c r="BW18" i="35" a="1"/>
  <c r="BR28" i="35" a="1"/>
  <c r="BR8" i="35" a="1"/>
  <c r="T14" i="35"/>
  <c r="AY18" i="35" a="1"/>
  <c r="BX25" i="35" a="1"/>
  <c r="BB6" i="35" a="1"/>
  <c r="E695" i="37" a="1"/>
  <c r="E737" i="37" a="1"/>
  <c r="Y26" i="35"/>
  <c r="AQ17" i="35"/>
  <c r="BZ4" i="35" a="1"/>
  <c r="BI24" i="35" a="1"/>
  <c r="S28" i="35"/>
  <c r="E444" i="37" a="1"/>
  <c r="CB4" i="35" a="1"/>
  <c r="AY26" i="35" a="1"/>
  <c r="AU26" i="35"/>
  <c r="E122" i="37" a="1"/>
  <c r="Z12" i="35"/>
  <c r="G27" i="35" a="1"/>
  <c r="F7" i="35" a="1"/>
  <c r="E35" i="37" a="1"/>
  <c r="U28" i="35"/>
  <c r="E559" i="37" a="1"/>
  <c r="E146" i="37" a="1"/>
  <c r="BI13" i="35" a="1"/>
  <c r="E30" i="37" a="1"/>
  <c r="E536" i="37" a="1"/>
  <c r="E67" i="37" a="1"/>
  <c r="E550" i="37" a="1"/>
  <c r="E681" i="37" a="1"/>
  <c r="BO22" i="35" a="1"/>
  <c r="AZ25" i="35" a="1"/>
  <c r="AN25" i="35"/>
  <c r="D7" i="35" a="1"/>
  <c r="BS9" i="35" a="1"/>
  <c r="BP21" i="35" a="1"/>
  <c r="E307" i="37" a="1"/>
  <c r="BH7" i="35" a="1"/>
  <c r="E582" i="37" a="1"/>
  <c r="E566" i="37" a="1"/>
  <c r="AF8" i="35"/>
  <c r="AD27" i="35"/>
  <c r="AI19" i="35"/>
  <c r="BN8" i="35" a="1"/>
  <c r="AC14" i="35"/>
  <c r="AO5" i="35"/>
  <c r="V9" i="35"/>
  <c r="Y24" i="35"/>
  <c r="AU17" i="35"/>
  <c r="BA28" i="35" a="1"/>
  <c r="AH19" i="35"/>
  <c r="BE23" i="35" a="1"/>
  <c r="V23" i="35"/>
  <c r="G19" i="35" a="1"/>
  <c r="AN14" i="35"/>
  <c r="AV18" i="35"/>
  <c r="AB6" i="35"/>
  <c r="E709" i="37" a="1"/>
  <c r="E490" i="37" a="1"/>
  <c r="BE9" i="35" a="1"/>
  <c r="AC29" i="35"/>
  <c r="E692" i="37" a="1"/>
  <c r="BR5" i="35" a="1"/>
  <c r="E157" i="37" a="1"/>
  <c r="AR12" i="35"/>
  <c r="U13" i="35"/>
  <c r="G6" i="35" a="1"/>
  <c r="V4" i="35"/>
  <c r="AT26" i="35"/>
  <c r="AU3" i="35"/>
  <c r="E34" i="37" a="1"/>
  <c r="E60" i="37" a="1"/>
  <c r="AP8" i="35"/>
  <c r="BO17" i="35" a="1"/>
  <c r="E179" i="37" a="1"/>
  <c r="AZ19" i="35" a="1"/>
  <c r="E133" i="37" a="1"/>
  <c r="J23" i="35" a="1"/>
  <c r="AX24" i="35" a="1"/>
  <c r="Y18" i="35"/>
  <c r="BA30" i="35" a="1"/>
  <c r="BH3" i="35" a="1"/>
  <c r="E59" i="37" a="1"/>
  <c r="AU24" i="35"/>
  <c r="AA12" i="35"/>
  <c r="E20" i="35" a="1"/>
  <c r="U11" i="35"/>
  <c r="AR13" i="35"/>
  <c r="E567" i="37" a="1"/>
  <c r="E360" i="37" a="1"/>
  <c r="R26" i="35"/>
  <c r="AG17" i="35"/>
  <c r="AC13" i="35"/>
  <c r="AJ3" i="35"/>
  <c r="E703" i="37" a="1"/>
  <c r="E128" i="37" a="1"/>
  <c r="BK6" i="35" a="1"/>
  <c r="AE17" i="35"/>
  <c r="E81" i="37" a="1"/>
  <c r="E551" i="37" a="1"/>
  <c r="BY15" i="35" a="1"/>
  <c r="AU6" i="35"/>
  <c r="BP11" i="35" a="1"/>
  <c r="E658" i="37" a="1"/>
  <c r="BI9" i="35" a="1"/>
  <c r="I11" i="35" a="1"/>
  <c r="E58" i="37" a="1"/>
  <c r="Z5" i="35"/>
  <c r="BL23" i="35" a="1"/>
  <c r="BV18" i="35" a="1"/>
  <c r="CB29" i="35" a="1"/>
  <c r="AL10" i="35"/>
  <c r="H24" i="35" a="1"/>
  <c r="W12" i="35"/>
  <c r="BT14" i="35" a="1"/>
  <c r="E517" i="37" a="1"/>
  <c r="E284" i="37" a="1"/>
  <c r="AN28" i="35"/>
  <c r="BH27" i="35" a="1"/>
  <c r="E56" i="37" a="1"/>
  <c r="F9" i="35" a="1"/>
  <c r="CB26" i="35" a="1"/>
  <c r="E142" i="37" a="1"/>
  <c r="AB8" i="35"/>
  <c r="W15" i="35"/>
  <c r="T4" i="35"/>
  <c r="S17" i="35"/>
  <c r="BA26" i="35" a="1"/>
  <c r="AE5" i="35"/>
  <c r="E116" i="37" a="1"/>
  <c r="BP13" i="35" a="1"/>
  <c r="BV26" i="35" a="1"/>
  <c r="BF29" i="35" a="1"/>
  <c r="W27" i="35"/>
  <c r="AA27" i="35"/>
  <c r="D5" i="35" a="1"/>
  <c r="E666" i="37" a="1"/>
  <c r="E686" i="37" a="1"/>
  <c r="E730" i="37" a="1"/>
  <c r="BK11" i="35" a="1"/>
  <c r="AY17" i="35" a="1"/>
  <c r="BW28" i="35" a="1"/>
  <c r="BW25" i="35" a="1"/>
  <c r="AU9" i="35"/>
  <c r="BD20" i="35" a="1"/>
  <c r="AP19" i="35"/>
  <c r="BZ28" i="35" a="1"/>
  <c r="J18" i="35" a="1"/>
  <c r="AQ3" i="35"/>
  <c r="AC12" i="35"/>
  <c r="S22" i="35"/>
  <c r="J10" i="35" a="1"/>
  <c r="BU27" i="35" a="1"/>
  <c r="E605" i="37" a="1"/>
  <c r="AP10" i="35"/>
  <c r="F15" i="35" a="1"/>
  <c r="X11" i="35"/>
  <c r="BN15" i="35" a="1"/>
  <c r="V3" i="35"/>
  <c r="E532" i="37" a="1"/>
  <c r="E504" i="37" a="1"/>
  <c r="BV22" i="35" a="1"/>
  <c r="E415" i="37" a="1"/>
  <c r="E23" i="37" a="1"/>
  <c r="BT20" i="35" a="1"/>
  <c r="AT15" i="35"/>
  <c r="Y28" i="35"/>
  <c r="BB10" i="35" a="1"/>
  <c r="E734" i="37" a="1"/>
  <c r="D20" i="35" a="1"/>
  <c r="BO13" i="35" a="1"/>
  <c r="BT26" i="35" a="1"/>
  <c r="BF7" i="35" a="1"/>
  <c r="AH30" i="35"/>
  <c r="G9" i="35" a="1"/>
  <c r="AH24" i="35"/>
  <c r="BW20" i="35" a="1"/>
  <c r="AP9" i="35"/>
  <c r="AZ5" i="35" a="1"/>
  <c r="E453" i="37" a="1"/>
  <c r="E495" i="37" a="1"/>
  <c r="BV11" i="35" a="1"/>
  <c r="E423" i="37" a="1"/>
  <c r="E207" i="37" a="1"/>
  <c r="E118" i="37" a="1"/>
  <c r="BJ9" i="35" a="1"/>
  <c r="E312" i="37" a="1"/>
  <c r="E493" i="37" a="1"/>
  <c r="BE15" i="35" a="1"/>
  <c r="BB7" i="35" a="1"/>
  <c r="BP7" i="35" a="1"/>
  <c r="AZ7" i="35" a="1"/>
  <c r="BD13" i="35" a="1"/>
  <c r="BO4" i="35" a="1"/>
  <c r="E497" i="37" a="1"/>
  <c r="BP24" i="35" a="1"/>
  <c r="AY27" i="35" a="1"/>
  <c r="AN26" i="35"/>
  <c r="AU29" i="35"/>
  <c r="E583" i="37" a="1"/>
  <c r="AG3" i="35"/>
  <c r="U9" i="35"/>
  <c r="BQ17" i="35" a="1"/>
  <c r="BO3" i="35" a="1"/>
  <c r="E433" i="37" a="1"/>
  <c r="AX26" i="35" a="1"/>
  <c r="H9" i="35" a="1"/>
  <c r="BP18" i="35" a="1"/>
  <c r="E108" i="37" a="1"/>
  <c r="AX5" i="35" a="1"/>
  <c r="BS24" i="35" a="1"/>
  <c r="BT18" i="35" a="1"/>
  <c r="BM3" i="35" a="1"/>
  <c r="BT28" i="35" a="1"/>
  <c r="AO19" i="35"/>
  <c r="AP14" i="35"/>
  <c r="BY5" i="35" a="1"/>
  <c r="E55" i="37" a="1"/>
  <c r="BL11" i="35" a="1"/>
  <c r="BL11" i="35" l="1"/>
  <c r="E55" i="37"/>
  <c r="F55" i="37" s="1"/>
  <c r="G55" i="37" s="1"/>
  <c r="BY5" i="35"/>
  <c r="BT28" i="35"/>
  <c r="BM3" i="35"/>
  <c r="BT18" i="35"/>
  <c r="BS24" i="35"/>
  <c r="AX5" i="35"/>
  <c r="E108" i="37"/>
  <c r="F108" i="37" s="1"/>
  <c r="G108" i="37" s="1"/>
  <c r="BP18" i="35"/>
  <c r="H9" i="35"/>
  <c r="AX26" i="35"/>
  <c r="E433" i="37"/>
  <c r="F433" i="37" s="1"/>
  <c r="BO3" i="35"/>
  <c r="BQ17" i="35"/>
  <c r="E583" i="37"/>
  <c r="F583" i="37" s="1"/>
  <c r="G583" i="37" s="1"/>
  <c r="AY27" i="35"/>
  <c r="BP24" i="35"/>
  <c r="E497" i="37"/>
  <c r="F497" i="37" s="1"/>
  <c r="BO4" i="35"/>
  <c r="BD13" i="35"/>
  <c r="AZ7" i="35"/>
  <c r="BP7" i="35"/>
  <c r="BB7" i="35"/>
  <c r="BE15" i="35"/>
  <c r="E493" i="37"/>
  <c r="F493" i="37" s="1"/>
  <c r="E312" i="37"/>
  <c r="F312" i="37" s="1"/>
  <c r="BJ9" i="35"/>
  <c r="E118" i="37"/>
  <c r="F118" i="37" s="1"/>
  <c r="G118" i="37" s="1"/>
  <c r="E207" i="37"/>
  <c r="F207" i="37" s="1"/>
  <c r="G207" i="37" s="1"/>
  <c r="E423" i="37"/>
  <c r="F423" i="37" s="1"/>
  <c r="BV11" i="35"/>
  <c r="E495" i="37"/>
  <c r="F495" i="37" s="1"/>
  <c r="E453" i="37"/>
  <c r="F453" i="37" s="1"/>
  <c r="AZ5" i="35"/>
  <c r="BW20" i="35"/>
  <c r="G9" i="35"/>
  <c r="BF7" i="35"/>
  <c r="BT26" i="35"/>
  <c r="BO13" i="35"/>
  <c r="D20" i="35"/>
  <c r="E734" i="37"/>
  <c r="F734" i="37" s="1"/>
  <c r="BB10" i="35"/>
  <c r="BT20" i="35"/>
  <c r="E23" i="37"/>
  <c r="F23" i="37" s="1"/>
  <c r="G23" i="37" s="1"/>
  <c r="E415" i="37"/>
  <c r="F415" i="37" s="1"/>
  <c r="BV22" i="35"/>
  <c r="E504" i="37"/>
  <c r="F504" i="37" s="1"/>
  <c r="E532" i="37"/>
  <c r="F532" i="37" s="1"/>
  <c r="G532" i="37" s="1"/>
  <c r="BN15" i="35"/>
  <c r="F15" i="35"/>
  <c r="E605" i="37"/>
  <c r="F605" i="37" s="1"/>
  <c r="G605" i="37" s="1"/>
  <c r="BU27" i="35"/>
  <c r="J10" i="35"/>
  <c r="J18" i="35"/>
  <c r="BZ28" i="35"/>
  <c r="BD20" i="35"/>
  <c r="BW25" i="35"/>
  <c r="BW28" i="35"/>
  <c r="AY17" i="35"/>
  <c r="BK11" i="35"/>
  <c r="E730" i="37"/>
  <c r="F730" i="37" s="1"/>
  <c r="E686" i="37"/>
  <c r="F686" i="37" s="1"/>
  <c r="E666" i="37"/>
  <c r="F666" i="37" s="1"/>
  <c r="D5" i="35"/>
  <c r="BF29" i="35"/>
  <c r="BV26" i="35"/>
  <c r="BP13" i="35"/>
  <c r="E116" i="37"/>
  <c r="F116" i="37" s="1"/>
  <c r="G116" i="37" s="1"/>
  <c r="BA26" i="35"/>
  <c r="E142" i="37"/>
  <c r="F142" i="37" s="1"/>
  <c r="G142" i="37" s="1"/>
  <c r="CB26" i="35"/>
  <c r="F9" i="35"/>
  <c r="E56" i="37"/>
  <c r="F56" i="37" s="1"/>
  <c r="G56" i="37" s="1"/>
  <c r="BH27" i="35"/>
  <c r="E284" i="37"/>
  <c r="F284" i="37" s="1"/>
  <c r="E517" i="37"/>
  <c r="F517" i="37" s="1"/>
  <c r="G517" i="37" s="1"/>
  <c r="BT14" i="35"/>
  <c r="H24" i="35"/>
  <c r="CB29" i="35"/>
  <c r="BV18" i="35"/>
  <c r="BL23" i="35"/>
  <c r="E58" i="37"/>
  <c r="F58" i="37" s="1"/>
  <c r="G58" i="37" s="1"/>
  <c r="I11" i="35"/>
  <c r="BI9" i="35"/>
  <c r="E658" i="37"/>
  <c r="F658" i="37" s="1"/>
  <c r="BP11" i="35"/>
  <c r="BY15" i="35"/>
  <c r="E551" i="37"/>
  <c r="F551" i="37" s="1"/>
  <c r="G551" i="37" s="1"/>
  <c r="E81" i="37"/>
  <c r="F81" i="37" s="1"/>
  <c r="G81" i="37" s="1"/>
  <c r="BK6" i="35"/>
  <c r="E128" i="37"/>
  <c r="F128" i="37" s="1"/>
  <c r="G128" i="37" s="1"/>
  <c r="E703" i="37"/>
  <c r="F703" i="37" s="1"/>
  <c r="M26" i="35"/>
  <c r="O26" i="35" s="1"/>
  <c r="E360" i="37"/>
  <c r="F360" i="37" s="1"/>
  <c r="E567" i="37"/>
  <c r="F567" i="37" s="1"/>
  <c r="G567" i="37" s="1"/>
  <c r="E20" i="35"/>
  <c r="E59" i="37"/>
  <c r="F59" i="37" s="1"/>
  <c r="G59" i="37" s="1"/>
  <c r="BH3" i="35"/>
  <c r="BA30" i="35"/>
  <c r="AX24" i="35"/>
  <c r="J23" i="35"/>
  <c r="E133" i="37"/>
  <c r="F133" i="37" s="1"/>
  <c r="G133" i="37" s="1"/>
  <c r="AZ19" i="35"/>
  <c r="E179" i="37"/>
  <c r="F179" i="37" s="1"/>
  <c r="G179" i="37" s="1"/>
  <c r="BO17" i="35"/>
  <c r="E60" i="37"/>
  <c r="F60" i="37" s="1"/>
  <c r="G60" i="37" s="1"/>
  <c r="E34" i="37"/>
  <c r="F34" i="37" s="1"/>
  <c r="G34" i="37" s="1"/>
  <c r="G6" i="35"/>
  <c r="E157" i="37"/>
  <c r="F157" i="37" s="1"/>
  <c r="G157" i="37" s="1"/>
  <c r="BR5" i="35"/>
  <c r="E692" i="37"/>
  <c r="F692" i="37" s="1"/>
  <c r="BE9" i="35"/>
  <c r="E490" i="37"/>
  <c r="F490" i="37" s="1"/>
  <c r="E709" i="37"/>
  <c r="F709" i="37" s="1"/>
  <c r="G19" i="35"/>
  <c r="BE23" i="35"/>
  <c r="BA28" i="35"/>
  <c r="BN8" i="35"/>
  <c r="E566" i="37"/>
  <c r="F566" i="37" s="1"/>
  <c r="G566" i="37" s="1"/>
  <c r="E582" i="37"/>
  <c r="F582" i="37" s="1"/>
  <c r="G582" i="37" s="1"/>
  <c r="BH7" i="35"/>
  <c r="E307" i="37"/>
  <c r="F307" i="37" s="1"/>
  <c r="BP21" i="35"/>
  <c r="BS9" i="35"/>
  <c r="D7" i="35"/>
  <c r="AZ25" i="35"/>
  <c r="BO22" i="35"/>
  <c r="E681" i="37"/>
  <c r="F681" i="37" s="1"/>
  <c r="E550" i="37"/>
  <c r="F550" i="37" s="1"/>
  <c r="G550" i="37" s="1"/>
  <c r="E67" i="37"/>
  <c r="F67" i="37" s="1"/>
  <c r="G67" i="37" s="1"/>
  <c r="E536" i="37"/>
  <c r="F536" i="37" s="1"/>
  <c r="G536" i="37" s="1"/>
  <c r="E30" i="37"/>
  <c r="F30" i="37" s="1"/>
  <c r="G30" i="37" s="1"/>
  <c r="BI13" i="35"/>
  <c r="E146" i="37"/>
  <c r="F146" i="37" s="1"/>
  <c r="G146" i="37" s="1"/>
  <c r="E559" i="37"/>
  <c r="F559" i="37" s="1"/>
  <c r="G559" i="37" s="1"/>
  <c r="E35" i="37"/>
  <c r="F35" i="37" s="1"/>
  <c r="G35" i="37" s="1"/>
  <c r="F7" i="35"/>
  <c r="G27" i="35"/>
  <c r="E122" i="37"/>
  <c r="F122" i="37" s="1"/>
  <c r="G122" i="37" s="1"/>
  <c r="AY26" i="35"/>
  <c r="CB4" i="35"/>
  <c r="E444" i="37"/>
  <c r="F444" i="37" s="1"/>
  <c r="BI24" i="35"/>
  <c r="BZ4" i="35"/>
  <c r="E737" i="37"/>
  <c r="F737" i="37" s="1"/>
  <c r="E695" i="37"/>
  <c r="F695" i="37" s="1"/>
  <c r="BB6" i="35"/>
  <c r="BX25" i="35"/>
  <c r="AY18" i="35"/>
  <c r="BR8" i="35"/>
  <c r="BR28" i="35"/>
  <c r="BW18" i="35"/>
  <c r="BX6" i="35"/>
  <c r="E387" i="37"/>
  <c r="F387" i="37" s="1"/>
  <c r="BK9" i="35"/>
  <c r="E106" i="37"/>
  <c r="F106" i="37" s="1"/>
  <c r="G106" i="37" s="1"/>
  <c r="BD29" i="35"/>
  <c r="M5" i="35"/>
  <c r="O5" i="35" s="1"/>
  <c r="BF4" i="35"/>
  <c r="BN29" i="35"/>
  <c r="E458" i="37"/>
  <c r="F458" i="37" s="1"/>
  <c r="BB4" i="35"/>
  <c r="BV6" i="35"/>
  <c r="I25" i="35"/>
  <c r="BW12" i="35"/>
  <c r="E137" i="37"/>
  <c r="F137" i="37" s="1"/>
  <c r="G137" i="37" s="1"/>
  <c r="BJ12" i="35"/>
  <c r="E114" i="37"/>
  <c r="F114" i="37" s="1"/>
  <c r="G114" i="37" s="1"/>
  <c r="M12" i="35"/>
  <c r="O12" i="35" s="1"/>
  <c r="BR30" i="35"/>
  <c r="E233" i="37"/>
  <c r="F233" i="37" s="1"/>
  <c r="G233" i="37" s="1"/>
  <c r="BF18" i="35"/>
  <c r="BM29" i="35"/>
  <c r="E546" i="37"/>
  <c r="F546" i="37" s="1"/>
  <c r="G546" i="37" s="1"/>
  <c r="BI4" i="35"/>
  <c r="BL5" i="35"/>
  <c r="E579" i="37"/>
  <c r="F579" i="37" s="1"/>
  <c r="G579" i="37" s="1"/>
  <c r="E674" i="37"/>
  <c r="F674" i="37" s="1"/>
  <c r="BK24" i="35"/>
  <c r="E457" i="37"/>
  <c r="F457" i="37" s="1"/>
  <c r="BD27" i="35"/>
  <c r="BC28" i="35"/>
  <c r="E275" i="37"/>
  <c r="F275" i="37" s="1"/>
  <c r="BC12" i="35"/>
  <c r="J4" i="35"/>
  <c r="E349" i="37"/>
  <c r="F349" i="37" s="1"/>
  <c r="F10" i="35"/>
  <c r="M9" i="35"/>
  <c r="O9" i="35" s="1"/>
  <c r="E391" i="37"/>
  <c r="F391" i="37" s="1"/>
  <c r="BJ10" i="35"/>
  <c r="E744" i="37"/>
  <c r="F744" i="37" s="1"/>
  <c r="BT22" i="35"/>
  <c r="BY6" i="35"/>
  <c r="E84" i="37"/>
  <c r="F84" i="37" s="1"/>
  <c r="G84" i="37" s="1"/>
  <c r="E252" i="37"/>
  <c r="F252" i="37" s="1"/>
  <c r="E244" i="37"/>
  <c r="F244" i="37" s="1"/>
  <c r="G244" i="37" s="1"/>
  <c r="BW13" i="35"/>
  <c r="E226" i="37"/>
  <c r="F226" i="37" s="1"/>
  <c r="G226" i="37" s="1"/>
  <c r="AY9" i="35"/>
  <c r="BE11" i="35"/>
  <c r="BZ13" i="35"/>
  <c r="BN10" i="35"/>
  <c r="E32" i="37"/>
  <c r="F32" i="37" s="1"/>
  <c r="G32" i="37" s="1"/>
  <c r="E523" i="37"/>
  <c r="F523" i="37" s="1"/>
  <c r="G523" i="37" s="1"/>
  <c r="BB24" i="35"/>
  <c r="BD24" i="35"/>
  <c r="BH14" i="35"/>
  <c r="BD4" i="35"/>
  <c r="E606" i="37"/>
  <c r="F606" i="37" s="1"/>
  <c r="G606" i="37" s="1"/>
  <c r="E83" i="37"/>
  <c r="F83" i="37" s="1"/>
  <c r="G83" i="37" s="1"/>
  <c r="AX16" i="35"/>
  <c r="E581" i="37"/>
  <c r="F581" i="37" s="1"/>
  <c r="G581" i="37" s="1"/>
  <c r="BO5" i="35"/>
  <c r="E693" i="37"/>
  <c r="F693" i="37" s="1"/>
  <c r="E597" i="37"/>
  <c r="F597" i="37" s="1"/>
  <c r="G597" i="37" s="1"/>
  <c r="H23" i="35"/>
  <c r="E524" i="37"/>
  <c r="F524" i="37" s="1"/>
  <c r="G524" i="37" s="1"/>
  <c r="E238" i="37"/>
  <c r="F238" i="37" s="1"/>
  <c r="G238" i="37" s="1"/>
  <c r="E13" i="35"/>
  <c r="E638" i="37"/>
  <c r="F638" i="37" s="1"/>
  <c r="G638" i="37" s="1"/>
  <c r="BN5" i="35"/>
  <c r="J17" i="35"/>
  <c r="E304" i="37"/>
  <c r="F304" i="37" s="1"/>
  <c r="AX18" i="35"/>
  <c r="CA8" i="35"/>
  <c r="BA16" i="35"/>
  <c r="BR12" i="35"/>
  <c r="BF23" i="35"/>
  <c r="G7" i="35"/>
  <c r="I19" i="35"/>
  <c r="BH28" i="35"/>
  <c r="E530" i="37"/>
  <c r="F530" i="37" s="1"/>
  <c r="G530" i="37" s="1"/>
  <c r="BC26" i="35"/>
  <c r="AZ27" i="35"/>
  <c r="BE27" i="35"/>
  <c r="E220" i="37"/>
  <c r="F220" i="37" s="1"/>
  <c r="G220" i="37" s="1"/>
  <c r="CA5" i="35"/>
  <c r="BP9" i="35"/>
  <c r="H27" i="35"/>
  <c r="BV3" i="35"/>
  <c r="E588" i="37"/>
  <c r="F588" i="37" s="1"/>
  <c r="G588" i="37" s="1"/>
  <c r="CB27" i="35"/>
  <c r="C8" i="35"/>
  <c r="E428" i="37"/>
  <c r="F428" i="37" s="1"/>
  <c r="H12" i="35"/>
  <c r="BF25" i="35"/>
  <c r="CA28" i="35"/>
  <c r="BG30" i="35"/>
  <c r="BU17" i="35"/>
  <c r="E208" i="37"/>
  <c r="F208" i="37" s="1"/>
  <c r="G208" i="37" s="1"/>
  <c r="E481" i="37"/>
  <c r="F481" i="37" s="1"/>
  <c r="E246" i="37"/>
  <c r="F246" i="37" s="1"/>
  <c r="G246" i="37" s="1"/>
  <c r="E672" i="37"/>
  <c r="F672" i="37" s="1"/>
  <c r="BT30" i="35"/>
  <c r="BX26" i="35"/>
  <c r="E379" i="37"/>
  <c r="F379" i="37" s="1"/>
  <c r="E14" i="37"/>
  <c r="F14" i="37" s="1"/>
  <c r="G14" i="37" s="1"/>
  <c r="E353" i="37"/>
  <c r="F353" i="37" s="1"/>
  <c r="BR16" i="35"/>
  <c r="E412" i="37"/>
  <c r="F412" i="37" s="1"/>
  <c r="C15" i="35"/>
  <c r="J29" i="35"/>
  <c r="D14" i="35"/>
  <c r="E109" i="37"/>
  <c r="F109" i="37" s="1"/>
  <c r="G109" i="37" s="1"/>
  <c r="BH15" i="35"/>
  <c r="E365" i="37"/>
  <c r="F365" i="37" s="1"/>
  <c r="E27" i="35"/>
  <c r="BQ3" i="35"/>
  <c r="E526" i="37"/>
  <c r="F526" i="37" s="1"/>
  <c r="G526" i="37" s="1"/>
  <c r="BU7" i="35"/>
  <c r="E316" i="37"/>
  <c r="F316" i="37" s="1"/>
  <c r="AZ29" i="35"/>
  <c r="E25" i="35"/>
  <c r="E631" i="37"/>
  <c r="F631" i="37" s="1"/>
  <c r="G631" i="37" s="1"/>
  <c r="CA26" i="35"/>
  <c r="E335" i="37"/>
  <c r="F335" i="37" s="1"/>
  <c r="AX13" i="35"/>
  <c r="BN24" i="35"/>
  <c r="E602" i="37"/>
  <c r="F602" i="37" s="1"/>
  <c r="G602" i="37" s="1"/>
  <c r="BO30" i="35"/>
  <c r="E159" i="37"/>
  <c r="F159" i="37" s="1"/>
  <c r="G159" i="37" s="1"/>
  <c r="E46" i="37"/>
  <c r="F46" i="37" s="1"/>
  <c r="G46" i="37" s="1"/>
  <c r="BF11" i="35"/>
  <c r="E467" i="37"/>
  <c r="F467" i="37" s="1"/>
  <c r="E563" i="37"/>
  <c r="F563" i="37" s="1"/>
  <c r="G563" i="37" s="1"/>
  <c r="E608" i="37"/>
  <c r="F608" i="37" s="1"/>
  <c r="G608" i="37" s="1"/>
  <c r="E143" i="37"/>
  <c r="F143" i="37" s="1"/>
  <c r="G143" i="37" s="1"/>
  <c r="BZ24" i="35"/>
  <c r="E362" i="37"/>
  <c r="F362" i="37" s="1"/>
  <c r="J27" i="35"/>
  <c r="BS26" i="35"/>
  <c r="E135" i="37"/>
  <c r="F135" i="37" s="1"/>
  <c r="G135" i="37" s="1"/>
  <c r="E329" i="37"/>
  <c r="F329" i="37" s="1"/>
  <c r="BZ27" i="35"/>
  <c r="AZ12" i="35"/>
  <c r="E129" i="37"/>
  <c r="F129" i="37" s="1"/>
  <c r="G129" i="37" s="1"/>
  <c r="E505" i="37"/>
  <c r="F505" i="37" s="1"/>
  <c r="BQ10" i="35"/>
  <c r="CB28" i="35"/>
  <c r="BS7" i="35"/>
  <c r="BW3" i="35"/>
  <c r="AX6" i="35"/>
  <c r="BP27" i="35"/>
  <c r="BR7" i="35"/>
  <c r="BC4" i="35"/>
  <c r="BV14" i="35"/>
  <c r="CA3" i="35"/>
  <c r="E611" i="37"/>
  <c r="F611" i="37" s="1"/>
  <c r="G611" i="37" s="1"/>
  <c r="BG16" i="35"/>
  <c r="BE5" i="35"/>
  <c r="AZ21" i="35"/>
  <c r="BU15" i="35"/>
  <c r="E652" i="37"/>
  <c r="F652" i="37" s="1"/>
  <c r="G652" i="37" s="1"/>
  <c r="BV10" i="35"/>
  <c r="BQ9" i="35"/>
  <c r="AY22" i="35"/>
  <c r="E224" i="37"/>
  <c r="F224" i="37" s="1"/>
  <c r="G224" i="37" s="1"/>
  <c r="BR10" i="35"/>
  <c r="E542" i="37"/>
  <c r="F542" i="37" s="1"/>
  <c r="G542" i="37" s="1"/>
  <c r="BS16" i="35"/>
  <c r="BQ28" i="35"/>
  <c r="BC30" i="35"/>
  <c r="E728" i="37"/>
  <c r="F728" i="37" s="1"/>
  <c r="E727" i="37"/>
  <c r="F727" i="37" s="1"/>
  <c r="AY11" i="35"/>
  <c r="BQ4" i="35"/>
  <c r="E515" i="37"/>
  <c r="F515" i="37" s="1"/>
  <c r="G515" i="37" s="1"/>
  <c r="E396" i="37"/>
  <c r="F396" i="37" s="1"/>
  <c r="E196" i="37"/>
  <c r="F196" i="37" s="1"/>
  <c r="G196" i="37" s="1"/>
  <c r="E607" i="37"/>
  <c r="F607" i="37" s="1"/>
  <c r="G607" i="37" s="1"/>
  <c r="E289" i="37"/>
  <c r="F289" i="37" s="1"/>
  <c r="BL14" i="35"/>
  <c r="E263" i="37"/>
  <c r="F263" i="37" s="1"/>
  <c r="E478" i="37"/>
  <c r="F478" i="37" s="1"/>
  <c r="E402" i="37"/>
  <c r="F402" i="37" s="1"/>
  <c r="BQ21" i="35"/>
  <c r="E405" i="37"/>
  <c r="F405" i="37" s="1"/>
  <c r="E486" i="37"/>
  <c r="F486" i="37" s="1"/>
  <c r="E234" i="37"/>
  <c r="F234" i="37" s="1"/>
  <c r="G234" i="37" s="1"/>
  <c r="BD3" i="35"/>
  <c r="E269" i="37"/>
  <c r="F269" i="37" s="1"/>
  <c r="BE21" i="35"/>
  <c r="E496" i="37"/>
  <c r="F496" i="37" s="1"/>
  <c r="E711" i="37"/>
  <c r="F711" i="37" s="1"/>
  <c r="BQ12" i="35"/>
  <c r="E302" i="37"/>
  <c r="F302" i="37" s="1"/>
  <c r="E346" i="37"/>
  <c r="F346" i="37" s="1"/>
  <c r="E298" i="37"/>
  <c r="F298" i="37" s="1"/>
  <c r="CA30" i="35"/>
  <c r="M19" i="35"/>
  <c r="O19" i="35" s="1"/>
  <c r="E477" i="37"/>
  <c r="F477" i="37" s="1"/>
  <c r="BC13" i="35"/>
  <c r="E319" i="37"/>
  <c r="F319" i="37" s="1"/>
  <c r="D12" i="35"/>
  <c r="AY7" i="35"/>
  <c r="E562" i="37"/>
  <c r="F562" i="37" s="1"/>
  <c r="G562" i="37" s="1"/>
  <c r="BS28" i="35"/>
  <c r="E42" i="37"/>
  <c r="F42" i="37" s="1"/>
  <c r="G42" i="37" s="1"/>
  <c r="BR27" i="35"/>
  <c r="E363" i="37"/>
  <c r="F363" i="37" s="1"/>
  <c r="C25" i="35"/>
  <c r="BT12" i="35"/>
  <c r="E651" i="37"/>
  <c r="F651" i="37" s="1"/>
  <c r="G651" i="37" s="1"/>
  <c r="BW24" i="35"/>
  <c r="E654" i="37"/>
  <c r="F654" i="37" s="1"/>
  <c r="G654" i="37" s="1"/>
  <c r="BZ6" i="35"/>
  <c r="BG24" i="35"/>
  <c r="E195" i="37"/>
  <c r="F195" i="37" s="1"/>
  <c r="G195" i="37" s="1"/>
  <c r="AX29" i="35"/>
  <c r="BT24" i="35"/>
  <c r="BV8" i="35"/>
  <c r="BQ24" i="35"/>
  <c r="E6" i="37"/>
  <c r="F6" i="37" s="1"/>
  <c r="G6" i="37" s="1"/>
  <c r="E145" i="37"/>
  <c r="F145" i="37" s="1"/>
  <c r="G145" i="37" s="1"/>
  <c r="E309" i="37"/>
  <c r="F309" i="37" s="1"/>
  <c r="E366" i="37"/>
  <c r="F366" i="37" s="1"/>
  <c r="BM14" i="35"/>
  <c r="BO10" i="35"/>
  <c r="E451" i="37"/>
  <c r="F451" i="37" s="1"/>
  <c r="E628" i="37"/>
  <c r="F628" i="37" s="1"/>
  <c r="G628" i="37" s="1"/>
  <c r="BG29" i="35"/>
  <c r="E584" i="37"/>
  <c r="F584" i="37" s="1"/>
  <c r="G584" i="37" s="1"/>
  <c r="BM8" i="35"/>
  <c r="E6" i="35"/>
  <c r="BW15" i="35"/>
  <c r="AZ3" i="35"/>
  <c r="M18" i="35"/>
  <c r="O18" i="35" s="1"/>
  <c r="E103" i="37"/>
  <c r="F103" i="37" s="1"/>
  <c r="G103" i="37" s="1"/>
  <c r="E325" i="37"/>
  <c r="F325" i="37" s="1"/>
  <c r="E622" i="37"/>
  <c r="F622" i="37" s="1"/>
  <c r="G622" i="37" s="1"/>
  <c r="E696" i="37"/>
  <c r="F696" i="37" s="1"/>
  <c r="E205" i="37"/>
  <c r="F205" i="37" s="1"/>
  <c r="G205" i="37" s="1"/>
  <c r="BV30" i="35"/>
  <c r="E26" i="37"/>
  <c r="F26" i="37" s="1"/>
  <c r="G26" i="37" s="1"/>
  <c r="E416" i="37"/>
  <c r="F416" i="37" s="1"/>
  <c r="D22" i="35"/>
  <c r="E113" i="37"/>
  <c r="F113" i="37" s="1"/>
  <c r="G113" i="37" s="1"/>
  <c r="BU28" i="35"/>
  <c r="E61" i="37"/>
  <c r="F61" i="37" s="1"/>
  <c r="G61" i="37" s="1"/>
  <c r="E308" i="37"/>
  <c r="F308" i="37" s="1"/>
  <c r="E352" i="37"/>
  <c r="F352" i="37" s="1"/>
  <c r="E698" i="37"/>
  <c r="F698" i="37" s="1"/>
  <c r="BV4" i="35"/>
  <c r="BZ7" i="35"/>
  <c r="BO12" i="35"/>
  <c r="BG6" i="35"/>
  <c r="BP10" i="35"/>
  <c r="H29" i="35"/>
  <c r="AX15" i="35"/>
  <c r="E94" i="37"/>
  <c r="F94" i="37" s="1"/>
  <c r="G94" i="37" s="1"/>
  <c r="E471" i="37"/>
  <c r="F471" i="37" s="1"/>
  <c r="E627" i="37"/>
  <c r="F627" i="37" s="1"/>
  <c r="G627" i="37" s="1"/>
  <c r="BL17" i="35"/>
  <c r="E71" i="37"/>
  <c r="F71" i="37" s="1"/>
  <c r="G71" i="37" s="1"/>
  <c r="E742" i="37"/>
  <c r="F742" i="37" s="1"/>
  <c r="BH12" i="35"/>
  <c r="BR14" i="35"/>
  <c r="CB9" i="35"/>
  <c r="E714" i="37"/>
  <c r="F714" i="37" s="1"/>
  <c r="BO25" i="35"/>
  <c r="E19" i="37"/>
  <c r="F19" i="37" s="1"/>
  <c r="G19" i="37" s="1"/>
  <c r="E670" i="37"/>
  <c r="F670" i="37" s="1"/>
  <c r="BC17" i="35"/>
  <c r="J21" i="35"/>
  <c r="E548" i="37"/>
  <c r="F548" i="37" s="1"/>
  <c r="G548" i="37" s="1"/>
  <c r="E165" i="37"/>
  <c r="F165" i="37" s="1"/>
  <c r="G165" i="37" s="1"/>
  <c r="H28" i="35"/>
  <c r="E66" i="37"/>
  <c r="F66" i="37" s="1"/>
  <c r="G66" i="37" s="1"/>
  <c r="BX12" i="35"/>
  <c r="BU25" i="35"/>
  <c r="E336" i="37"/>
  <c r="F336" i="37" s="1"/>
  <c r="BW5" i="35"/>
  <c r="BI11" i="35"/>
  <c r="E213" i="37"/>
  <c r="F213" i="37" s="1"/>
  <c r="G213" i="37" s="1"/>
  <c r="E626" i="37"/>
  <c r="F626" i="37" s="1"/>
  <c r="G626" i="37" s="1"/>
  <c r="BE7" i="35"/>
  <c r="E397" i="37"/>
  <c r="F397" i="37" s="1"/>
  <c r="BC16" i="35"/>
  <c r="E22" i="35"/>
  <c r="AY25" i="35"/>
  <c r="BE22" i="35"/>
  <c r="BE20" i="35"/>
  <c r="D15" i="35"/>
  <c r="E407" i="37"/>
  <c r="F407" i="37" s="1"/>
  <c r="BH13" i="35"/>
  <c r="D23" i="35"/>
  <c r="BA7" i="35"/>
  <c r="M10" i="35"/>
  <c r="O10" i="35" s="1"/>
  <c r="D17" i="35"/>
  <c r="I20" i="35"/>
  <c r="BW22" i="35"/>
  <c r="E57" i="37"/>
  <c r="F57" i="37" s="1"/>
  <c r="G57" i="37" s="1"/>
  <c r="F8" i="35"/>
  <c r="D30" i="35"/>
  <c r="BS29" i="35"/>
  <c r="BU5" i="35"/>
  <c r="M8" i="35"/>
  <c r="O8" i="35" s="1"/>
  <c r="BW14" i="35"/>
  <c r="E520" i="37"/>
  <c r="F520" i="37" s="1"/>
  <c r="G520" i="37" s="1"/>
  <c r="BW10" i="35"/>
  <c r="F27" i="35"/>
  <c r="E86" i="37"/>
  <c r="F86" i="37" s="1"/>
  <c r="G86" i="37" s="1"/>
  <c r="BH30" i="35"/>
  <c r="BX13" i="35"/>
  <c r="E102" i="37"/>
  <c r="F102" i="37" s="1"/>
  <c r="G102" i="37" s="1"/>
  <c r="E49" i="37"/>
  <c r="F49" i="37" s="1"/>
  <c r="G49" i="37" s="1"/>
  <c r="BB30" i="35"/>
  <c r="E629" i="37"/>
  <c r="F629" i="37" s="1"/>
  <c r="G629" i="37" s="1"/>
  <c r="BF13" i="35"/>
  <c r="I9" i="35"/>
  <c r="M27" i="35"/>
  <c r="O27" i="35" s="1"/>
  <c r="BF17" i="35"/>
  <c r="BO6" i="35"/>
  <c r="BU22" i="35"/>
  <c r="BD30" i="35"/>
  <c r="BY14" i="35"/>
  <c r="BI28" i="35"/>
  <c r="E564" i="37"/>
  <c r="F564" i="37" s="1"/>
  <c r="G564" i="37" s="1"/>
  <c r="E9" i="35"/>
  <c r="E296" i="37"/>
  <c r="F296" i="37" s="1"/>
  <c r="CA14" i="35"/>
  <c r="M30" i="35"/>
  <c r="O30" i="35" s="1"/>
  <c r="E186" i="37"/>
  <c r="F186" i="37" s="1"/>
  <c r="G186" i="37" s="1"/>
  <c r="E706" i="37"/>
  <c r="F706" i="37" s="1"/>
  <c r="BX4" i="35"/>
  <c r="J15" i="35"/>
  <c r="BY23" i="35"/>
  <c r="AY28" i="35"/>
  <c r="E642" i="37"/>
  <c r="F642" i="37" s="1"/>
  <c r="G642" i="37" s="1"/>
  <c r="E545" i="37"/>
  <c r="F545" i="37" s="1"/>
  <c r="G545" i="37" s="1"/>
  <c r="BJ23" i="35"/>
  <c r="E511" i="37"/>
  <c r="F511" i="37" s="1"/>
  <c r="BJ29" i="35"/>
  <c r="E184" i="37"/>
  <c r="F184" i="37" s="1"/>
  <c r="G184" i="37" s="1"/>
  <c r="F28" i="35"/>
  <c r="BT9" i="35"/>
  <c r="BY30" i="35"/>
  <c r="E431" i="37"/>
  <c r="F431" i="37" s="1"/>
  <c r="E69" i="37"/>
  <c r="F69" i="37" s="1"/>
  <c r="G69" i="37" s="1"/>
  <c r="E54" i="37"/>
  <c r="F54" i="37" s="1"/>
  <c r="G54" i="37" s="1"/>
  <c r="E669" i="37"/>
  <c r="F669" i="37" s="1"/>
  <c r="AY3" i="35"/>
  <c r="E250" i="37"/>
  <c r="F250" i="37" s="1"/>
  <c r="E342" i="37"/>
  <c r="F342" i="37" s="1"/>
  <c r="E713" i="37"/>
  <c r="F713" i="37" s="1"/>
  <c r="BA3" i="35"/>
  <c r="E715" i="37"/>
  <c r="F715" i="37" s="1"/>
  <c r="BC3" i="35"/>
  <c r="E619" i="37"/>
  <c r="F619" i="37" s="1"/>
  <c r="G619" i="37" s="1"/>
  <c r="CB17" i="35"/>
  <c r="E151" i="37"/>
  <c r="F151" i="37" s="1"/>
  <c r="G151" i="37" s="1"/>
  <c r="E408" i="37"/>
  <c r="F408" i="37" s="1"/>
  <c r="BL4" i="35"/>
  <c r="I6" i="35"/>
  <c r="BB12" i="35"/>
  <c r="J6" i="35"/>
  <c r="I4" i="35"/>
  <c r="E260" i="37"/>
  <c r="F260" i="37" s="1"/>
  <c r="E641" i="37"/>
  <c r="F641" i="37" s="1"/>
  <c r="G641" i="37" s="1"/>
  <c r="E700" i="37"/>
  <c r="F700" i="37" s="1"/>
  <c r="E50" i="37"/>
  <c r="F50" i="37" s="1"/>
  <c r="G50" i="37" s="1"/>
  <c r="BV27" i="35"/>
  <c r="BE3" i="35"/>
  <c r="E702" i="37"/>
  <c r="F702" i="37" s="1"/>
  <c r="BG7" i="35"/>
  <c r="BZ16" i="35"/>
  <c r="BU8" i="35"/>
  <c r="E527" i="37"/>
  <c r="F527" i="37" s="1"/>
  <c r="G527" i="37" s="1"/>
  <c r="BJ19" i="35"/>
  <c r="E174" i="37"/>
  <c r="F174" i="37" s="1"/>
  <c r="G174" i="37" s="1"/>
  <c r="CB19" i="35"/>
  <c r="E80" i="37"/>
  <c r="F80" i="37" s="1"/>
  <c r="G80" i="37" s="1"/>
  <c r="BJ27" i="35"/>
  <c r="AZ14" i="35"/>
  <c r="E657" i="37"/>
  <c r="F657" i="37" s="1"/>
  <c r="BF28" i="35"/>
  <c r="E447" i="37"/>
  <c r="F447" i="37" s="1"/>
  <c r="BD28" i="35"/>
  <c r="BL30" i="35"/>
  <c r="BK28" i="35"/>
  <c r="E107" i="37"/>
  <c r="F107" i="37" s="1"/>
  <c r="G107" i="37" s="1"/>
  <c r="BE16" i="35"/>
  <c r="E74" i="37"/>
  <c r="F74" i="37" s="1"/>
  <c r="G74" i="37" s="1"/>
  <c r="BB9" i="35"/>
  <c r="E643" i="37"/>
  <c r="F643" i="37" s="1"/>
  <c r="G643" i="37" s="1"/>
  <c r="BL8" i="35"/>
  <c r="BR15" i="35"/>
  <c r="BF15" i="35"/>
  <c r="CB8" i="35"/>
  <c r="E341" i="37"/>
  <c r="F341" i="37" s="1"/>
  <c r="E394" i="37"/>
  <c r="F394" i="37" s="1"/>
  <c r="AX19" i="35"/>
  <c r="AY14" i="35"/>
  <c r="BD12" i="35"/>
  <c r="E299" i="37"/>
  <c r="F299" i="37" s="1"/>
  <c r="E425" i="37"/>
  <c r="F425" i="37" s="1"/>
  <c r="E512" i="37"/>
  <c r="F512" i="37" s="1"/>
  <c r="E671" i="37"/>
  <c r="F671" i="37" s="1"/>
  <c r="BO26" i="35"/>
  <c r="E392" i="37"/>
  <c r="F392" i="37" s="1"/>
  <c r="H14" i="35"/>
  <c r="E265" i="37"/>
  <c r="F265" i="37" s="1"/>
  <c r="D3" i="35"/>
  <c r="E274" i="37"/>
  <c r="F274" i="37" s="1"/>
  <c r="C17" i="35"/>
  <c r="C6" i="35"/>
  <c r="E248" i="37"/>
  <c r="F248" i="37" s="1"/>
  <c r="G248" i="37" s="1"/>
  <c r="E429" i="37"/>
  <c r="F429" i="37" s="1"/>
  <c r="E223" i="37"/>
  <c r="F223" i="37" s="1"/>
  <c r="G223" i="37" s="1"/>
  <c r="H7" i="35"/>
  <c r="BT10" i="35"/>
  <c r="E194" i="37"/>
  <c r="F194" i="37" s="1"/>
  <c r="G194" i="37" s="1"/>
  <c r="E735" i="37"/>
  <c r="F735" i="37" s="1"/>
  <c r="BU18" i="35"/>
  <c r="AZ23" i="35"/>
  <c r="E38" i="37"/>
  <c r="F38" i="37" s="1"/>
  <c r="G38" i="37" s="1"/>
  <c r="CA18" i="35"/>
  <c r="BX20" i="35"/>
  <c r="BK22" i="35"/>
  <c r="BC18" i="35"/>
  <c r="BM22" i="35"/>
  <c r="AX4" i="35"/>
  <c r="E225" i="37"/>
  <c r="F225" i="37" s="1"/>
  <c r="G225" i="37" s="1"/>
  <c r="BC22" i="35"/>
  <c r="BM19" i="35"/>
  <c r="BJ25" i="35"/>
  <c r="BO8" i="35"/>
  <c r="E198" i="37"/>
  <c r="F198" i="37" s="1"/>
  <c r="G198" i="37" s="1"/>
  <c r="CA19" i="35"/>
  <c r="BL3" i="35"/>
  <c r="E417" i="37"/>
  <c r="F417" i="37" s="1"/>
  <c r="BI12" i="35"/>
  <c r="CB6" i="35"/>
  <c r="E4" i="37"/>
  <c r="F4" i="37" s="1"/>
  <c r="G4" i="37" s="1"/>
  <c r="CB15" i="35"/>
  <c r="E273" i="37"/>
  <c r="F273" i="37" s="1"/>
  <c r="BE4" i="35"/>
  <c r="E18" i="35"/>
  <c r="BS11" i="35"/>
  <c r="E538" i="37"/>
  <c r="F538" i="37" s="1"/>
  <c r="G538" i="37" s="1"/>
  <c r="BD14" i="35"/>
  <c r="E682" i="37"/>
  <c r="F682" i="37" s="1"/>
  <c r="BM6" i="35"/>
  <c r="BW27" i="35"/>
  <c r="BV5" i="35"/>
  <c r="E117" i="37"/>
  <c r="F117" i="37" s="1"/>
  <c r="G117" i="37" s="1"/>
  <c r="BW17" i="35"/>
  <c r="CA7" i="35"/>
  <c r="E221" i="37"/>
  <c r="F221" i="37" s="1"/>
  <c r="G221" i="37" s="1"/>
  <c r="BG13" i="35"/>
  <c r="I15" i="35"/>
  <c r="E384" i="37"/>
  <c r="F384" i="37" s="1"/>
  <c r="CA6" i="35"/>
  <c r="E571" i="37"/>
  <c r="F571" i="37" s="1"/>
  <c r="G571" i="37" s="1"/>
  <c r="E301" i="37"/>
  <c r="F301" i="37" s="1"/>
  <c r="E247" i="37"/>
  <c r="F247" i="37" s="1"/>
  <c r="G247" i="37" s="1"/>
  <c r="E625" i="37"/>
  <c r="F625" i="37" s="1"/>
  <c r="G625" i="37" s="1"/>
  <c r="E624" i="37"/>
  <c r="F624" i="37" s="1"/>
  <c r="G624" i="37" s="1"/>
  <c r="BR19" i="35"/>
  <c r="BX3" i="35"/>
  <c r="E261" i="37"/>
  <c r="F261" i="37" s="1"/>
  <c r="E380" i="37"/>
  <c r="F380" i="37" s="1"/>
  <c r="E136" i="37"/>
  <c r="F136" i="37" s="1"/>
  <c r="G136" i="37" s="1"/>
  <c r="I8" i="35"/>
  <c r="BM21" i="35"/>
  <c r="I27" i="35"/>
  <c r="BO27" i="35"/>
  <c r="E576" i="37"/>
  <c r="F576" i="37" s="1"/>
  <c r="G576" i="37" s="1"/>
  <c r="E745" i="37"/>
  <c r="F745" i="37" s="1"/>
  <c r="E281" i="37"/>
  <c r="F281" i="37" s="1"/>
  <c r="BA24" i="35"/>
  <c r="E474" i="37"/>
  <c r="F474" i="37" s="1"/>
  <c r="E24" i="37"/>
  <c r="F24" i="37" s="1"/>
  <c r="G24" i="37" s="1"/>
  <c r="BK23" i="35"/>
  <c r="BA11" i="35"/>
  <c r="BN3" i="35"/>
  <c r="E95" i="37"/>
  <c r="F95" i="37" s="1"/>
  <c r="G95" i="37" s="1"/>
  <c r="E596" i="37"/>
  <c r="F596" i="37" s="1"/>
  <c r="G596" i="37" s="1"/>
  <c r="M28" i="35"/>
  <c r="O28" i="35" s="1"/>
  <c r="M23" i="35"/>
  <c r="O23" i="35" s="1"/>
  <c r="BS19" i="35"/>
  <c r="CA9" i="35"/>
  <c r="BZ30" i="35"/>
  <c r="BB28" i="35"/>
  <c r="F4" i="35"/>
  <c r="AY12" i="35"/>
  <c r="E454" i="37"/>
  <c r="F454" i="37" s="1"/>
  <c r="E719" i="37"/>
  <c r="F719" i="37" s="1"/>
  <c r="BP8" i="35"/>
  <c r="BA4" i="35"/>
  <c r="E290" i="37"/>
  <c r="F290" i="37" s="1"/>
  <c r="G21" i="35"/>
  <c r="E667" i="37"/>
  <c r="F667" i="37" s="1"/>
  <c r="D26" i="35"/>
  <c r="E378" i="37"/>
  <c r="F378" i="37" s="1"/>
  <c r="BW6" i="35"/>
  <c r="E45" i="37"/>
  <c r="F45" i="37" s="1"/>
  <c r="G45" i="37" s="1"/>
  <c r="E16" i="35"/>
  <c r="BS22" i="35"/>
  <c r="BF8" i="35"/>
  <c r="BV19" i="35"/>
  <c r="BR22" i="35"/>
  <c r="E318" i="37"/>
  <c r="F318" i="37" s="1"/>
  <c r="E644" i="37"/>
  <c r="F644" i="37" s="1"/>
  <c r="G644" i="37" s="1"/>
  <c r="E172" i="37"/>
  <c r="F172" i="37" s="1"/>
  <c r="G172" i="37" s="1"/>
  <c r="BQ13" i="35"/>
  <c r="E44" i="37"/>
  <c r="F44" i="37" s="1"/>
  <c r="G44" i="37" s="1"/>
  <c r="F11" i="35"/>
  <c r="E448" i="37"/>
  <c r="F448" i="37" s="1"/>
  <c r="BL13" i="35"/>
  <c r="BX17" i="35"/>
  <c r="CB7" i="35"/>
  <c r="BS14" i="35"/>
  <c r="E288" i="37"/>
  <c r="F288" i="37" s="1"/>
  <c r="BO28" i="35"/>
  <c r="BX14" i="35"/>
  <c r="BX7" i="35"/>
  <c r="E229" i="37"/>
  <c r="F229" i="37" s="1"/>
  <c r="G229" i="37" s="1"/>
  <c r="E568" i="37"/>
  <c r="F568" i="37" s="1"/>
  <c r="G568" i="37" s="1"/>
  <c r="G30" i="35"/>
  <c r="BU21" i="35"/>
  <c r="E115" i="37"/>
  <c r="F115" i="37" s="1"/>
  <c r="G115" i="37" s="1"/>
  <c r="E577" i="37"/>
  <c r="F577" i="37" s="1"/>
  <c r="G577" i="37" s="1"/>
  <c r="CB11" i="35"/>
  <c r="BP12" i="35"/>
  <c r="I22" i="35"/>
  <c r="AZ18" i="35"/>
  <c r="E475" i="37"/>
  <c r="F475" i="37" s="1"/>
  <c r="BE28" i="35"/>
  <c r="E277" i="37"/>
  <c r="F277" i="37" s="1"/>
  <c r="BS15" i="35"/>
  <c r="E662" i="37"/>
  <c r="F662" i="37" s="1"/>
  <c r="BG19" i="35"/>
  <c r="BQ7" i="35"/>
  <c r="E557" i="37"/>
  <c r="F557" i="37" s="1"/>
  <c r="G557" i="37" s="1"/>
  <c r="BH20" i="35"/>
  <c r="F23" i="35"/>
  <c r="BJ20" i="35"/>
  <c r="BJ30" i="35"/>
  <c r="E237" i="37"/>
  <c r="F237" i="37" s="1"/>
  <c r="G237" i="37" s="1"/>
  <c r="BC23" i="35"/>
  <c r="AZ26" i="35"/>
  <c r="AZ28" i="35"/>
  <c r="E689" i="37"/>
  <c r="F689" i="37" s="1"/>
  <c r="E609" i="37"/>
  <c r="F609" i="37" s="1"/>
  <c r="G609" i="37" s="1"/>
  <c r="BD26" i="35"/>
  <c r="E167" i="37"/>
  <c r="F167" i="37" s="1"/>
  <c r="G167" i="37" s="1"/>
  <c r="E694" i="37"/>
  <c r="F694" i="37" s="1"/>
  <c r="BK19" i="35"/>
  <c r="E311" i="37"/>
  <c r="F311" i="37" s="1"/>
  <c r="I17" i="35"/>
  <c r="G11" i="35"/>
  <c r="E636" i="37"/>
  <c r="F636" i="37" s="1"/>
  <c r="G636" i="37" s="1"/>
  <c r="BW9" i="35"/>
  <c r="BX22" i="35"/>
  <c r="BX18" i="35"/>
  <c r="I28" i="35"/>
  <c r="H3" i="35"/>
  <c r="M29" i="35"/>
  <c r="O29" i="35" s="1"/>
  <c r="BY29" i="35"/>
  <c r="BE18" i="35"/>
  <c r="J20" i="35"/>
  <c r="BH16" i="35"/>
  <c r="BC21" i="35"/>
  <c r="CB14" i="35"/>
  <c r="E212" i="37"/>
  <c r="F212" i="37" s="1"/>
  <c r="G212" i="37" s="1"/>
  <c r="E235" i="37"/>
  <c r="F235" i="37" s="1"/>
  <c r="G235" i="37" s="1"/>
  <c r="E170" i="37"/>
  <c r="F170" i="37" s="1"/>
  <c r="G170" i="37" s="1"/>
  <c r="CB23" i="35"/>
  <c r="G25" i="35"/>
  <c r="E119" i="37"/>
  <c r="F119" i="37" s="1"/>
  <c r="G119" i="37" s="1"/>
  <c r="BJ3" i="35"/>
  <c r="CA22" i="35"/>
  <c r="BK27" i="35"/>
  <c r="BN17" i="35"/>
  <c r="E554" i="37"/>
  <c r="F554" i="37" s="1"/>
  <c r="G554" i="37" s="1"/>
  <c r="BN9" i="35"/>
  <c r="C10" i="35"/>
  <c r="BZ29" i="35"/>
  <c r="E371" i="37"/>
  <c r="F371" i="37" s="1"/>
  <c r="BM9" i="35"/>
  <c r="E177" i="37"/>
  <c r="F177" i="37" s="1"/>
  <c r="G177" i="37" s="1"/>
  <c r="E534" i="37"/>
  <c r="F534" i="37" s="1"/>
  <c r="G534" i="37" s="1"/>
  <c r="E688" i="37"/>
  <c r="F688" i="37" s="1"/>
  <c r="E664" i="37"/>
  <c r="F664" i="37" s="1"/>
  <c r="E621" i="37"/>
  <c r="F621" i="37" s="1"/>
  <c r="G621" i="37" s="1"/>
  <c r="BQ5" i="35"/>
  <c r="E23" i="35"/>
  <c r="E271" i="37"/>
  <c r="F271" i="37" s="1"/>
  <c r="BH18" i="35"/>
  <c r="BN4" i="35"/>
  <c r="BP23" i="35"/>
  <c r="BF14" i="35"/>
  <c r="BX28" i="35"/>
  <c r="E268" i="37"/>
  <c r="F268" i="37" s="1"/>
  <c r="J11" i="35"/>
  <c r="BA27" i="35"/>
  <c r="BI23" i="35"/>
  <c r="BI18" i="35"/>
  <c r="E193" i="37"/>
  <c r="F193" i="37" s="1"/>
  <c r="G193" i="37" s="1"/>
  <c r="CA16" i="35"/>
  <c r="BR18" i="35"/>
  <c r="BQ30" i="35"/>
  <c r="BT13" i="35"/>
  <c r="E565" i="37"/>
  <c r="F565" i="37" s="1"/>
  <c r="G565" i="37" s="1"/>
  <c r="BX16" i="35"/>
  <c r="E665" i="37"/>
  <c r="F665" i="37" s="1"/>
  <c r="BI7" i="35"/>
  <c r="BH17" i="35"/>
  <c r="BG11" i="35"/>
  <c r="E507" i="37"/>
  <c r="F507" i="37" s="1"/>
  <c r="I16" i="35"/>
  <c r="BT25" i="35"/>
  <c r="AZ13" i="35"/>
  <c r="D6" i="35"/>
  <c r="BP22" i="35"/>
  <c r="BG21" i="35"/>
  <c r="J16" i="35"/>
  <c r="BM7" i="35"/>
  <c r="E446" i="37"/>
  <c r="F446" i="37" s="1"/>
  <c r="E272" i="37"/>
  <c r="F272" i="37" s="1"/>
  <c r="E150" i="37"/>
  <c r="F150" i="37" s="1"/>
  <c r="G150" i="37" s="1"/>
  <c r="E685" i="37"/>
  <c r="F685" i="37" s="1"/>
  <c r="E98" i="37"/>
  <c r="F98" i="37" s="1"/>
  <c r="G98" i="37" s="1"/>
  <c r="E438" i="37"/>
  <c r="F438" i="37" s="1"/>
  <c r="E506" i="37"/>
  <c r="F506" i="37" s="1"/>
  <c r="BB13" i="35"/>
  <c r="BS27" i="35"/>
  <c r="E322" i="37"/>
  <c r="F322" i="37" s="1"/>
  <c r="F29" i="35"/>
  <c r="E200" i="37"/>
  <c r="F200" i="37" s="1"/>
  <c r="G200" i="37" s="1"/>
  <c r="D4" i="35"/>
  <c r="BH26" i="35"/>
  <c r="BN19" i="35"/>
  <c r="BU4" i="35"/>
  <c r="E37" i="37"/>
  <c r="F37" i="37" s="1"/>
  <c r="G37" i="37" s="1"/>
  <c r="E738" i="37"/>
  <c r="F738" i="37" s="1"/>
  <c r="BM13" i="35"/>
  <c r="BL22" i="35"/>
  <c r="E100" i="37"/>
  <c r="F100" i="37" s="1"/>
  <c r="G100" i="37" s="1"/>
  <c r="H5" i="35"/>
  <c r="E348" i="37"/>
  <c r="F348" i="37" s="1"/>
  <c r="E127" i="37"/>
  <c r="F127" i="37" s="1"/>
  <c r="G127" i="37" s="1"/>
  <c r="E718" i="37"/>
  <c r="F718" i="37" s="1"/>
  <c r="E30" i="35"/>
  <c r="E230" i="37"/>
  <c r="F230" i="37" s="1"/>
  <c r="G230" i="37" s="1"/>
  <c r="I24" i="35"/>
  <c r="CA13" i="35"/>
  <c r="BS4" i="35"/>
  <c r="E351" i="37"/>
  <c r="F351" i="37" s="1"/>
  <c r="H21" i="35"/>
  <c r="F3" i="35"/>
  <c r="J14" i="35"/>
  <c r="E305" i="37"/>
  <c r="F305" i="37" s="1"/>
  <c r="C9" i="35"/>
  <c r="C11" i="35"/>
  <c r="CA27" i="35"/>
  <c r="BK10" i="35"/>
  <c r="E350" i="37"/>
  <c r="F350" i="37" s="1"/>
  <c r="BG28" i="35"/>
  <c r="M25" i="35"/>
  <c r="O25" i="35" s="1"/>
  <c r="E317" i="37"/>
  <c r="F317" i="37" s="1"/>
  <c r="BX19" i="35"/>
  <c r="C12" i="35"/>
  <c r="BK16" i="35"/>
  <c r="E149" i="37"/>
  <c r="F149" i="37" s="1"/>
  <c r="G149" i="37" s="1"/>
  <c r="BX30" i="35"/>
  <c r="BF27" i="35"/>
  <c r="H20" i="35"/>
  <c r="H19" i="35"/>
  <c r="BI10" i="35"/>
  <c r="E111" i="37"/>
  <c r="F111" i="37" s="1"/>
  <c r="G111" i="37" s="1"/>
  <c r="D13" i="35"/>
  <c r="BA6" i="35"/>
  <c r="BT21" i="35"/>
  <c r="E356" i="37"/>
  <c r="F356" i="37" s="1"/>
  <c r="BH24" i="35"/>
  <c r="E398" i="37"/>
  <c r="F398" i="37" s="1"/>
  <c r="E572" i="37"/>
  <c r="F572" i="37" s="1"/>
  <c r="G572" i="37" s="1"/>
  <c r="E313" i="37"/>
  <c r="F313" i="37" s="1"/>
  <c r="BB16" i="35"/>
  <c r="F5" i="35"/>
  <c r="E245" i="37"/>
  <c r="F245" i="37" s="1"/>
  <c r="G245" i="37" s="1"/>
  <c r="BC20" i="35"/>
  <c r="E120" i="37"/>
  <c r="F120" i="37" s="1"/>
  <c r="G120" i="37" s="1"/>
  <c r="E357" i="37"/>
  <c r="F357" i="37" s="1"/>
  <c r="E614" i="37"/>
  <c r="F614" i="37" s="1"/>
  <c r="G614" i="37" s="1"/>
  <c r="E449" i="37"/>
  <c r="F449" i="37" s="1"/>
  <c r="E499" i="37"/>
  <c r="F499" i="37" s="1"/>
  <c r="E430" i="37"/>
  <c r="F430" i="37" s="1"/>
  <c r="CB24" i="35"/>
  <c r="BW23" i="35"/>
  <c r="E599" i="37"/>
  <c r="F599" i="37" s="1"/>
  <c r="G599" i="37" s="1"/>
  <c r="AZ8" i="35"/>
  <c r="E257" i="37"/>
  <c r="F257" i="37" s="1"/>
  <c r="BX9" i="35"/>
  <c r="F20" i="35"/>
  <c r="BK29" i="35"/>
  <c r="BG12" i="35"/>
  <c r="E489" i="37"/>
  <c r="F489" i="37" s="1"/>
  <c r="E7" i="35"/>
  <c r="E332" i="37"/>
  <c r="F332" i="37" s="1"/>
  <c r="F17" i="35"/>
  <c r="M15" i="35"/>
  <c r="O15" i="35" s="1"/>
  <c r="E574" i="37"/>
  <c r="F574" i="37" s="1"/>
  <c r="G574" i="37" s="1"/>
  <c r="BT16" i="35"/>
  <c r="BU13" i="35"/>
  <c r="E105" i="37"/>
  <c r="F105" i="37" s="1"/>
  <c r="G105" i="37" s="1"/>
  <c r="BB29" i="35"/>
  <c r="BV24" i="35"/>
  <c r="AZ15" i="35"/>
  <c r="BP16" i="35"/>
  <c r="BK25" i="35"/>
  <c r="E434" i="37"/>
  <c r="F434" i="37" s="1"/>
  <c r="BN14" i="35"/>
  <c r="F30" i="35"/>
  <c r="E141" i="37"/>
  <c r="F141" i="37" s="1"/>
  <c r="G141" i="37" s="1"/>
  <c r="E426" i="37"/>
  <c r="F426" i="37" s="1"/>
  <c r="E373" i="37"/>
  <c r="F373" i="37" s="1"/>
  <c r="BR20" i="35"/>
  <c r="BY25" i="35"/>
  <c r="I29" i="35"/>
  <c r="E729" i="37"/>
  <c r="F729" i="37" s="1"/>
  <c r="BD5" i="35"/>
  <c r="M16" i="35"/>
  <c r="O16" i="35" s="1"/>
  <c r="G4" i="35"/>
  <c r="BW16" i="35"/>
  <c r="E85" i="37"/>
  <c r="F85" i="37" s="1"/>
  <c r="G85" i="37" s="1"/>
  <c r="BC25" i="35"/>
  <c r="M13" i="35"/>
  <c r="O13" i="35" s="1"/>
  <c r="BK8" i="35"/>
  <c r="BV15" i="35"/>
  <c r="BJ6" i="35"/>
  <c r="E12" i="37"/>
  <c r="F12" i="37" s="1"/>
  <c r="G12" i="37" s="1"/>
  <c r="F19" i="35"/>
  <c r="E462" i="37"/>
  <c r="F462" i="37" s="1"/>
  <c r="G10" i="35"/>
  <c r="AX22" i="35"/>
  <c r="BJ16" i="35"/>
  <c r="BV20" i="35"/>
  <c r="E134" i="37"/>
  <c r="F134" i="37" s="1"/>
  <c r="G134" i="37" s="1"/>
  <c r="E707" i="37"/>
  <c r="F707" i="37" s="1"/>
  <c r="E383" i="37"/>
  <c r="F383" i="37" s="1"/>
  <c r="BY26" i="35"/>
  <c r="BN28" i="35"/>
  <c r="E547" i="37"/>
  <c r="F547" i="37" s="1"/>
  <c r="G547" i="37" s="1"/>
  <c r="E330" i="37"/>
  <c r="F330" i="37" s="1"/>
  <c r="E286" i="37"/>
  <c r="F286" i="37" s="1"/>
  <c r="E422" i="37"/>
  <c r="F422" i="37" s="1"/>
  <c r="BW29" i="35"/>
  <c r="BE25" i="35"/>
  <c r="E204" i="37"/>
  <c r="F204" i="37" s="1"/>
  <c r="G204" i="37" s="1"/>
  <c r="E595" i="37"/>
  <c r="F595" i="37" s="1"/>
  <c r="G595" i="37" s="1"/>
  <c r="E138" i="37"/>
  <c r="F138" i="37" s="1"/>
  <c r="G138" i="37" s="1"/>
  <c r="J7" i="35"/>
  <c r="E104" i="37"/>
  <c r="F104" i="37" s="1"/>
  <c r="G104" i="37" s="1"/>
  <c r="E12" i="35"/>
  <c r="E36" i="37"/>
  <c r="F36" i="37" s="1"/>
  <c r="G36" i="37" s="1"/>
  <c r="BY9" i="35"/>
  <c r="E294" i="37"/>
  <c r="F294" i="37" s="1"/>
  <c r="E421" i="37"/>
  <c r="F421" i="37" s="1"/>
  <c r="E62" i="37"/>
  <c r="F62" i="37" s="1"/>
  <c r="G62" i="37" s="1"/>
  <c r="E463" i="37"/>
  <c r="F463" i="37" s="1"/>
  <c r="BA14" i="35"/>
  <c r="BM15" i="35"/>
  <c r="E388" i="37"/>
  <c r="F388" i="37" s="1"/>
  <c r="CB13" i="35"/>
  <c r="E721" i="37"/>
  <c r="F721" i="37" s="1"/>
  <c r="E68" i="37"/>
  <c r="F68" i="37" s="1"/>
  <c r="G68" i="37" s="1"/>
  <c r="H6" i="35"/>
  <c r="BF12" i="35"/>
  <c r="E326" i="37"/>
  <c r="F326" i="37" s="1"/>
  <c r="BH22" i="35"/>
  <c r="BJ22" i="35"/>
  <c r="E158" i="37"/>
  <c r="F158" i="37" s="1"/>
  <c r="G158" i="37" s="1"/>
  <c r="BY21" i="35"/>
  <c r="H26" i="35"/>
  <c r="BI14" i="35"/>
  <c r="E354" i="37"/>
  <c r="F354" i="37" s="1"/>
  <c r="E27" i="37"/>
  <c r="F27" i="37" s="1"/>
  <c r="G27" i="37" s="1"/>
  <c r="BW19" i="35"/>
  <c r="BZ12" i="35"/>
  <c r="BR26" i="35"/>
  <c r="BZ3" i="35"/>
  <c r="E276" i="37"/>
  <c r="F276" i="37" s="1"/>
  <c r="BU20" i="35"/>
  <c r="BA5" i="35"/>
  <c r="AX25" i="35"/>
  <c r="E617" i="37"/>
  <c r="F617" i="37" s="1"/>
  <c r="G617" i="37" s="1"/>
  <c r="E414" i="37"/>
  <c r="F414" i="37" s="1"/>
  <c r="E88" i="37"/>
  <c r="F88" i="37" s="1"/>
  <c r="G88" i="37" s="1"/>
  <c r="BV25" i="35"/>
  <c r="BS3" i="35"/>
  <c r="BR25" i="35"/>
  <c r="BJ7" i="35"/>
  <c r="E345" i="37"/>
  <c r="F345" i="37" s="1"/>
  <c r="BX23" i="35"/>
  <c r="E441" i="37"/>
  <c r="F441" i="37" s="1"/>
  <c r="BK26" i="35"/>
  <c r="E510" i="37"/>
  <c r="F510" i="37" s="1"/>
  <c r="AX7" i="35"/>
  <c r="BG9" i="35"/>
  <c r="BQ11" i="35"/>
  <c r="E456" i="37"/>
  <c r="F456" i="37" s="1"/>
  <c r="E314" i="37"/>
  <c r="F314" i="37" s="1"/>
  <c r="C19" i="35"/>
  <c r="E202" i="37"/>
  <c r="F202" i="37" s="1"/>
  <c r="G202" i="37" s="1"/>
  <c r="E594" i="37"/>
  <c r="F594" i="37" s="1"/>
  <c r="G594" i="37" s="1"/>
  <c r="CB20" i="35"/>
  <c r="E17" i="35"/>
  <c r="E41" i="37"/>
  <c r="F41" i="37" s="1"/>
  <c r="G41" i="37" s="1"/>
  <c r="BE8" i="35"/>
  <c r="E598" i="37"/>
  <c r="F598" i="37" s="1"/>
  <c r="G598" i="37" s="1"/>
  <c r="E324" i="37"/>
  <c r="F324" i="37" s="1"/>
  <c r="I10" i="35"/>
  <c r="E404" i="37"/>
  <c r="F404" i="37" s="1"/>
  <c r="E661" i="37"/>
  <c r="F661" i="37" s="1"/>
  <c r="E82" i="37"/>
  <c r="F82" i="37" s="1"/>
  <c r="G82" i="37" s="1"/>
  <c r="AY5" i="35"/>
  <c r="E75" i="37"/>
  <c r="F75" i="37" s="1"/>
  <c r="G75" i="37" s="1"/>
  <c r="E154" i="37"/>
  <c r="F154" i="37" s="1"/>
  <c r="G154" i="37" s="1"/>
  <c r="E39" i="37"/>
  <c r="F39" i="37" s="1"/>
  <c r="G39" i="37" s="1"/>
  <c r="E197" i="37"/>
  <c r="F197" i="37" s="1"/>
  <c r="G197" i="37" s="1"/>
  <c r="E369" i="37"/>
  <c r="F369" i="37" s="1"/>
  <c r="E452" i="37"/>
  <c r="F452" i="37" s="1"/>
  <c r="AY10" i="35"/>
  <c r="BZ20" i="35"/>
  <c r="BH23" i="35"/>
  <c r="C20" i="35"/>
  <c r="BP28" i="35"/>
  <c r="BU16" i="35"/>
  <c r="BN11" i="35"/>
  <c r="E19" i="35"/>
  <c r="E148" i="37"/>
  <c r="F148" i="37" s="1"/>
  <c r="G148" i="37" s="1"/>
  <c r="I21" i="35"/>
  <c r="CB5" i="35"/>
  <c r="BT27" i="35"/>
  <c r="BF9" i="35"/>
  <c r="BZ9" i="35"/>
  <c r="BY13" i="35"/>
  <c r="E720" i="37"/>
  <c r="F720" i="37" s="1"/>
  <c r="BQ23" i="35"/>
  <c r="BU24" i="35"/>
  <c r="BY27" i="35"/>
  <c r="D18" i="35"/>
  <c r="E92" i="37"/>
  <c r="F92" i="37" s="1"/>
  <c r="G92" i="37" s="1"/>
  <c r="BN30" i="35"/>
  <c r="BB19" i="35"/>
  <c r="BS21" i="35"/>
  <c r="H8" i="35"/>
  <c r="E655" i="37"/>
  <c r="F655" i="37" s="1"/>
  <c r="G655" i="37" s="1"/>
  <c r="BF30" i="35"/>
  <c r="BL28" i="35"/>
  <c r="E188" i="37"/>
  <c r="F188" i="37" s="1"/>
  <c r="G188" i="37" s="1"/>
  <c r="E585" i="37"/>
  <c r="F585" i="37" s="1"/>
  <c r="G585" i="37" s="1"/>
  <c r="BL19" i="35"/>
  <c r="BH21" i="35"/>
  <c r="I23" i="35"/>
  <c r="E725" i="37"/>
  <c r="F725" i="37" s="1"/>
  <c r="D9" i="35"/>
  <c r="J26" i="35"/>
  <c r="BB20" i="35"/>
  <c r="G5" i="35"/>
  <c r="BE19" i="35"/>
  <c r="BG5" i="35"/>
  <c r="E409" i="37"/>
  <c r="F409" i="37" s="1"/>
  <c r="BW26" i="35"/>
  <c r="BE13" i="35"/>
  <c r="BJ11" i="35"/>
  <c r="J25" i="35"/>
  <c r="M22" i="35"/>
  <c r="O22" i="35" s="1"/>
  <c r="E101" i="37"/>
  <c r="F101" i="37" s="1"/>
  <c r="G101" i="37" s="1"/>
  <c r="CB25" i="35"/>
  <c r="BG26" i="35"/>
  <c r="E347" i="37"/>
  <c r="F347" i="37" s="1"/>
  <c r="BH11" i="35"/>
  <c r="D28" i="35"/>
  <c r="E587" i="37"/>
  <c r="F587" i="37" s="1"/>
  <c r="G587" i="37" s="1"/>
  <c r="E675" i="37"/>
  <c r="F675" i="37" s="1"/>
  <c r="BI15" i="35"/>
  <c r="BY18" i="35"/>
  <c r="AZ4" i="35"/>
  <c r="BK5" i="35"/>
  <c r="BD18" i="35"/>
  <c r="E79" i="37"/>
  <c r="F79" i="37" s="1"/>
  <c r="G79" i="37" s="1"/>
  <c r="E255" i="37"/>
  <c r="F255" i="37" s="1"/>
  <c r="M21" i="35"/>
  <c r="O21" i="35" s="1"/>
  <c r="E173" i="37"/>
  <c r="F173" i="37" s="1"/>
  <c r="G173" i="37" s="1"/>
  <c r="BT11" i="35"/>
  <c r="BA21" i="35"/>
  <c r="BD6" i="35"/>
  <c r="E140" i="37"/>
  <c r="F140" i="37" s="1"/>
  <c r="G140" i="37" s="1"/>
  <c r="BZ22" i="35"/>
  <c r="E485" i="37"/>
  <c r="F485" i="37" s="1"/>
  <c r="AZ30" i="35"/>
  <c r="BZ18" i="35"/>
  <c r="E498" i="37"/>
  <c r="F498" i="37" s="1"/>
  <c r="BK4" i="35"/>
  <c r="E355" i="37"/>
  <c r="F355" i="37" s="1"/>
  <c r="E280" i="37"/>
  <c r="F280" i="37" s="1"/>
  <c r="M11" i="35"/>
  <c r="O11" i="35" s="1"/>
  <c r="G14" i="35"/>
  <c r="BV29" i="35"/>
  <c r="E9" i="37"/>
  <c r="F9" i="37" s="1"/>
  <c r="G9" i="37" s="1"/>
  <c r="E445" i="37"/>
  <c r="F445" i="37" s="1"/>
  <c r="E21" i="37"/>
  <c r="F21" i="37" s="1"/>
  <c r="G21" i="37" s="1"/>
  <c r="BR6" i="35"/>
  <c r="E24" i="35"/>
  <c r="BM4" i="35"/>
  <c r="BR13" i="35"/>
  <c r="E540" i="37"/>
  <c r="F540" i="37" s="1"/>
  <c r="G540" i="37" s="1"/>
  <c r="E53" i="37"/>
  <c r="F53" i="37" s="1"/>
  <c r="G53" i="37" s="1"/>
  <c r="G24" i="35"/>
  <c r="E243" i="37"/>
  <c r="F243" i="37" s="1"/>
  <c r="G243" i="37" s="1"/>
  <c r="BY8" i="35"/>
  <c r="E279" i="37"/>
  <c r="F279" i="37" s="1"/>
  <c r="E544" i="37"/>
  <c r="F544" i="37" s="1"/>
  <c r="G544" i="37" s="1"/>
  <c r="BY16" i="35"/>
  <c r="AX12" i="35"/>
  <c r="CA29" i="35"/>
  <c r="BH9" i="35"/>
  <c r="E323" i="37"/>
  <c r="F323" i="37" s="1"/>
  <c r="BO29" i="35"/>
  <c r="BA10" i="35"/>
  <c r="M20" i="35"/>
  <c r="O20" i="35" s="1"/>
  <c r="E634" i="37"/>
  <c r="F634" i="37" s="1"/>
  <c r="G634" i="37" s="1"/>
  <c r="BI27" i="35"/>
  <c r="E732" i="37"/>
  <c r="F732" i="37" s="1"/>
  <c r="BG22" i="35"/>
  <c r="J9" i="35"/>
  <c r="BS17" i="35"/>
  <c r="E339" i="37"/>
  <c r="F339" i="37" s="1"/>
  <c r="F21" i="35"/>
  <c r="F14" i="35"/>
  <c r="F16" i="35"/>
  <c r="BW21" i="35"/>
  <c r="E555" i="37"/>
  <c r="F555" i="37" s="1"/>
  <c r="G555" i="37" s="1"/>
  <c r="BG14" i="35"/>
  <c r="E364" i="37"/>
  <c r="F364" i="37" s="1"/>
  <c r="BQ14" i="35"/>
  <c r="AY6" i="35"/>
  <c r="BT5" i="35"/>
  <c r="BY17" i="35"/>
  <c r="J24" i="35"/>
  <c r="BQ6" i="35"/>
  <c r="CB18" i="35"/>
  <c r="E72" i="37"/>
  <c r="F72" i="37" s="1"/>
  <c r="G72" i="37" s="1"/>
  <c r="E3" i="35"/>
  <c r="BC6" i="35"/>
  <c r="E501" i="37"/>
  <c r="F501" i="37" s="1"/>
  <c r="E558" i="37"/>
  <c r="F558" i="37" s="1"/>
  <c r="G558" i="37" s="1"/>
  <c r="E518" i="37"/>
  <c r="F518" i="37" s="1"/>
  <c r="G518" i="37" s="1"/>
  <c r="F24" i="35"/>
  <c r="E344" i="37"/>
  <c r="F344" i="37" s="1"/>
  <c r="BN26" i="35"/>
  <c r="E90" i="37"/>
  <c r="F90" i="37" s="1"/>
  <c r="G90" i="37" s="1"/>
  <c r="E539" i="37"/>
  <c r="F539" i="37" s="1"/>
  <c r="G539" i="37" s="1"/>
  <c r="BN20" i="35"/>
  <c r="BC7" i="35"/>
  <c r="E126" i="37"/>
  <c r="F126" i="37" s="1"/>
  <c r="G126" i="37" s="1"/>
  <c r="AX9" i="35"/>
  <c r="BW7" i="35"/>
  <c r="BE24" i="35"/>
  <c r="BV21" i="35"/>
  <c r="E483" i="37"/>
  <c r="F483" i="37" s="1"/>
  <c r="E521" i="37"/>
  <c r="F521" i="37" s="1"/>
  <c r="G521" i="37" s="1"/>
  <c r="E327" i="37"/>
  <c r="F327" i="37" s="1"/>
  <c r="E40" i="37"/>
  <c r="F40" i="37" s="1"/>
  <c r="G40" i="37" s="1"/>
  <c r="E650" i="37"/>
  <c r="F650" i="37" s="1"/>
  <c r="G650" i="37" s="1"/>
  <c r="BM23" i="35"/>
  <c r="E480" i="37"/>
  <c r="F480" i="37" s="1"/>
  <c r="BO9" i="35"/>
  <c r="BK15" i="35"/>
  <c r="G28" i="35"/>
  <c r="AY15" i="35"/>
  <c r="E367" i="37"/>
  <c r="F367" i="37" s="1"/>
  <c r="E258" i="37"/>
  <c r="F258" i="37" s="1"/>
  <c r="E684" i="37"/>
  <c r="F684" i="37" s="1"/>
  <c r="BD10" i="35"/>
  <c r="BB14" i="35"/>
  <c r="BK20" i="35"/>
  <c r="BU26" i="35"/>
  <c r="E717" i="37"/>
  <c r="F717" i="37" s="1"/>
  <c r="BO24" i="35"/>
  <c r="BI21" i="35"/>
  <c r="J12" i="35"/>
  <c r="C3" i="35"/>
  <c r="E185" i="37"/>
  <c r="F185" i="37" s="1"/>
  <c r="G185" i="37" s="1"/>
  <c r="AX28" i="35"/>
  <c r="E337" i="37"/>
  <c r="F337" i="37" s="1"/>
  <c r="BO14" i="35"/>
  <c r="E687" i="37"/>
  <c r="F687" i="37" s="1"/>
  <c r="E472" i="37"/>
  <c r="F472" i="37" s="1"/>
  <c r="BO15" i="35"/>
  <c r="E231" i="37"/>
  <c r="F231" i="37" s="1"/>
  <c r="G231" i="37" s="1"/>
  <c r="BP6" i="35"/>
  <c r="E590" i="37"/>
  <c r="F590" i="37" s="1"/>
  <c r="G590" i="37" s="1"/>
  <c r="BJ4" i="35"/>
  <c r="BF24" i="35"/>
  <c r="E632" i="37"/>
  <c r="F632" i="37" s="1"/>
  <c r="G632" i="37" s="1"/>
  <c r="BM10" i="35"/>
  <c r="E216" i="37"/>
  <c r="F216" i="37" s="1"/>
  <c r="G216" i="37" s="1"/>
  <c r="E468" i="37"/>
  <c r="F468" i="37" s="1"/>
  <c r="E500" i="37"/>
  <c r="F500" i="37" s="1"/>
  <c r="E18" i="37"/>
  <c r="F18" i="37" s="1"/>
  <c r="G18" i="37" s="1"/>
  <c r="BL25" i="35"/>
  <c r="BV13" i="35"/>
  <c r="BF16" i="35"/>
  <c r="E340" i="37"/>
  <c r="F340" i="37" s="1"/>
  <c r="AX3" i="35"/>
  <c r="BQ15" i="35"/>
  <c r="BH6" i="35"/>
  <c r="E121" i="37"/>
  <c r="F121" i="37" s="1"/>
  <c r="G121" i="37" s="1"/>
  <c r="BI6" i="35"/>
  <c r="BK12" i="35"/>
  <c r="E4" i="35"/>
  <c r="E370" i="37"/>
  <c r="F370" i="37" s="1"/>
  <c r="BF19" i="35"/>
  <c r="F25" i="35"/>
  <c r="H30" i="35"/>
  <c r="BH19" i="35"/>
  <c r="BM26" i="35"/>
  <c r="I12" i="35"/>
  <c r="E15" i="37"/>
  <c r="F15" i="37" s="1"/>
  <c r="G15" i="37" s="1"/>
  <c r="E488" i="37"/>
  <c r="F488" i="37" s="1"/>
  <c r="BI8" i="35"/>
  <c r="BS12" i="35"/>
  <c r="BC29" i="35"/>
  <c r="AY20" i="35"/>
  <c r="E5" i="37"/>
  <c r="F5" i="37" s="1"/>
  <c r="G5" i="37" s="1"/>
  <c r="BK30" i="35"/>
  <c r="E618" i="37"/>
  <c r="F618" i="37" s="1"/>
  <c r="G618" i="37" s="1"/>
  <c r="I26" i="35"/>
  <c r="AX30" i="35"/>
  <c r="C28" i="35"/>
  <c r="BU29" i="35"/>
  <c r="E630" i="37"/>
  <c r="F630" i="37" s="1"/>
  <c r="G630" i="37" s="1"/>
  <c r="E306" i="37"/>
  <c r="F306" i="37" s="1"/>
  <c r="E303" i="37"/>
  <c r="F303" i="37" s="1"/>
  <c r="BR17" i="35"/>
  <c r="E647" i="37"/>
  <c r="F647" i="37" s="1"/>
  <c r="G647" i="37" s="1"/>
  <c r="BO19" i="35"/>
  <c r="E509" i="37"/>
  <c r="F509" i="37" s="1"/>
  <c r="AX14" i="35"/>
  <c r="E282" i="37"/>
  <c r="F282" i="37" s="1"/>
  <c r="AX20" i="35"/>
  <c r="I30" i="35"/>
  <c r="E175" i="37"/>
  <c r="F175" i="37" s="1"/>
  <c r="G175" i="37" s="1"/>
  <c r="BW4" i="35"/>
  <c r="BQ19" i="35"/>
  <c r="BK18" i="35"/>
  <c r="E77" i="37"/>
  <c r="F77" i="37" s="1"/>
  <c r="G77" i="37" s="1"/>
  <c r="E460" i="37"/>
  <c r="F460" i="37" s="1"/>
  <c r="E683" i="37"/>
  <c r="F683" i="37" s="1"/>
  <c r="E465" i="37"/>
  <c r="F465" i="37" s="1"/>
  <c r="E704" i="37"/>
  <c r="F704" i="37" s="1"/>
  <c r="E701" i="37"/>
  <c r="F701" i="37" s="1"/>
  <c r="E633" i="37"/>
  <c r="F633" i="37" s="1"/>
  <c r="G633" i="37" s="1"/>
  <c r="E573" i="37"/>
  <c r="F573" i="37" s="1"/>
  <c r="G573" i="37" s="1"/>
  <c r="E646" i="37"/>
  <c r="F646" i="37" s="1"/>
  <c r="G646" i="37" s="1"/>
  <c r="I13" i="35"/>
  <c r="BF22" i="35"/>
  <c r="E613" i="37"/>
  <c r="F613" i="37" s="1"/>
  <c r="G613" i="37" s="1"/>
  <c r="E96" i="37"/>
  <c r="F96" i="37" s="1"/>
  <c r="G96" i="37" s="1"/>
  <c r="D24" i="35"/>
  <c r="BA23" i="35"/>
  <c r="E660" i="37"/>
  <c r="F660" i="37" s="1"/>
  <c r="BU23" i="35"/>
  <c r="BQ20" i="35"/>
  <c r="CA12" i="35"/>
  <c r="BJ18" i="35"/>
  <c r="E5" i="35"/>
  <c r="E443" i="37"/>
  <c r="F443" i="37" s="1"/>
  <c r="E410" i="37"/>
  <c r="F410" i="37" s="1"/>
  <c r="E48" i="37"/>
  <c r="F48" i="37" s="1"/>
  <c r="G48" i="37" s="1"/>
  <c r="BY11" i="35"/>
  <c r="F13" i="35"/>
  <c r="BR4" i="35"/>
  <c r="E722" i="37"/>
  <c r="F722" i="37" s="1"/>
  <c r="BA19" i="35"/>
  <c r="BS18" i="35"/>
  <c r="E11" i="35"/>
  <c r="E266" i="37"/>
  <c r="F266" i="37" s="1"/>
  <c r="AX27" i="35"/>
  <c r="E440" i="37"/>
  <c r="F440" i="37" s="1"/>
  <c r="BR11" i="35"/>
  <c r="H11" i="35"/>
  <c r="BD23" i="35"/>
  <c r="M24" i="35"/>
  <c r="O24" i="35" s="1"/>
  <c r="CA11" i="35"/>
  <c r="BX24" i="35"/>
  <c r="BL10" i="35"/>
  <c r="BK13" i="35"/>
  <c r="AY30" i="35"/>
  <c r="BO23" i="35"/>
  <c r="BZ17" i="35"/>
  <c r="E508" i="37"/>
  <c r="F508" i="37" s="1"/>
  <c r="BQ8" i="35"/>
  <c r="E436" i="37"/>
  <c r="F436" i="37" s="1"/>
  <c r="E242" i="37"/>
  <c r="F242" i="37" s="1"/>
  <c r="G242" i="37" s="1"/>
  <c r="BI29" i="35"/>
  <c r="BM28" i="35"/>
  <c r="CA21" i="35"/>
  <c r="E435" i="37"/>
  <c r="F435" i="37" s="1"/>
  <c r="E578" i="37"/>
  <c r="F578" i="37" s="1"/>
  <c r="G578" i="37" s="1"/>
  <c r="E556" i="37"/>
  <c r="F556" i="37" s="1"/>
  <c r="G556" i="37" s="1"/>
  <c r="E691" i="37"/>
  <c r="F691" i="37" s="1"/>
  <c r="G29" i="35"/>
  <c r="E731" i="37"/>
  <c r="F731" i="37" s="1"/>
  <c r="BA8" i="35"/>
  <c r="M3" i="35"/>
  <c r="O3" i="35" s="1"/>
  <c r="BK7" i="35"/>
  <c r="E168" i="37"/>
  <c r="F168" i="37" s="1"/>
  <c r="G168" i="37" s="1"/>
  <c r="E503" i="37"/>
  <c r="F503" i="37" s="1"/>
  <c r="E589" i="37"/>
  <c r="F589" i="37" s="1"/>
  <c r="G589" i="37" s="1"/>
  <c r="E182" i="37"/>
  <c r="F182" i="37" s="1"/>
  <c r="G182" i="37" s="1"/>
  <c r="E11" i="37"/>
  <c r="F11" i="37" s="1"/>
  <c r="G11" i="37" s="1"/>
  <c r="BG23" i="35"/>
  <c r="BU10" i="35"/>
  <c r="D27" i="35"/>
  <c r="BS23" i="35"/>
  <c r="E144" i="37"/>
  <c r="F144" i="37" s="1"/>
  <c r="G144" i="37" s="1"/>
  <c r="BD11" i="35"/>
  <c r="BD8" i="35"/>
  <c r="E411" i="37"/>
  <c r="F411" i="37" s="1"/>
  <c r="E492" i="37"/>
  <c r="F492" i="37" s="1"/>
  <c r="BC19" i="35"/>
  <c r="E89" i="37"/>
  <c r="F89" i="37" s="1"/>
  <c r="G89" i="37" s="1"/>
  <c r="E541" i="37"/>
  <c r="F541" i="37" s="1"/>
  <c r="G541" i="37" s="1"/>
  <c r="E591" i="37"/>
  <c r="F591" i="37" s="1"/>
  <c r="G591" i="37" s="1"/>
  <c r="E525" i="37"/>
  <c r="F525" i="37" s="1"/>
  <c r="G525" i="37" s="1"/>
  <c r="BI17" i="35"/>
  <c r="BB26" i="35"/>
  <c r="BZ23" i="35"/>
  <c r="BE6" i="35"/>
  <c r="E437" i="37"/>
  <c r="F437" i="37" s="1"/>
  <c r="C4" i="35"/>
  <c r="BL20" i="35"/>
  <c r="E637" i="37"/>
  <c r="F637" i="37" s="1"/>
  <c r="G637" i="37" s="1"/>
  <c r="E139" i="37"/>
  <c r="F139" i="37" s="1"/>
  <c r="G139" i="37" s="1"/>
  <c r="E470" i="37"/>
  <c r="F470" i="37" s="1"/>
  <c r="E570" i="37"/>
  <c r="F570" i="37" s="1"/>
  <c r="G570" i="37" s="1"/>
  <c r="E152" i="37"/>
  <c r="F152" i="37" s="1"/>
  <c r="G152" i="37" s="1"/>
  <c r="E76" i="37"/>
  <c r="F76" i="37" s="1"/>
  <c r="G76" i="37" s="1"/>
  <c r="BI25" i="35"/>
  <c r="E419" i="37"/>
  <c r="F419" i="37" s="1"/>
  <c r="E678" i="37"/>
  <c r="F678" i="37" s="1"/>
  <c r="BZ21" i="35"/>
  <c r="E295" i="37"/>
  <c r="F295" i="37" s="1"/>
  <c r="BO18" i="35"/>
  <c r="E215" i="37"/>
  <c r="F215" i="37" s="1"/>
  <c r="G215" i="37" s="1"/>
  <c r="E679" i="37"/>
  <c r="F679" i="37" s="1"/>
  <c r="BN13" i="35"/>
  <c r="F26" i="35"/>
  <c r="BA9" i="35"/>
  <c r="E293" i="37"/>
  <c r="F293" i="37" s="1"/>
  <c r="BT4" i="35"/>
  <c r="M6" i="35"/>
  <c r="O6" i="35" s="1"/>
  <c r="BH8" i="35"/>
  <c r="E424" i="37"/>
  <c r="F424" i="37" s="1"/>
  <c r="E645" i="37"/>
  <c r="F645" i="37" s="1"/>
  <c r="G645" i="37" s="1"/>
  <c r="E51" i="37"/>
  <c r="F51" i="37" s="1"/>
  <c r="G51" i="37" s="1"/>
  <c r="CA10" i="35"/>
  <c r="E389" i="37"/>
  <c r="F389" i="37" s="1"/>
  <c r="E601" i="37"/>
  <c r="F601" i="37" s="1"/>
  <c r="G601" i="37" s="1"/>
  <c r="E615" i="37"/>
  <c r="F615" i="37" s="1"/>
  <c r="G615" i="37" s="1"/>
  <c r="AY21" i="35"/>
  <c r="E217" i="37"/>
  <c r="F217" i="37" s="1"/>
  <c r="G217" i="37" s="1"/>
  <c r="BX5" i="35"/>
  <c r="BN18" i="35"/>
  <c r="E600" i="37"/>
  <c r="F600" i="37" s="1"/>
  <c r="G600" i="37" s="1"/>
  <c r="BX27" i="35"/>
  <c r="BN16" i="35"/>
  <c r="E285" i="37"/>
  <c r="F285" i="37" s="1"/>
  <c r="BG18" i="35"/>
  <c r="AZ11" i="35"/>
  <c r="E385" i="37"/>
  <c r="F385" i="37" s="1"/>
  <c r="C7" i="35"/>
  <c r="BG27" i="35"/>
  <c r="CA24" i="35"/>
  <c r="BA22" i="35"/>
  <c r="BL18" i="35"/>
  <c r="E169" i="37"/>
  <c r="F169" i="37" s="1"/>
  <c r="G169" i="37" s="1"/>
  <c r="BJ26" i="35"/>
  <c r="E413" i="37"/>
  <c r="F413" i="37" s="1"/>
  <c r="E656" i="37"/>
  <c r="F656" i="37" s="1"/>
  <c r="G656" i="37" s="1"/>
  <c r="G657" i="37" s="1"/>
  <c r="G658" i="37" s="1"/>
  <c r="E710" i="37"/>
  <c r="F710" i="37" s="1"/>
  <c r="E592" i="37"/>
  <c r="F592" i="37" s="1"/>
  <c r="G592" i="37" s="1"/>
  <c r="AZ22" i="35"/>
  <c r="BC5" i="35"/>
  <c r="E476" i="37"/>
  <c r="F476" i="37" s="1"/>
  <c r="BL16" i="35"/>
  <c r="BB25" i="35"/>
  <c r="E333" i="37"/>
  <c r="F333" i="37" s="1"/>
  <c r="E155" i="37"/>
  <c r="F155" i="37" s="1"/>
  <c r="G155" i="37" s="1"/>
  <c r="E400" i="37"/>
  <c r="F400" i="37" s="1"/>
  <c r="E560" i="37"/>
  <c r="F560" i="37" s="1"/>
  <c r="G560" i="37" s="1"/>
  <c r="BD21" i="35"/>
  <c r="E283" i="37"/>
  <c r="F283" i="37" s="1"/>
  <c r="E395" i="37"/>
  <c r="F395" i="37" s="1"/>
  <c r="E464" i="37"/>
  <c r="F464" i="37" s="1"/>
  <c r="BJ24" i="35"/>
  <c r="D21" i="35"/>
  <c r="E491" i="37"/>
  <c r="F491" i="37" s="1"/>
  <c r="BF21" i="35"/>
  <c r="E16" i="37"/>
  <c r="F16" i="37" s="1"/>
  <c r="G16" i="37" s="1"/>
  <c r="BZ5" i="35"/>
  <c r="BS25" i="35"/>
  <c r="CB3" i="35"/>
  <c r="H16" i="35"/>
  <c r="BF3" i="35"/>
  <c r="C24" i="35"/>
  <c r="E297" i="37"/>
  <c r="F297" i="37" s="1"/>
  <c r="E455" i="37"/>
  <c r="F455" i="37" s="1"/>
  <c r="E469" i="37"/>
  <c r="F469" i="37" s="1"/>
  <c r="BS6" i="35"/>
  <c r="E278" i="37"/>
  <c r="F278" i="37" s="1"/>
  <c r="E733" i="37"/>
  <c r="F733" i="37" s="1"/>
  <c r="E482" i="37"/>
  <c r="F482" i="37" s="1"/>
  <c r="BS20" i="35"/>
  <c r="BB18" i="35"/>
  <c r="BG20" i="35"/>
  <c r="BC15" i="35"/>
  <c r="G23" i="35"/>
  <c r="BI5" i="35"/>
  <c r="BO11" i="35"/>
  <c r="E190" i="37"/>
  <c r="F190" i="37" s="1"/>
  <c r="G190" i="37" s="1"/>
  <c r="E705" i="37"/>
  <c r="F705" i="37" s="1"/>
  <c r="BP17" i="35"/>
  <c r="E668" i="37"/>
  <c r="F668" i="37" s="1"/>
  <c r="D25" i="35"/>
  <c r="AY16" i="35"/>
  <c r="AY24" i="35"/>
  <c r="BI22" i="35"/>
  <c r="BQ22" i="35"/>
  <c r="BV7" i="35"/>
  <c r="BP25" i="35"/>
  <c r="C18" i="35"/>
  <c r="CA23" i="35"/>
  <c r="BQ16" i="35"/>
  <c r="E741" i="37"/>
  <c r="F741" i="37" s="1"/>
  <c r="E673" i="37"/>
  <c r="F673" i="37" s="1"/>
  <c r="E227" i="37"/>
  <c r="F227" i="37" s="1"/>
  <c r="G227" i="37" s="1"/>
  <c r="E201" i="37"/>
  <c r="F201" i="37" s="1"/>
  <c r="G201" i="37" s="1"/>
  <c r="G13" i="35"/>
  <c r="E25" i="37"/>
  <c r="F25" i="37" s="1"/>
  <c r="G25" i="37" s="1"/>
  <c r="BH4" i="35"/>
  <c r="BT3" i="35"/>
  <c r="E164" i="37"/>
  <c r="F164" i="37" s="1"/>
  <c r="G164" i="37" s="1"/>
  <c r="AX11" i="35"/>
  <c r="AX8" i="35"/>
  <c r="C27" i="35"/>
  <c r="E7" i="37"/>
  <c r="F7" i="37" s="1"/>
  <c r="G7" i="37" s="1"/>
  <c r="I14" i="35"/>
  <c r="BY7" i="35"/>
  <c r="BR3" i="35"/>
  <c r="E189" i="37"/>
  <c r="F189" i="37" s="1"/>
  <c r="G189" i="37" s="1"/>
  <c r="BC27" i="35"/>
  <c r="E210" i="37"/>
  <c r="F210" i="37" s="1"/>
  <c r="G210" i="37" s="1"/>
  <c r="BQ27" i="35"/>
  <c r="BD9" i="35"/>
  <c r="BJ13" i="35"/>
  <c r="BD16" i="35"/>
  <c r="BE17" i="35"/>
  <c r="E73" i="37"/>
  <c r="F73" i="37" s="1"/>
  <c r="G73" i="37" s="1"/>
  <c r="BX29" i="35"/>
  <c r="E420" i="37"/>
  <c r="F420" i="37" s="1"/>
  <c r="E97" i="37"/>
  <c r="F97" i="37" s="1"/>
  <c r="G97" i="37" s="1"/>
  <c r="E267" i="37"/>
  <c r="F267" i="37" s="1"/>
  <c r="E442" i="37"/>
  <c r="F442" i="37" s="1"/>
  <c r="E386" i="37"/>
  <c r="F386" i="37" s="1"/>
  <c r="BD19" i="35"/>
  <c r="E63" i="37"/>
  <c r="F63" i="37" s="1"/>
  <c r="G63" i="37" s="1"/>
  <c r="E494" i="37"/>
  <c r="F494" i="37" s="1"/>
  <c r="E254" i="37"/>
  <c r="F254" i="37" s="1"/>
  <c r="BT23" i="35"/>
  <c r="E112" i="37"/>
  <c r="F112" i="37" s="1"/>
  <c r="G112" i="37" s="1"/>
  <c r="BH25" i="35"/>
  <c r="BV17" i="35"/>
  <c r="M17" i="35"/>
  <c r="O17" i="35" s="1"/>
  <c r="BI3" i="35"/>
  <c r="C14" i="35"/>
  <c r="G17" i="35"/>
  <c r="C21" i="35"/>
  <c r="BZ10" i="35"/>
  <c r="BG17" i="35"/>
  <c r="E677" i="37"/>
  <c r="F677" i="37" s="1"/>
  <c r="E393" i="37"/>
  <c r="F393" i="37" s="1"/>
  <c r="G3" i="35"/>
  <c r="BR23" i="35"/>
  <c r="E291" i="37"/>
  <c r="F291" i="37" s="1"/>
  <c r="E259" i="37"/>
  <c r="F259" i="37" s="1"/>
  <c r="E502" i="37"/>
  <c r="F502" i="37" s="1"/>
  <c r="AY4" i="35"/>
  <c r="BJ17" i="35"/>
  <c r="E22" i="37"/>
  <c r="F22" i="37" s="1"/>
  <c r="G22" i="37" s="1"/>
  <c r="E616" i="37"/>
  <c r="F616" i="37" s="1"/>
  <c r="G616" i="37" s="1"/>
  <c r="G18" i="35"/>
  <c r="BT19" i="35"/>
  <c r="BY24" i="35"/>
  <c r="E690" i="37"/>
  <c r="F690" i="37" s="1"/>
  <c r="E43" i="37"/>
  <c r="F43" i="37" s="1"/>
  <c r="G43" i="37" s="1"/>
  <c r="H10" i="35"/>
  <c r="CA15" i="35"/>
  <c r="BT29" i="35"/>
  <c r="E328" i="37"/>
  <c r="F328" i="37" s="1"/>
  <c r="AX21" i="35"/>
  <c r="E484" i="37"/>
  <c r="F484" i="37" s="1"/>
  <c r="BG10" i="35"/>
  <c r="BV23" i="35"/>
  <c r="CA4" i="35"/>
  <c r="AX10" i="35"/>
  <c r="E70" i="37"/>
  <c r="F70" i="37" s="1"/>
  <c r="G70" i="37" s="1"/>
  <c r="BH29" i="35"/>
  <c r="BP26" i="35"/>
  <c r="E376" i="37"/>
  <c r="F376" i="37" s="1"/>
  <c r="E15" i="35"/>
  <c r="C22" i="35"/>
  <c r="BP4" i="35"/>
  <c r="BN27" i="35"/>
  <c r="BG25" i="35"/>
  <c r="J3" i="35"/>
  <c r="G15" i="35"/>
  <c r="BU6" i="35"/>
  <c r="E251" i="37"/>
  <c r="F251" i="37" s="1"/>
  <c r="E253" i="37"/>
  <c r="F253" i="37" s="1"/>
  <c r="BC10" i="35"/>
  <c r="AZ6" i="35"/>
  <c r="E21" i="35"/>
  <c r="E156" i="37"/>
  <c r="F156" i="37" s="1"/>
  <c r="G156" i="37" s="1"/>
  <c r="E320" i="37"/>
  <c r="F320" i="37" s="1"/>
  <c r="BS30" i="35"/>
  <c r="E209" i="37"/>
  <c r="F209" i="37" s="1"/>
  <c r="G209" i="37" s="1"/>
  <c r="E580" i="37"/>
  <c r="F580" i="37" s="1"/>
  <c r="G580" i="37" s="1"/>
  <c r="E697" i="37"/>
  <c r="F697" i="37" s="1"/>
  <c r="BA17" i="35"/>
  <c r="BY3" i="35"/>
  <c r="E192" i="37"/>
  <c r="F192" i="37" s="1"/>
  <c r="G192" i="37" s="1"/>
  <c r="E8" i="37"/>
  <c r="F8" i="37" s="1"/>
  <c r="G8" i="37" s="1"/>
  <c r="E338" i="37"/>
  <c r="F338" i="37" s="1"/>
  <c r="BN6" i="35"/>
  <c r="E382" i="37"/>
  <c r="F382" i="37" s="1"/>
  <c r="E399" i="37"/>
  <c r="F399" i="37" s="1"/>
  <c r="E716" i="37"/>
  <c r="F716" i="37" s="1"/>
  <c r="BD7" i="35"/>
  <c r="CA25" i="35"/>
  <c r="E93" i="37"/>
  <c r="F93" i="37" s="1"/>
  <c r="G93" i="37" s="1"/>
  <c r="CB10" i="35"/>
  <c r="BL24" i="35"/>
  <c r="E153" i="37"/>
  <c r="F153" i="37" s="1"/>
  <c r="G153" i="37" s="1"/>
  <c r="E439" i="37"/>
  <c r="F439" i="37" s="1"/>
  <c r="BN23" i="35"/>
  <c r="E236" i="37"/>
  <c r="F236" i="37" s="1"/>
  <c r="G236" i="37" s="1"/>
  <c r="D16" i="35"/>
  <c r="BL27" i="35"/>
  <c r="BZ25" i="35"/>
  <c r="E361" i="37"/>
  <c r="F361" i="37" s="1"/>
  <c r="E663" i="37"/>
  <c r="F663" i="37" s="1"/>
  <c r="BG3" i="35"/>
  <c r="E516" i="37"/>
  <c r="F516" i="37" s="1"/>
  <c r="G516" i="37" s="1"/>
  <c r="E160" i="37"/>
  <c r="F160" i="37" s="1"/>
  <c r="G160" i="37" s="1"/>
  <c r="BZ14" i="35"/>
  <c r="BY28" i="35"/>
  <c r="E561" i="37"/>
  <c r="F561" i="37" s="1"/>
  <c r="G561" i="37" s="1"/>
  <c r="BP20" i="35"/>
  <c r="BJ5" i="35"/>
  <c r="AZ10" i="35"/>
  <c r="BW8" i="35"/>
  <c r="BO16" i="35"/>
  <c r="BR29" i="35"/>
  <c r="F6" i="35"/>
  <c r="E639" i="37"/>
  <c r="F639" i="37" s="1"/>
  <c r="G639" i="37" s="1"/>
  <c r="E653" i="37"/>
  <c r="F653" i="37" s="1"/>
  <c r="E620" i="37"/>
  <c r="F620" i="37" s="1"/>
  <c r="G620" i="37" s="1"/>
  <c r="E52" i="37"/>
  <c r="F52" i="37" s="1"/>
  <c r="G52" i="37" s="1"/>
  <c r="J28" i="35"/>
  <c r="BS8" i="35"/>
  <c r="BA12" i="35"/>
  <c r="BB5" i="35"/>
  <c r="E241" i="37"/>
  <c r="F241" i="37" s="1"/>
  <c r="G241" i="37" s="1"/>
  <c r="BY10" i="35"/>
  <c r="E228" i="37"/>
  <c r="F228" i="37" s="1"/>
  <c r="G228" i="37" s="1"/>
  <c r="BA15" i="35"/>
  <c r="BL7" i="35"/>
  <c r="BX15" i="35"/>
  <c r="E178" i="37"/>
  <c r="F178" i="37" s="1"/>
  <c r="G178" i="37" s="1"/>
  <c r="AZ17" i="35"/>
  <c r="E375" i="37"/>
  <c r="F375" i="37" s="1"/>
  <c r="E514" i="37"/>
  <c r="F514" i="37" s="1"/>
  <c r="G514" i="37" s="1"/>
  <c r="E533" i="37"/>
  <c r="F533" i="37" s="1"/>
  <c r="G533" i="37" s="1"/>
  <c r="BB22" i="35"/>
  <c r="BD25" i="35"/>
  <c r="BP19" i="35"/>
  <c r="BM25" i="35"/>
  <c r="E372" i="37"/>
  <c r="F372" i="37" s="1"/>
  <c r="E232" i="37"/>
  <c r="F232" i="37" s="1"/>
  <c r="G232" i="37" s="1"/>
  <c r="BF26" i="35"/>
  <c r="H4" i="35"/>
  <c r="BW30" i="35"/>
  <c r="BJ8" i="35"/>
  <c r="BN25" i="35"/>
  <c r="E537" i="37"/>
  <c r="F537" i="37" s="1"/>
  <c r="G537" i="37" s="1"/>
  <c r="BH5" i="35"/>
  <c r="E310" i="37"/>
  <c r="F310" i="37" s="1"/>
  <c r="E183" i="37"/>
  <c r="F183" i="37" s="1"/>
  <c r="G183" i="37" s="1"/>
  <c r="E649" i="37"/>
  <c r="F649" i="37" s="1"/>
  <c r="G649" i="37" s="1"/>
  <c r="C23" i="35"/>
  <c r="E123" i="37"/>
  <c r="F123" i="37" s="1"/>
  <c r="G123" i="37" s="1"/>
  <c r="C29" i="35"/>
  <c r="BC9" i="35"/>
  <c r="E28" i="37"/>
  <c r="F28" i="37" s="1"/>
  <c r="G28" i="37" s="1"/>
  <c r="BV9" i="35"/>
  <c r="CB30" i="35"/>
  <c r="E91" i="37"/>
  <c r="F91" i="37" s="1"/>
  <c r="G91" i="37" s="1"/>
  <c r="BJ21" i="35"/>
  <c r="E47" i="37"/>
  <c r="F47" i="37" s="1"/>
  <c r="G47" i="37" s="1"/>
  <c r="BL9" i="35"/>
  <c r="E461" i="37"/>
  <c r="F461" i="37" s="1"/>
  <c r="E680" i="37"/>
  <c r="F680" i="37" s="1"/>
  <c r="BD15" i="35"/>
  <c r="H13" i="35"/>
  <c r="BM5" i="35"/>
  <c r="E740" i="37"/>
  <c r="F740" i="37" s="1"/>
  <c r="E708" i="37"/>
  <c r="F708" i="37" s="1"/>
  <c r="BV12" i="35"/>
  <c r="BC24" i="35"/>
  <c r="E171" i="37"/>
  <c r="F171" i="37" s="1"/>
  <c r="G171" i="37" s="1"/>
  <c r="E206" i="37"/>
  <c r="F206" i="37" s="1"/>
  <c r="G206" i="37" s="1"/>
  <c r="E334" i="37"/>
  <c r="F334" i="37" s="1"/>
  <c r="G26" i="35"/>
  <c r="E256" i="37"/>
  <c r="F256" i="37" s="1"/>
  <c r="BF5" i="35"/>
  <c r="BP5" i="35"/>
  <c r="E2" i="37"/>
  <c r="F2" i="37" s="1"/>
  <c r="G2" i="37" s="1"/>
  <c r="CB16" i="35"/>
  <c r="BR21" i="35"/>
  <c r="BD17" i="35"/>
  <c r="BM18" i="35"/>
  <c r="F18" i="35"/>
  <c r="BB17" i="35"/>
  <c r="BZ11" i="35"/>
  <c r="E33" i="37"/>
  <c r="F33" i="37" s="1"/>
  <c r="G33" i="37" s="1"/>
  <c r="E640" i="37"/>
  <c r="F640" i="37" s="1"/>
  <c r="G640" i="37" s="1"/>
  <c r="BP29" i="35"/>
  <c r="E240" i="37"/>
  <c r="F240" i="37" s="1"/>
  <c r="G240" i="37" s="1"/>
  <c r="E403" i="37"/>
  <c r="F403" i="37" s="1"/>
  <c r="E427" i="37"/>
  <c r="F427" i="37" s="1"/>
  <c r="BE12" i="35"/>
  <c r="BE14" i="35"/>
  <c r="E377" i="37"/>
  <c r="F377" i="37" s="1"/>
  <c r="E10" i="37"/>
  <c r="F10" i="37" s="1"/>
  <c r="G10" i="37" s="1"/>
  <c r="AX23" i="35"/>
  <c r="E699" i="37"/>
  <c r="F699" i="37" s="1"/>
  <c r="BQ29" i="35"/>
  <c r="E125" i="37"/>
  <c r="F125" i="37" s="1"/>
  <c r="G125" i="37" s="1"/>
  <c r="E418" i="37"/>
  <c r="F418" i="37" s="1"/>
  <c r="BU12" i="35"/>
  <c r="E659" i="37"/>
  <c r="F659" i="37" s="1"/>
  <c r="G659" i="37" s="1"/>
  <c r="E270" i="37"/>
  <c r="F270" i="37" s="1"/>
  <c r="E29" i="37"/>
  <c r="F29" i="37" s="1"/>
  <c r="G29" i="37" s="1"/>
  <c r="BE10" i="35"/>
  <c r="G16" i="35"/>
  <c r="BJ15" i="35"/>
  <c r="CA20" i="35"/>
  <c r="M4" i="35"/>
  <c r="O4" i="35" s="1"/>
  <c r="E343" i="37"/>
  <c r="F343" i="37" s="1"/>
  <c r="BP30" i="35"/>
  <c r="E264" i="37"/>
  <c r="F264" i="37" s="1"/>
  <c r="E28" i="35"/>
  <c r="AZ20" i="35"/>
  <c r="BC8" i="35"/>
  <c r="BS10" i="35"/>
  <c r="D11" i="35"/>
  <c r="BB23" i="35"/>
  <c r="H18" i="35"/>
  <c r="E187" i="37"/>
  <c r="F187" i="37" s="1"/>
  <c r="G187" i="37" s="1"/>
  <c r="E549" i="37"/>
  <c r="F549" i="37" s="1"/>
  <c r="G549" i="37" s="1"/>
  <c r="E131" i="37"/>
  <c r="F131" i="37" s="1"/>
  <c r="G131" i="37" s="1"/>
  <c r="BL29" i="35"/>
  <c r="BA25" i="35"/>
  <c r="BM17" i="35"/>
  <c r="BQ25" i="35"/>
  <c r="C16" i="35"/>
  <c r="BZ19" i="35"/>
  <c r="E723" i="37"/>
  <c r="F723" i="37" s="1"/>
  <c r="BU19" i="35"/>
  <c r="E586" i="37"/>
  <c r="F586" i="37" s="1"/>
  <c r="G586" i="37" s="1"/>
  <c r="I3" i="35"/>
  <c r="BQ18" i="35"/>
  <c r="BP15" i="35"/>
  <c r="H25" i="35"/>
  <c r="BL6" i="35"/>
  <c r="BI26" i="35"/>
  <c r="E358" i="37"/>
  <c r="F358" i="37" s="1"/>
  <c r="BR9" i="35"/>
  <c r="BL21" i="35"/>
  <c r="BX11" i="35"/>
  <c r="BW11" i="35"/>
  <c r="AY23" i="35"/>
  <c r="BG8" i="35"/>
  <c r="BN12" i="35"/>
  <c r="BY20" i="35"/>
  <c r="BB8" i="35"/>
  <c r="E292" i="37"/>
  <c r="F292" i="37" s="1"/>
  <c r="AX17" i="35"/>
  <c r="E726" i="37"/>
  <c r="F726" i="37" s="1"/>
  <c r="J5" i="35"/>
  <c r="E739" i="37"/>
  <c r="F739" i="37" s="1"/>
  <c r="BR24" i="35"/>
  <c r="G8" i="35"/>
  <c r="E513" i="37"/>
  <c r="F513" i="37" s="1"/>
  <c r="G513" i="37" s="1"/>
  <c r="E635" i="37"/>
  <c r="F635" i="37" s="1"/>
  <c r="G635" i="37" s="1"/>
  <c r="BE30" i="35"/>
  <c r="BX8" i="35"/>
  <c r="BK14" i="35"/>
  <c r="BM11" i="35"/>
  <c r="E218" i="37"/>
  <c r="F218" i="37" s="1"/>
  <c r="G218" i="37" s="1"/>
  <c r="E479" i="37"/>
  <c r="F479" i="37" s="1"/>
  <c r="E99" i="37"/>
  <c r="F99" i="37" s="1"/>
  <c r="G99" i="37" s="1"/>
  <c r="BU3" i="35"/>
  <c r="I18" i="35"/>
  <c r="E3" i="37"/>
  <c r="F3" i="37" s="1"/>
  <c r="G3" i="37" s="1"/>
  <c r="BC11" i="35"/>
  <c r="BJ28" i="35"/>
  <c r="BO21" i="35"/>
  <c r="BS13" i="35"/>
  <c r="E466" i="37"/>
  <c r="F466" i="37" s="1"/>
  <c r="E450" i="37"/>
  <c r="F450" i="37" s="1"/>
  <c r="E522" i="37"/>
  <c r="F522" i="37" s="1"/>
  <c r="G522" i="37" s="1"/>
  <c r="C5" i="35"/>
  <c r="E543" i="37"/>
  <c r="F543" i="37" s="1"/>
  <c r="G543" i="37" s="1"/>
  <c r="D8" i="35"/>
  <c r="G20" i="35"/>
  <c r="BF20" i="35"/>
  <c r="H22" i="35"/>
  <c r="AY13" i="35"/>
  <c r="BM12" i="35"/>
  <c r="E676" i="37"/>
  <c r="F676" i="37" s="1"/>
  <c r="E181" i="37"/>
  <c r="F181" i="37" s="1"/>
  <c r="G181" i="37" s="1"/>
  <c r="BX21" i="35"/>
  <c r="BY19" i="35"/>
  <c r="BI30" i="35"/>
  <c r="BT17" i="35"/>
  <c r="J13" i="35"/>
  <c r="E180" i="37"/>
  <c r="F180" i="37" s="1"/>
  <c r="G180" i="37" s="1"/>
  <c r="BT6" i="35"/>
  <c r="AZ9" i="35"/>
  <c r="E20" i="37"/>
  <c r="F20" i="37" s="1"/>
  <c r="G20" i="37" s="1"/>
  <c r="H17" i="35"/>
  <c r="E612" i="37"/>
  <c r="F612" i="37" s="1"/>
  <c r="G612" i="37" s="1"/>
  <c r="E199" i="37"/>
  <c r="F199" i="37" s="1"/>
  <c r="G199" i="37" s="1"/>
  <c r="BV16" i="35"/>
  <c r="H15" i="35"/>
  <c r="BM16" i="35"/>
  <c r="E531" i="37"/>
  <c r="F531" i="37" s="1"/>
  <c r="G531" i="37" s="1"/>
  <c r="BY12" i="35"/>
  <c r="BO7" i="35"/>
  <c r="D19" i="35"/>
  <c r="BK17" i="35"/>
  <c r="E712" i="37"/>
  <c r="F712" i="37" s="1"/>
  <c r="J8" i="35"/>
  <c r="BS5" i="35"/>
  <c r="C30" i="35"/>
  <c r="BU9" i="35"/>
  <c r="E331" i="37"/>
  <c r="F331" i="37" s="1"/>
  <c r="E29" i="35"/>
  <c r="BC14" i="35"/>
  <c r="E569" i="37"/>
  <c r="F569" i="37" s="1"/>
  <c r="G569" i="37" s="1"/>
  <c r="BA13" i="35"/>
  <c r="C13" i="35"/>
  <c r="BT8" i="35"/>
  <c r="BP3" i="35"/>
  <c r="E214" i="37"/>
  <c r="F214" i="37" s="1"/>
  <c r="G214" i="37" s="1"/>
  <c r="J30" i="35"/>
  <c r="E736" i="37"/>
  <c r="F736" i="37" s="1"/>
  <c r="E593" i="37"/>
  <c r="F593" i="37" s="1"/>
  <c r="G593" i="37" s="1"/>
  <c r="E623" i="37"/>
  <c r="F623" i="37" s="1"/>
  <c r="G623" i="37" s="1"/>
  <c r="BG4" i="35"/>
  <c r="E262" i="37"/>
  <c r="F262" i="37" s="1"/>
  <c r="BI20" i="35"/>
  <c r="BP14" i="35"/>
  <c r="E432" i="37"/>
  <c r="F432" i="37" s="1"/>
  <c r="E211" i="37"/>
  <c r="F211" i="37" s="1"/>
  <c r="G211" i="37" s="1"/>
  <c r="BL12" i="35"/>
  <c r="D29" i="35"/>
  <c r="BY4" i="35"/>
  <c r="BI19" i="35"/>
  <c r="BQ26" i="35"/>
  <c r="E162" i="37"/>
  <c r="F162" i="37" s="1"/>
  <c r="G162" i="37" s="1"/>
  <c r="J19" i="35"/>
  <c r="E132" i="37"/>
  <c r="F132" i="37" s="1"/>
  <c r="G132" i="37" s="1"/>
  <c r="BL15" i="35"/>
  <c r="M7" i="35"/>
  <c r="O7" i="35" s="1"/>
  <c r="E287" i="37"/>
  <c r="F287" i="37" s="1"/>
  <c r="E17" i="37"/>
  <c r="F17" i="37" s="1"/>
  <c r="G17" i="37" s="1"/>
  <c r="E161" i="37"/>
  <c r="F161" i="37" s="1"/>
  <c r="G161" i="37" s="1"/>
  <c r="E648" i="37"/>
  <c r="F648" i="37" s="1"/>
  <c r="G648" i="37" s="1"/>
  <c r="E575" i="37"/>
  <c r="F575" i="37" s="1"/>
  <c r="G575" i="37" s="1"/>
  <c r="BT15" i="35"/>
  <c r="E222" i="37"/>
  <c r="F222" i="37" s="1"/>
  <c r="G222" i="37" s="1"/>
  <c r="E381" i="37"/>
  <c r="F381" i="37" s="1"/>
  <c r="BE29" i="35"/>
  <c r="BT7" i="35"/>
  <c r="CB21" i="35"/>
  <c r="BK3" i="35"/>
  <c r="BJ14" i="35"/>
  <c r="BM30" i="35"/>
  <c r="J22" i="35"/>
  <c r="E166" i="37"/>
  <c r="F166" i="37" s="1"/>
  <c r="G166" i="37" s="1"/>
  <c r="BA18" i="35"/>
  <c r="E110" i="37"/>
  <c r="F110" i="37" s="1"/>
  <c r="G110" i="37" s="1"/>
  <c r="BM27" i="35"/>
  <c r="BF10" i="35"/>
  <c r="E487" i="37"/>
  <c r="F487" i="37" s="1"/>
  <c r="BZ26" i="35"/>
  <c r="E401" i="37"/>
  <c r="F401" i="37" s="1"/>
  <c r="E610" i="37"/>
  <c r="F610" i="37" s="1"/>
  <c r="G610" i="37" s="1"/>
  <c r="E203" i="37"/>
  <c r="F203" i="37" s="1"/>
  <c r="G203" i="37" s="1"/>
  <c r="I5" i="35"/>
  <c r="E8" i="35"/>
  <c r="E163" i="37"/>
  <c r="F163" i="37" s="1"/>
  <c r="G163" i="37" s="1"/>
  <c r="E191" i="37"/>
  <c r="F191" i="37" s="1"/>
  <c r="G191" i="37" s="1"/>
  <c r="BM24" i="35"/>
  <c r="CA17" i="35"/>
  <c r="E10" i="35"/>
  <c r="E249" i="37"/>
  <c r="F249" i="37" s="1"/>
  <c r="E529" i="37"/>
  <c r="F529" i="37" s="1"/>
  <c r="G529" i="37" s="1"/>
  <c r="E406" i="37"/>
  <c r="F406" i="37" s="1"/>
  <c r="E87" i="37"/>
  <c r="F87" i="37" s="1"/>
  <c r="G87" i="37" s="1"/>
  <c r="E390" i="37"/>
  <c r="F390" i="37" s="1"/>
  <c r="E519" i="37"/>
  <c r="F519" i="37" s="1"/>
  <c r="G519" i="37" s="1"/>
  <c r="E374" i="37"/>
  <c r="F374" i="37" s="1"/>
  <c r="E535" i="37"/>
  <c r="F535" i="37" s="1"/>
  <c r="G535" i="37" s="1"/>
  <c r="M14" i="35"/>
  <c r="O14" i="35" s="1"/>
  <c r="E724" i="37"/>
  <c r="F724" i="37" s="1"/>
  <c r="E147" i="37"/>
  <c r="F147" i="37" s="1"/>
  <c r="G147" i="37" s="1"/>
  <c r="E359" i="37"/>
  <c r="F359" i="37" s="1"/>
  <c r="BB11" i="35"/>
  <c r="BB21" i="35"/>
  <c r="BV28" i="35"/>
  <c r="BF6" i="35"/>
  <c r="E603" i="37"/>
  <c r="F603" i="37" s="1"/>
  <c r="G603" i="37" s="1"/>
  <c r="E65" i="37"/>
  <c r="F65" i="37" s="1"/>
  <c r="G65" i="37" s="1"/>
  <c r="E31" i="37"/>
  <c r="F31" i="37" s="1"/>
  <c r="G31" i="37" s="1"/>
  <c r="E528" i="37"/>
  <c r="F528" i="37" s="1"/>
  <c r="G528" i="37" s="1"/>
  <c r="AZ24" i="35"/>
  <c r="CB12" i="35"/>
  <c r="F12" i="35"/>
  <c r="I7" i="35"/>
  <c r="BX10" i="35"/>
  <c r="BO20" i="35"/>
  <c r="AZ16" i="35"/>
  <c r="E459" i="37"/>
  <c r="F459" i="37" s="1"/>
  <c r="BD22" i="35"/>
  <c r="E130" i="37"/>
  <c r="F130" i="37" s="1"/>
  <c r="G130" i="37" s="1"/>
  <c r="BN22" i="35"/>
  <c r="E64" i="37"/>
  <c r="F64" i="37" s="1"/>
  <c r="G64" i="37" s="1"/>
  <c r="BM20" i="35"/>
  <c r="D10" i="35"/>
  <c r="E552" i="37"/>
  <c r="F552" i="37" s="1"/>
  <c r="G552" i="37" s="1"/>
  <c r="BB27" i="35"/>
  <c r="BE26" i="35"/>
  <c r="E315" i="37"/>
  <c r="F315" i="37" s="1"/>
  <c r="BL26" i="35"/>
  <c r="AY29" i="35"/>
  <c r="BG15" i="35"/>
  <c r="F22" i="35"/>
  <c r="CB22" i="35"/>
  <c r="BU14" i="35"/>
  <c r="BB3" i="35"/>
  <c r="E300" i="37"/>
  <c r="F300" i="37" s="1"/>
  <c r="BZ15" i="35"/>
  <c r="E219" i="37"/>
  <c r="F219" i="37" s="1"/>
  <c r="G219" i="37" s="1"/>
  <c r="BY22" i="35"/>
  <c r="E321" i="37"/>
  <c r="F321" i="37" s="1"/>
  <c r="G12" i="35"/>
  <c r="E26" i="35"/>
  <c r="E473" i="37"/>
  <c r="F473" i="37" s="1"/>
  <c r="BN7" i="35"/>
  <c r="BB15" i="35"/>
  <c r="E743" i="37"/>
  <c r="F743" i="37" s="1"/>
  <c r="BN21" i="35"/>
  <c r="BZ8" i="35"/>
  <c r="E553" i="37"/>
  <c r="F553" i="37" s="1"/>
  <c r="G553" i="37" s="1"/>
  <c r="E78" i="37"/>
  <c r="F78" i="37" s="1"/>
  <c r="G78" i="37" s="1"/>
  <c r="E368" i="37"/>
  <c r="F368" i="37" s="1"/>
  <c r="E13" i="37"/>
  <c r="F13" i="37" s="1"/>
  <c r="G13" i="37" s="1"/>
  <c r="E124" i="37"/>
  <c r="F124" i="37" s="1"/>
  <c r="G124" i="37" s="1"/>
  <c r="BA20" i="35"/>
  <c r="AY8" i="35"/>
  <c r="E14" i="35"/>
  <c r="AY19" i="35"/>
  <c r="BA29" i="35"/>
  <c r="G22" i="35"/>
  <c r="E176" i="37"/>
  <c r="F176" i="37" s="1"/>
  <c r="G176" i="37" s="1"/>
  <c r="BK21" i="35"/>
  <c r="C26" i="35"/>
  <c r="BI16" i="35"/>
  <c r="E604" i="37"/>
  <c r="F604" i="37" s="1"/>
  <c r="G604" i="37" s="1"/>
  <c r="BU11" i="35"/>
  <c r="E239" i="37"/>
  <c r="F239" i="37" s="1"/>
  <c r="G239" i="37" s="1"/>
  <c r="BU30" i="35"/>
  <c r="BH10" i="35"/>
  <c r="K10" i="35" l="1" a="1"/>
  <c r="K10" i="35" s="1"/>
  <c r="G653" i="37"/>
  <c r="K11" i="35" a="1"/>
  <c r="K11" i="35" s="1"/>
  <c r="K23" i="35" a="1"/>
  <c r="K23" i="35" s="1"/>
  <c r="K25" i="35" a="1"/>
  <c r="K25" i="35" s="1"/>
  <c r="K12" i="35" a="1"/>
  <c r="K12" i="35" s="1"/>
  <c r="K26" i="35" a="1"/>
  <c r="K26" i="35" s="1"/>
  <c r="K21" i="35" a="1"/>
  <c r="K21" i="35" s="1"/>
  <c r="K7" i="35" a="1"/>
  <c r="K7" i="35" s="1"/>
  <c r="G660" i="37"/>
  <c r="G661" i="37" s="1"/>
  <c r="G662" i="37" s="1"/>
  <c r="G663" i="37" s="1"/>
  <c r="G664" i="37" s="1"/>
  <c r="G665" i="37" s="1"/>
  <c r="G666" i="37" s="1"/>
  <c r="G667" i="37" s="1"/>
  <c r="G668" i="37" s="1"/>
  <c r="G669" i="37" s="1"/>
  <c r="G670" i="37" s="1"/>
  <c r="G671" i="37" s="1"/>
  <c r="G672" i="37" s="1"/>
  <c r="G673" i="37" s="1"/>
  <c r="G674" i="37" s="1"/>
  <c r="G675" i="37" s="1"/>
  <c r="G676" i="37" s="1"/>
  <c r="G677" i="37" s="1"/>
  <c r="G678" i="37" s="1"/>
  <c r="G679" i="37" s="1"/>
  <c r="G680" i="37" s="1"/>
  <c r="G681" i="37" s="1"/>
  <c r="G682" i="37" s="1"/>
  <c r="G683" i="37" s="1"/>
  <c r="G684" i="37" s="1"/>
  <c r="G685" i="37" s="1"/>
  <c r="G686" i="37" s="1"/>
  <c r="G687" i="37" s="1"/>
  <c r="G688" i="37" s="1"/>
  <c r="G689" i="37" s="1"/>
  <c r="G690" i="37" s="1"/>
  <c r="G691" i="37" s="1"/>
  <c r="G692" i="37" s="1"/>
  <c r="G693" i="37" s="1"/>
  <c r="G694" i="37" s="1"/>
  <c r="G695" i="37" s="1"/>
  <c r="G696" i="37" s="1"/>
  <c r="G697" i="37" s="1"/>
  <c r="G698" i="37" s="1"/>
  <c r="G699" i="37" s="1"/>
  <c r="G700" i="37" s="1"/>
  <c r="G701" i="37" s="1"/>
  <c r="G702" i="37" s="1"/>
  <c r="G703" i="37" s="1"/>
  <c r="G704" i="37" s="1"/>
  <c r="G705" i="37" s="1"/>
  <c r="G706" i="37" s="1"/>
  <c r="G707" i="37" s="1"/>
  <c r="G708" i="37" s="1"/>
  <c r="G709" i="37" s="1"/>
  <c r="G710" i="37" s="1"/>
  <c r="G711" i="37" s="1"/>
  <c r="G712" i="37" s="1"/>
  <c r="G713" i="37" s="1"/>
  <c r="G714" i="37" s="1"/>
  <c r="G715" i="37" s="1"/>
  <c r="G716" i="37" s="1"/>
  <c r="G717" i="37" s="1"/>
  <c r="G718" i="37" s="1"/>
  <c r="G719" i="37" s="1"/>
  <c r="G720" i="37" s="1"/>
  <c r="G721" i="37" s="1"/>
  <c r="G722" i="37" s="1"/>
  <c r="G723" i="37" s="1"/>
  <c r="G724" i="37" s="1"/>
  <c r="G725" i="37" s="1"/>
  <c r="G726" i="37" s="1"/>
  <c r="G727" i="37" s="1"/>
  <c r="G728" i="37" s="1"/>
  <c r="G729" i="37" s="1"/>
  <c r="G730" i="37" s="1"/>
  <c r="G731" i="37" s="1"/>
  <c r="G732" i="37" s="1"/>
  <c r="G733" i="37" s="1"/>
  <c r="G734" i="37" s="1"/>
  <c r="G735" i="37" s="1"/>
  <c r="G736" i="37" s="1"/>
  <c r="G737" i="37" s="1"/>
  <c r="G738" i="37" s="1"/>
  <c r="G739" i="37" s="1"/>
  <c r="G740" i="37" s="1"/>
  <c r="G741" i="37" s="1"/>
  <c r="G742" i="37" s="1"/>
  <c r="G743" i="37" s="1"/>
  <c r="G744" i="37" s="1"/>
  <c r="G745" i="37" s="1"/>
  <c r="K22" i="35" a="1"/>
  <c r="K22" i="35" s="1"/>
  <c r="K17" i="35" a="1"/>
  <c r="K17" i="35" s="1"/>
  <c r="K28" i="35" a="1"/>
  <c r="K28" i="35" s="1"/>
  <c r="K29" i="35" a="1"/>
  <c r="K29" i="35" s="1"/>
  <c r="K27" i="35" a="1"/>
  <c r="K27" i="35" s="1"/>
  <c r="K18" i="35" a="1"/>
  <c r="K18" i="35" s="1"/>
  <c r="K8" i="35" a="1"/>
  <c r="K8" i="35" s="1"/>
  <c r="K16" i="35" a="1"/>
  <c r="K16" i="35" s="1"/>
  <c r="K5" i="35" a="1"/>
  <c r="K5" i="35" s="1"/>
  <c r="K20" i="35" a="1"/>
  <c r="K20" i="35" s="1"/>
  <c r="K30" i="35" a="1"/>
  <c r="K30" i="35" s="1"/>
  <c r="K3" i="35" a="1"/>
  <c r="K3" i="35" s="1"/>
  <c r="K4" i="35" a="1"/>
  <c r="K4" i="35" s="1"/>
  <c r="K9" i="35" a="1"/>
  <c r="K9" i="35" s="1"/>
  <c r="K14" i="35" a="1"/>
  <c r="K14" i="35" s="1"/>
  <c r="K24" i="35" a="1"/>
  <c r="K24" i="35" s="1"/>
  <c r="G249" i="37"/>
  <c r="G250" i="37" s="1"/>
  <c r="G251" i="37" s="1"/>
  <c r="G252" i="37" s="1"/>
  <c r="G253" i="37" s="1"/>
  <c r="G254" i="37" s="1"/>
  <c r="G255" i="37" s="1"/>
  <c r="G256" i="37" s="1"/>
  <c r="G257" i="37" s="1"/>
  <c r="G258" i="37" s="1"/>
  <c r="G259" i="37" s="1"/>
  <c r="G260" i="37" s="1"/>
  <c r="G261" i="37" s="1"/>
  <c r="G262" i="37" s="1"/>
  <c r="G263" i="37" s="1"/>
  <c r="G264" i="37" s="1"/>
  <c r="G265" i="37" s="1"/>
  <c r="G266" i="37" s="1"/>
  <c r="G267" i="37" s="1"/>
  <c r="G268" i="37" s="1"/>
  <c r="G269" i="37" s="1"/>
  <c r="G270" i="37" s="1"/>
  <c r="G271" i="37" s="1"/>
  <c r="G272" i="37" s="1"/>
  <c r="G273" i="37" s="1"/>
  <c r="G274" i="37" s="1"/>
  <c r="G275" i="37" s="1"/>
  <c r="G276" i="37" s="1"/>
  <c r="G277" i="37" s="1"/>
  <c r="G278" i="37" s="1"/>
  <c r="G279" i="37" s="1"/>
  <c r="G280" i="37" s="1"/>
  <c r="G281" i="37" s="1"/>
  <c r="G282" i="37" s="1"/>
  <c r="G283" i="37" s="1"/>
  <c r="G284" i="37" s="1"/>
  <c r="G285" i="37" s="1"/>
  <c r="G286" i="37" s="1"/>
  <c r="G287" i="37" s="1"/>
  <c r="G288" i="37" s="1"/>
  <c r="G289" i="37" s="1"/>
  <c r="G290" i="37" s="1"/>
  <c r="G291" i="37" s="1"/>
  <c r="G292" i="37" s="1"/>
  <c r="G293" i="37" s="1"/>
  <c r="G294" i="37" s="1"/>
  <c r="G295" i="37" s="1"/>
  <c r="G296" i="37" s="1"/>
  <c r="G297" i="37" s="1"/>
  <c r="G298" i="37" s="1"/>
  <c r="G299" i="37" s="1"/>
  <c r="G300" i="37" s="1"/>
  <c r="G301" i="37" s="1"/>
  <c r="G302" i="37" s="1"/>
  <c r="G303" i="37" s="1"/>
  <c r="G304" i="37" s="1"/>
  <c r="G305" i="37" s="1"/>
  <c r="G306" i="37" s="1"/>
  <c r="G307" i="37" s="1"/>
  <c r="G308" i="37" s="1"/>
  <c r="G309" i="37" s="1"/>
  <c r="G310" i="37" s="1"/>
  <c r="G311" i="37" s="1"/>
  <c r="G312" i="37" s="1"/>
  <c r="G313" i="37" s="1"/>
  <c r="G314" i="37" s="1"/>
  <c r="G315" i="37" s="1"/>
  <c r="G316" i="37" s="1"/>
  <c r="G317" i="37" s="1"/>
  <c r="G318" i="37" s="1"/>
  <c r="G319" i="37" s="1"/>
  <c r="G320" i="37" s="1"/>
  <c r="G321" i="37" s="1"/>
  <c r="G322" i="37" s="1"/>
  <c r="G323" i="37" s="1"/>
  <c r="G324" i="37" s="1"/>
  <c r="G325" i="37" s="1"/>
  <c r="G326" i="37" s="1"/>
  <c r="G327" i="37" s="1"/>
  <c r="G328" i="37" s="1"/>
  <c r="G329" i="37" s="1"/>
  <c r="G330" i="37" s="1"/>
  <c r="G331" i="37" s="1"/>
  <c r="G332" i="37" s="1"/>
  <c r="G333" i="37" s="1"/>
  <c r="G334" i="37" s="1"/>
  <c r="G335" i="37" s="1"/>
  <c r="G336" i="37" s="1"/>
  <c r="G337" i="37" s="1"/>
  <c r="G338" i="37" s="1"/>
  <c r="G339" i="37" s="1"/>
  <c r="G340" i="37" s="1"/>
  <c r="G341" i="37" s="1"/>
  <c r="G342" i="37" s="1"/>
  <c r="G343" i="37" s="1"/>
  <c r="G344" i="37" s="1"/>
  <c r="G345" i="37" s="1"/>
  <c r="G346" i="37" s="1"/>
  <c r="G347" i="37" s="1"/>
  <c r="G348" i="37" s="1"/>
  <c r="G349" i="37" s="1"/>
  <c r="G350" i="37" s="1"/>
  <c r="G351" i="37" s="1"/>
  <c r="G352" i="37" s="1"/>
  <c r="G353" i="37" s="1"/>
  <c r="G354" i="37" s="1"/>
  <c r="G355" i="37" s="1"/>
  <c r="G356" i="37" s="1"/>
  <c r="G357" i="37" s="1"/>
  <c r="G358" i="37" s="1"/>
  <c r="G359" i="37" s="1"/>
  <c r="G360" i="37" s="1"/>
  <c r="G361" i="37" s="1"/>
  <c r="G362" i="37" s="1"/>
  <c r="G363" i="37" s="1"/>
  <c r="G364" i="37" s="1"/>
  <c r="G365" i="37" s="1"/>
  <c r="G366" i="37" s="1"/>
  <c r="G367" i="37" s="1"/>
  <c r="G368" i="37" s="1"/>
  <c r="G369" i="37" s="1"/>
  <c r="G370" i="37" s="1"/>
  <c r="G371" i="37" s="1"/>
  <c r="G372" i="37" s="1"/>
  <c r="G373" i="37" s="1"/>
  <c r="G374" i="37" s="1"/>
  <c r="G375" i="37" s="1"/>
  <c r="G376" i="37" s="1"/>
  <c r="G377" i="37" s="1"/>
  <c r="G378" i="37" s="1"/>
  <c r="G379" i="37" s="1"/>
  <c r="G380" i="37" s="1"/>
  <c r="G381" i="37" s="1"/>
  <c r="G382" i="37" s="1"/>
  <c r="G383" i="37" s="1"/>
  <c r="G384" i="37" s="1"/>
  <c r="G385" i="37" s="1"/>
  <c r="G386" i="37" s="1"/>
  <c r="G387" i="37" s="1"/>
  <c r="G388" i="37" s="1"/>
  <c r="G389" i="37" s="1"/>
  <c r="G390" i="37" s="1"/>
  <c r="G391" i="37" s="1"/>
  <c r="G392" i="37" s="1"/>
  <c r="G393" i="37" s="1"/>
  <c r="G394" i="37" s="1"/>
  <c r="G395" i="37" s="1"/>
  <c r="G396" i="37" s="1"/>
  <c r="G397" i="37" s="1"/>
  <c r="G398" i="37" s="1"/>
  <c r="G399" i="37" s="1"/>
  <c r="G400" i="37" s="1"/>
  <c r="G401" i="37" s="1"/>
  <c r="G402" i="37" s="1"/>
  <c r="G403" i="37" s="1"/>
  <c r="G404" i="37" s="1"/>
  <c r="G405" i="37" s="1"/>
  <c r="G406" i="37" s="1"/>
  <c r="G407" i="37" s="1"/>
  <c r="G408" i="37" s="1"/>
  <c r="G409" i="37" s="1"/>
  <c r="G410" i="37" s="1"/>
  <c r="G411" i="37" s="1"/>
  <c r="G412" i="37" s="1"/>
  <c r="G413" i="37" s="1"/>
  <c r="G414" i="37" s="1"/>
  <c r="G415" i="37" s="1"/>
  <c r="G416" i="37" s="1"/>
  <c r="G417" i="37" s="1"/>
  <c r="G418" i="37" s="1"/>
  <c r="G419" i="37" s="1"/>
  <c r="G420" i="37" s="1"/>
  <c r="G421" i="37" s="1"/>
  <c r="G422" i="37" s="1"/>
  <c r="G423" i="37" s="1"/>
  <c r="G424" i="37" s="1"/>
  <c r="G425" i="37" s="1"/>
  <c r="G426" i="37" s="1"/>
  <c r="G427" i="37" s="1"/>
  <c r="G428" i="37" s="1"/>
  <c r="G429" i="37" s="1"/>
  <c r="G430" i="37" s="1"/>
  <c r="G431" i="37" s="1"/>
  <c r="G432" i="37" s="1"/>
  <c r="G433" i="37" s="1"/>
  <c r="G434" i="37" s="1"/>
  <c r="G435" i="37" s="1"/>
  <c r="G436" i="37" s="1"/>
  <c r="G437" i="37" s="1"/>
  <c r="G438" i="37" s="1"/>
  <c r="G439" i="37" s="1"/>
  <c r="G440" i="37" s="1"/>
  <c r="G441" i="37" s="1"/>
  <c r="G442" i="37" s="1"/>
  <c r="G443" i="37" s="1"/>
  <c r="G444" i="37" s="1"/>
  <c r="G445" i="37" s="1"/>
  <c r="G446" i="37" s="1"/>
  <c r="G447" i="37" s="1"/>
  <c r="G448" i="37" s="1"/>
  <c r="G449" i="37" s="1"/>
  <c r="G450" i="37" s="1"/>
  <c r="G451" i="37" s="1"/>
  <c r="G452" i="37" s="1"/>
  <c r="G453" i="37" s="1"/>
  <c r="G454" i="37" s="1"/>
  <c r="G455" i="37" s="1"/>
  <c r="G456" i="37" s="1"/>
  <c r="G457" i="37" s="1"/>
  <c r="G458" i="37" s="1"/>
  <c r="G459" i="37" s="1"/>
  <c r="G460" i="37" s="1"/>
  <c r="G461" i="37" s="1"/>
  <c r="G462" i="37" s="1"/>
  <c r="G463" i="37" s="1"/>
  <c r="G464" i="37" s="1"/>
  <c r="G465" i="37" s="1"/>
  <c r="G466" i="37" s="1"/>
  <c r="G467" i="37" s="1"/>
  <c r="G468" i="37" s="1"/>
  <c r="G469" i="37" s="1"/>
  <c r="G470" i="37" s="1"/>
  <c r="G471" i="37" s="1"/>
  <c r="G472" i="37" s="1"/>
  <c r="G473" i="37" s="1"/>
  <c r="G474" i="37" s="1"/>
  <c r="G475" i="37" s="1"/>
  <c r="G476" i="37" s="1"/>
  <c r="G477" i="37" s="1"/>
  <c r="G478" i="37" s="1"/>
  <c r="G479" i="37" s="1"/>
  <c r="G480" i="37" s="1"/>
  <c r="G481" i="37" s="1"/>
  <c r="G482" i="37" s="1"/>
  <c r="G483" i="37" s="1"/>
  <c r="G484" i="37" s="1"/>
  <c r="G485" i="37" s="1"/>
  <c r="G486" i="37" s="1"/>
  <c r="G487" i="37" s="1"/>
  <c r="G488" i="37" s="1"/>
  <c r="G489" i="37" s="1"/>
  <c r="G490" i="37" s="1"/>
  <c r="G491" i="37" s="1"/>
  <c r="G492" i="37" s="1"/>
  <c r="G493" i="37" s="1"/>
  <c r="G494" i="37" s="1"/>
  <c r="G495" i="37" s="1"/>
  <c r="G496" i="37" s="1"/>
  <c r="G497" i="37" s="1"/>
  <c r="G498" i="37" s="1"/>
  <c r="G499" i="37" s="1"/>
  <c r="G500" i="37" s="1"/>
  <c r="G501" i="37" s="1"/>
  <c r="G502" i="37" s="1"/>
  <c r="G503" i="37" s="1"/>
  <c r="G504" i="37" s="1"/>
  <c r="G505" i="37" s="1"/>
  <c r="G506" i="37" s="1"/>
  <c r="G507" i="37" s="1"/>
  <c r="G508" i="37" s="1"/>
  <c r="G509" i="37" s="1"/>
  <c r="G510" i="37" s="1"/>
  <c r="G511" i="37" s="1"/>
  <c r="G512" i="37" s="1"/>
  <c r="K6" i="35" a="1"/>
  <c r="K6" i="35" s="1"/>
  <c r="K15" i="35" a="1"/>
  <c r="K15" i="35" s="1"/>
  <c r="K13" i="35" a="1"/>
  <c r="K13" i="35" s="1"/>
  <c r="K19" i="35" a="1"/>
  <c r="K19" i="35" s="1"/>
  <c r="K25" i="37" l="1"/>
  <c r="K17" i="37"/>
  <c r="K5" i="37"/>
  <c r="K14" i="37"/>
  <c r="K22" i="37"/>
  <c r="K15" i="37"/>
  <c r="K27" i="37"/>
  <c r="K3" i="37"/>
  <c r="K24" i="37"/>
  <c r="K19" i="37"/>
  <c r="K13" i="37"/>
  <c r="K7" i="37"/>
  <c r="K28" i="37"/>
  <c r="K31" i="37"/>
  <c r="K26" i="37"/>
  <c r="K10" i="37"/>
  <c r="K23" i="37"/>
  <c r="K4" i="37"/>
  <c r="K32" i="37"/>
  <c r="K30" i="37"/>
  <c r="K29" i="37"/>
  <c r="K9" i="37"/>
  <c r="K18" i="37"/>
  <c r="K6" i="37"/>
  <c r="K16" i="37"/>
  <c r="K11" i="37"/>
  <c r="K12" i="37"/>
  <c r="K21" i="37"/>
  <c r="K20" i="37"/>
  <c r="K8" i="37"/>
  <c r="N7" i="37" l="1"/>
  <c r="M7" i="37" a="1"/>
  <c r="M7" i="37" s="1"/>
  <c r="L7" i="37"/>
  <c r="M18" i="37" a="1"/>
  <c r="M18" i="37" s="1"/>
  <c r="N18" i="37"/>
  <c r="L18" i="37"/>
  <c r="L13" i="37"/>
  <c r="N13" i="37"/>
  <c r="M13" i="37" a="1"/>
  <c r="M13" i="37" s="1"/>
  <c r="M9" i="37" a="1"/>
  <c r="M9" i="37" s="1"/>
  <c r="N9" i="37"/>
  <c r="L9" i="37"/>
  <c r="M19" i="37" a="1"/>
  <c r="M19" i="37" s="1"/>
  <c r="L19" i="37"/>
  <c r="N19" i="37"/>
  <c r="M6" i="37" a="1"/>
  <c r="M6" i="37" s="1"/>
  <c r="L6" i="37"/>
  <c r="N6" i="37"/>
  <c r="M29" i="37" a="1"/>
  <c r="M29" i="37" s="1"/>
  <c r="N29" i="37"/>
  <c r="L29" i="37"/>
  <c r="L24" i="37"/>
  <c r="M24" i="37" a="1"/>
  <c r="M24" i="37" s="1"/>
  <c r="N24" i="37"/>
  <c r="L3" i="37"/>
  <c r="N3" i="37"/>
  <c r="I1" i="37" a="1"/>
  <c r="I1" i="37" s="1"/>
  <c r="M3" i="37" a="1"/>
  <c r="M3" i="37" s="1"/>
  <c r="L30" i="37"/>
  <c r="M30" i="37" a="1"/>
  <c r="M30" i="37" s="1"/>
  <c r="N30" i="37"/>
  <c r="M27" i="37" a="1"/>
  <c r="M27" i="37" s="1"/>
  <c r="N27" i="37"/>
  <c r="L27" i="37"/>
  <c r="N32" i="37"/>
  <c r="M32" i="37" a="1"/>
  <c r="M32" i="37" s="1"/>
  <c r="L32" i="37"/>
  <c r="M8" i="37" a="1"/>
  <c r="M8" i="37" s="1"/>
  <c r="N8" i="37"/>
  <c r="L8" i="37"/>
  <c r="M4" i="37" a="1"/>
  <c r="M4" i="37" s="1"/>
  <c r="L4" i="37"/>
  <c r="N4" i="37"/>
  <c r="M15" i="37" a="1"/>
  <c r="M15" i="37" s="1"/>
  <c r="L15" i="37"/>
  <c r="N15" i="37"/>
  <c r="M20" i="37" a="1"/>
  <c r="M20" i="37" s="1"/>
  <c r="L20" i="37"/>
  <c r="N20" i="37"/>
  <c r="L23" i="37"/>
  <c r="N23" i="37"/>
  <c r="M23" i="37" a="1"/>
  <c r="M23" i="37" s="1"/>
  <c r="L22" i="37"/>
  <c r="N22" i="37"/>
  <c r="M22" i="37" a="1"/>
  <c r="M22" i="37" s="1"/>
  <c r="N21" i="37"/>
  <c r="L21" i="37"/>
  <c r="M21" i="37" a="1"/>
  <c r="M21" i="37" s="1"/>
  <c r="M10" i="37" a="1"/>
  <c r="M10" i="37" s="1"/>
  <c r="N10" i="37"/>
  <c r="L10" i="37"/>
  <c r="L14" i="37"/>
  <c r="M14" i="37" a="1"/>
  <c r="M14" i="37" s="1"/>
  <c r="N14" i="37"/>
  <c r="L12" i="37"/>
  <c r="M12" i="37" a="1"/>
  <c r="M12" i="37" s="1"/>
  <c r="N12" i="37"/>
  <c r="M26" i="37" a="1"/>
  <c r="M26" i="37" s="1"/>
  <c r="N26" i="37"/>
  <c r="L26" i="37"/>
  <c r="N5" i="37"/>
  <c r="L5" i="37"/>
  <c r="M5" i="37" a="1"/>
  <c r="M5" i="37" s="1"/>
  <c r="M11" i="37" a="1"/>
  <c r="M11" i="37" s="1"/>
  <c r="N11" i="37"/>
  <c r="L11" i="37"/>
  <c r="M31" i="37" a="1"/>
  <c r="M31" i="37" s="1"/>
  <c r="N31" i="37"/>
  <c r="L31" i="37"/>
  <c r="N17" i="37"/>
  <c r="L17" i="37"/>
  <c r="M17" i="37" a="1"/>
  <c r="M17" i="37" s="1"/>
  <c r="N16" i="37"/>
  <c r="L16" i="37"/>
  <c r="M16" i="37" a="1"/>
  <c r="M16" i="37" s="1"/>
  <c r="M28" i="37" a="1"/>
  <c r="M28" i="37" s="1"/>
  <c r="L28" i="37"/>
  <c r="N28" i="37"/>
  <c r="M25" i="37" a="1"/>
  <c r="M25" i="37" s="1"/>
  <c r="L25" i="37"/>
  <c r="N25" i="3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<sst xmlns="http://schemas.openxmlformats.org/spreadsheetml/2006/main" count="8958" uniqueCount="413">
  <si>
    <t>年</t>
  </si>
  <si>
    <t>月</t>
  </si>
  <si>
    <t>天數</t>
  </si>
  <si>
    <t>9人</t>
  </si>
  <si>
    <t>10人</t>
  </si>
  <si>
    <t>11人</t>
  </si>
  <si>
    <t>輪休</t>
  </si>
  <si>
    <t>值班</t>
  </si>
  <si>
    <t>3+6</t>
  </si>
  <si>
    <t>2+7</t>
  </si>
  <si>
    <t>1+8</t>
  </si>
  <si>
    <t>3+7</t>
  </si>
  <si>
    <t>2+8</t>
  </si>
  <si>
    <t>1+9</t>
  </si>
  <si>
    <t>3+8</t>
  </si>
  <si>
    <t>2+9</t>
  </si>
  <si>
    <t>1+10</t>
  </si>
  <si>
    <t>月補</t>
  </si>
  <si>
    <t>08-10</t>
  </si>
  <si>
    <t>A</t>
  </si>
  <si>
    <t>超</t>
  </si>
  <si>
    <t>補休</t>
  </si>
  <si>
    <t>10-12</t>
  </si>
  <si>
    <t>B</t>
  </si>
  <si>
    <t>補</t>
  </si>
  <si>
    <t>12-14</t>
  </si>
  <si>
    <t>G</t>
  </si>
  <si>
    <t>請</t>
  </si>
  <si>
    <t>請休</t>
  </si>
  <si>
    <t>14-16</t>
  </si>
  <si>
    <t>C</t>
  </si>
  <si>
    <t>婚</t>
  </si>
  <si>
    <t>婚假</t>
  </si>
  <si>
    <t>16-18</t>
  </si>
  <si>
    <t>D</t>
  </si>
  <si>
    <t>喪</t>
  </si>
  <si>
    <t>喪假</t>
  </si>
  <si>
    <t>18-20</t>
  </si>
  <si>
    <t>E</t>
  </si>
  <si>
    <t>陪</t>
  </si>
  <si>
    <t>陪產假</t>
  </si>
  <si>
    <t>20-22</t>
  </si>
  <si>
    <t>F</t>
  </si>
  <si>
    <t>公</t>
  </si>
  <si>
    <t>公假</t>
  </si>
  <si>
    <t>22-08</t>
  </si>
  <si>
    <t>H</t>
  </si>
  <si>
    <t>救</t>
  </si>
  <si>
    <t>無班1</t>
  </si>
  <si>
    <t>I</t>
  </si>
  <si>
    <t>病</t>
  </si>
  <si>
    <t>病假</t>
  </si>
  <si>
    <t>無班2</t>
  </si>
  <si>
    <t>J</t>
  </si>
  <si>
    <t>事</t>
  </si>
  <si>
    <t>事假</t>
  </si>
  <si>
    <t>指揮官</t>
  </si>
  <si>
    <t>K</t>
  </si>
  <si>
    <t>龍</t>
  </si>
  <si>
    <t>帶隊官</t>
  </si>
  <si>
    <t>L</t>
  </si>
  <si>
    <t>帶隊官2</t>
  </si>
  <si>
    <t>M</t>
  </si>
  <si>
    <t>休息時間</t>
  </si>
  <si>
    <t>22-24</t>
  </si>
  <si>
    <t>02-04</t>
  </si>
  <si>
    <t>04-06</t>
  </si>
  <si>
    <t>06-08</t>
  </si>
  <si>
    <t>休息1</t>
  </si>
  <si>
    <t>休息2</t>
  </si>
  <si>
    <t>08-09</t>
  </si>
  <si>
    <t>1車</t>
  </si>
  <si>
    <t>2車</t>
  </si>
  <si>
    <t>休息</t>
  </si>
  <si>
    <t>09-10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</si>
  <si>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</si>
  <si>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</si>
  <si>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</si>
  <si>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</si>
  <si>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</si>
  <si>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</si>
  <si>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</si>
  <si>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</si>
  <si>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</si>
  <si>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</si>
  <si>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</si>
  <si>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</si>
  <si>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22-23</t>
  </si>
  <si>
    <t>23-24</t>
  </si>
  <si>
    <t>00-01</t>
  </si>
  <si>
    <t>01-02</t>
  </si>
  <si>
    <t>02-03</t>
  </si>
  <si>
    <t>03-04</t>
  </si>
  <si>
    <t>04-05</t>
  </si>
  <si>
    <t>05-06</t>
  </si>
  <si>
    <t>06-07</t>
  </si>
  <si>
    <t>07-08</t>
  </si>
  <si>
    <t>日期</t>
  </si>
  <si>
    <t>星期</t>
  </si>
  <si>
    <t>鄧力嘉</t>
  </si>
  <si>
    <t>孫子翔</t>
  </si>
  <si>
    <t>簡永豐</t>
  </si>
  <si>
    <t>莊勝斌</t>
  </si>
  <si>
    <t>吳宗耕</t>
  </si>
  <si>
    <t>包華先</t>
  </si>
  <si>
    <t>曾彥綸</t>
  </si>
  <si>
    <t>鍾佳諭</t>
  </si>
  <si>
    <t>林宏澤</t>
  </si>
  <si>
    <t>簡君諺</t>
  </si>
  <si>
    <t>王昱勛</t>
  </si>
  <si>
    <t>葉宗哲</t>
  </si>
  <si>
    <t>王浩任</t>
  </si>
  <si>
    <t>李仕詮</t>
  </si>
  <si>
    <t>楊弘宇</t>
  </si>
  <si>
    <t>楊仲豪</t>
  </si>
  <si>
    <t>林志偉</t>
  </si>
  <si>
    <t>劉家誠</t>
  </si>
  <si>
    <t>呂奇霈</t>
  </si>
  <si>
    <t>張家和</t>
  </si>
  <si>
    <t>陳俊翰</t>
  </si>
  <si>
    <t>賴俊豪</t>
  </si>
  <si>
    <t>郭國偵</t>
  </si>
  <si>
    <t>楊紹文</t>
  </si>
  <si>
    <t>林宏為</t>
  </si>
  <si>
    <t>陳俊瑋</t>
  </si>
  <si>
    <t>最低人數</t>
  </si>
  <si>
    <t>幹部+隊員</t>
  </si>
  <si>
    <t>上午在隊訓練</t>
  </si>
  <si>
    <t>下午在隊訓練</t>
  </si>
  <si>
    <t>晚上在隊訓練</t>
  </si>
  <si>
    <t>各式搬運法操作訓練</t>
  </si>
  <si>
    <t>消防法防焰規制相關法規</t>
  </si>
  <si>
    <t>個人裝備器材操作訓練</t>
  </si>
  <si>
    <t>消防法防火管理相關法規</t>
  </si>
  <si>
    <t>緊急救護流程操作訓練</t>
  </si>
  <si>
    <t>消防法災害搶救法規</t>
  </si>
  <si>
    <t>水域裝備器材操作訓練</t>
  </si>
  <si>
    <t>消防安全設備相關法規</t>
  </si>
  <si>
    <t xml:space="preserve">車輛穩固器材操作訓練 </t>
  </si>
  <si>
    <t>液化石油氣相關法規</t>
  </si>
  <si>
    <t>各式破壞器材操作</t>
  </si>
  <si>
    <t>爆竹煙火相關法規</t>
  </si>
  <si>
    <t>拋繩槍操作訓練</t>
  </si>
  <si>
    <t>公共危險物品相關法規</t>
  </si>
  <si>
    <t>早上</t>
  </si>
  <si>
    <t>下午</t>
  </si>
  <si>
    <t>晚上</t>
  </si>
  <si>
    <t>個人環境區域整理</t>
  </si>
  <si>
    <t>火災特性</t>
  </si>
  <si>
    <t>一</t>
  </si>
  <si>
    <t>河川抽水及水源運用</t>
  </si>
  <si>
    <t>SCBA訓練</t>
  </si>
  <si>
    <t>火場安全管制操作訓練</t>
  </si>
  <si>
    <t>火場控制及殘火處理</t>
  </si>
  <si>
    <t>二</t>
  </si>
  <si>
    <t>通風排煙訓練</t>
  </si>
  <si>
    <t>人命救助訓練</t>
  </si>
  <si>
    <t>美式雙節梯加掛梯操作訓練</t>
  </si>
  <si>
    <t>救護訓練</t>
  </si>
  <si>
    <t>三</t>
  </si>
  <si>
    <t>個人防護裝備操作</t>
  </si>
  <si>
    <t>常訓體技能訓練</t>
  </si>
  <si>
    <t>戰術體適能操作訓練</t>
  </si>
  <si>
    <t>四</t>
  </si>
  <si>
    <t>車輛裝備基礎保養維護</t>
  </si>
  <si>
    <t>戰術體能訓練</t>
  </si>
  <si>
    <t>11車器材操作訓練</t>
  </si>
  <si>
    <t>個人水域防護裝備介紹</t>
  </si>
  <si>
    <t>五</t>
  </si>
  <si>
    <t>救生艇拆裝組合訓練</t>
  </si>
  <si>
    <t>船外機與橡皮艇</t>
  </si>
  <si>
    <t>16車器材操作訓練</t>
  </si>
  <si>
    <t>五用氣體檢知器及CO探測器</t>
  </si>
  <si>
    <t>六</t>
  </si>
  <si>
    <t>破壞器材操作</t>
  </si>
  <si>
    <t>入室搜救</t>
  </si>
  <si>
    <t>51車器材操作訓練</t>
  </si>
  <si>
    <t>器材車、化學(處理)車</t>
  </si>
  <si>
    <t>日</t>
  </si>
  <si>
    <t>車輛駕訓</t>
  </si>
  <si>
    <t>環境整理</t>
  </si>
  <si>
    <t>61車器材操作訓練</t>
  </si>
  <si>
    <t>車輛裝備整理及清洗</t>
  </si>
  <si>
    <t>91車器材操作訓練</t>
  </si>
  <si>
    <t>列印的時候只要列印第一頁就好</t>
  </si>
  <si>
    <t>主管：</t>
  </si>
  <si>
    <t>在隊訓練</t>
  </si>
  <si>
    <t>備勤緊急救護</t>
  </si>
  <si>
    <t>備勤救災</t>
  </si>
  <si>
    <t>勤務輪流順序與服勤人員對照表</t>
  </si>
  <si>
    <t>分隊人數</t>
  </si>
  <si>
    <t>班別</t>
  </si>
  <si>
    <t>93車
BSL-9230</t>
  </si>
  <si>
    <t>車號</t>
  </si>
  <si>
    <t>11車
KEC-2608</t>
  </si>
  <si>
    <t>15車
KES-5922</t>
  </si>
  <si>
    <t>85車
BUJ-1193</t>
  </si>
  <si>
    <t>88車
BUU-3360</t>
  </si>
  <si>
    <t>駕</t>
  </si>
  <si>
    <t>護</t>
  </si>
  <si>
    <t>任務</t>
  </si>
  <si>
    <t>瞄</t>
  </si>
  <si>
    <t>副</t>
  </si>
  <si>
    <t>編號</t>
  </si>
  <si>
    <t>車輛器材保養環境清理</t>
  </si>
  <si>
    <t>番號</t>
  </si>
  <si>
    <t>姓名</t>
  </si>
  <si>
    <t>一車</t>
  </si>
  <si>
    <t>二車</t>
  </si>
  <si>
    <t>對照</t>
  </si>
  <si>
    <t>08:00  08:30</t>
  </si>
  <si>
    <t>勤前教育</t>
  </si>
  <si>
    <t xml:space="preserve"> </t>
  </si>
  <si>
    <t>備勤</t>
  </si>
  <si>
    <t>合計</t>
  </si>
  <si>
    <t>備註</t>
  </si>
  <si>
    <t>勤務變更紀錄表</t>
  </si>
  <si>
    <t>服勤姓名</t>
  </si>
  <si>
    <t>原定勤務</t>
  </si>
  <si>
    <t>變更勤務</t>
  </si>
  <si>
    <t>原因</t>
  </si>
  <si>
    <t>主管核章</t>
  </si>
  <si>
    <t>休</t>
    <phoneticPr fontId="9" type="noConversion"/>
  </si>
  <si>
    <t>上班</t>
    <phoneticPr fontId="9" type="noConversion"/>
  </si>
  <si>
    <t>項目   時間</t>
  </si>
  <si>
    <t>姓  名</t>
  </si>
  <si>
    <t>91車
BGV-2310</t>
    <phoneticPr fontId="9" type="noConversion"/>
  </si>
  <si>
    <t>92車
BXB-7593</t>
    <phoneticPr fontId="9" type="noConversion"/>
  </si>
  <si>
    <t>星期</t>
    <phoneticPr fontId="9" type="noConversion"/>
  </si>
  <si>
    <t>07:40 08:00</t>
    <phoneticPr fontId="9" type="noConversion"/>
  </si>
  <si>
    <t>I</t>
    <phoneticPr fontId="9" type="noConversion"/>
  </si>
  <si>
    <t>K</t>
    <phoneticPr fontId="9" type="noConversion"/>
  </si>
  <si>
    <t>L</t>
    <phoneticPr fontId="9" type="noConversion"/>
  </si>
  <si>
    <t>B</t>
    <phoneticPr fontId="9" type="noConversion"/>
  </si>
  <si>
    <t>F</t>
    <phoneticPr fontId="9" type="noConversion"/>
  </si>
  <si>
    <t>D</t>
    <phoneticPr fontId="9" type="noConversion"/>
  </si>
  <si>
    <t>H</t>
    <phoneticPr fontId="9" type="noConversion"/>
  </si>
  <si>
    <t>A</t>
    <phoneticPr fontId="9" type="noConversion"/>
  </si>
  <si>
    <t>G</t>
    <phoneticPr fontId="9" type="noConversion"/>
  </si>
  <si>
    <t>C</t>
    <phoneticPr fontId="9" type="noConversion"/>
  </si>
  <si>
    <t>E</t>
    <phoneticPr fontId="9" type="noConversion"/>
  </si>
  <si>
    <t>M</t>
    <phoneticPr fontId="9" type="noConversion"/>
  </si>
  <si>
    <t>J</t>
    <phoneticPr fontId="9" type="noConversion"/>
  </si>
  <si>
    <t>12人</t>
    <phoneticPr fontId="9" type="noConversion"/>
  </si>
  <si>
    <t>2+10</t>
    <phoneticPr fontId="9" type="noConversion"/>
  </si>
  <si>
    <t>姓名</t>
    <phoneticPr fontId="9" type="noConversion"/>
  </si>
  <si>
    <t>番號</t>
    <phoneticPr fontId="9" type="noConversion"/>
  </si>
  <si>
    <t>1號</t>
    <phoneticPr fontId="9" type="noConversion"/>
  </si>
  <si>
    <t>2號</t>
    <phoneticPr fontId="9" type="noConversion"/>
  </si>
  <si>
    <t>3號</t>
  </si>
  <si>
    <t>4號</t>
  </si>
  <si>
    <t>5號</t>
  </si>
  <si>
    <t>6號</t>
  </si>
  <si>
    <t>7號</t>
  </si>
  <si>
    <t>8號</t>
  </si>
  <si>
    <t>9號</t>
  </si>
  <si>
    <t>10號</t>
  </si>
  <si>
    <t>11號</t>
  </si>
  <si>
    <t>12號</t>
  </si>
  <si>
    <t>13號</t>
  </si>
  <si>
    <t>14號</t>
  </si>
  <si>
    <t>15號</t>
  </si>
  <si>
    <t>16號</t>
  </si>
  <si>
    <t>17號</t>
  </si>
  <si>
    <t>18號</t>
  </si>
  <si>
    <t>19號</t>
  </si>
  <si>
    <t>20號</t>
  </si>
  <si>
    <t>21號</t>
  </si>
  <si>
    <t>22號</t>
  </si>
  <si>
    <t>23號</t>
  </si>
  <si>
    <t>24號</t>
  </si>
  <si>
    <t>25號</t>
  </si>
  <si>
    <t>26號</t>
  </si>
  <si>
    <t>27號</t>
  </si>
  <si>
    <t>28號</t>
  </si>
  <si>
    <t>29號</t>
  </si>
  <si>
    <t>30號</t>
  </si>
  <si>
    <t>31號</t>
  </si>
  <si>
    <t>工作表</t>
    <phoneticPr fontId="9" type="noConversion"/>
  </si>
  <si>
    <t>對照</t>
    <phoneticPr fontId="9" type="noConversion"/>
  </si>
  <si>
    <t>假別</t>
    <phoneticPr fontId="9" type="noConversion"/>
  </si>
  <si>
    <t>張鴻志</t>
    <phoneticPr fontId="9" type="noConversion"/>
  </si>
  <si>
    <t>月救護班</t>
  </si>
  <si>
    <t>平均救護班</t>
    <phoneticPr fontId="9" type="noConversion"/>
  </si>
  <si>
    <t>時數</t>
    <phoneticPr fontId="9" type="noConversion"/>
  </si>
  <si>
    <t>月上班</t>
    <phoneticPr fontId="9" type="noConversion"/>
  </si>
  <si>
    <t>天數</t>
    <phoneticPr fontId="9" type="noConversion"/>
  </si>
  <si>
    <t>身心假</t>
    <phoneticPr fontId="9" type="noConversion"/>
  </si>
  <si>
    <t>心</t>
    <phoneticPr fontId="9" type="noConversion"/>
  </si>
  <si>
    <t>婚假</t>
    <phoneticPr fontId="9" type="noConversion"/>
  </si>
  <si>
    <t>喪假</t>
    <phoneticPr fontId="9" type="noConversion"/>
  </si>
  <si>
    <t>陪產假</t>
    <phoneticPr fontId="9" type="noConversion"/>
  </si>
  <si>
    <t>休息</t>
    <phoneticPr fontId="9" type="noConversion"/>
  </si>
  <si>
    <t>距上次H</t>
    <phoneticPr fontId="9" type="noConversion"/>
  </si>
  <si>
    <t>A班</t>
  </si>
  <si>
    <t>幹部</t>
  </si>
  <si>
    <t>B班</t>
    <phoneticPr fontId="9" type="noConversion"/>
  </si>
  <si>
    <t>班表欄位</t>
    <phoneticPr fontId="9" type="noConversion"/>
  </si>
  <si>
    <t>林宸彥</t>
    <phoneticPr fontId="9" type="noConversion"/>
  </si>
  <si>
    <t>消</t>
    <phoneticPr fontId="9" type="noConversion"/>
  </si>
  <si>
    <t>輪休</t>
    <phoneticPr fontId="9" type="noConversion"/>
  </si>
  <si>
    <t>班別</t>
    <phoneticPr fontId="9" type="noConversion"/>
  </si>
  <si>
    <t>排班</t>
    <phoneticPr fontId="9" type="noConversion"/>
  </si>
  <si>
    <t>幹部
+
隊員</t>
    <phoneticPr fontId="9" type="noConversion"/>
  </si>
  <si>
    <t>組序</t>
    <phoneticPr fontId="9" type="noConversion"/>
  </si>
  <si>
    <t>日期</t>
    <phoneticPr fontId="9" type="noConversion"/>
  </si>
  <si>
    <t>時段(起)</t>
    <phoneticPr fontId="9" type="noConversion"/>
  </si>
  <si>
    <t>時段(迄)</t>
    <phoneticPr fontId="9" type="noConversion"/>
  </si>
  <si>
    <t>上班天數</t>
    <phoneticPr fontId="9" type="noConversion"/>
  </si>
  <si>
    <t>8人</t>
    <phoneticPr fontId="9" type="noConversion"/>
  </si>
  <si>
    <t>2+6</t>
    <phoneticPr fontId="9" type="noConversion"/>
  </si>
  <si>
    <t>欄1</t>
  </si>
  <si>
    <t>欄2</t>
  </si>
  <si>
    <t>欄3</t>
  </si>
  <si>
    <t>欄4</t>
  </si>
  <si>
    <t>欄6</t>
  </si>
  <si>
    <t>值班</t>
    <phoneticPr fontId="9" type="noConversion"/>
  </si>
  <si>
    <t>班別+時段</t>
    <phoneticPr fontId="9" type="noConversion"/>
  </si>
  <si>
    <t>時段</t>
    <phoneticPr fontId="9" type="noConversion"/>
  </si>
  <si>
    <t>休息2</t>
    <phoneticPr fontId="9" type="noConversion"/>
  </si>
  <si>
    <t>休息1</t>
    <phoneticPr fontId="9" type="noConversion"/>
  </si>
  <si>
    <t>休息合併</t>
    <phoneticPr fontId="9" type="noConversion"/>
  </si>
  <si>
    <t>救護1</t>
    <phoneticPr fontId="9" type="noConversion"/>
  </si>
  <si>
    <t>救護2</t>
    <phoneticPr fontId="9" type="noConversion"/>
  </si>
  <si>
    <t>備勤1</t>
    <phoneticPr fontId="9" type="noConversion"/>
  </si>
  <si>
    <t>備勤2</t>
    <phoneticPr fontId="9" type="noConversion"/>
  </si>
  <si>
    <t>備勤3</t>
    <phoneticPr fontId="9" type="noConversion"/>
  </si>
  <si>
    <t>備勤4</t>
    <phoneticPr fontId="9" type="noConversion"/>
  </si>
  <si>
    <t>備勤5</t>
    <phoneticPr fontId="9" type="noConversion"/>
  </si>
  <si>
    <t>備勤6</t>
    <phoneticPr fontId="9" type="noConversion"/>
  </si>
  <si>
    <t>備勤7</t>
    <phoneticPr fontId="9" type="noConversion"/>
  </si>
  <si>
    <t>備勤8</t>
    <phoneticPr fontId="9" type="noConversion"/>
  </si>
  <si>
    <t>指揮官</t>
    <phoneticPr fontId="9" type="noConversion"/>
  </si>
  <si>
    <t>人數</t>
    <phoneticPr fontId="9" type="noConversion"/>
  </si>
  <si>
    <t>班別2</t>
    <phoneticPr fontId="9" type="noConversion"/>
  </si>
  <si>
    <t>休息時數</t>
    <phoneticPr fontId="9" type="noConversion"/>
  </si>
  <si>
    <t>2車時數</t>
    <phoneticPr fontId="9" type="noConversion"/>
  </si>
  <si>
    <t>1車時數</t>
    <phoneticPr fontId="9" type="noConversion"/>
  </si>
  <si>
    <t>有無重複</t>
    <phoneticPr fontId="9" type="noConversion"/>
  </si>
  <si>
    <t>休</t>
  </si>
  <si>
    <t>心</t>
  </si>
  <si>
    <t>水源查察</t>
    <phoneticPr fontId="9" type="noConversion"/>
  </si>
  <si>
    <t>防溺車巡暨送大小氧</t>
    <phoneticPr fontId="9" type="noConversion"/>
  </si>
  <si>
    <t>3,28</t>
    <phoneticPr fontId="9" type="noConversion"/>
  </si>
  <si>
    <t>防溺車巡暨駕訓</t>
    <phoneticPr fontId="9" type="noConversion"/>
  </si>
  <si>
    <t>4,13</t>
    <phoneticPr fontId="9" type="noConversion"/>
  </si>
  <si>
    <t>91車
BGV-2310</t>
  </si>
  <si>
    <t>大崛里家戶訪視</t>
    <phoneticPr fontId="9" type="noConversion"/>
  </si>
  <si>
    <t>1,24</t>
    <phoneticPr fontId="9" type="noConversion"/>
  </si>
  <si>
    <t>大隊組合演練</t>
    <phoneticPr fontId="9" type="noConversion"/>
  </si>
  <si>
    <t>11,24</t>
    <phoneticPr fontId="9" type="noConversion"/>
  </si>
  <si>
    <t>15,1</t>
    <phoneticPr fontId="9" type="noConversion"/>
  </si>
  <si>
    <t>責任區訪視</t>
    <phoneticPr fontId="9" type="noConversion"/>
  </si>
  <si>
    <t>CPR教學</t>
    <phoneticPr fontId="9" type="noConversion"/>
  </si>
  <si>
    <t>全員</t>
    <phoneticPr fontId="9" type="noConversion"/>
  </si>
  <si>
    <t>三、晚上防火宣導隊常訓</t>
    <phoneticPr fontId="9" type="noConversion"/>
  </si>
  <si>
    <t>00-02</t>
    <phoneticPr fontId="9" type="noConversion"/>
  </si>
  <si>
    <t xml:space="preserve"> </t>
    <phoneticPr fontId="9" type="noConversion"/>
  </si>
  <si>
    <t>龍舟體能訓</t>
    <phoneticPr fontId="9" type="noConversion"/>
  </si>
  <si>
    <t>13,14</t>
    <phoneticPr fontId="9" type="noConversion"/>
  </si>
  <si>
    <t>93車保養</t>
    <phoneticPr fontId="9" type="noConversion"/>
  </si>
  <si>
    <t>9,1</t>
    <phoneticPr fontId="9" type="noConversion"/>
  </si>
  <si>
    <t>11車驗車</t>
    <phoneticPr fontId="9" type="noConversion"/>
  </si>
  <si>
    <t>16車驗車</t>
    <phoneticPr fontId="9" type="noConversion"/>
  </si>
  <si>
    <t>話務演練</t>
    <phoneticPr fontId="9" type="noConversion"/>
  </si>
  <si>
    <t>6,17</t>
    <phoneticPr fontId="9" type="noConversion"/>
  </si>
  <si>
    <t>蓄水池查察</t>
    <phoneticPr fontId="9" type="noConversion"/>
  </si>
  <si>
    <t>7,15</t>
    <phoneticPr fontId="9" type="noConversion"/>
  </si>
  <si>
    <t>送領氣瓶</t>
    <phoneticPr fontId="9" type="noConversion"/>
  </si>
  <si>
    <t>水源查察19</t>
    <phoneticPr fontId="9" type="noConversion"/>
  </si>
  <si>
    <t>27,1</t>
    <phoneticPr fontId="9" type="noConversion"/>
  </si>
  <si>
    <t>8,5</t>
    <phoneticPr fontId="9" type="noConversion"/>
  </si>
  <si>
    <t>三、義消中隊觀摩活動:鄧分隊長、隊員林宏為(08-18時)</t>
    <phoneticPr fontId="9" type="noConversion"/>
  </si>
  <si>
    <t>防溺車巡暨水查</t>
    <phoneticPr fontId="9" type="noConversion"/>
  </si>
  <si>
    <t>16,3</t>
    <phoneticPr fontId="9" type="noConversion"/>
  </si>
  <si>
    <t>3,14</t>
    <phoneticPr fontId="9" type="noConversion"/>
  </si>
  <si>
    <t>14,2</t>
    <phoneticPr fontId="9" type="noConversion"/>
  </si>
  <si>
    <t>7,9</t>
    <phoneticPr fontId="9" type="noConversion"/>
  </si>
  <si>
    <t>居家訪視</t>
    <phoneticPr fontId="9" type="noConversion"/>
  </si>
  <si>
    <t>28,5</t>
    <phoneticPr fontId="9" type="noConversion"/>
  </si>
  <si>
    <t>19,2</t>
    <phoneticPr fontId="9" type="noConversion"/>
  </si>
  <si>
    <t>2,28</t>
    <phoneticPr fontId="9" type="noConversion"/>
  </si>
  <si>
    <t>至大隊領取母親節禮盒</t>
    <phoneticPr fontId="9" type="noConversion"/>
  </si>
  <si>
    <t>25,4</t>
    <phoneticPr fontId="9" type="noConversion"/>
  </si>
  <si>
    <t>14,4</t>
    <phoneticPr fontId="9" type="noConversion"/>
  </si>
  <si>
    <t>11,3</t>
    <phoneticPr fontId="9" type="noConversion"/>
  </si>
  <si>
    <t>火調科洽公</t>
    <phoneticPr fontId="9" type="noConversion"/>
  </si>
  <si>
    <t>山腳搶演</t>
    <phoneticPr fontId="9" type="noConversion"/>
  </si>
  <si>
    <t>26,2</t>
    <phoneticPr fontId="9" type="noConversion"/>
  </si>
  <si>
    <t>17,27</t>
    <phoneticPr fontId="9" type="noConversion"/>
  </si>
  <si>
    <t>線上會議</t>
    <phoneticPr fontId="9" type="noConversion"/>
  </si>
  <si>
    <t>1,2,3,4,5</t>
    <phoneticPr fontId="9" type="noConversion"/>
  </si>
  <si>
    <t>大隊常訓</t>
    <phoneticPr fontId="9" type="noConversion"/>
  </si>
  <si>
    <t>水源會勘</t>
    <phoneticPr fontId="9" type="noConversion"/>
  </si>
  <si>
    <t>危物組訓</t>
    <phoneticPr fontId="9" type="noConversion"/>
  </si>
  <si>
    <t>義消定訓</t>
    <phoneticPr fontId="9" type="noConversion"/>
  </si>
  <si>
    <t>9,18</t>
    <phoneticPr fontId="9" type="noConversion"/>
  </si>
  <si>
    <t>6,16</t>
    <phoneticPr fontId="9" type="noConversion"/>
  </si>
  <si>
    <t>6,1</t>
    <phoneticPr fontId="9" type="noConversion"/>
  </si>
  <si>
    <t>10,11</t>
    <phoneticPr fontId="9" type="noConversion"/>
  </si>
  <si>
    <t>三、廠商至分隊保養潮氣末端二氧化碳監測儀(EMMA)及TUORen影像式喉頭鏡</t>
    <phoneticPr fontId="9" type="noConversion"/>
  </si>
  <si>
    <t>找樂子社區宣導</t>
    <phoneticPr fontId="9" type="noConversion"/>
  </si>
  <si>
    <t>2,21</t>
    <phoneticPr fontId="9" type="noConversion"/>
  </si>
  <si>
    <t>4,28</t>
    <phoneticPr fontId="9" type="noConversion"/>
  </si>
  <si>
    <t>7,12</t>
    <phoneticPr fontId="9" type="noConversion"/>
  </si>
  <si>
    <t>16車維修</t>
    <phoneticPr fontId="9" type="noConversion"/>
  </si>
  <si>
    <t>21,25</t>
    <phoneticPr fontId="9" type="noConversion"/>
  </si>
  <si>
    <t>5,  21</t>
    <phoneticPr fontId="9" type="noConversion"/>
  </si>
  <si>
    <t>91車維修</t>
    <phoneticPr fontId="9" type="noConversion"/>
  </si>
  <si>
    <t>草漯體技能</t>
    <phoneticPr fontId="9" type="noConversion"/>
  </si>
  <si>
    <t>6,4</t>
    <phoneticPr fontId="9" type="noConversion"/>
  </si>
  <si>
    <t>防火初階班</t>
    <phoneticPr fontId="9" type="noConversion"/>
  </si>
  <si>
    <t>議員母親告別式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</si>
</sst>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0;\-0;"/>
    <numFmt numFmtId="177" formatCode="[$-404]aaaa"/>
    <numFmt numFmtId="178" formatCode="[$-404]aaaa;@"/>
    <numFmt numFmtId="179" formatCode="0.000"/>
  </numFmts>
  <fonts count="54">
    <font>
      <sz val="12"/>
      <color theme="1"/>
      <name val="Calibri"/>
      <scheme val="minor"/>
    </font>
    <font>
      <sz val="10"/>
      <color theme="1"/>
      <name val="Arial"/>
      <family val="2"/>
    </font>
    <font>
      <sz val="20"/>
      <color theme="1"/>
      <name val="DFKai-SB"/>
      <family val="4"/>
      <charset val="136"/>
    </font>
    <font>
      <b/>
      <sz val="16"/>
      <color theme="1"/>
      <name val="DFKai-SB"/>
      <family val="4"/>
      <charset val="136"/>
    </font>
    <font>
      <b/>
      <sz val="16"/>
      <color theme="1"/>
      <name val="標楷體"/>
      <family val="4"/>
      <charset val="136"/>
    </font>
    <font>
      <b/>
      <sz val="16"/>
      <color rgb="FFFF0000"/>
      <name val="標楷體"/>
      <family val="4"/>
      <charset val="136"/>
    </font>
    <font>
      <sz val="12"/>
      <color theme="1"/>
      <name val="Calibri"/>
      <family val="2"/>
      <scheme val="minor"/>
    </font>
    <font>
      <b/>
      <sz val="12"/>
      <color theme="1"/>
      <name val="標楷體"/>
      <family val="4"/>
      <charset val="136"/>
    </font>
    <font>
      <b/>
      <sz val="14"/>
      <color theme="1"/>
      <name val="標楷體"/>
      <family val="4"/>
      <charset val="136"/>
    </font>
    <font>
      <sz val="9"/>
      <name val="Calibri"/>
      <family val="3"/>
      <charset val="136"/>
      <scheme val="minor"/>
    </font>
    <font>
      <sz val="12"/>
      <name val="新細明體"/>
      <family val="1"/>
      <charset val="136"/>
    </font>
    <font>
      <b/>
      <sz val="14"/>
      <name val="標楷體"/>
      <family val="4"/>
      <charset val="136"/>
    </font>
    <font>
      <b/>
      <sz val="2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8"/>
      <color theme="1"/>
      <name val="標楷體"/>
      <family val="4"/>
      <charset val="136"/>
    </font>
    <font>
      <sz val="20"/>
      <color theme="1"/>
      <name val="標楷體"/>
      <family val="4"/>
      <charset val="136"/>
    </font>
    <font>
      <sz val="12"/>
      <name val="標楷體"/>
      <family val="4"/>
      <charset val="136"/>
    </font>
    <font>
      <b/>
      <sz val="30"/>
      <color theme="1"/>
      <name val="標楷體"/>
      <family val="4"/>
      <charset val="136"/>
    </font>
    <font>
      <sz val="22"/>
      <color theme="1"/>
      <name val="標楷體"/>
      <family val="4"/>
      <charset val="136"/>
    </font>
    <font>
      <b/>
      <sz val="13"/>
      <color theme="1"/>
      <name val="標楷體"/>
      <family val="4"/>
      <charset val="136"/>
    </font>
    <font>
      <b/>
      <sz val="22"/>
      <color theme="1"/>
      <name val="標楷體"/>
      <family val="4"/>
      <charset val="136"/>
    </font>
    <font>
      <sz val="22"/>
      <color theme="0"/>
      <name val="標楷體"/>
      <family val="4"/>
      <charset val="136"/>
    </font>
    <font>
      <sz val="20"/>
      <color theme="0"/>
      <name val="標楷體"/>
      <family val="4"/>
      <charset val="136"/>
    </font>
    <font>
      <sz val="16"/>
      <color theme="1"/>
      <name val="標楷體"/>
      <family val="4"/>
      <charset val="136"/>
    </font>
    <font>
      <b/>
      <sz val="11"/>
      <color theme="1"/>
      <name val="標楷體"/>
      <family val="4"/>
      <charset val="136"/>
    </font>
    <font>
      <b/>
      <sz val="18"/>
      <color rgb="FFFF0000"/>
      <name val="標楷體"/>
      <family val="4"/>
      <charset val="136"/>
    </font>
    <font>
      <b/>
      <sz val="9"/>
      <color theme="1"/>
      <name val="標楷體"/>
      <family val="4"/>
      <charset val="136"/>
    </font>
    <font>
      <b/>
      <sz val="10"/>
      <color theme="1"/>
      <name val="標楷體"/>
      <family val="4"/>
      <charset val="136"/>
    </font>
    <font>
      <sz val="10"/>
      <name val="標楷體"/>
      <family val="4"/>
      <charset val="136"/>
    </font>
    <font>
      <b/>
      <sz val="22"/>
      <color theme="7"/>
      <name val="標楷體"/>
      <family val="4"/>
      <charset val="136"/>
    </font>
    <font>
      <b/>
      <sz val="18"/>
      <color theme="1"/>
      <name val="標楷體"/>
      <family val="4"/>
      <charset val="136"/>
    </font>
    <font>
      <b/>
      <sz val="12"/>
      <color theme="0"/>
      <name val="標楷體"/>
      <family val="4"/>
      <charset val="136"/>
    </font>
    <font>
      <sz val="11"/>
      <name val="標楷體"/>
      <family val="4"/>
      <charset val="136"/>
    </font>
    <font>
      <sz val="16"/>
      <name val="標楷體"/>
      <family val="4"/>
      <charset val="136"/>
    </font>
    <font>
      <b/>
      <sz val="12"/>
      <name val="標楷體"/>
      <family val="4"/>
      <charset val="136"/>
    </font>
    <font>
      <sz val="14"/>
      <name val="標楷體"/>
      <family val="4"/>
      <charset val="136"/>
    </font>
    <font>
      <sz val="11"/>
      <color theme="1"/>
      <name val="標楷體"/>
      <family val="4"/>
      <charset val="136"/>
    </font>
    <font>
      <sz val="10"/>
      <color theme="1"/>
      <name val="標楷體"/>
      <family val="4"/>
      <charset val="136"/>
    </font>
    <font>
      <b/>
      <sz val="26"/>
      <color theme="1"/>
      <name val="DFKai-SB"/>
      <family val="4"/>
      <charset val="136"/>
    </font>
    <font>
      <b/>
      <sz val="26"/>
      <color theme="1"/>
      <name val="PMingLiu"/>
      <family val="1"/>
      <charset val="136"/>
    </font>
    <font>
      <b/>
      <sz val="40"/>
      <color theme="1"/>
      <name val="DFKai-SB"/>
      <family val="4"/>
      <charset val="136"/>
    </font>
    <font>
      <b/>
      <sz val="40"/>
      <name val="Calibri"/>
      <family val="2"/>
    </font>
    <font>
      <b/>
      <sz val="24"/>
      <color theme="1"/>
      <name val="DFKai-SB"/>
      <family val="4"/>
      <charset val="136"/>
    </font>
    <font>
      <sz val="26"/>
      <color theme="1"/>
      <name val="DFKai-SB"/>
      <family val="4"/>
      <charset val="136"/>
    </font>
    <font>
      <sz val="12"/>
      <color theme="1"/>
      <name val="Calibri"/>
      <family val="2"/>
      <charset val="136"/>
    </font>
    <font>
      <b/>
      <sz val="20"/>
      <color theme="1"/>
      <name val="標楷體"/>
      <family val="4"/>
      <charset val="136"/>
    </font>
    <font>
      <sz val="12"/>
      <color theme="1"/>
      <name val="Microsoft JhengHei"/>
      <family val="2"/>
      <charset val="136"/>
    </font>
    <font>
      <b/>
      <sz val="26"/>
      <name val="標楷體"/>
      <family val="4"/>
      <charset val="136"/>
    </font>
    <font>
      <b/>
      <sz val="26"/>
      <name val="DFKai-SB"/>
      <family val="4"/>
      <charset val="136"/>
    </font>
    <font>
      <sz val="16"/>
      <color rgb="FFFF0000"/>
      <name val="標楷體"/>
      <family val="4"/>
      <charset val="136"/>
    </font>
    <font>
      <b/>
      <sz val="18"/>
      <color rgb="FF0070C0"/>
      <name val="標楷體"/>
      <family val="4"/>
      <charset val="136"/>
    </font>
    <font>
      <sz val="16"/>
      <color rgb="FF0070C0"/>
      <name val="標楷體"/>
      <family val="4"/>
      <charset val="136"/>
    </font>
    <font>
      <sz val="12"/>
      <color rgb="FF0070C0"/>
      <name val="標楷體"/>
      <family val="4"/>
      <charset val="136"/>
    </font>
    <font>
      <b/>
      <sz val="16"/>
      <color rgb="FF0070C0"/>
      <name val="標楷體"/>
      <family val="4"/>
      <charset val="136"/>
    </font>
  </fonts>
  <fills count="19">
    <fill>
      <patternFill patternType="none"/>
    </fill>
    <fill>
      <patternFill patternType="gray125"/>
    </fill>
    <fill>
      <patternFill patternType="solid">
        <fgColor rgb="FFFBE4D5"/>
        <bgColor rgb="FFFBE4D5"/>
      </patternFill>
    </fill>
    <fill>
      <patternFill patternType="solid">
        <fgColor rgb="FFD9E2F3"/>
        <bgColor rgb="FFD9E2F3"/>
      </patternFill>
    </fill>
    <fill>
      <patternFill patternType="solid">
        <fgColor rgb="FFDADADA"/>
        <bgColor rgb="FFDADADA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92D050"/>
        <bgColor rgb="FF92D050"/>
      </patternFill>
    </fill>
    <fill>
      <patternFill patternType="solid">
        <fgColor rgb="FFBDD6EE"/>
        <bgColor rgb="FFBDD6EE"/>
      </patternFill>
    </fill>
    <fill>
      <patternFill patternType="solid">
        <fgColor rgb="FFECECEC"/>
        <bgColor rgb="FFECECEC"/>
      </patternFill>
    </fill>
    <fill>
      <patternFill patternType="solid">
        <fgColor rgb="FFDEEAF6"/>
        <bgColor rgb="FFDEEAF6"/>
      </patternFill>
    </fill>
    <fill>
      <patternFill patternType="solid">
        <fgColor rgb="FFB4C6E7"/>
        <bgColor rgb="FFB4C6E7"/>
      </patternFill>
    </fill>
    <fill>
      <patternFill patternType="solid">
        <fgColor rgb="FFD6DCE4"/>
        <bgColor rgb="FFD6DCE4"/>
      </patternFill>
    </fill>
    <fill>
      <patternFill patternType="solid">
        <fgColor rgb="FFFEF2CB"/>
        <bgColor rgb="FFFEF2CB"/>
      </patternFill>
    </fill>
    <fill>
      <patternFill patternType="solid">
        <fgColor rgb="FFE2EFD9"/>
        <bgColor rgb="FFE2EFD9"/>
      </patternFill>
    </fill>
    <fill>
      <patternFill patternType="solid">
        <fgColor rgb="FFFFE598"/>
        <bgColor rgb="FFFFE59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</fills>
  <borders count="11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rgb="FF000000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</borders>
  <cellStyleXfs count="3">
    <xf numFmtId="0" fontId="0" fillId="0" borderId="0"/>
    <xf numFmtId="0" fontId="10" fillId="0" borderId="11">
      <alignment vertical="center"/>
    </xf>
    <xf numFmtId="0" fontId="6" fillId="0" borderId="11"/>
  </cellStyleXfs>
  <cellXfs count="448">
    <xf numFmtId="0" fontId="0" fillId="0" borderId="0" xfId="0" applyFont="1" applyAlignment="1">
      <alignment vertical="center"/>
    </xf>
    <xf numFmtId="0" fontId="1" fillId="0" borderId="0" xfId="0" applyFont="1" applyAlignment="1">
      <alignment wrapText="1"/>
    </xf>
    <xf numFmtId="0" fontId="1" fillId="0" borderId="10" xfId="0" applyFont="1" applyBorder="1" applyAlignment="1">
      <alignment wrapText="1"/>
    </xf>
    <xf numFmtId="0" fontId="1" fillId="0" borderId="11" xfId="0" applyFont="1" applyBorder="1" applyAlignment="1">
      <alignment wrapText="1"/>
    </xf>
    <xf numFmtId="0" fontId="4" fillId="0" borderId="1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vertical="center"/>
    </xf>
    <xf numFmtId="0" fontId="7" fillId="0" borderId="15" xfId="0" applyFont="1" applyBorder="1" applyAlignment="1">
      <alignment vertical="center" wrapText="1"/>
    </xf>
    <xf numFmtId="0" fontId="7" fillId="0" borderId="15" xfId="0" applyFont="1" applyBorder="1" applyAlignment="1">
      <alignment vertical="center" textRotation="255" wrapText="1"/>
    </xf>
    <xf numFmtId="0" fontId="18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8" fillId="0" borderId="15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49" fontId="1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4" fillId="0" borderId="0" xfId="0" applyFont="1" applyAlignment="1">
      <alignment vertical="center" textRotation="255"/>
    </xf>
    <xf numFmtId="0" fontId="4" fillId="0" borderId="15" xfId="0" applyFont="1" applyBorder="1" applyAlignment="1">
      <alignment horizontal="center" vertical="center" wrapText="1"/>
    </xf>
    <xf numFmtId="0" fontId="15" fillId="0" borderId="0" xfId="0" applyFont="1" applyAlignment="1">
      <alignment vertical="center"/>
    </xf>
    <xf numFmtId="176" fontId="18" fillId="0" borderId="0" xfId="0" applyNumberFormat="1" applyFont="1" applyAlignment="1">
      <alignment horizontal="center" vertical="center"/>
    </xf>
    <xf numFmtId="176" fontId="12" fillId="0" borderId="0" xfId="0" applyNumberFormat="1" applyFont="1" applyAlignment="1">
      <alignment horizontal="center" vertical="center"/>
    </xf>
    <xf numFmtId="0" fontId="18" fillId="13" borderId="39" xfId="0" applyFont="1" applyFill="1" applyBorder="1" applyAlignment="1">
      <alignment horizontal="center" vertical="center"/>
    </xf>
    <xf numFmtId="0" fontId="18" fillId="0" borderId="47" xfId="0" applyFont="1" applyBorder="1" applyAlignment="1">
      <alignment horizontal="center" vertical="center"/>
    </xf>
    <xf numFmtId="176" fontId="26" fillId="0" borderId="15" xfId="0" applyNumberFormat="1" applyFont="1" applyBorder="1" applyAlignment="1">
      <alignment horizontal="center" vertical="center" wrapText="1"/>
    </xf>
    <xf numFmtId="0" fontId="18" fillId="13" borderId="41" xfId="0" applyFont="1" applyFill="1" applyBorder="1" applyAlignment="1">
      <alignment horizontal="center" vertical="center"/>
    </xf>
    <xf numFmtId="0" fontId="18" fillId="0" borderId="48" xfId="0" applyFont="1" applyBorder="1" applyAlignment="1">
      <alignment horizontal="center" vertical="center"/>
    </xf>
    <xf numFmtId="176" fontId="26" fillId="0" borderId="22" xfId="0" applyNumberFormat="1" applyFont="1" applyBorder="1" applyAlignment="1">
      <alignment horizontal="center" vertical="center" wrapText="1"/>
    </xf>
    <xf numFmtId="0" fontId="18" fillId="0" borderId="49" xfId="0" applyFont="1" applyBorder="1" applyAlignment="1">
      <alignment horizontal="center" vertical="center"/>
    </xf>
    <xf numFmtId="0" fontId="18" fillId="13" borderId="43" xfId="0" applyFont="1" applyFill="1" applyBorder="1" applyAlignment="1">
      <alignment horizontal="center" vertical="center"/>
    </xf>
    <xf numFmtId="176" fontId="29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shrinkToFit="1"/>
    </xf>
    <xf numFmtId="176" fontId="5" fillId="0" borderId="0" xfId="0" applyNumberFormat="1" applyFont="1" applyAlignment="1">
      <alignment horizontal="center" vertical="center"/>
    </xf>
    <xf numFmtId="176" fontId="30" fillId="0" borderId="0" xfId="0" applyNumberFormat="1" applyFont="1" applyAlignment="1">
      <alignment horizontal="center" vertical="center"/>
    </xf>
    <xf numFmtId="49" fontId="30" fillId="0" borderId="0" xfId="0" applyNumberFormat="1" applyFont="1" applyAlignment="1">
      <alignment horizontal="center" vertical="center"/>
    </xf>
    <xf numFmtId="176" fontId="31" fillId="0" borderId="15" xfId="0" applyNumberFormat="1" applyFont="1" applyBorder="1" applyAlignment="1">
      <alignment horizontal="center" vertical="center"/>
    </xf>
    <xf numFmtId="0" fontId="4" fillId="0" borderId="0" xfId="0" applyFont="1" applyAlignment="1">
      <alignment horizontal="left" vertical="center" shrinkToFit="1"/>
    </xf>
    <xf numFmtId="0" fontId="4" fillId="0" borderId="40" xfId="0" applyFont="1" applyBorder="1" applyAlignment="1">
      <alignment horizontal="center" vertical="center" wrapText="1"/>
    </xf>
    <xf numFmtId="0" fontId="7" fillId="0" borderId="40" xfId="0" applyFont="1" applyBorder="1" applyAlignment="1">
      <alignment horizontal="center" vertical="center" wrapText="1"/>
    </xf>
    <xf numFmtId="0" fontId="7" fillId="0" borderId="40" xfId="0" applyFont="1" applyBorder="1" applyAlignment="1">
      <alignment vertical="center" textRotation="255" wrapText="1"/>
    </xf>
    <xf numFmtId="20" fontId="7" fillId="0" borderId="50" xfId="0" applyNumberFormat="1" applyFont="1" applyBorder="1" applyAlignment="1">
      <alignment horizontal="center" vertical="center" wrapText="1"/>
    </xf>
    <xf numFmtId="20" fontId="7" fillId="0" borderId="51" xfId="0" applyNumberFormat="1" applyFont="1" applyBorder="1" applyAlignment="1">
      <alignment horizontal="center" vertical="center" wrapText="1"/>
    </xf>
    <xf numFmtId="176" fontId="26" fillId="0" borderId="42" xfId="0" applyNumberFormat="1" applyFont="1" applyBorder="1" applyAlignment="1">
      <alignment horizontal="center" vertical="center" wrapText="1"/>
    </xf>
    <xf numFmtId="176" fontId="7" fillId="0" borderId="42" xfId="0" applyNumberFormat="1" applyFont="1" applyBorder="1" applyAlignment="1">
      <alignment horizontal="center" vertical="center" wrapText="1"/>
    </xf>
    <xf numFmtId="0" fontId="4" fillId="0" borderId="51" xfId="0" applyFont="1" applyBorder="1" applyAlignment="1">
      <alignment horizontal="center" vertical="center" wrapText="1"/>
    </xf>
    <xf numFmtId="0" fontId="4" fillId="0" borderId="52" xfId="0" applyFont="1" applyBorder="1" applyAlignment="1">
      <alignment horizontal="center" vertical="center" wrapText="1"/>
    </xf>
    <xf numFmtId="0" fontId="7" fillId="0" borderId="52" xfId="0" applyFont="1" applyBorder="1" applyAlignment="1">
      <alignment vertical="center" wrapText="1"/>
    </xf>
    <xf numFmtId="0" fontId="24" fillId="0" borderId="52" xfId="0" applyFont="1" applyBorder="1" applyAlignment="1">
      <alignment horizontal="center" vertical="center" wrapText="1"/>
    </xf>
    <xf numFmtId="0" fontId="7" fillId="0" borderId="52" xfId="0" applyFont="1" applyBorder="1" applyAlignment="1">
      <alignment vertical="top" wrapText="1"/>
    </xf>
    <xf numFmtId="0" fontId="0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3" fillId="0" borderId="79" xfId="0" applyFont="1" applyBorder="1" applyAlignment="1">
      <alignment horizontal="center" vertical="center"/>
    </xf>
    <xf numFmtId="0" fontId="13" fillId="0" borderId="80" xfId="0" applyFont="1" applyBorder="1" applyAlignment="1">
      <alignment horizontal="center" vertical="center"/>
    </xf>
    <xf numFmtId="0" fontId="13" fillId="0" borderId="81" xfId="0" applyFont="1" applyBorder="1" applyAlignment="1">
      <alignment horizontal="center" vertical="center"/>
    </xf>
    <xf numFmtId="0" fontId="13" fillId="0" borderId="82" xfId="0" applyFont="1" applyBorder="1" applyAlignment="1">
      <alignment horizontal="center" vertical="center"/>
    </xf>
    <xf numFmtId="176" fontId="13" fillId="0" borderId="5" xfId="0" applyNumberFormat="1" applyFont="1" applyBorder="1" applyAlignment="1">
      <alignment horizontal="center" vertical="center"/>
    </xf>
    <xf numFmtId="176" fontId="13" fillId="0" borderId="0" xfId="0" applyNumberFormat="1" applyFont="1" applyAlignment="1">
      <alignment horizontal="center" vertical="center"/>
    </xf>
    <xf numFmtId="176" fontId="13" fillId="0" borderId="6" xfId="0" applyNumberFormat="1" applyFont="1" applyBorder="1" applyAlignment="1">
      <alignment horizontal="center" vertical="center"/>
    </xf>
    <xf numFmtId="0" fontId="13" fillId="0" borderId="83" xfId="0" applyFont="1" applyBorder="1" applyAlignment="1">
      <alignment horizontal="center" vertical="center"/>
    </xf>
    <xf numFmtId="0" fontId="13" fillId="0" borderId="84" xfId="0" applyFont="1" applyBorder="1" applyAlignment="1">
      <alignment horizontal="center" vertical="center"/>
    </xf>
    <xf numFmtId="176" fontId="13" fillId="0" borderId="7" xfId="0" applyNumberFormat="1" applyFont="1" applyBorder="1" applyAlignment="1">
      <alignment horizontal="center" vertical="center"/>
    </xf>
    <xf numFmtId="176" fontId="13" fillId="0" borderId="8" xfId="0" applyNumberFormat="1" applyFont="1" applyBorder="1" applyAlignment="1">
      <alignment horizontal="center" vertical="center"/>
    </xf>
    <xf numFmtId="176" fontId="13" fillId="0" borderId="9" xfId="0" applyNumberFormat="1" applyFont="1" applyBorder="1" applyAlignment="1">
      <alignment horizontal="center" vertical="center"/>
    </xf>
    <xf numFmtId="176" fontId="13" fillId="0" borderId="0" xfId="0" applyNumberFormat="1" applyFont="1" applyAlignment="1">
      <alignment vertical="center"/>
    </xf>
    <xf numFmtId="49" fontId="8" fillId="0" borderId="51" xfId="0" applyNumberFormat="1" applyFont="1" applyBorder="1" applyAlignment="1">
      <alignment horizontal="center" vertical="center"/>
    </xf>
    <xf numFmtId="49" fontId="8" fillId="0" borderId="54" xfId="0" applyNumberFormat="1" applyFont="1" applyBorder="1" applyAlignment="1">
      <alignment horizontal="center" vertical="center"/>
    </xf>
    <xf numFmtId="49" fontId="8" fillId="0" borderId="55" xfId="0" applyNumberFormat="1" applyFont="1" applyBorder="1" applyAlignment="1">
      <alignment horizontal="center" vertical="center"/>
    </xf>
    <xf numFmtId="49" fontId="8" fillId="0" borderId="56" xfId="0" applyNumberFormat="1" applyFont="1" applyBorder="1" applyAlignment="1">
      <alignment horizontal="center" vertical="center"/>
    </xf>
    <xf numFmtId="0" fontId="4" fillId="5" borderId="40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176" fontId="30" fillId="0" borderId="15" xfId="0" applyNumberFormat="1" applyFont="1" applyBorder="1" applyAlignment="1">
      <alignment horizontal="center" vertical="center"/>
    </xf>
    <xf numFmtId="176" fontId="30" fillId="0" borderId="12" xfId="0" applyNumberFormat="1" applyFont="1" applyBorder="1" applyAlignment="1">
      <alignment horizontal="center" vertical="center"/>
    </xf>
    <xf numFmtId="176" fontId="30" fillId="0" borderId="53" xfId="0" applyNumberFormat="1" applyFont="1" applyBorder="1" applyAlignment="1">
      <alignment horizontal="center" vertical="center"/>
    </xf>
    <xf numFmtId="176" fontId="30" fillId="0" borderId="42" xfId="0" applyNumberFormat="1" applyFont="1" applyBorder="1" applyAlignment="1">
      <alignment horizontal="center" vertical="center"/>
    </xf>
    <xf numFmtId="176" fontId="30" fillId="0" borderId="7" xfId="0" applyNumberFormat="1" applyFont="1" applyBorder="1" applyAlignment="1">
      <alignment horizontal="center" vertical="center"/>
    </xf>
    <xf numFmtId="176" fontId="30" fillId="5" borderId="15" xfId="0" applyNumberFormat="1" applyFont="1" applyFill="1" applyBorder="1" applyAlignment="1">
      <alignment horizontal="center" vertical="center"/>
    </xf>
    <xf numFmtId="176" fontId="30" fillId="0" borderId="22" xfId="0" applyNumberFormat="1" applyFont="1" applyBorder="1" applyAlignment="1">
      <alignment horizontal="center" vertical="center"/>
    </xf>
    <xf numFmtId="176" fontId="30" fillId="5" borderId="42" xfId="0" applyNumberFormat="1" applyFont="1" applyFill="1" applyBorder="1" applyAlignment="1">
      <alignment horizontal="center" vertical="center"/>
    </xf>
    <xf numFmtId="176" fontId="30" fillId="0" borderId="15" xfId="0" applyNumberFormat="1" applyFont="1" applyBorder="1" applyAlignment="1">
      <alignment horizontal="center" vertical="center" wrapText="1"/>
    </xf>
    <xf numFmtId="176" fontId="30" fillId="0" borderId="22" xfId="0" applyNumberFormat="1" applyFont="1" applyBorder="1" applyAlignment="1">
      <alignment horizontal="center" vertical="center" wrapText="1"/>
    </xf>
    <xf numFmtId="176" fontId="30" fillId="0" borderId="42" xfId="0" applyNumberFormat="1" applyFont="1" applyBorder="1" applyAlignment="1">
      <alignment horizontal="center" vertical="center" wrapText="1"/>
    </xf>
    <xf numFmtId="176" fontId="30" fillId="6" borderId="42" xfId="0" applyNumberFormat="1" applyFont="1" applyFill="1" applyBorder="1" applyAlignment="1">
      <alignment horizontal="center" vertical="center" wrapText="1"/>
    </xf>
    <xf numFmtId="176" fontId="30" fillId="0" borderId="42" xfId="0" applyNumberFormat="1" applyFont="1" applyBorder="1" applyAlignment="1">
      <alignment horizontal="center" vertical="center" shrinkToFit="1"/>
    </xf>
    <xf numFmtId="176" fontId="30" fillId="6" borderId="15" xfId="0" applyNumberFormat="1" applyFont="1" applyFill="1" applyBorder="1" applyAlignment="1">
      <alignment horizontal="center" vertical="center" wrapText="1"/>
    </xf>
    <xf numFmtId="0" fontId="23" fillId="0" borderId="15" xfId="0" applyFont="1" applyBorder="1" applyAlignment="1">
      <alignment vertical="center"/>
    </xf>
    <xf numFmtId="0" fontId="23" fillId="0" borderId="52" xfId="0" applyFont="1" applyBorder="1" applyAlignment="1">
      <alignment vertical="center"/>
    </xf>
    <xf numFmtId="0" fontId="23" fillId="0" borderId="51" xfId="0" applyFont="1" applyBorder="1" applyAlignment="1">
      <alignment vertical="center"/>
    </xf>
    <xf numFmtId="176" fontId="30" fillId="0" borderId="86" xfId="0" applyNumberFormat="1" applyFont="1" applyBorder="1" applyAlignment="1">
      <alignment horizontal="center" vertical="center"/>
    </xf>
    <xf numFmtId="176" fontId="30" fillId="5" borderId="87" xfId="0" applyNumberFormat="1" applyFont="1" applyFill="1" applyBorder="1" applyAlignment="1">
      <alignment horizontal="center" vertical="center"/>
    </xf>
    <xf numFmtId="176" fontId="30" fillId="0" borderId="87" xfId="0" applyNumberFormat="1" applyFont="1" applyBorder="1" applyAlignment="1">
      <alignment horizontal="center" vertical="center" wrapText="1"/>
    </xf>
    <xf numFmtId="176" fontId="26" fillId="0" borderId="88" xfId="0" applyNumberFormat="1" applyFont="1" applyBorder="1" applyAlignment="1">
      <alignment horizontal="center" vertical="center" wrapText="1"/>
    </xf>
    <xf numFmtId="176" fontId="30" fillId="0" borderId="87" xfId="0" applyNumberFormat="1" applyFont="1" applyBorder="1" applyAlignment="1">
      <alignment horizontal="center" vertical="center"/>
    </xf>
    <xf numFmtId="176" fontId="7" fillId="0" borderId="88" xfId="0" applyNumberFormat="1" applyFont="1" applyBorder="1" applyAlignment="1">
      <alignment horizontal="center" vertical="center" wrapText="1"/>
    </xf>
    <xf numFmtId="49" fontId="8" fillId="0" borderId="89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19" fillId="5" borderId="45" xfId="0" applyFont="1" applyFill="1" applyBorder="1" applyAlignment="1">
      <alignment vertical="center" wrapText="1"/>
    </xf>
    <xf numFmtId="0" fontId="16" fillId="0" borderId="45" xfId="0" applyFont="1" applyBorder="1" applyAlignment="1">
      <alignment vertical="center"/>
    </xf>
    <xf numFmtId="0" fontId="7" fillId="0" borderId="14" xfId="0" applyFont="1" applyBorder="1" applyAlignment="1">
      <alignment vertical="center" textRotation="255" wrapText="1"/>
    </xf>
    <xf numFmtId="0" fontId="7" fillId="0" borderId="35" xfId="0" applyFont="1" applyBorder="1" applyAlignment="1">
      <alignment horizontal="center" vertical="center" wrapText="1"/>
    </xf>
    <xf numFmtId="0" fontId="7" fillId="0" borderId="35" xfId="0" applyFont="1" applyBorder="1" applyAlignment="1">
      <alignment vertical="center" wrapText="1"/>
    </xf>
    <xf numFmtId="0" fontId="14" fillId="0" borderId="11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176" fontId="4" fillId="0" borderId="42" xfId="0" applyNumberFormat="1" applyFont="1" applyBorder="1" applyAlignment="1">
      <alignment horizontal="center" vertical="center"/>
    </xf>
    <xf numFmtId="176" fontId="4" fillId="0" borderId="15" xfId="0" applyNumberFormat="1" applyFont="1" applyBorder="1" applyAlignment="1">
      <alignment horizontal="center" vertical="center"/>
    </xf>
    <xf numFmtId="176" fontId="4" fillId="0" borderId="22" xfId="0" applyNumberFormat="1" applyFont="1" applyBorder="1" applyAlignment="1">
      <alignment horizontal="center" vertical="center"/>
    </xf>
    <xf numFmtId="0" fontId="7" fillId="0" borderId="5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3" fillId="0" borderId="92" xfId="0" applyFont="1" applyBorder="1" applyAlignment="1">
      <alignment horizontal="center" vertical="center"/>
    </xf>
    <xf numFmtId="176" fontId="13" fillId="0" borderId="81" xfId="0" applyNumberFormat="1" applyFont="1" applyBorder="1" applyAlignment="1">
      <alignment horizontal="center" vertical="center"/>
    </xf>
    <xf numFmtId="176" fontId="13" fillId="0" borderId="11" xfId="0" applyNumberFormat="1" applyFont="1" applyBorder="1" applyAlignment="1">
      <alignment horizontal="center" vertical="center"/>
    </xf>
    <xf numFmtId="176" fontId="13" fillId="0" borderId="82" xfId="0" applyNumberFormat="1" applyFont="1" applyBorder="1" applyAlignment="1">
      <alignment horizontal="center" vertical="center"/>
    </xf>
    <xf numFmtId="176" fontId="13" fillId="0" borderId="83" xfId="0" applyNumberFormat="1" applyFont="1" applyBorder="1" applyAlignment="1">
      <alignment horizontal="center" vertical="center"/>
    </xf>
    <xf numFmtId="176" fontId="13" fillId="0" borderId="93" xfId="0" applyNumberFormat="1" applyFont="1" applyBorder="1" applyAlignment="1">
      <alignment horizontal="center" vertical="center"/>
    </xf>
    <xf numFmtId="176" fontId="13" fillId="0" borderId="84" xfId="0" applyNumberFormat="1" applyFont="1" applyBorder="1" applyAlignment="1">
      <alignment horizontal="center" vertical="center"/>
    </xf>
    <xf numFmtId="176" fontId="13" fillId="0" borderId="80" xfId="0" applyNumberFormat="1" applyFont="1" applyBorder="1" applyAlignment="1">
      <alignment horizontal="center" vertical="center"/>
    </xf>
    <xf numFmtId="176" fontId="13" fillId="0" borderId="46" xfId="0" applyNumberFormat="1" applyFont="1" applyBorder="1" applyAlignment="1">
      <alignment horizontal="center" vertical="center"/>
    </xf>
    <xf numFmtId="49" fontId="13" fillId="0" borderId="94" xfId="0" applyNumberFormat="1" applyFont="1" applyBorder="1" applyAlignment="1">
      <alignment horizontal="center" vertical="center"/>
    </xf>
    <xf numFmtId="49" fontId="13" fillId="0" borderId="90" xfId="0" applyNumberFormat="1" applyFont="1" applyBorder="1" applyAlignment="1">
      <alignment horizontal="center" vertical="center"/>
    </xf>
    <xf numFmtId="177" fontId="15" fillId="0" borderId="11" xfId="0" applyNumberFormat="1" applyFont="1" applyBorder="1" applyAlignment="1">
      <alignment horizontal="center" vertical="center"/>
    </xf>
    <xf numFmtId="0" fontId="18" fillId="0" borderId="78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8" fillId="13" borderId="24" xfId="0" applyFont="1" applyFill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4" fillId="0" borderId="11" xfId="0" applyFont="1" applyBorder="1" applyAlignment="1">
      <alignment vertical="center"/>
    </xf>
    <xf numFmtId="14" fontId="15" fillId="0" borderId="11" xfId="0" applyNumberFormat="1" applyFont="1" applyBorder="1" applyAlignment="1">
      <alignment horizontal="center" vertical="center"/>
    </xf>
    <xf numFmtId="14" fontId="14" fillId="0" borderId="11" xfId="0" applyNumberFormat="1" applyFont="1" applyBorder="1" applyAlignment="1">
      <alignment vertical="center"/>
    </xf>
    <xf numFmtId="178" fontId="14" fillId="0" borderId="11" xfId="0" applyNumberFormat="1" applyFont="1" applyBorder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3" borderId="15" xfId="0" applyFont="1" applyFill="1" applyBorder="1" applyAlignment="1">
      <alignment horizontal="center" vertical="center"/>
    </xf>
    <xf numFmtId="0" fontId="13" fillId="9" borderId="20" xfId="0" applyFont="1" applyFill="1" applyBorder="1" applyAlignment="1">
      <alignment horizontal="center" vertical="center"/>
    </xf>
    <xf numFmtId="0" fontId="13" fillId="10" borderId="15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4" borderId="20" xfId="0" applyFont="1" applyFill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3" borderId="22" xfId="0" applyFont="1" applyFill="1" applyBorder="1" applyAlignment="1">
      <alignment horizontal="center" vertical="center"/>
    </xf>
    <xf numFmtId="0" fontId="13" fillId="9" borderId="23" xfId="0" applyFont="1" applyFill="1" applyBorder="1" applyAlignment="1">
      <alignment horizontal="center" vertical="center"/>
    </xf>
    <xf numFmtId="0" fontId="13" fillId="0" borderId="45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76" fontId="13" fillId="0" borderId="79" xfId="0" applyNumberFormat="1" applyFont="1" applyBorder="1" applyAlignment="1">
      <alignment horizontal="center" vertical="center"/>
    </xf>
    <xf numFmtId="176" fontId="13" fillId="0" borderId="92" xfId="0" applyNumberFormat="1" applyFont="1" applyBorder="1" applyAlignment="1">
      <alignment horizontal="center" vertical="center"/>
    </xf>
    <xf numFmtId="179" fontId="13" fillId="0" borderId="45" xfId="0" applyNumberFormat="1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 wrapText="1"/>
    </xf>
    <xf numFmtId="0" fontId="24" fillId="0" borderId="45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8" fillId="0" borderId="45" xfId="0" applyFont="1" applyBorder="1" applyAlignment="1">
      <alignment horizontal="left" vertical="center" shrinkToFit="1"/>
    </xf>
    <xf numFmtId="0" fontId="8" fillId="0" borderId="52" xfId="0" applyFont="1" applyBorder="1" applyAlignment="1">
      <alignment horizontal="left" vertical="center" shrinkToFit="1"/>
    </xf>
    <xf numFmtId="14" fontId="13" fillId="0" borderId="0" xfId="0" applyNumberFormat="1" applyFont="1" applyAlignment="1">
      <alignment horizontal="center" vertical="center"/>
    </xf>
    <xf numFmtId="14" fontId="36" fillId="0" borderId="0" xfId="0" applyNumberFormat="1" applyFont="1" applyAlignment="1">
      <alignment horizontal="center" vertical="center"/>
    </xf>
    <xf numFmtId="14" fontId="13" fillId="0" borderId="45" xfId="0" applyNumberFormat="1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4" fontId="37" fillId="16" borderId="45" xfId="0" applyNumberFormat="1" applyFont="1" applyFill="1" applyBorder="1" applyAlignment="1">
      <alignment horizontal="center" vertical="center"/>
    </xf>
    <xf numFmtId="0" fontId="8" fillId="0" borderId="12" xfId="0" applyFont="1" applyBorder="1" applyAlignment="1">
      <alignment horizontal="left" vertical="center" shrinkToFit="1"/>
    </xf>
    <xf numFmtId="0" fontId="8" fillId="0" borderId="13" xfId="0" applyFont="1" applyBorder="1" applyAlignment="1">
      <alignment horizontal="left" vertical="center" shrinkToFit="1"/>
    </xf>
    <xf numFmtId="0" fontId="15" fillId="0" borderId="45" xfId="0" applyFont="1" applyBorder="1" applyAlignment="1">
      <alignment horizontal="center" vertical="center"/>
    </xf>
    <xf numFmtId="0" fontId="38" fillId="0" borderId="15" xfId="0" applyFont="1" applyBorder="1" applyAlignment="1">
      <alignment horizontal="center" vertical="center" wrapText="1"/>
    </xf>
    <xf numFmtId="0" fontId="38" fillId="5" borderId="15" xfId="0" applyFont="1" applyFill="1" applyBorder="1" applyAlignment="1">
      <alignment horizontal="center" vertical="center" wrapText="1"/>
    </xf>
    <xf numFmtId="0" fontId="39" fillId="0" borderId="15" xfId="0" applyFont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38" fillId="0" borderId="15" xfId="0" applyFont="1" applyBorder="1" applyAlignment="1">
      <alignment horizontal="center" vertical="distributed" wrapText="1"/>
    </xf>
    <xf numFmtId="0" fontId="38" fillId="5" borderId="15" xfId="0" applyFont="1" applyFill="1" applyBorder="1" applyAlignment="1">
      <alignment horizontal="center" vertical="distributed" textRotation="255" wrapText="1"/>
    </xf>
    <xf numFmtId="0" fontId="42" fillId="0" borderId="15" xfId="0" applyFont="1" applyBorder="1" applyAlignment="1">
      <alignment horizontal="center" vertical="distributed" wrapText="1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5" fillId="0" borderId="45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23" fillId="0" borderId="45" xfId="0" applyFont="1" applyBorder="1" applyAlignment="1">
      <alignment horizontal="center" vertical="center"/>
    </xf>
    <xf numFmtId="0" fontId="47" fillId="0" borderId="15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7" fillId="0" borderId="42" xfId="0" applyFont="1" applyBorder="1" applyAlignment="1">
      <alignment horizontal="center" vertical="center"/>
    </xf>
    <xf numFmtId="0" fontId="47" fillId="6" borderId="9" xfId="0" applyFont="1" applyFill="1" applyBorder="1" applyAlignment="1">
      <alignment horizontal="center" vertical="center"/>
    </xf>
    <xf numFmtId="0" fontId="47" fillId="6" borderId="42" xfId="0" applyFont="1" applyFill="1" applyBorder="1" applyAlignment="1">
      <alignment horizontal="center" vertical="center"/>
    </xf>
    <xf numFmtId="0" fontId="47" fillId="6" borderId="15" xfId="0" applyFont="1" applyFill="1" applyBorder="1" applyAlignment="1">
      <alignment horizontal="center" vertical="center"/>
    </xf>
    <xf numFmtId="0" fontId="47" fillId="7" borderId="15" xfId="0" applyFont="1" applyFill="1" applyBorder="1" applyAlignment="1">
      <alignment horizontal="center" vertical="center"/>
    </xf>
    <xf numFmtId="0" fontId="47" fillId="6" borderId="14" xfId="0" applyFont="1" applyFill="1" applyBorder="1" applyAlignment="1">
      <alignment horizontal="center" vertical="center"/>
    </xf>
    <xf numFmtId="0" fontId="48" fillId="0" borderId="15" xfId="0" applyFont="1" applyBorder="1" applyAlignment="1">
      <alignment horizontal="center" vertical="center"/>
    </xf>
    <xf numFmtId="176" fontId="13" fillId="0" borderId="94" xfId="0" applyNumberFormat="1" applyFont="1" applyBorder="1" applyAlignment="1">
      <alignment horizontal="center" vertical="center"/>
    </xf>
    <xf numFmtId="176" fontId="13" fillId="0" borderId="90" xfId="0" applyNumberFormat="1" applyFont="1" applyBorder="1" applyAlignment="1">
      <alignment horizontal="center" vertical="center"/>
    </xf>
    <xf numFmtId="0" fontId="13" fillId="0" borderId="65" xfId="0" applyFont="1" applyBorder="1" applyAlignment="1">
      <alignment horizontal="center" vertical="center"/>
    </xf>
    <xf numFmtId="0" fontId="13" fillId="0" borderId="95" xfId="0" applyFont="1" applyBorder="1" applyAlignment="1">
      <alignment horizontal="center" vertical="center"/>
    </xf>
    <xf numFmtId="0" fontId="13" fillId="0" borderId="96" xfId="0" applyFont="1" applyBorder="1" applyAlignment="1">
      <alignment horizontal="center" vertical="center"/>
    </xf>
    <xf numFmtId="0" fontId="13" fillId="0" borderId="97" xfId="0" applyFont="1" applyBorder="1" applyAlignment="1">
      <alignment horizontal="center" vertical="center"/>
    </xf>
    <xf numFmtId="176" fontId="13" fillId="0" borderId="96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11" xfId="2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176" fontId="30" fillId="5" borderId="53" xfId="0" applyNumberFormat="1" applyFont="1" applyFill="1" applyBorder="1" applyAlignment="1">
      <alignment horizontal="center" vertical="center"/>
    </xf>
    <xf numFmtId="49" fontId="13" fillId="0" borderId="0" xfId="0" applyNumberFormat="1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13" fillId="0" borderId="0" xfId="0" applyFont="1" applyFill="1" applyAlignment="1">
      <alignment horizontal="center" vertical="center"/>
    </xf>
    <xf numFmtId="0" fontId="13" fillId="0" borderId="10" xfId="0" applyFont="1" applyFill="1" applyBorder="1" applyAlignment="1">
      <alignment horizontal="center" vertical="center"/>
    </xf>
    <xf numFmtId="49" fontId="13" fillId="0" borderId="10" xfId="0" applyNumberFormat="1" applyFont="1" applyFill="1" applyBorder="1" applyAlignment="1">
      <alignment horizontal="center" vertical="center" wrapText="1"/>
    </xf>
    <xf numFmtId="0" fontId="13" fillId="0" borderId="10" xfId="0" applyFont="1" applyFill="1" applyBorder="1" applyAlignment="1">
      <alignment horizontal="center" vertical="center" wrapText="1"/>
    </xf>
    <xf numFmtId="0" fontId="13" fillId="0" borderId="0" xfId="0" applyFont="1" applyFill="1" applyAlignment="1">
      <alignment horizontal="center" vertical="center" wrapText="1"/>
    </xf>
    <xf numFmtId="49" fontId="13" fillId="0" borderId="0" xfId="0" applyNumberFormat="1" applyFont="1" applyFill="1" applyAlignment="1">
      <alignment horizontal="center" vertical="center" wrapText="1"/>
    </xf>
    <xf numFmtId="0" fontId="8" fillId="0" borderId="12" xfId="0" applyFont="1" applyBorder="1" applyAlignment="1">
      <alignment horizontal="left" vertical="center" shrinkToFit="1"/>
    </xf>
    <xf numFmtId="0" fontId="8" fillId="0" borderId="13" xfId="0" applyFont="1" applyBorder="1" applyAlignment="1">
      <alignment horizontal="left" vertical="center" shrinkToFit="1"/>
    </xf>
    <xf numFmtId="176" fontId="50" fillId="0" borderId="15" xfId="0" applyNumberFormat="1" applyFont="1" applyBorder="1" applyAlignment="1">
      <alignment horizontal="center" vertical="center"/>
    </xf>
    <xf numFmtId="176" fontId="50" fillId="0" borderId="53" xfId="0" applyNumberFormat="1" applyFont="1" applyBorder="1" applyAlignment="1">
      <alignment horizontal="center" vertical="center"/>
    </xf>
    <xf numFmtId="176" fontId="50" fillId="0" borderId="42" xfId="0" applyNumberFormat="1" applyFont="1" applyBorder="1" applyAlignment="1">
      <alignment horizontal="center" vertical="center"/>
    </xf>
    <xf numFmtId="0" fontId="53" fillId="0" borderId="0" xfId="0" applyFont="1" applyAlignment="1">
      <alignment horizontal="left" vertical="center" shrinkToFit="1"/>
    </xf>
    <xf numFmtId="0" fontId="52" fillId="0" borderId="0" xfId="0" applyFont="1" applyAlignment="1">
      <alignment vertical="center"/>
    </xf>
    <xf numFmtId="176" fontId="25" fillId="0" borderId="15" xfId="0" applyNumberFormat="1" applyFont="1" applyBorder="1" applyAlignment="1">
      <alignment horizontal="center" vertical="center"/>
    </xf>
    <xf numFmtId="176" fontId="14" fillId="0" borderId="22" xfId="0" applyNumberFormat="1" applyFont="1" applyBorder="1" applyAlignment="1">
      <alignment horizontal="center" vertical="center" wrapText="1"/>
    </xf>
    <xf numFmtId="176" fontId="30" fillId="0" borderId="35" xfId="0" applyNumberFormat="1" applyFont="1" applyBorder="1" applyAlignment="1">
      <alignment horizontal="center" vertical="center" wrapText="1"/>
    </xf>
    <xf numFmtId="176" fontId="30" fillId="0" borderId="98" xfId="0" applyNumberFormat="1" applyFont="1" applyBorder="1" applyAlignment="1">
      <alignment horizontal="center" vertical="center" wrapText="1"/>
    </xf>
    <xf numFmtId="176" fontId="30" fillId="6" borderId="22" xfId="0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176" fontId="30" fillId="0" borderId="12" xfId="0" applyNumberFormat="1" applyFont="1" applyBorder="1" applyAlignment="1">
      <alignment horizontal="center" vertical="center" wrapText="1"/>
    </xf>
    <xf numFmtId="176" fontId="14" fillId="0" borderId="88" xfId="0" applyNumberFormat="1" applyFont="1" applyBorder="1" applyAlignment="1">
      <alignment horizontal="center" vertical="center" wrapText="1"/>
    </xf>
    <xf numFmtId="176" fontId="30" fillId="0" borderId="5" xfId="0" applyNumberFormat="1" applyFont="1" applyBorder="1" applyAlignment="1">
      <alignment horizontal="center" vertical="center" wrapText="1"/>
    </xf>
    <xf numFmtId="176" fontId="30" fillId="0" borderId="100" xfId="0" applyNumberFormat="1" applyFont="1" applyBorder="1" applyAlignment="1">
      <alignment horizontal="center" vertical="center" wrapText="1"/>
    </xf>
    <xf numFmtId="176" fontId="30" fillId="6" borderId="7" xfId="0" applyNumberFormat="1" applyFont="1" applyFill="1" applyBorder="1" applyAlignment="1">
      <alignment horizontal="center" vertical="center" wrapText="1"/>
    </xf>
    <xf numFmtId="176" fontId="30" fillId="0" borderId="14" xfId="0" applyNumberFormat="1" applyFont="1" applyBorder="1" applyAlignment="1">
      <alignment horizontal="center" vertical="center" wrapText="1"/>
    </xf>
    <xf numFmtId="176" fontId="30" fillId="0" borderId="9" xfId="0" applyNumberFormat="1" applyFont="1" applyBorder="1" applyAlignment="1">
      <alignment horizontal="center" vertical="center" wrapText="1"/>
    </xf>
    <xf numFmtId="176" fontId="30" fillId="0" borderId="9" xfId="0" applyNumberFormat="1" applyFont="1" applyBorder="1" applyAlignment="1">
      <alignment horizontal="center" vertical="center" shrinkToFit="1"/>
    </xf>
    <xf numFmtId="176" fontId="30" fillId="0" borderId="45" xfId="0" applyNumberFormat="1" applyFont="1" applyBorder="1" applyAlignment="1">
      <alignment horizontal="center" vertical="center" wrapText="1"/>
    </xf>
    <xf numFmtId="176" fontId="30" fillId="6" borderId="45" xfId="0" applyNumberFormat="1" applyFont="1" applyFill="1" applyBorder="1" applyAlignment="1">
      <alignment horizontal="center" vertical="center" wrapText="1"/>
    </xf>
    <xf numFmtId="176" fontId="30" fillId="17" borderId="15" xfId="0" applyNumberFormat="1" applyFont="1" applyFill="1" applyBorder="1" applyAlignment="1">
      <alignment horizontal="center" vertical="center" wrapText="1"/>
    </xf>
    <xf numFmtId="176" fontId="4" fillId="17" borderId="15" xfId="0" applyNumberFormat="1" applyFont="1" applyFill="1" applyBorder="1" applyAlignment="1">
      <alignment horizontal="center" vertical="center"/>
    </xf>
    <xf numFmtId="176" fontId="30" fillId="17" borderId="22" xfId="0" applyNumberFormat="1" applyFont="1" applyFill="1" applyBorder="1" applyAlignment="1">
      <alignment horizontal="center" vertical="center" wrapText="1"/>
    </xf>
    <xf numFmtId="176" fontId="4" fillId="17" borderId="22" xfId="0" applyNumberFormat="1" applyFont="1" applyFill="1" applyBorder="1" applyAlignment="1">
      <alignment horizontal="center" vertical="center"/>
    </xf>
    <xf numFmtId="176" fontId="30" fillId="17" borderId="42" xfId="0" applyNumberFormat="1" applyFont="1" applyFill="1" applyBorder="1" applyAlignment="1">
      <alignment horizontal="center" vertical="center" wrapText="1"/>
    </xf>
    <xf numFmtId="176" fontId="4" fillId="17" borderId="42" xfId="0" applyNumberFormat="1" applyFont="1" applyFill="1" applyBorder="1" applyAlignment="1">
      <alignment horizontal="center" vertical="center"/>
    </xf>
    <xf numFmtId="176" fontId="30" fillId="17" borderId="87" xfId="0" applyNumberFormat="1" applyFont="1" applyFill="1" applyBorder="1" applyAlignment="1">
      <alignment horizontal="center" vertical="center" wrapText="1"/>
    </xf>
    <xf numFmtId="176" fontId="30" fillId="17" borderId="42" xfId="0" applyNumberFormat="1" applyFont="1" applyFill="1" applyBorder="1" applyAlignment="1">
      <alignment horizontal="center" vertical="center" shrinkToFit="1"/>
    </xf>
    <xf numFmtId="176" fontId="30" fillId="18" borderId="42" xfId="0" applyNumberFormat="1" applyFont="1" applyFill="1" applyBorder="1" applyAlignment="1">
      <alignment horizontal="center" vertical="center" wrapText="1"/>
    </xf>
    <xf numFmtId="176" fontId="30" fillId="18" borderId="15" xfId="0" applyNumberFormat="1" applyFont="1" applyFill="1" applyBorder="1" applyAlignment="1">
      <alignment horizontal="center" vertical="center" wrapText="1"/>
    </xf>
    <xf numFmtId="176" fontId="30" fillId="18" borderId="22" xfId="0" applyNumberFormat="1" applyFont="1" applyFill="1" applyBorder="1" applyAlignment="1">
      <alignment horizontal="center" vertical="center" wrapText="1"/>
    </xf>
    <xf numFmtId="176" fontId="30" fillId="0" borderId="90" xfId="0" applyNumberFormat="1" applyFont="1" applyBorder="1" applyAlignment="1">
      <alignment horizontal="center" vertical="center" wrapText="1"/>
    </xf>
    <xf numFmtId="176" fontId="30" fillId="6" borderId="103" xfId="0" applyNumberFormat="1" applyFont="1" applyFill="1" applyBorder="1" applyAlignment="1">
      <alignment horizontal="center" vertical="center" wrapText="1"/>
    </xf>
    <xf numFmtId="176" fontId="30" fillId="6" borderId="90" xfId="0" applyNumberFormat="1" applyFont="1" applyFill="1" applyBorder="1" applyAlignment="1">
      <alignment horizontal="center" vertical="center" wrapText="1"/>
    </xf>
    <xf numFmtId="176" fontId="30" fillId="0" borderId="103" xfId="0" applyNumberFormat="1" applyFont="1" applyBorder="1" applyAlignment="1">
      <alignment horizontal="center" vertical="center" wrapText="1"/>
    </xf>
    <xf numFmtId="176" fontId="30" fillId="0" borderId="40" xfId="0" applyNumberFormat="1" applyFont="1" applyBorder="1" applyAlignment="1">
      <alignment horizontal="center" vertical="center" wrapText="1"/>
    </xf>
    <xf numFmtId="176" fontId="30" fillId="0" borderId="40" xfId="0" applyNumberFormat="1" applyFont="1" applyBorder="1" applyAlignment="1">
      <alignment horizontal="center" vertical="center" wrapText="1"/>
    </xf>
    <xf numFmtId="176" fontId="30" fillId="0" borderId="45" xfId="0" applyNumberFormat="1" applyFont="1" applyBorder="1" applyAlignment="1">
      <alignment vertical="center" wrapText="1"/>
    </xf>
    <xf numFmtId="176" fontId="30" fillId="0" borderId="80" xfId="0" applyNumberFormat="1" applyFont="1" applyBorder="1" applyAlignment="1">
      <alignment horizontal="center" vertical="center" wrapText="1"/>
    </xf>
    <xf numFmtId="176" fontId="30" fillId="6" borderId="45" xfId="0" applyNumberFormat="1" applyFont="1" applyFill="1" applyBorder="1" applyAlignment="1">
      <alignment vertical="center" wrapText="1"/>
    </xf>
    <xf numFmtId="176" fontId="8" fillId="17" borderId="15" xfId="0" applyNumberFormat="1" applyFont="1" applyFill="1" applyBorder="1" applyAlignment="1">
      <alignment horizontal="center" vertical="center" wrapText="1"/>
    </xf>
    <xf numFmtId="176" fontId="30" fillId="0" borderId="61" xfId="0" applyNumberFormat="1" applyFont="1" applyBorder="1" applyAlignment="1">
      <alignment horizontal="center" vertical="center"/>
    </xf>
    <xf numFmtId="176" fontId="30" fillId="0" borderId="7" xfId="0" applyNumberFormat="1" applyFont="1" applyBorder="1" applyAlignment="1">
      <alignment horizontal="center" vertical="center" shrinkToFit="1"/>
    </xf>
    <xf numFmtId="176" fontId="4" fillId="0" borderId="9" xfId="0" applyNumberFormat="1" applyFont="1" applyBorder="1" applyAlignment="1">
      <alignment horizontal="center" vertical="center"/>
    </xf>
    <xf numFmtId="176" fontId="4" fillId="0" borderId="14" xfId="0" applyNumberFormat="1" applyFont="1" applyBorder="1" applyAlignment="1">
      <alignment horizontal="center" vertical="center"/>
    </xf>
    <xf numFmtId="176" fontId="30" fillId="0" borderId="88" xfId="0" applyNumberFormat="1" applyFont="1" applyBorder="1" applyAlignment="1">
      <alignment horizontal="center" vertical="center" wrapText="1"/>
    </xf>
    <xf numFmtId="176" fontId="4" fillId="0" borderId="87" xfId="0" applyNumberFormat="1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176" fontId="30" fillId="0" borderId="9" xfId="0" applyNumberFormat="1" applyFont="1" applyBorder="1" applyAlignment="1">
      <alignment horizontal="center" vertical="center" wrapText="1"/>
    </xf>
    <xf numFmtId="176" fontId="30" fillId="0" borderId="2" xfId="0" applyNumberFormat="1" applyFont="1" applyBorder="1" applyAlignment="1">
      <alignment horizontal="center" vertical="center" wrapText="1"/>
    </xf>
    <xf numFmtId="176" fontId="30" fillId="0" borderId="65" xfId="0" applyNumberFormat="1" applyFont="1" applyBorder="1" applyAlignment="1">
      <alignment horizontal="center" vertical="center" wrapText="1"/>
    </xf>
    <xf numFmtId="176" fontId="30" fillId="6" borderId="9" xfId="0" applyNumberFormat="1" applyFont="1" applyFill="1" applyBorder="1" applyAlignment="1">
      <alignment horizontal="center" vertical="center" wrapText="1"/>
    </xf>
    <xf numFmtId="176" fontId="30" fillId="6" borderId="14" xfId="0" applyNumberFormat="1" applyFont="1" applyFill="1" applyBorder="1" applyAlignment="1">
      <alignment horizontal="center" vertical="center" wrapText="1"/>
    </xf>
    <xf numFmtId="176" fontId="30" fillId="6" borderId="87" xfId="0" applyNumberFormat="1" applyFont="1" applyFill="1" applyBorder="1" applyAlignment="1">
      <alignment horizontal="center" vertical="center" wrapText="1"/>
    </xf>
    <xf numFmtId="176" fontId="4" fillId="17" borderId="15" xfId="0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176" fontId="30" fillId="0" borderId="42" xfId="0" applyNumberFormat="1" applyFont="1" applyBorder="1" applyAlignment="1">
      <alignment horizontal="center" vertical="center" wrapText="1"/>
    </xf>
    <xf numFmtId="176" fontId="30" fillId="0" borderId="42" xfId="0" applyNumberFormat="1" applyFont="1" applyBorder="1" applyAlignment="1">
      <alignment horizontal="center" vertical="center" shrinkToFit="1"/>
    </xf>
    <xf numFmtId="0" fontId="7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40" fillId="0" borderId="12" xfId="0" applyFont="1" applyBorder="1" applyAlignment="1">
      <alignment horizontal="center" vertical="center" wrapText="1"/>
    </xf>
    <xf numFmtId="0" fontId="41" fillId="0" borderId="13" xfId="0" applyFont="1" applyBorder="1" applyAlignment="1">
      <alignment horizontal="center" vertical="center"/>
    </xf>
    <xf numFmtId="0" fontId="41" fillId="0" borderId="14" xfId="0" applyFont="1" applyBorder="1" applyAlignment="1">
      <alignment horizontal="center" vertical="center"/>
    </xf>
    <xf numFmtId="0" fontId="45" fillId="0" borderId="45" xfId="0" applyFont="1" applyBorder="1" applyAlignment="1">
      <alignment horizontal="center" vertical="center"/>
    </xf>
    <xf numFmtId="176" fontId="30" fillId="0" borderId="40" xfId="0" applyNumberFormat="1" applyFont="1" applyBorder="1" applyAlignment="1">
      <alignment horizontal="center" vertical="center" wrapText="1"/>
    </xf>
    <xf numFmtId="176" fontId="30" fillId="0" borderId="38" xfId="0" applyNumberFormat="1" applyFont="1" applyBorder="1" applyAlignment="1">
      <alignment horizontal="center" vertical="center" wrapText="1"/>
    </xf>
    <xf numFmtId="176" fontId="30" fillId="6" borderId="40" xfId="0" applyNumberFormat="1" applyFont="1" applyFill="1" applyBorder="1" applyAlignment="1">
      <alignment horizontal="center" vertical="center" wrapText="1"/>
    </xf>
    <xf numFmtId="176" fontId="30" fillId="6" borderId="38" xfId="0" applyNumberFormat="1" applyFont="1" applyFill="1" applyBorder="1" applyAlignment="1">
      <alignment horizontal="center" vertical="center" wrapText="1"/>
    </xf>
    <xf numFmtId="176" fontId="27" fillId="0" borderId="40" xfId="0" applyNumberFormat="1" applyFont="1" applyBorder="1" applyAlignment="1">
      <alignment horizontal="center" vertical="center" wrapText="1"/>
    </xf>
    <xf numFmtId="0" fontId="28" fillId="0" borderId="42" xfId="0" applyFont="1" applyBorder="1" applyAlignment="1">
      <alignment vertical="center"/>
    </xf>
    <xf numFmtId="0" fontId="11" fillId="0" borderId="44" xfId="1" applyFont="1" applyBorder="1" applyAlignment="1">
      <alignment horizontal="distributed" vertical="center" wrapText="1"/>
    </xf>
    <xf numFmtId="0" fontId="11" fillId="0" borderId="44" xfId="1" applyFont="1" applyBorder="1" applyAlignment="1">
      <alignment horizontal="distributed" vertical="center"/>
    </xf>
    <xf numFmtId="0" fontId="11" fillId="0" borderId="90" xfId="1" applyFont="1" applyBorder="1" applyAlignment="1">
      <alignment horizontal="distributed" vertical="center"/>
    </xf>
    <xf numFmtId="0" fontId="11" fillId="0" borderId="64" xfId="1" applyFont="1" applyBorder="1" applyAlignment="1">
      <alignment horizontal="distributed" vertical="center"/>
    </xf>
    <xf numFmtId="0" fontId="11" fillId="0" borderId="45" xfId="1" applyFont="1" applyBorder="1" applyAlignment="1">
      <alignment horizontal="distributed" vertical="center" wrapText="1"/>
    </xf>
    <xf numFmtId="0" fontId="11" fillId="0" borderId="46" xfId="1" applyFont="1" applyBorder="1" applyAlignment="1">
      <alignment horizontal="distributed" vertical="center" wrapText="1"/>
    </xf>
    <xf numFmtId="0" fontId="11" fillId="0" borderId="65" xfId="1" applyFont="1" applyBorder="1" applyAlignment="1">
      <alignment horizontal="distributed" vertical="center" wrapText="1"/>
    </xf>
    <xf numFmtId="0" fontId="8" fillId="0" borderId="12" xfId="0" applyFont="1" applyBorder="1" applyAlignment="1">
      <alignment horizontal="left" vertical="center" shrinkToFit="1"/>
    </xf>
    <xf numFmtId="0" fontId="8" fillId="0" borderId="3" xfId="0" applyFont="1" applyBorder="1" applyAlignment="1">
      <alignment horizontal="left" vertical="center" shrinkToFit="1"/>
    </xf>
    <xf numFmtId="0" fontId="8" fillId="0" borderId="14" xfId="0" applyFont="1" applyBorder="1" applyAlignment="1">
      <alignment horizontal="left" vertical="center" shrinkToFit="1"/>
    </xf>
    <xf numFmtId="0" fontId="8" fillId="0" borderId="2" xfId="0" applyFont="1" applyBorder="1" applyAlignment="1">
      <alignment horizontal="left" vertical="center" shrinkToFit="1"/>
    </xf>
    <xf numFmtId="0" fontId="35" fillId="0" borderId="13" xfId="0" applyFont="1" applyBorder="1" applyAlignment="1">
      <alignment horizontal="left" vertical="center" shrinkToFit="1"/>
    </xf>
    <xf numFmtId="0" fontId="35" fillId="0" borderId="58" xfId="0" applyFont="1" applyBorder="1" applyAlignment="1">
      <alignment horizontal="left" vertical="center" shrinkToFit="1"/>
    </xf>
    <xf numFmtId="176" fontId="4" fillId="0" borderId="40" xfId="0" applyNumberFormat="1" applyFont="1" applyBorder="1" applyAlignment="1">
      <alignment horizontal="center" vertical="center" wrapText="1"/>
    </xf>
    <xf numFmtId="0" fontId="16" fillId="0" borderId="35" xfId="0" applyFont="1" applyBorder="1" applyAlignment="1">
      <alignment vertical="center"/>
    </xf>
    <xf numFmtId="0" fontId="16" fillId="0" borderId="42" xfId="0" applyFont="1" applyBorder="1" applyAlignment="1">
      <alignment vertical="center"/>
    </xf>
    <xf numFmtId="0" fontId="28" fillId="0" borderId="35" xfId="0" applyFont="1" applyBorder="1" applyAlignment="1">
      <alignment vertical="center"/>
    </xf>
    <xf numFmtId="0" fontId="28" fillId="0" borderId="38" xfId="0" applyFont="1" applyBorder="1" applyAlignment="1">
      <alignment vertical="center"/>
    </xf>
    <xf numFmtId="176" fontId="27" fillId="0" borderId="35" xfId="0" applyNumberFormat="1" applyFont="1" applyBorder="1" applyAlignment="1">
      <alignment horizontal="center" vertical="center" wrapText="1"/>
    </xf>
    <xf numFmtId="0" fontId="4" fillId="0" borderId="57" xfId="0" applyFont="1" applyBorder="1" applyAlignment="1">
      <alignment horizontal="center" vertical="center" wrapText="1"/>
    </xf>
    <xf numFmtId="0" fontId="16" fillId="0" borderId="56" xfId="0" applyFont="1" applyBorder="1" applyAlignment="1">
      <alignment vertical="center"/>
    </xf>
    <xf numFmtId="0" fontId="8" fillId="0" borderId="12" xfId="0" applyFont="1" applyBorder="1" applyAlignment="1">
      <alignment horizontal="left" vertical="center" wrapText="1"/>
    </xf>
    <xf numFmtId="0" fontId="35" fillId="0" borderId="8" xfId="0" applyFont="1" applyBorder="1" applyAlignment="1">
      <alignment vertical="center"/>
    </xf>
    <xf numFmtId="0" fontId="35" fillId="0" borderId="13" xfId="0" applyFont="1" applyBorder="1" applyAlignment="1">
      <alignment vertical="center"/>
    </xf>
    <xf numFmtId="0" fontId="35" fillId="0" borderId="58" xfId="0" applyFont="1" applyBorder="1" applyAlignment="1">
      <alignment vertical="center"/>
    </xf>
    <xf numFmtId="0" fontId="4" fillId="0" borderId="71" xfId="0" applyFont="1" applyBorder="1" applyAlignment="1">
      <alignment horizontal="center" vertical="center" wrapText="1"/>
    </xf>
    <xf numFmtId="0" fontId="16" fillId="0" borderId="13" xfId="0" applyFont="1" applyBorder="1" applyAlignment="1">
      <alignment vertical="center"/>
    </xf>
    <xf numFmtId="0" fontId="16" fillId="0" borderId="58" xfId="0" applyFont="1" applyBorder="1" applyAlignment="1">
      <alignment vertical="center"/>
    </xf>
    <xf numFmtId="0" fontId="4" fillId="0" borderId="12" xfId="0" applyFont="1" applyBorder="1" applyAlignment="1">
      <alignment horizontal="center" vertical="center" wrapText="1"/>
    </xf>
    <xf numFmtId="0" fontId="16" fillId="0" borderId="14" xfId="0" applyFont="1" applyBorder="1" applyAlignment="1">
      <alignment vertical="center"/>
    </xf>
    <xf numFmtId="0" fontId="7" fillId="0" borderId="71" xfId="0" applyFont="1" applyBorder="1" applyAlignment="1">
      <alignment horizontal="center" vertical="top" wrapText="1"/>
    </xf>
    <xf numFmtId="0" fontId="7" fillId="0" borderId="12" xfId="0" applyFont="1" applyBorder="1" applyAlignment="1">
      <alignment horizontal="center" vertical="center" wrapText="1"/>
    </xf>
    <xf numFmtId="0" fontId="7" fillId="0" borderId="71" xfId="0" applyFont="1" applyBorder="1" applyAlignment="1">
      <alignment vertical="center" wrapText="1"/>
    </xf>
    <xf numFmtId="0" fontId="4" fillId="0" borderId="30" xfId="0" applyFont="1" applyBorder="1" applyAlignment="1">
      <alignment horizontal="center" vertical="center" wrapText="1"/>
    </xf>
    <xf numFmtId="0" fontId="16" fillId="0" borderId="27" xfId="0" applyFont="1" applyBorder="1" applyAlignment="1">
      <alignment vertical="center"/>
    </xf>
    <xf numFmtId="0" fontId="16" fillId="0" borderId="31" xfId="0" applyFont="1" applyBorder="1" applyAlignment="1">
      <alignment vertical="center"/>
    </xf>
    <xf numFmtId="0" fontId="24" fillId="0" borderId="12" xfId="0" applyFont="1" applyBorder="1" applyAlignment="1">
      <alignment horizontal="center" vertical="center" wrapText="1"/>
    </xf>
    <xf numFmtId="0" fontId="32" fillId="0" borderId="14" xfId="0" applyFont="1" applyBorder="1" applyAlignment="1">
      <alignment vertical="center" wrapText="1"/>
    </xf>
    <xf numFmtId="0" fontId="32" fillId="0" borderId="14" xfId="0" applyFont="1" applyBorder="1" applyAlignment="1">
      <alignment vertical="center"/>
    </xf>
    <xf numFmtId="0" fontId="19" fillId="5" borderId="61" xfId="0" applyFont="1" applyFill="1" applyBorder="1" applyAlignment="1">
      <alignment horizontal="center" vertical="center" wrapText="1"/>
    </xf>
    <xf numFmtId="0" fontId="16" fillId="0" borderId="62" xfId="0" applyFont="1" applyBorder="1" applyAlignment="1">
      <alignment vertical="center"/>
    </xf>
    <xf numFmtId="0" fontId="16" fillId="0" borderId="85" xfId="0" applyFont="1" applyBorder="1" applyAlignment="1">
      <alignment vertical="center"/>
    </xf>
    <xf numFmtId="0" fontId="4" fillId="0" borderId="29" xfId="0" applyFont="1" applyBorder="1" applyAlignment="1">
      <alignment horizontal="center" vertical="center" textRotation="255" wrapText="1"/>
    </xf>
    <xf numFmtId="0" fontId="33" fillId="0" borderId="35" xfId="0" applyFont="1" applyBorder="1" applyAlignment="1">
      <alignment vertical="center"/>
    </xf>
    <xf numFmtId="0" fontId="19" fillId="5" borderId="12" xfId="0" applyFont="1" applyFill="1" applyBorder="1" applyAlignment="1">
      <alignment horizontal="center" vertical="center" wrapText="1"/>
    </xf>
    <xf numFmtId="0" fontId="19" fillId="5" borderId="2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7" fillId="0" borderId="12" xfId="0" applyFont="1" applyBorder="1" applyAlignment="1">
      <alignment vertical="center" wrapText="1"/>
    </xf>
    <xf numFmtId="0" fontId="7" fillId="0" borderId="71" xfId="0" applyFont="1" applyBorder="1" applyAlignment="1">
      <alignment horizontal="center" vertical="center" wrapText="1"/>
    </xf>
    <xf numFmtId="0" fontId="4" fillId="0" borderId="57" xfId="0" applyFont="1" applyBorder="1" applyAlignment="1">
      <alignment horizontal="center" vertical="center"/>
    </xf>
    <xf numFmtId="0" fontId="34" fillId="0" borderId="59" xfId="0" applyFont="1" applyBorder="1" applyAlignment="1">
      <alignment vertical="center"/>
    </xf>
    <xf numFmtId="0" fontId="34" fillId="0" borderId="60" xfId="0" applyFont="1" applyBorder="1" applyAlignment="1">
      <alignment vertical="center"/>
    </xf>
    <xf numFmtId="0" fontId="4" fillId="0" borderId="12" xfId="0" applyFont="1" applyBorder="1" applyAlignment="1">
      <alignment horizontal="left" vertical="center"/>
    </xf>
    <xf numFmtId="0" fontId="33" fillId="0" borderId="13" xfId="0" applyFont="1" applyBorder="1" applyAlignment="1">
      <alignment vertical="center"/>
    </xf>
    <xf numFmtId="0" fontId="49" fillId="0" borderId="13" xfId="0" applyFont="1" applyBorder="1" applyAlignment="1">
      <alignment vertical="center"/>
    </xf>
    <xf numFmtId="0" fontId="51" fillId="0" borderId="13" xfId="0" applyFont="1" applyBorder="1" applyAlignment="1">
      <alignment vertical="center"/>
    </xf>
    <xf numFmtId="49" fontId="7" fillId="0" borderId="71" xfId="0" applyNumberFormat="1" applyFont="1" applyBorder="1" applyAlignment="1">
      <alignment horizontal="center" vertical="center" shrinkToFit="1"/>
    </xf>
    <xf numFmtId="0" fontId="7" fillId="0" borderId="71" xfId="0" applyFont="1" applyBorder="1" applyAlignment="1">
      <alignment horizontal="center" vertical="center" shrinkToFit="1"/>
    </xf>
    <xf numFmtId="0" fontId="13" fillId="0" borderId="72" xfId="0" applyFont="1" applyBorder="1" applyAlignment="1">
      <alignment horizontal="center" vertical="center"/>
    </xf>
    <xf numFmtId="0" fontId="16" fillId="0" borderId="63" xfId="0" applyFont="1" applyBorder="1" applyAlignment="1">
      <alignment vertical="center"/>
    </xf>
    <xf numFmtId="0" fontId="4" fillId="0" borderId="12" xfId="0" applyFont="1" applyBorder="1" applyAlignment="1">
      <alignment horizontal="left" vertical="center" shrinkToFit="1"/>
    </xf>
    <xf numFmtId="0" fontId="4" fillId="0" borderId="61" xfId="0" applyFont="1" applyBorder="1" applyAlignment="1">
      <alignment horizontal="left" vertical="center" shrinkToFit="1"/>
    </xf>
    <xf numFmtId="0" fontId="52" fillId="0" borderId="62" xfId="0" applyFont="1" applyBorder="1" applyAlignment="1">
      <alignment vertical="center"/>
    </xf>
    <xf numFmtId="0" fontId="14" fillId="0" borderId="0" xfId="0" applyFont="1" applyAlignment="1">
      <alignment horizontal="center" vertical="center"/>
    </xf>
    <xf numFmtId="0" fontId="15" fillId="15" borderId="24" xfId="0" applyFont="1" applyFill="1" applyBorder="1" applyAlignment="1">
      <alignment horizontal="center" vertical="center"/>
    </xf>
    <xf numFmtId="0" fontId="16" fillId="0" borderId="25" xfId="0" applyFont="1" applyBorder="1" applyAlignment="1">
      <alignment vertical="center"/>
    </xf>
    <xf numFmtId="0" fontId="16" fillId="0" borderId="26" xfId="0" applyFont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5" fillId="12" borderId="24" xfId="0" applyFont="1" applyFill="1" applyBorder="1" applyAlignment="1">
      <alignment horizontal="center" vertical="center"/>
    </xf>
    <xf numFmtId="0" fontId="15" fillId="14" borderId="24" xfId="0" applyFont="1" applyFill="1" applyBorder="1" applyAlignment="1">
      <alignment horizontal="center" vertical="center"/>
    </xf>
    <xf numFmtId="0" fontId="17" fillId="0" borderId="75" xfId="0" applyFont="1" applyBorder="1" applyAlignment="1">
      <alignment horizontal="right" vertical="center" wrapText="1"/>
    </xf>
    <xf numFmtId="0" fontId="16" fillId="0" borderId="76" xfId="0" applyFont="1" applyBorder="1" applyAlignment="1">
      <alignment vertical="center"/>
    </xf>
    <xf numFmtId="0" fontId="16" fillId="0" borderId="77" xfId="0" applyFont="1" applyBorder="1" applyAlignment="1">
      <alignment vertical="center"/>
    </xf>
    <xf numFmtId="0" fontId="7" fillId="0" borderId="73" xfId="0" applyFont="1" applyBorder="1" applyAlignment="1">
      <alignment horizontal="center" vertical="center" wrapText="1"/>
    </xf>
    <xf numFmtId="0" fontId="16" fillId="0" borderId="11" xfId="0" applyFont="1" applyBorder="1" applyAlignment="1">
      <alignment vertical="center"/>
    </xf>
    <xf numFmtId="0" fontId="16" fillId="0" borderId="6" xfId="0" applyFont="1" applyBorder="1" applyAlignment="1">
      <alignment vertical="center"/>
    </xf>
    <xf numFmtId="0" fontId="18" fillId="0" borderId="36" xfId="0" applyFont="1" applyBorder="1" applyAlignment="1">
      <alignment horizontal="center" vertical="center"/>
    </xf>
    <xf numFmtId="0" fontId="16" fillId="0" borderId="37" xfId="0" applyFont="1" applyBorder="1" applyAlignment="1">
      <alignment vertical="center"/>
    </xf>
    <xf numFmtId="0" fontId="4" fillId="0" borderId="5" xfId="0" applyFont="1" applyBorder="1" applyAlignment="1">
      <alignment horizontal="left" vertical="center" wrapText="1"/>
    </xf>
    <xf numFmtId="0" fontId="16" fillId="0" borderId="74" xfId="0" applyFont="1" applyBorder="1" applyAlignment="1">
      <alignment vertical="center"/>
    </xf>
    <xf numFmtId="0" fontId="20" fillId="0" borderId="66" xfId="0" applyFont="1" applyBorder="1" applyAlignment="1">
      <alignment horizontal="center" vertical="center" wrapText="1"/>
    </xf>
    <xf numFmtId="0" fontId="16" fillId="0" borderId="67" xfId="0" applyFont="1" applyBorder="1" applyAlignment="1">
      <alignment vertical="center"/>
    </xf>
    <xf numFmtId="0" fontId="16" fillId="0" borderId="68" xfId="0" applyFont="1" applyBorder="1" applyAlignment="1">
      <alignment vertical="center"/>
    </xf>
    <xf numFmtId="0" fontId="16" fillId="0" borderId="69" xfId="0" applyFont="1" applyBorder="1" applyAlignment="1">
      <alignment vertical="center"/>
    </xf>
    <xf numFmtId="0" fontId="16" fillId="0" borderId="8" xfId="0" applyFont="1" applyBorder="1" applyAlignment="1">
      <alignment vertical="center"/>
    </xf>
    <xf numFmtId="0" fontId="16" fillId="0" borderId="70" xfId="0" applyFont="1" applyBorder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18" fillId="13" borderId="32" xfId="0" applyFont="1" applyFill="1" applyBorder="1" applyAlignment="1">
      <alignment horizontal="center" vertical="center"/>
    </xf>
    <xf numFmtId="0" fontId="16" fillId="0" borderId="33" xfId="0" applyFont="1" applyBorder="1" applyAlignment="1">
      <alignment vertical="center"/>
    </xf>
    <xf numFmtId="0" fontId="16" fillId="0" borderId="36" xfId="0" applyFont="1" applyBorder="1" applyAlignment="1">
      <alignment vertical="center"/>
    </xf>
    <xf numFmtId="0" fontId="18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 wrapText="1"/>
    </xf>
    <xf numFmtId="0" fontId="33" fillId="0" borderId="34" xfId="0" applyFont="1" applyBorder="1" applyAlignment="1">
      <alignment vertical="center" wrapText="1"/>
    </xf>
    <xf numFmtId="0" fontId="4" fillId="5" borderId="29" xfId="0" applyFont="1" applyFill="1" applyBorder="1" applyAlignment="1">
      <alignment horizontal="center" vertical="center" wrapText="1"/>
    </xf>
    <xf numFmtId="0" fontId="8" fillId="5" borderId="29" xfId="0" applyFont="1" applyFill="1" applyBorder="1" applyAlignment="1">
      <alignment horizontal="center" vertical="center" wrapText="1"/>
    </xf>
    <xf numFmtId="0" fontId="35" fillId="0" borderId="35" xfId="0" applyFont="1" applyBorder="1" applyAlignment="1">
      <alignment vertical="center"/>
    </xf>
    <xf numFmtId="0" fontId="16" fillId="0" borderId="91" xfId="0" applyFont="1" applyBorder="1" applyAlignment="1">
      <alignment vertical="center"/>
    </xf>
    <xf numFmtId="0" fontId="8" fillId="5" borderId="2" xfId="0" applyFont="1" applyFill="1" applyBorder="1" applyAlignment="1">
      <alignment horizontal="center" vertical="center" wrapText="1"/>
    </xf>
    <xf numFmtId="0" fontId="16" fillId="0" borderId="5" xfId="0" applyFont="1" applyBorder="1" applyAlignment="1">
      <alignment vertical="center"/>
    </xf>
    <xf numFmtId="0" fontId="4" fillId="0" borderId="29" xfId="0" applyFont="1" applyBorder="1" applyAlignment="1">
      <alignment horizontal="center" vertical="center" wrapText="1"/>
    </xf>
    <xf numFmtId="14" fontId="14" fillId="0" borderId="0" xfId="0" applyNumberFormat="1" applyFont="1" applyAlignment="1">
      <alignment horizontal="center" vertical="center"/>
    </xf>
    <xf numFmtId="0" fontId="8" fillId="0" borderId="13" xfId="0" applyFont="1" applyBorder="1" applyAlignment="1">
      <alignment horizontal="left" vertical="center" shrinkToFit="1"/>
    </xf>
    <xf numFmtId="0" fontId="8" fillId="0" borderId="58" xfId="0" applyFont="1" applyBorder="1" applyAlignment="1">
      <alignment horizontal="left" vertical="center" shrinkToFit="1"/>
    </xf>
    <xf numFmtId="0" fontId="35" fillId="0" borderId="35" xfId="0" applyFont="1" applyBorder="1" applyAlignment="1">
      <alignment vertical="center" wrapText="1"/>
    </xf>
    <xf numFmtId="0" fontId="7" fillId="5" borderId="29" xfId="0" applyFont="1" applyFill="1" applyBorder="1" applyAlignment="1">
      <alignment horizontal="center" vertical="center" wrapText="1"/>
    </xf>
    <xf numFmtId="0" fontId="8" fillId="0" borderId="29" xfId="0" applyFont="1" applyBorder="1" applyAlignment="1">
      <alignment horizontal="center" vertical="center" textRotation="255" wrapText="1"/>
    </xf>
    <xf numFmtId="0" fontId="7" fillId="5" borderId="35" xfId="0" applyFont="1" applyFill="1" applyBorder="1" applyAlignment="1">
      <alignment horizontal="center" vertical="center" wrapText="1"/>
    </xf>
    <xf numFmtId="0" fontId="7" fillId="5" borderId="99" xfId="0" applyFont="1" applyFill="1" applyBorder="1" applyAlignment="1">
      <alignment horizontal="center" vertical="center" wrapText="1"/>
    </xf>
    <xf numFmtId="176" fontId="30" fillId="0" borderId="46" xfId="0" applyNumberFormat="1" applyFont="1" applyBorder="1" applyAlignment="1">
      <alignment horizontal="center" vertical="center" wrapText="1"/>
    </xf>
    <xf numFmtId="176" fontId="30" fillId="0" borderId="104" xfId="0" applyNumberFormat="1" applyFont="1" applyBorder="1" applyAlignment="1">
      <alignment horizontal="center" vertical="center" wrapText="1"/>
    </xf>
    <xf numFmtId="176" fontId="30" fillId="6" borderId="29" xfId="0" applyNumberFormat="1" applyFont="1" applyFill="1" applyBorder="1" applyAlignment="1">
      <alignment horizontal="center" vertical="center" wrapText="1"/>
    </xf>
    <xf numFmtId="176" fontId="30" fillId="6" borderId="42" xfId="0" applyNumberFormat="1" applyFont="1" applyFill="1" applyBorder="1" applyAlignment="1">
      <alignment horizontal="center" vertical="center" wrapText="1"/>
    </xf>
    <xf numFmtId="176" fontId="30" fillId="0" borderId="102" xfId="0" applyNumberFormat="1" applyFont="1" applyBorder="1" applyAlignment="1">
      <alignment horizontal="center" vertical="center" wrapText="1"/>
    </xf>
    <xf numFmtId="176" fontId="30" fillId="0" borderId="9" xfId="0" applyNumberFormat="1" applyFont="1" applyBorder="1" applyAlignment="1">
      <alignment horizontal="center" vertical="center" wrapText="1"/>
    </xf>
    <xf numFmtId="176" fontId="30" fillId="6" borderId="2" xfId="0" applyNumberFormat="1" applyFont="1" applyFill="1" applyBorder="1" applyAlignment="1">
      <alignment horizontal="center" vertical="center" wrapText="1"/>
    </xf>
    <xf numFmtId="176" fontId="30" fillId="6" borderId="101" xfId="0" applyNumberFormat="1" applyFont="1" applyFill="1" applyBorder="1" applyAlignment="1">
      <alignment horizontal="center" vertical="center" wrapText="1"/>
    </xf>
    <xf numFmtId="176" fontId="30" fillId="17" borderId="40" xfId="0" applyNumberFormat="1" applyFont="1" applyFill="1" applyBorder="1" applyAlignment="1">
      <alignment horizontal="center" vertical="center" wrapText="1"/>
    </xf>
    <xf numFmtId="176" fontId="30" fillId="17" borderId="42" xfId="0" applyNumberFormat="1" applyFont="1" applyFill="1" applyBorder="1" applyAlignment="1">
      <alignment horizontal="center" vertical="center" wrapText="1"/>
    </xf>
    <xf numFmtId="176" fontId="8" fillId="0" borderId="102" xfId="0" applyNumberFormat="1" applyFont="1" applyBorder="1" applyAlignment="1">
      <alignment horizontal="center" vertical="center" wrapText="1"/>
    </xf>
    <xf numFmtId="176" fontId="8" fillId="0" borderId="35" xfId="0" applyNumberFormat="1" applyFont="1" applyBorder="1" applyAlignment="1">
      <alignment horizontal="center" vertical="center" wrapText="1"/>
    </xf>
    <xf numFmtId="176" fontId="8" fillId="0" borderId="42" xfId="0" applyNumberFormat="1" applyFont="1" applyBorder="1" applyAlignment="1">
      <alignment horizontal="center" vertical="center" wrapText="1"/>
    </xf>
    <xf numFmtId="176" fontId="30" fillId="6" borderId="46" xfId="0" applyNumberFormat="1" applyFont="1" applyFill="1" applyBorder="1" applyAlignment="1">
      <alignment horizontal="center" vertical="center" wrapText="1"/>
    </xf>
    <xf numFmtId="176" fontId="30" fillId="6" borderId="90" xfId="0" applyNumberFormat="1" applyFont="1" applyFill="1" applyBorder="1" applyAlignment="1">
      <alignment horizontal="center" vertical="center" wrapText="1"/>
    </xf>
    <xf numFmtId="176" fontId="30" fillId="0" borderId="35" xfId="0" applyNumberFormat="1" applyFont="1" applyBorder="1" applyAlignment="1">
      <alignment horizontal="center" vertical="center" wrapText="1"/>
    </xf>
    <xf numFmtId="176" fontId="30" fillId="6" borderId="105" xfId="0" applyNumberFormat="1" applyFont="1" applyFill="1" applyBorder="1" applyAlignment="1">
      <alignment horizontal="center" vertical="center" wrapText="1"/>
    </xf>
    <xf numFmtId="0" fontId="7" fillId="0" borderId="29" xfId="0" applyFont="1" applyBorder="1" applyAlignment="1">
      <alignment horizontal="center" vertical="center" textRotation="255" wrapText="1"/>
    </xf>
    <xf numFmtId="176" fontId="8" fillId="0" borderId="105" xfId="0" applyNumberFormat="1" applyFont="1" applyBorder="1" applyAlignment="1">
      <alignment horizontal="center" vertical="center" wrapText="1"/>
    </xf>
    <xf numFmtId="0" fontId="0" fillId="0" borderId="42" xfId="0" applyFont="1" applyBorder="1" applyAlignment="1">
      <alignment horizontal="center" vertical="center" wrapText="1"/>
    </xf>
    <xf numFmtId="176" fontId="30" fillId="0" borderId="29" xfId="0" applyNumberFormat="1" applyFont="1" applyBorder="1" applyAlignment="1">
      <alignment horizontal="center" vertical="center" shrinkToFit="1"/>
    </xf>
    <xf numFmtId="0" fontId="0" fillId="0" borderId="35" xfId="0" applyFont="1" applyBorder="1" applyAlignment="1">
      <alignment horizontal="center" vertical="center"/>
    </xf>
    <xf numFmtId="0" fontId="0" fillId="0" borderId="42" xfId="0" applyFont="1" applyBorder="1" applyAlignment="1">
      <alignment horizontal="center" vertical="center"/>
    </xf>
    <xf numFmtId="176" fontId="30" fillId="0" borderId="105" xfId="0" applyNumberFormat="1" applyFont="1" applyBorder="1" applyAlignment="1">
      <alignment horizontal="center" vertical="center" wrapText="1"/>
    </xf>
    <xf numFmtId="0" fontId="0" fillId="0" borderId="35" xfId="0" applyFont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 textRotation="255" wrapText="1"/>
    </xf>
    <xf numFmtId="0" fontId="4" fillId="0" borderId="99" xfId="0" applyFont="1" applyBorder="1" applyAlignment="1">
      <alignment horizontal="center" vertical="center" textRotation="255" wrapText="1"/>
    </xf>
    <xf numFmtId="176" fontId="30" fillId="0" borderId="106" xfId="0" applyNumberFormat="1" applyFont="1" applyBorder="1" applyAlignment="1">
      <alignment horizontal="center" vertical="center" wrapText="1"/>
    </xf>
    <xf numFmtId="176" fontId="30" fillId="0" borderId="5" xfId="0" applyNumberFormat="1" applyFont="1" applyBorder="1" applyAlignment="1">
      <alignment horizontal="center" vertical="center" wrapText="1"/>
    </xf>
    <xf numFmtId="176" fontId="30" fillId="0" borderId="7" xfId="0" applyNumberFormat="1" applyFont="1" applyBorder="1" applyAlignment="1">
      <alignment horizontal="center" vertical="center" wrapText="1"/>
    </xf>
    <xf numFmtId="176" fontId="30" fillId="17" borderId="107" xfId="0" applyNumberFormat="1" applyFont="1" applyFill="1" applyBorder="1" applyAlignment="1">
      <alignment horizontal="center" vertical="center" wrapText="1"/>
    </xf>
    <xf numFmtId="176" fontId="30" fillId="17" borderId="108" xfId="0" applyNumberFormat="1" applyFont="1" applyFill="1" applyBorder="1" applyAlignment="1">
      <alignment horizontal="center" vertical="center" wrapText="1"/>
    </xf>
    <xf numFmtId="176" fontId="30" fillId="0" borderId="42" xfId="0" applyNumberFormat="1" applyFont="1" applyBorder="1" applyAlignment="1">
      <alignment horizontal="center" vertical="center" wrapText="1"/>
    </xf>
    <xf numFmtId="176" fontId="7" fillId="0" borderId="40" xfId="0" applyNumberFormat="1" applyFont="1" applyBorder="1" applyAlignment="1">
      <alignment horizontal="center" vertical="center" wrapText="1"/>
    </xf>
    <xf numFmtId="176" fontId="7" fillId="0" borderId="42" xfId="0" applyNumberFormat="1" applyFont="1" applyBorder="1" applyAlignment="1">
      <alignment horizontal="center" vertical="center" wrapText="1"/>
    </xf>
    <xf numFmtId="176" fontId="30" fillId="0" borderId="2" xfId="0" applyNumberFormat="1" applyFont="1" applyBorder="1" applyAlignment="1">
      <alignment horizontal="center" vertical="center" wrapText="1"/>
    </xf>
    <xf numFmtId="176" fontId="30" fillId="0" borderId="101" xfId="0" applyNumberFormat="1" applyFont="1" applyBorder="1" applyAlignment="1">
      <alignment horizontal="center" vertical="center" wrapText="1"/>
    </xf>
    <xf numFmtId="176" fontId="30" fillId="0" borderId="35" xfId="0" applyNumberFormat="1" applyFont="1" applyBorder="1" applyAlignment="1">
      <alignment horizontal="center" vertical="center" shrinkToFit="1"/>
    </xf>
    <xf numFmtId="176" fontId="30" fillId="0" borderId="42" xfId="0" applyNumberFormat="1" applyFont="1" applyBorder="1" applyAlignment="1">
      <alignment horizontal="center" vertical="center" shrinkToFit="1"/>
    </xf>
    <xf numFmtId="176" fontId="30" fillId="6" borderId="109" xfId="0" applyNumberFormat="1" applyFont="1" applyFill="1" applyBorder="1" applyAlignment="1">
      <alignment horizontal="center" vertical="center" wrapText="1"/>
    </xf>
    <xf numFmtId="176" fontId="4" fillId="0" borderId="38" xfId="0" applyNumberFormat="1" applyFont="1" applyBorder="1" applyAlignment="1">
      <alignment horizontal="center" vertical="center" wrapText="1"/>
    </xf>
  </cellXfs>
  <cellStyles count="3">
    <cellStyle name="一般" xfId="0" builtinId="0"/>
    <cellStyle name="一般 2" xfId="1" xr:uid="{C6060FBE-90E4-49E0-837B-2D5AE9C9FFC5}"/>
    <cellStyle name="一般 3" xfId="2" xr:uid="{49BF86B0-C8F6-4C68-B946-E9E8B3A133A2}"/>
  </cellStyles>
  <dxfs count="214">
    <dxf>
      <font>
        <strike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ont>
        <b/>
        <i val="0"/>
        <strike val="0"/>
        <color rgb="FFFF0000"/>
      </font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A5A5A5"/>
          <bgColor rgb="FFA5A5A5"/>
        </patternFill>
      </fill>
    </dxf>
    <dxf>
      <fill>
        <patternFill patternType="solid">
          <fgColor rgb="FFF4CCCC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alignment horizontal="center" vertical="center" textRotation="0" wrapText="0" indent="0" justifyLastLine="0" shrinkToFit="0" readingOrder="0"/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fgColor rgb="FFD8D8D8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fgColor rgb="FFD8D8D8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fgColor rgb="FFD8D8D8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fgColor rgb="FFD8D8D8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fgColor rgb="FFD8D8D8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fgColor rgb="FFD8D8D8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fgColor rgb="FFD8D8D8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fgColor rgb="FFD8D8D8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fgColor rgb="FFD8D8D8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fgColor rgb="FFD8D8D8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fgColor rgb="FFD8D8D8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fgColor rgb="FFD8D8D8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fgColor rgb="FFD8D8D8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fgColor rgb="FFD8D8D8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fgColor rgb="FFD8D8D8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fgColor rgb="FFD8D8D8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fgColor rgb="FFD8D8D8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numFmt numFmtId="30" formatCode="@"/>
      <fill>
        <patternFill patternType="none">
          <fgColor rgb="FFD8D8D8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fgColor rgb="FFD8D8D8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numFmt numFmtId="30" formatCode="@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numFmt numFmtId="30" formatCode="@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標楷體"/>
        <family val="4"/>
        <charset val="136"/>
        <scheme val="none"/>
      </font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rgb="FFDADADA"/>
          <bgColor rgb="FFDADADA"/>
        </patternFill>
      </fill>
    </dxf>
    <dxf>
      <fill>
        <patternFill patternType="solid">
          <fgColor theme="7"/>
          <bgColor theme="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9"/>
          <bgColor theme="9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5"/>
          <bgColor theme="5"/>
        </patternFill>
      </fill>
    </dxf>
  </dxfs>
  <tableStyles count="3" defaultTableStyle="TableStyleMedium2" defaultPivotStyle="PivotStyleLight16">
    <tableStyle name="訓練-style" pivot="0" count="3" xr9:uid="{00000000-0011-0000-FFFF-FFFF00000000}">
      <tableStyleElement type="headerRow" dxfId="213"/>
      <tableStyleElement type="firstRowStripe" dxfId="212"/>
      <tableStyleElement type="secondRowStripe" dxfId="211"/>
    </tableStyle>
    <tableStyle name="訓練-style 2" pivot="0" count="3" xr9:uid="{00000000-0011-0000-FFFF-FFFF01000000}">
      <tableStyleElement type="headerRow" dxfId="210"/>
      <tableStyleElement type="firstRowStripe" dxfId="209"/>
      <tableStyleElement type="secondRowStripe" dxfId="208"/>
    </tableStyle>
    <tableStyle name="訓練-style 3" pivot="0" count="3" xr9:uid="{00000000-0011-0000-FFFF-FFFF02000000}">
      <tableStyleElement type="headerRow" dxfId="207"/>
      <tableStyleElement type="firstRowStripe" dxfId="206"/>
      <tableStyleElement type="secondRowStripe" dxfId="20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1032" name="btn_CheckAll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6151" name="btn_CheckAll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5</xdr:row>
          <xdr:rowOff>0</xdr:rowOff>
        </xdr:from>
        <xdr:to>
          <xdr:col>51</xdr:col>
          <xdr:colOff>180975</xdr:colOff>
          <xdr:row>6</xdr:row>
          <xdr:rowOff>95250</xdr:rowOff>
        </xdr:to>
        <xdr:sp macro="" textlink="">
          <xdr:nvSpPr>
            <xdr:cNvPr id="7175" name="btn_CheckAll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6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8199" name="btn_CheckAll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9223" name="btn_CheckAll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8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10247" name="btn_CheckAll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9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11271" name="btn_CheckAll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A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12295" name="btn_CheckAll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B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13319" name="btn_CheckAll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C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14343" name="btn_CheckAll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D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15367" name="btn_CheckAll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E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16391" name="btn_CheckAll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F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5</xdr:row>
          <xdr:rowOff>0</xdr:rowOff>
        </xdr:from>
        <xdr:to>
          <xdr:col>51</xdr:col>
          <xdr:colOff>171450</xdr:colOff>
          <xdr:row>6</xdr:row>
          <xdr:rowOff>104775</xdr:rowOff>
        </xdr:to>
        <xdr:sp macro="" textlink="">
          <xdr:nvSpPr>
            <xdr:cNvPr id="17415" name="btn_CheckAll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10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18439" name="btn_CheckAll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11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5</xdr:row>
          <xdr:rowOff>0</xdr:rowOff>
        </xdr:from>
        <xdr:to>
          <xdr:col>51</xdr:col>
          <xdr:colOff>180975</xdr:colOff>
          <xdr:row>6</xdr:row>
          <xdr:rowOff>95250</xdr:rowOff>
        </xdr:to>
        <xdr:sp macro="" textlink="">
          <xdr:nvSpPr>
            <xdr:cNvPr id="19463" name="btn_CheckAll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12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20487" name="btn_CheckAll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13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21511" name="btn_CheckAll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14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22535" name="btn_CheckAll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15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23559" name="btn_CheckAll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16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24583" name="btn_CheckAll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17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25607" name="btn_CheckAll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18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26631" name="btn_CheckAll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9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27655" name="btn_CheckAll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1A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28679" name="btn_CheckAll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1B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29703" name="btn_CheckAll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1C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30727" name="btn_CheckAll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1D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31751" name="btn_CheckAll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1E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32775" name="btn_CheckAll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1F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33799" name="btn_CheckAll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2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34823" name="btn_CheckAll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21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5</xdr:row>
          <xdr:rowOff>0</xdr:rowOff>
        </xdr:from>
        <xdr:to>
          <xdr:col>50</xdr:col>
          <xdr:colOff>180975</xdr:colOff>
          <xdr:row>6</xdr:row>
          <xdr:rowOff>95250</xdr:rowOff>
        </xdr:to>
        <xdr:sp macro="" textlink="">
          <xdr:nvSpPr>
            <xdr:cNvPr id="35847" name="btn_CheckAll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22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800" b="1" i="0" u="none" strike="noStrike" baseline="0">
                  <a:solidFill>
                    <a:srgbClr val="FF0000"/>
                  </a:solidFill>
                  <a:latin typeface="標楷體"/>
                  <a:ea typeface="標楷體"/>
                </a:rPr>
                <a:t>一鍵檢查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92BDC59-F13F-4767-BC24-53C3FC86C747}" name="公表" displayName="公表" ref="A37:AC332" totalsRowShown="0" headerRowDxfId="204" dataDxfId="203">
  <autoFilter ref="A37:AC332" xr:uid="{992BDC59-F13F-4767-BC24-53C3FC86C747}"/>
  <tableColumns count="29">
    <tableColumn id="1" xr3:uid="{61E7E8F8-D67A-4BC4-AC18-587C1C253896}" name="休息合併" dataDxfId="202">
      <calculatedColumnFormula>_xlfn.TEXTJOIN(",",TRUE,B38:C38)</calculatedColumnFormula>
    </tableColumn>
    <tableColumn id="2" xr3:uid="{F45C20F1-E11B-4C47-8747-93FF4525C58C}" name="休息1" dataDxfId="201"/>
    <tableColumn id="3" xr3:uid="{A7C3AD6E-DCDD-4300-A173-D5241F8DE30F}" name="休息2" dataDxfId="200"/>
    <tableColumn id="4" xr3:uid="{01929C22-0D9F-414B-B4BA-7878FBD1E0F2}" name="班別" dataDxfId="199"/>
    <tableColumn id="5" xr3:uid="{8E31ADEB-334E-4FEA-86F3-D00E1EDE01EA}" name="時段" dataDxfId="198"/>
    <tableColumn id="6" xr3:uid="{5AB37384-44DF-4F06-8C62-743900C680CB}" name="班別+時段" dataDxfId="197">
      <calculatedColumnFormula>$D38&amp;$E38</calculatedColumnFormula>
    </tableColumn>
    <tableColumn id="7" xr3:uid="{956D3820-8DBD-412C-BD73-9EF05AF537D7}" name="值班" dataDxfId="196"/>
    <tableColumn id="8" xr3:uid="{FB8979E9-0F7F-478F-BBFE-AE639B386F02}" name="欄1" dataDxfId="195"/>
    <tableColumn id="9" xr3:uid="{D9B59C71-D35A-40D0-B0A4-B7E7CD177BC0}" name="救護1" dataDxfId="194"/>
    <tableColumn id="10" xr3:uid="{74042D76-31B0-48C0-95C7-F10EC0FC5EC5}" name="救護2" dataDxfId="193"/>
    <tableColumn id="11" xr3:uid="{49A639E1-6577-43D0-B868-EB0EE26447CD}" name="欄2" dataDxfId="192"/>
    <tableColumn id="12" xr3:uid="{6FF4DA81-9C5D-45AE-951B-B2715B878CA7}" name="備勤1" dataDxfId="191"/>
    <tableColumn id="13" xr3:uid="{2701F07D-C127-4DD8-8EE4-F49C24F2DB58}" name="備勤2" dataDxfId="190"/>
    <tableColumn id="14" xr3:uid="{E24F1E8D-AAEE-4360-AEF8-834BF9534074}" name="欄3" dataDxfId="189"/>
    <tableColumn id="15" xr3:uid="{0175BD50-4094-457B-858E-92076B030C76}" name="備勤3" dataDxfId="188"/>
    <tableColumn id="16" xr3:uid="{0577D388-4B4B-4FA7-A8CA-29274F36A410}" name="備勤4" dataDxfId="187"/>
    <tableColumn id="17" xr3:uid="{4D4F24CB-5C92-4A0C-8FD8-7A09E674F21F}" name="欄4" dataDxfId="186"/>
    <tableColumn id="18" xr3:uid="{53ED3A5A-3445-4999-9E41-20008F4BEDFC}" name="備勤5" dataDxfId="185"/>
    <tableColumn id="19" xr3:uid="{DF60B6DA-1F9C-41F4-AB03-A9439EB1BD00}" name="備勤6" dataDxfId="184"/>
    <tableColumn id="20" xr3:uid="{4BA15E02-8E68-4E1E-A93A-4C48EE9C523A}" name="欄6" dataDxfId="183"/>
    <tableColumn id="21" xr3:uid="{18155244-1B48-447B-BB5C-8F005C4B5CEA}" name="備勤7" dataDxfId="182"/>
    <tableColumn id="22" xr3:uid="{050F6417-E7E2-4E3C-9A1B-473F96AFBDF3}" name="備勤8" dataDxfId="181"/>
    <tableColumn id="23" xr3:uid="{6F56982E-25CA-4C1E-97D5-A2256325426A}" name="指揮官" dataDxfId="180"/>
    <tableColumn id="24" xr3:uid="{5729E287-DFD3-4790-AB05-8CE083D754E5}" name="人數" dataDxfId="179">
      <calculatedColumnFormula>COUNTA(B38:C38,G38:W38)</calculatedColumnFormula>
    </tableColumn>
    <tableColumn id="25" xr3:uid="{BD31B0DA-E662-4339-872C-694831DAF8B3}" name="班別2" dataDxfId="178"/>
    <tableColumn id="26" xr3:uid="{3DBED765-396F-42DB-9913-E7E31FA6CA19}" name="1車時數" dataDxfId="177"/>
    <tableColumn id="27" xr3:uid="{376FA099-8B82-4C5E-A826-BCDC5DAED569}" name="2車時數" dataDxfId="176"/>
    <tableColumn id="28" xr3:uid="{73E90032-E8D2-4B54-A354-75933657D882}" name="休息時數" dataDxfId="175"/>
    <tableColumn id="29" xr3:uid="{1A35FE2C-13AB-4D76-9B92-5EF01663C97A}" name="有無重複" dataDxfId="174">
      <calculatedColumnFormula array="1">_xlfn.TEXTJOIN(", ", TRUE, _xlfn.UNIQUE(_xlfn._xlws.FILTER(G38:W38, COUNTIF(G38:W38, G38:W38)&gt;1, "無")))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0B47572-D8AF-4AA6-B3F9-FF538DBBF5CD}" name="工作表" displayName="工作表" ref="Q1:Q32" totalsRowShown="0" headerRowDxfId="169" dataDxfId="168">
  <autoFilter ref="Q1:Q32" xr:uid="{E0B47572-D8AF-4AA6-B3F9-FF538DBBF5CD}"/>
  <tableColumns count="1">
    <tableColumn id="1" xr3:uid="{73F1AB51-6249-4210-93B8-F3C90AB1C2AC}" name="工作表" dataDxfId="16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D5:D28" headerRowDxfId="11" dataDxfId="10" totalsRowDxfId="9">
  <tableColumns count="1">
    <tableColumn id="1" xr3:uid="{00000000-0010-0000-0000-000001000000}" name="上午在隊訓練" dataDxfId="8"/>
  </tableColumns>
  <tableStyleInfo name="訓練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G5:G29" headerRowDxfId="7" dataDxfId="6" totalsRowDxfId="5">
  <tableColumns count="1">
    <tableColumn id="1" xr3:uid="{00000000-0010-0000-0100-000001000000}" name="下午在隊訓練" dataDxfId="4"/>
  </tableColumns>
  <tableStyleInfo name="訓練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J5:J19" headerRowDxfId="3" dataDxfId="2" totalsRowDxfId="1">
  <tableColumns count="1">
    <tableColumn id="1" xr3:uid="{00000000-0010-0000-0200-000001000000}" name="晚上在隊訓練" dataDxfId="0"/>
  </tableColumns>
  <tableStyleInfo name="訓練-style 3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1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1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2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2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2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24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25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2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2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2.bin"/><Relationship Id="rId4" Type="http://schemas.openxmlformats.org/officeDocument/2006/relationships/ctrlProp" Target="../ctrlProps/ctrlProp2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2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4.bin"/><Relationship Id="rId4" Type="http://schemas.openxmlformats.org/officeDocument/2006/relationships/ctrlProp" Target="../ctrlProps/ctrlProp3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3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C894"/>
  <sheetViews>
    <sheetView topLeftCell="A232" workbookViewId="0">
      <selection activeCell="G117" sqref="G117"/>
    </sheetView>
  </sheetViews>
  <sheetFormatPr defaultColWidth="11.25" defaultRowHeight="15" customHeight="1"/>
  <cols>
    <col min="1" max="3" width="7" style="63" customWidth="1"/>
    <col min="4" max="4" width="8.875" style="63" customWidth="1"/>
    <col min="5" max="28" width="7.125" style="63" customWidth="1"/>
    <col min="29" max="29" width="7.125" style="17" customWidth="1"/>
    <col min="30" max="16384" width="11.25" style="63"/>
  </cols>
  <sheetData>
    <row r="1" spans="1:27" ht="16.5" customHeight="1">
      <c r="A1" s="17"/>
      <c r="B1" s="65"/>
      <c r="C1" s="65"/>
      <c r="D1" s="17" t="s">
        <v>0</v>
      </c>
      <c r="E1" s="17" t="s">
        <v>1</v>
      </c>
      <c r="F1" s="17"/>
      <c r="G1" s="17" t="s">
        <v>2</v>
      </c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6.5" customHeight="1">
      <c r="A2" s="17"/>
      <c r="B2" s="65"/>
      <c r="C2" s="65"/>
      <c r="D2" s="66">
        <v>115</v>
      </c>
      <c r="E2" s="67">
        <v>5</v>
      </c>
      <c r="F2" s="17"/>
      <c r="G2" s="17">
        <f>DAY(EOMONTH(DATE($D$2+1911,$E$2,1),0))</f>
        <v>31</v>
      </c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</row>
    <row r="3" spans="1:27" ht="16.5" customHeight="1">
      <c r="A3" s="164" t="s">
        <v>280</v>
      </c>
      <c r="B3" s="164" t="s">
        <v>279</v>
      </c>
      <c r="C3" s="65"/>
      <c r="D3" s="17"/>
      <c r="E3" s="286" t="s">
        <v>3</v>
      </c>
      <c r="F3" s="287"/>
      <c r="G3" s="287"/>
      <c r="H3" s="286" t="s">
        <v>4</v>
      </c>
      <c r="I3" s="287"/>
      <c r="J3" s="287"/>
      <c r="K3" s="286" t="s">
        <v>5</v>
      </c>
      <c r="L3" s="287"/>
      <c r="M3" s="287"/>
      <c r="N3" s="125" t="s">
        <v>243</v>
      </c>
      <c r="O3" s="189" t="s">
        <v>309</v>
      </c>
      <c r="P3" s="126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</row>
    <row r="4" spans="1:27" ht="16.5" customHeight="1">
      <c r="A4" s="68" t="s">
        <v>222</v>
      </c>
      <c r="B4" s="69" t="s">
        <v>6</v>
      </c>
      <c r="C4" s="65"/>
      <c r="D4" s="17" t="s">
        <v>7</v>
      </c>
      <c r="E4" s="208" t="s">
        <v>8</v>
      </c>
      <c r="F4" s="209" t="s">
        <v>9</v>
      </c>
      <c r="G4" s="210" t="s">
        <v>10</v>
      </c>
      <c r="H4" s="211" t="s">
        <v>11</v>
      </c>
      <c r="I4" s="209" t="s">
        <v>12</v>
      </c>
      <c r="J4" s="212" t="s">
        <v>13</v>
      </c>
      <c r="K4" s="211" t="s">
        <v>14</v>
      </c>
      <c r="L4" s="209" t="s">
        <v>15</v>
      </c>
      <c r="M4" s="209" t="s">
        <v>16</v>
      </c>
      <c r="N4" s="163" t="s">
        <v>244</v>
      </c>
      <c r="O4" s="163" t="s">
        <v>310</v>
      </c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</row>
    <row r="5" spans="1:27" ht="16.5" customHeight="1">
      <c r="A5" s="70" t="s">
        <v>1</v>
      </c>
      <c r="B5" s="71" t="s">
        <v>17</v>
      </c>
      <c r="C5" s="65"/>
      <c r="D5" s="65" t="s">
        <v>18</v>
      </c>
      <c r="E5" s="72" t="s">
        <v>19</v>
      </c>
      <c r="F5" s="73" t="s">
        <v>19</v>
      </c>
      <c r="G5" s="74" t="s">
        <v>19</v>
      </c>
      <c r="H5" s="72" t="s">
        <v>19</v>
      </c>
      <c r="I5" s="73" t="s">
        <v>19</v>
      </c>
      <c r="J5" s="74" t="s">
        <v>19</v>
      </c>
      <c r="K5" s="72" t="s">
        <v>19</v>
      </c>
      <c r="L5" s="73" t="s">
        <v>19</v>
      </c>
      <c r="M5" s="131" t="s">
        <v>19</v>
      </c>
      <c r="N5" s="138" t="s">
        <v>237</v>
      </c>
      <c r="O5" s="206" t="s">
        <v>237</v>
      </c>
      <c r="P5" s="73"/>
      <c r="Q5" s="73"/>
      <c r="R5" s="65"/>
      <c r="S5" s="65"/>
      <c r="T5" s="73"/>
      <c r="U5" s="73"/>
      <c r="V5" s="73"/>
      <c r="W5" s="65"/>
      <c r="X5" s="17"/>
      <c r="Y5" s="17"/>
      <c r="Z5" s="17"/>
      <c r="AA5" s="17"/>
    </row>
    <row r="6" spans="1:27" ht="16.5" customHeight="1">
      <c r="A6" s="70" t="s">
        <v>20</v>
      </c>
      <c r="B6" s="71" t="s">
        <v>21</v>
      </c>
      <c r="C6" s="65"/>
      <c r="D6" s="65" t="s">
        <v>22</v>
      </c>
      <c r="E6" s="72" t="s">
        <v>23</v>
      </c>
      <c r="F6" s="73" t="s">
        <v>23</v>
      </c>
      <c r="G6" s="74" t="s">
        <v>23</v>
      </c>
      <c r="H6" s="72" t="s">
        <v>23</v>
      </c>
      <c r="I6" s="73" t="s">
        <v>23</v>
      </c>
      <c r="J6" s="74" t="s">
        <v>23</v>
      </c>
      <c r="K6" s="72" t="s">
        <v>23</v>
      </c>
      <c r="L6" s="73" t="s">
        <v>23</v>
      </c>
      <c r="M6" s="131" t="s">
        <v>23</v>
      </c>
      <c r="N6" s="138" t="s">
        <v>233</v>
      </c>
      <c r="O6" s="206" t="s">
        <v>233</v>
      </c>
      <c r="P6" s="73"/>
      <c r="Q6" s="73"/>
      <c r="R6" s="65"/>
      <c r="S6" s="65"/>
      <c r="T6" s="73"/>
      <c r="U6" s="73"/>
      <c r="V6" s="73"/>
      <c r="W6" s="65"/>
      <c r="X6" s="17"/>
      <c r="Y6" s="17"/>
      <c r="Z6" s="17"/>
      <c r="AA6" s="17"/>
    </row>
    <row r="7" spans="1:27" ht="16.5" customHeight="1">
      <c r="A7" s="70" t="s">
        <v>24</v>
      </c>
      <c r="B7" s="71" t="s">
        <v>21</v>
      </c>
      <c r="C7" s="65"/>
      <c r="D7" s="17" t="s">
        <v>25</v>
      </c>
      <c r="E7" s="72" t="s">
        <v>26</v>
      </c>
      <c r="F7" s="73" t="s">
        <v>26</v>
      </c>
      <c r="G7" s="74" t="s">
        <v>26</v>
      </c>
      <c r="H7" s="72" t="s">
        <v>26</v>
      </c>
      <c r="I7" s="73" t="s">
        <v>26</v>
      </c>
      <c r="J7" s="74" t="s">
        <v>26</v>
      </c>
      <c r="K7" s="72" t="s">
        <v>26</v>
      </c>
      <c r="L7" s="73" t="s">
        <v>26</v>
      </c>
      <c r="M7" s="131" t="s">
        <v>26</v>
      </c>
      <c r="N7" s="138" t="s">
        <v>238</v>
      </c>
      <c r="O7" s="206" t="s">
        <v>238</v>
      </c>
      <c r="P7" s="73"/>
      <c r="Q7" s="73"/>
      <c r="R7" s="17"/>
      <c r="S7" s="65"/>
      <c r="T7" s="73"/>
      <c r="U7" s="73"/>
      <c r="V7" s="73"/>
      <c r="W7" s="17"/>
      <c r="X7" s="17"/>
      <c r="Y7" s="17"/>
      <c r="Z7" s="17"/>
      <c r="AA7" s="17"/>
    </row>
    <row r="8" spans="1:27" ht="16.5" customHeight="1">
      <c r="A8" s="70" t="s">
        <v>27</v>
      </c>
      <c r="B8" s="71" t="s">
        <v>28</v>
      </c>
      <c r="C8" s="65"/>
      <c r="D8" s="17" t="s">
        <v>29</v>
      </c>
      <c r="E8" s="72" t="s">
        <v>30</v>
      </c>
      <c r="F8" s="73" t="s">
        <v>30</v>
      </c>
      <c r="G8" s="74" t="s">
        <v>30</v>
      </c>
      <c r="H8" s="72" t="s">
        <v>30</v>
      </c>
      <c r="I8" s="73" t="s">
        <v>30</v>
      </c>
      <c r="J8" s="74" t="s">
        <v>30</v>
      </c>
      <c r="K8" s="72" t="s">
        <v>30</v>
      </c>
      <c r="L8" s="73" t="s">
        <v>30</v>
      </c>
      <c r="M8" s="131" t="s">
        <v>30</v>
      </c>
      <c r="N8" s="138" t="s">
        <v>239</v>
      </c>
      <c r="O8" s="206" t="s">
        <v>239</v>
      </c>
      <c r="P8" s="73"/>
      <c r="Q8" s="73"/>
      <c r="R8" s="17"/>
      <c r="S8" s="65"/>
      <c r="T8" s="73"/>
      <c r="U8" s="73"/>
      <c r="V8" s="73"/>
      <c r="W8" s="17"/>
      <c r="X8" s="17"/>
      <c r="Y8" s="17"/>
      <c r="Z8" s="17"/>
      <c r="AA8" s="17"/>
    </row>
    <row r="9" spans="1:27" ht="16.5" customHeight="1">
      <c r="A9" s="70" t="s">
        <v>31</v>
      </c>
      <c r="B9" s="71" t="s">
        <v>32</v>
      </c>
      <c r="C9" s="65"/>
      <c r="D9" s="17" t="s">
        <v>33</v>
      </c>
      <c r="E9" s="72" t="s">
        <v>34</v>
      </c>
      <c r="F9" s="73" t="s">
        <v>34</v>
      </c>
      <c r="G9" s="74" t="s">
        <v>34</v>
      </c>
      <c r="H9" s="72" t="s">
        <v>34</v>
      </c>
      <c r="I9" s="73" t="s">
        <v>34</v>
      </c>
      <c r="J9" s="74" t="s">
        <v>34</v>
      </c>
      <c r="K9" s="72" t="s">
        <v>34</v>
      </c>
      <c r="L9" s="73" t="s">
        <v>34</v>
      </c>
      <c r="M9" s="131" t="s">
        <v>34</v>
      </c>
      <c r="N9" s="138" t="s">
        <v>235</v>
      </c>
      <c r="O9" s="206" t="s">
        <v>235</v>
      </c>
      <c r="P9" s="73"/>
      <c r="Q9" s="73"/>
      <c r="R9" s="17"/>
      <c r="S9" s="65"/>
      <c r="T9" s="73"/>
      <c r="U9" s="73"/>
      <c r="V9" s="73"/>
      <c r="W9" s="17"/>
      <c r="X9" s="17"/>
      <c r="Y9" s="17"/>
      <c r="Z9" s="17"/>
      <c r="AA9" s="17"/>
    </row>
    <row r="10" spans="1:27" ht="16.5" customHeight="1">
      <c r="A10" s="70" t="s">
        <v>35</v>
      </c>
      <c r="B10" s="71" t="s">
        <v>36</v>
      </c>
      <c r="C10" s="65"/>
      <c r="D10" s="17" t="s">
        <v>37</v>
      </c>
      <c r="E10" s="72"/>
      <c r="F10" s="73"/>
      <c r="G10" s="74" t="s">
        <v>38</v>
      </c>
      <c r="H10" s="72"/>
      <c r="I10" s="73"/>
      <c r="J10" s="74" t="s">
        <v>38</v>
      </c>
      <c r="K10" s="72"/>
      <c r="L10" s="73"/>
      <c r="M10" s="131" t="s">
        <v>38</v>
      </c>
      <c r="N10" s="138" t="s">
        <v>240</v>
      </c>
      <c r="O10" s="206"/>
      <c r="P10" s="73"/>
      <c r="Q10" s="73"/>
      <c r="R10" s="17"/>
      <c r="S10" s="65"/>
      <c r="T10" s="73"/>
      <c r="U10" s="73"/>
      <c r="V10" s="73"/>
      <c r="W10" s="17"/>
      <c r="X10" s="17"/>
      <c r="Y10" s="17"/>
      <c r="Z10" s="17"/>
      <c r="AA10" s="17"/>
    </row>
    <row r="11" spans="1:27" ht="16.5" customHeight="1">
      <c r="A11" s="70" t="s">
        <v>39</v>
      </c>
      <c r="B11" s="71" t="s">
        <v>40</v>
      </c>
      <c r="C11" s="65"/>
      <c r="D11" s="17" t="s">
        <v>41</v>
      </c>
      <c r="E11" s="72"/>
      <c r="F11" s="73" t="s">
        <v>42</v>
      </c>
      <c r="G11" s="74" t="s">
        <v>42</v>
      </c>
      <c r="H11" s="72"/>
      <c r="I11" s="73" t="s">
        <v>42</v>
      </c>
      <c r="J11" s="74" t="s">
        <v>42</v>
      </c>
      <c r="K11" s="72"/>
      <c r="L11" s="73" t="s">
        <v>42</v>
      </c>
      <c r="M11" s="131" t="s">
        <v>42</v>
      </c>
      <c r="N11" s="138" t="s">
        <v>234</v>
      </c>
      <c r="O11" s="206"/>
      <c r="P11" s="73"/>
      <c r="Q11" s="73"/>
      <c r="R11" s="17"/>
      <c r="S11" s="65"/>
      <c r="T11" s="73"/>
      <c r="U11" s="73"/>
      <c r="V11" s="73"/>
      <c r="W11" s="17"/>
      <c r="X11" s="17"/>
      <c r="Y11" s="17"/>
      <c r="Z11" s="17"/>
      <c r="AA11" s="17"/>
    </row>
    <row r="12" spans="1:27" ht="16.5" customHeight="1">
      <c r="A12" s="70" t="s">
        <v>43</v>
      </c>
      <c r="B12" s="71" t="s">
        <v>44</v>
      </c>
      <c r="C12" s="65"/>
      <c r="D12" s="65" t="s">
        <v>45</v>
      </c>
      <c r="E12" s="72" t="s">
        <v>46</v>
      </c>
      <c r="F12" s="73" t="s">
        <v>46</v>
      </c>
      <c r="G12" s="74" t="s">
        <v>46</v>
      </c>
      <c r="H12" s="72" t="s">
        <v>46</v>
      </c>
      <c r="I12" s="73" t="s">
        <v>46</v>
      </c>
      <c r="J12" s="74" t="s">
        <v>46</v>
      </c>
      <c r="K12" s="72" t="s">
        <v>46</v>
      </c>
      <c r="L12" s="73" t="s">
        <v>46</v>
      </c>
      <c r="M12" s="131" t="s">
        <v>46</v>
      </c>
      <c r="N12" s="138" t="s">
        <v>236</v>
      </c>
      <c r="O12" s="206" t="s">
        <v>236</v>
      </c>
      <c r="P12" s="73"/>
      <c r="Q12" s="73"/>
      <c r="R12" s="65"/>
      <c r="S12" s="65"/>
      <c r="T12" s="73"/>
      <c r="U12" s="73"/>
      <c r="V12" s="73"/>
      <c r="W12" s="65"/>
      <c r="X12" s="17"/>
      <c r="Y12" s="17"/>
      <c r="Z12" s="17"/>
      <c r="AA12" s="17"/>
    </row>
    <row r="13" spans="1:27" ht="16.5" customHeight="1">
      <c r="A13" s="70" t="s">
        <v>47</v>
      </c>
      <c r="B13" s="71" t="s">
        <v>44</v>
      </c>
      <c r="C13" s="65"/>
      <c r="D13" s="65" t="s">
        <v>48</v>
      </c>
      <c r="E13" s="72"/>
      <c r="F13" s="73"/>
      <c r="G13" s="74"/>
      <c r="H13" s="72" t="s">
        <v>49</v>
      </c>
      <c r="I13" s="73" t="s">
        <v>49</v>
      </c>
      <c r="J13" s="74" t="s">
        <v>49</v>
      </c>
      <c r="K13" s="72" t="s">
        <v>49</v>
      </c>
      <c r="L13" s="73" t="s">
        <v>49</v>
      </c>
      <c r="M13" s="131" t="s">
        <v>49</v>
      </c>
      <c r="N13" s="138" t="s">
        <v>230</v>
      </c>
      <c r="O13" s="206"/>
      <c r="P13" s="73"/>
      <c r="Q13" s="73"/>
      <c r="R13" s="65"/>
      <c r="S13" s="65"/>
      <c r="T13" s="73"/>
      <c r="U13" s="73"/>
      <c r="V13" s="73"/>
      <c r="W13" s="65"/>
      <c r="X13" s="17"/>
      <c r="Y13" s="17"/>
      <c r="Z13" s="17"/>
      <c r="AA13" s="17"/>
    </row>
    <row r="14" spans="1:27" ht="16.5" customHeight="1">
      <c r="A14" s="70" t="s">
        <v>50</v>
      </c>
      <c r="B14" s="71" t="s">
        <v>51</v>
      </c>
      <c r="C14" s="65"/>
      <c r="D14" s="65" t="s">
        <v>52</v>
      </c>
      <c r="E14" s="72"/>
      <c r="F14" s="73"/>
      <c r="G14" s="74"/>
      <c r="H14" s="72"/>
      <c r="I14" s="73"/>
      <c r="J14" s="74"/>
      <c r="K14" s="72" t="s">
        <v>53</v>
      </c>
      <c r="L14" s="73" t="s">
        <v>53</v>
      </c>
      <c r="M14" s="131" t="s">
        <v>53</v>
      </c>
      <c r="N14" s="138" t="s">
        <v>242</v>
      </c>
      <c r="O14" s="206"/>
      <c r="P14" s="73"/>
      <c r="Q14" s="73"/>
      <c r="R14" s="65"/>
      <c r="S14" s="65"/>
      <c r="T14" s="73"/>
      <c r="U14" s="73"/>
      <c r="V14" s="73"/>
      <c r="W14" s="65"/>
      <c r="X14" s="17"/>
      <c r="Y14" s="17"/>
      <c r="Z14" s="17"/>
      <c r="AA14" s="17"/>
    </row>
    <row r="15" spans="1:27" ht="16.5" customHeight="1">
      <c r="A15" s="70" t="s">
        <v>54</v>
      </c>
      <c r="B15" s="71" t="s">
        <v>55</v>
      </c>
      <c r="C15" s="65"/>
      <c r="D15" s="65" t="s">
        <v>56</v>
      </c>
      <c r="E15" s="72" t="s">
        <v>57</v>
      </c>
      <c r="F15" s="73" t="s">
        <v>57</v>
      </c>
      <c r="G15" s="74" t="s">
        <v>57</v>
      </c>
      <c r="H15" s="72" t="s">
        <v>57</v>
      </c>
      <c r="I15" s="73" t="s">
        <v>57</v>
      </c>
      <c r="J15" s="74" t="s">
        <v>57</v>
      </c>
      <c r="K15" s="72" t="s">
        <v>57</v>
      </c>
      <c r="L15" s="73" t="s">
        <v>57</v>
      </c>
      <c r="M15" s="131" t="s">
        <v>57</v>
      </c>
      <c r="N15" s="138" t="s">
        <v>231</v>
      </c>
      <c r="O15" s="206" t="s">
        <v>231</v>
      </c>
      <c r="P15" s="73"/>
      <c r="Q15" s="73"/>
      <c r="R15" s="65"/>
      <c r="S15" s="65"/>
      <c r="T15" s="73"/>
      <c r="U15" s="73"/>
      <c r="V15" s="73"/>
      <c r="W15" s="65"/>
      <c r="X15" s="17"/>
      <c r="Y15" s="17"/>
      <c r="Z15" s="17"/>
      <c r="AA15" s="17"/>
    </row>
    <row r="16" spans="1:27" ht="16.5" customHeight="1">
      <c r="A16" s="70" t="s">
        <v>58</v>
      </c>
      <c r="B16" s="71" t="s">
        <v>44</v>
      </c>
      <c r="C16" s="65"/>
      <c r="D16" s="65" t="s">
        <v>59</v>
      </c>
      <c r="E16" s="72" t="s">
        <v>60</v>
      </c>
      <c r="F16" s="73" t="s">
        <v>60</v>
      </c>
      <c r="G16" s="74"/>
      <c r="H16" s="72" t="s">
        <v>60</v>
      </c>
      <c r="I16" s="73" t="s">
        <v>60</v>
      </c>
      <c r="J16" s="74"/>
      <c r="K16" s="72" t="s">
        <v>60</v>
      </c>
      <c r="L16" s="73" t="s">
        <v>60</v>
      </c>
      <c r="M16" s="131"/>
      <c r="N16" s="138" t="s">
        <v>232</v>
      </c>
      <c r="O16" s="206" t="s">
        <v>232</v>
      </c>
      <c r="P16" s="73"/>
      <c r="Q16" s="73"/>
      <c r="R16" s="65"/>
      <c r="S16" s="65"/>
      <c r="T16" s="73"/>
      <c r="U16" s="73"/>
      <c r="V16" s="73"/>
      <c r="W16" s="65"/>
      <c r="X16" s="17"/>
      <c r="Y16" s="17"/>
      <c r="Z16" s="17"/>
      <c r="AA16" s="17"/>
    </row>
    <row r="17" spans="1:29" ht="16.5" customHeight="1">
      <c r="A17" s="70"/>
      <c r="B17" s="71" t="s">
        <v>223</v>
      </c>
      <c r="C17" s="65"/>
      <c r="D17" s="65" t="s">
        <v>61</v>
      </c>
      <c r="E17" s="77" t="s">
        <v>62</v>
      </c>
      <c r="F17" s="78"/>
      <c r="G17" s="79"/>
      <c r="H17" s="77" t="s">
        <v>62</v>
      </c>
      <c r="I17" s="78"/>
      <c r="J17" s="79"/>
      <c r="K17" s="77" t="s">
        <v>62</v>
      </c>
      <c r="L17" s="78"/>
      <c r="M17" s="78"/>
      <c r="N17" s="139"/>
      <c r="O17" s="207"/>
      <c r="P17" s="73"/>
      <c r="Q17" s="73"/>
      <c r="R17" s="65"/>
      <c r="S17" s="65"/>
      <c r="T17" s="73"/>
      <c r="U17" s="73"/>
      <c r="V17" s="73"/>
      <c r="W17" s="65"/>
      <c r="X17" s="17"/>
      <c r="Y17" s="17"/>
      <c r="Z17" s="17"/>
      <c r="AA17" s="17"/>
    </row>
    <row r="18" spans="1:29" ht="16.5" customHeight="1">
      <c r="A18" s="70" t="s">
        <v>288</v>
      </c>
      <c r="B18" s="71" t="s">
        <v>287</v>
      </c>
      <c r="C18" s="65"/>
      <c r="D18" s="65"/>
      <c r="E18" s="73"/>
      <c r="F18" s="73"/>
      <c r="G18" s="73"/>
      <c r="H18" s="73"/>
      <c r="I18" s="73"/>
      <c r="J18" s="73"/>
      <c r="K18" s="73"/>
      <c r="L18" s="73"/>
      <c r="M18" s="73"/>
      <c r="N18" s="65"/>
      <c r="O18" s="73"/>
      <c r="P18" s="73"/>
      <c r="Q18" s="73"/>
      <c r="R18" s="65"/>
      <c r="S18" s="65"/>
      <c r="T18" s="73"/>
      <c r="U18" s="73"/>
      <c r="V18" s="73"/>
      <c r="W18" s="65"/>
      <c r="X18" s="17"/>
      <c r="Y18" s="17"/>
      <c r="Z18" s="17"/>
      <c r="AA18" s="17"/>
    </row>
    <row r="19" spans="1:29" ht="16.5" customHeight="1">
      <c r="A19" s="70" t="s">
        <v>299</v>
      </c>
      <c r="B19" s="71" t="s">
        <v>300</v>
      </c>
      <c r="C19" s="65"/>
      <c r="D19" s="65"/>
      <c r="E19" s="73"/>
      <c r="F19" s="73"/>
      <c r="G19" s="73"/>
      <c r="H19" s="65"/>
      <c r="I19" s="73"/>
      <c r="J19" s="73"/>
      <c r="K19" s="73"/>
      <c r="L19" s="73"/>
      <c r="M19" s="73"/>
      <c r="N19" s="73"/>
      <c r="O19" s="73"/>
      <c r="P19" s="73"/>
      <c r="Q19" s="73"/>
      <c r="R19" s="65"/>
      <c r="S19" s="73"/>
      <c r="T19" s="73"/>
      <c r="U19" s="73"/>
      <c r="V19" s="73"/>
      <c r="W19" s="65"/>
      <c r="X19" s="17"/>
      <c r="Y19" s="17"/>
      <c r="Z19" s="17"/>
      <c r="AA19" s="17"/>
    </row>
    <row r="20" spans="1:29" ht="16.5" customHeight="1">
      <c r="A20" s="75"/>
      <c r="B20" s="76"/>
      <c r="C20" s="65"/>
      <c r="D20" s="65"/>
      <c r="E20" s="73"/>
      <c r="F20" s="73"/>
      <c r="G20" s="73"/>
      <c r="H20" s="65"/>
      <c r="I20" s="73"/>
      <c r="J20" s="73"/>
      <c r="K20" s="73"/>
      <c r="L20" s="73"/>
      <c r="M20" s="73"/>
      <c r="N20" s="73"/>
      <c r="O20" s="73"/>
      <c r="P20" s="73"/>
      <c r="Q20" s="73"/>
      <c r="R20" s="65"/>
      <c r="S20" s="73"/>
      <c r="T20" s="73"/>
      <c r="U20" s="73"/>
      <c r="V20" s="73"/>
      <c r="W20" s="65"/>
      <c r="X20" s="17"/>
      <c r="Y20" s="17"/>
      <c r="Z20" s="17"/>
      <c r="AA20" s="17"/>
    </row>
    <row r="21" spans="1:29" ht="16.5" customHeight="1">
      <c r="A21" s="17"/>
      <c r="B21" s="17"/>
      <c r="C21" s="65"/>
      <c r="D21" s="65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</row>
    <row r="22" spans="1:29" ht="16.5" customHeight="1">
      <c r="A22" s="17"/>
      <c r="B22" s="17"/>
      <c r="C22" s="65"/>
      <c r="D22" s="65"/>
      <c r="E22" s="286" t="s">
        <v>3</v>
      </c>
      <c r="F22" s="287"/>
      <c r="G22" s="287"/>
      <c r="H22" s="286" t="s">
        <v>4</v>
      </c>
      <c r="I22" s="287"/>
      <c r="J22" s="287"/>
      <c r="K22" s="286" t="s">
        <v>5</v>
      </c>
      <c r="L22" s="287"/>
      <c r="M22" s="287"/>
      <c r="N22" s="125" t="s">
        <v>243</v>
      </c>
      <c r="O22" s="189" t="s">
        <v>309</v>
      </c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</row>
    <row r="23" spans="1:29" ht="16.5" customHeight="1">
      <c r="A23" s="17"/>
      <c r="B23" s="17"/>
      <c r="C23" s="65"/>
      <c r="D23" s="73" t="s">
        <v>63</v>
      </c>
      <c r="E23" s="68" t="s">
        <v>8</v>
      </c>
      <c r="F23" s="129" t="s">
        <v>9</v>
      </c>
      <c r="G23" s="69" t="s">
        <v>10</v>
      </c>
      <c r="H23" s="68" t="s">
        <v>11</v>
      </c>
      <c r="I23" s="129" t="s">
        <v>12</v>
      </c>
      <c r="J23" s="136" t="s">
        <v>13</v>
      </c>
      <c r="K23" s="68" t="s">
        <v>14</v>
      </c>
      <c r="L23" s="129" t="s">
        <v>15</v>
      </c>
      <c r="M23" s="69" t="s">
        <v>16</v>
      </c>
      <c r="N23" s="137" t="s">
        <v>244</v>
      </c>
      <c r="O23" s="163" t="s">
        <v>310</v>
      </c>
      <c r="P23" s="17"/>
      <c r="Q23" s="73"/>
      <c r="R23" s="73"/>
      <c r="S23" s="73"/>
      <c r="T23" s="17"/>
      <c r="U23" s="17"/>
      <c r="V23" s="73"/>
      <c r="W23" s="73"/>
      <c r="X23" s="73"/>
      <c r="Y23" s="73"/>
      <c r="Z23" s="73"/>
      <c r="AA23" s="73"/>
      <c r="AB23" s="80"/>
      <c r="AC23" s="73"/>
    </row>
    <row r="24" spans="1:29" ht="16.5" customHeight="1">
      <c r="A24" s="17"/>
      <c r="B24" s="17"/>
      <c r="C24" s="65"/>
      <c r="D24" s="65" t="s">
        <v>18</v>
      </c>
      <c r="E24" s="165" t="str">
        <f t="shared" ref="E24:O35" si="0">(IFERROR(INDEX($A:$A,(MATCH(E$23,$A:$A,0)+ROW()-ROW(E$23))*2-(MATCH(E$23,$A:$A,0)+1)),""))</f>
        <v>H,K</v>
      </c>
      <c r="F24" s="166" t="str">
        <f t="shared" si="0"/>
        <v>H,K</v>
      </c>
      <c r="G24" s="166" t="str">
        <f t="shared" si="0"/>
        <v>H</v>
      </c>
      <c r="H24" s="165" t="str">
        <f t="shared" si="0"/>
        <v>H,K</v>
      </c>
      <c r="I24" s="166" t="str">
        <f t="shared" si="0"/>
        <v>H,K</v>
      </c>
      <c r="J24" s="136" t="str">
        <f t="shared" si="0"/>
        <v>H,D</v>
      </c>
      <c r="K24" s="165" t="str">
        <f t="shared" si="0"/>
        <v>H,K</v>
      </c>
      <c r="L24" s="166" t="str">
        <f t="shared" si="0"/>
        <v>H,K</v>
      </c>
      <c r="M24" s="136" t="str">
        <f t="shared" si="0"/>
        <v>H</v>
      </c>
      <c r="N24" s="136" t="str">
        <f t="shared" si="0"/>
        <v>H,K</v>
      </c>
      <c r="O24" s="136" t="str">
        <f t="shared" si="0"/>
        <v>H</v>
      </c>
      <c r="P24" s="73"/>
      <c r="Q24" s="73"/>
      <c r="R24" s="65"/>
      <c r="S24" s="73"/>
      <c r="T24" s="73"/>
      <c r="U24" s="73"/>
      <c r="V24" s="73"/>
      <c r="W24" s="65"/>
      <c r="X24" s="17"/>
      <c r="Y24" s="17"/>
      <c r="Z24" s="17"/>
      <c r="AA24" s="17"/>
    </row>
    <row r="25" spans="1:29" ht="16.5" customHeight="1">
      <c r="A25" s="17"/>
      <c r="B25" s="17"/>
      <c r="C25" s="65"/>
      <c r="D25" s="65" t="s">
        <v>22</v>
      </c>
      <c r="E25" s="130" t="str">
        <f t="shared" si="0"/>
        <v/>
      </c>
      <c r="F25" s="131" t="str">
        <f t="shared" si="0"/>
        <v>D</v>
      </c>
      <c r="G25" s="131" t="str">
        <f t="shared" si="0"/>
        <v>D</v>
      </c>
      <c r="H25" s="130" t="str">
        <f t="shared" si="0"/>
        <v>D</v>
      </c>
      <c r="I25" s="131" t="str">
        <f t="shared" si="0"/>
        <v/>
      </c>
      <c r="J25" s="132" t="str">
        <f t="shared" si="0"/>
        <v>I</v>
      </c>
      <c r="K25" s="130" t="str">
        <f t="shared" si="0"/>
        <v>I</v>
      </c>
      <c r="L25" s="131" t="str">
        <f t="shared" si="0"/>
        <v>I</v>
      </c>
      <c r="M25" s="132" t="str">
        <f t="shared" si="0"/>
        <v>J</v>
      </c>
      <c r="N25" s="132" t="str">
        <f t="shared" si="0"/>
        <v>J</v>
      </c>
      <c r="O25" s="132" t="str">
        <f t="shared" si="0"/>
        <v>K</v>
      </c>
      <c r="P25" s="73"/>
      <c r="Q25" s="73"/>
      <c r="R25" s="65"/>
      <c r="S25" s="73"/>
      <c r="T25" s="73"/>
      <c r="U25" s="73"/>
      <c r="V25" s="73"/>
      <c r="W25" s="65"/>
      <c r="X25" s="17"/>
      <c r="Y25" s="17"/>
      <c r="Z25" s="17"/>
      <c r="AA25" s="17"/>
    </row>
    <row r="26" spans="1:29" ht="16.5" customHeight="1">
      <c r="A26" s="17"/>
      <c r="B26" s="17"/>
      <c r="C26" s="65"/>
      <c r="D26" s="17" t="s">
        <v>25</v>
      </c>
      <c r="E26" s="130" t="str">
        <f t="shared" si="0"/>
        <v>D,M</v>
      </c>
      <c r="F26" s="131" t="str">
        <f t="shared" si="0"/>
        <v>F</v>
      </c>
      <c r="G26" s="131" t="str">
        <f t="shared" si="0"/>
        <v>K</v>
      </c>
      <c r="H26" s="130" t="str">
        <f t="shared" si="0"/>
        <v>I,M</v>
      </c>
      <c r="I26" s="131" t="str">
        <f t="shared" si="0"/>
        <v>F</v>
      </c>
      <c r="J26" s="132" t="str">
        <f t="shared" si="0"/>
        <v>F,K</v>
      </c>
      <c r="K26" s="130" t="str">
        <f t="shared" si="0"/>
        <v>J,M</v>
      </c>
      <c r="L26" s="131" t="str">
        <f t="shared" si="0"/>
        <v>F</v>
      </c>
      <c r="M26" s="132" t="str">
        <f t="shared" si="0"/>
        <v>D,K</v>
      </c>
      <c r="N26" s="132" t="str">
        <f t="shared" si="0"/>
        <v>D,L</v>
      </c>
      <c r="O26" s="132" t="str">
        <f t="shared" si="0"/>
        <v>C</v>
      </c>
      <c r="P26" s="73"/>
      <c r="Q26" s="73"/>
      <c r="R26" s="17"/>
      <c r="S26" s="73"/>
      <c r="T26" s="73"/>
      <c r="U26" s="73"/>
      <c r="V26" s="73"/>
      <c r="W26" s="17"/>
      <c r="X26" s="17"/>
      <c r="Y26" s="17"/>
      <c r="Z26" s="17"/>
      <c r="AA26" s="17"/>
    </row>
    <row r="27" spans="1:29" ht="16.5" customHeight="1">
      <c r="A27" s="17"/>
      <c r="B27" s="17"/>
      <c r="C27" s="65"/>
      <c r="D27" s="17" t="s">
        <v>29</v>
      </c>
      <c r="E27" s="130" t="str">
        <f t="shared" si="0"/>
        <v/>
      </c>
      <c r="F27" s="131" t="str">
        <f t="shared" si="0"/>
        <v/>
      </c>
      <c r="G27" s="131" t="str">
        <f t="shared" si="0"/>
        <v/>
      </c>
      <c r="H27" s="130" t="str">
        <f t="shared" si="0"/>
        <v/>
      </c>
      <c r="I27" s="131" t="str">
        <f t="shared" si="0"/>
        <v/>
      </c>
      <c r="J27" s="132" t="str">
        <f t="shared" si="0"/>
        <v/>
      </c>
      <c r="K27" s="130" t="str">
        <f t="shared" si="0"/>
        <v/>
      </c>
      <c r="L27" s="131" t="str">
        <f t="shared" si="0"/>
        <v/>
      </c>
      <c r="M27" s="132" t="str">
        <f t="shared" si="0"/>
        <v/>
      </c>
      <c r="N27" s="132" t="str">
        <f t="shared" si="0"/>
        <v/>
      </c>
      <c r="O27" s="132" t="str">
        <f t="shared" si="0"/>
        <v>D</v>
      </c>
      <c r="P27" s="73"/>
      <c r="Q27" s="73"/>
      <c r="R27" s="17"/>
      <c r="S27" s="73"/>
      <c r="T27" s="73"/>
      <c r="U27" s="73"/>
      <c r="V27" s="73"/>
      <c r="W27" s="17"/>
      <c r="X27" s="17"/>
      <c r="Y27" s="17"/>
      <c r="Z27" s="17"/>
      <c r="AA27" s="17"/>
    </row>
    <row r="28" spans="1:29" ht="16.5" customHeight="1">
      <c r="A28" s="17"/>
      <c r="B28" s="17"/>
      <c r="C28" s="65"/>
      <c r="D28" s="17" t="s">
        <v>33</v>
      </c>
      <c r="E28" s="130" t="str">
        <f t="shared" si="0"/>
        <v>B</v>
      </c>
      <c r="F28" s="131" t="str">
        <f t="shared" si="0"/>
        <v>A</v>
      </c>
      <c r="G28" s="131" t="str">
        <f t="shared" si="0"/>
        <v>A</v>
      </c>
      <c r="H28" s="130" t="str">
        <f t="shared" si="0"/>
        <v>A</v>
      </c>
      <c r="I28" s="131" t="str">
        <f t="shared" si="0"/>
        <v>A</v>
      </c>
      <c r="J28" s="132" t="str">
        <f t="shared" si="0"/>
        <v>A</v>
      </c>
      <c r="K28" s="130" t="str">
        <f t="shared" si="0"/>
        <v>A</v>
      </c>
      <c r="L28" s="131" t="str">
        <f t="shared" si="0"/>
        <v>A</v>
      </c>
      <c r="M28" s="132" t="str">
        <f t="shared" si="0"/>
        <v>I</v>
      </c>
      <c r="N28" s="132" t="str">
        <f t="shared" si="0"/>
        <v>I</v>
      </c>
      <c r="O28" s="132" t="str">
        <f t="shared" si="0"/>
        <v>L</v>
      </c>
      <c r="P28" s="73"/>
      <c r="Q28" s="73"/>
      <c r="R28" s="17"/>
      <c r="S28" s="73"/>
      <c r="T28" s="73"/>
      <c r="U28" s="73"/>
      <c r="V28" s="73"/>
      <c r="W28" s="17"/>
      <c r="X28" s="17"/>
      <c r="Y28" s="17"/>
      <c r="Z28" s="17"/>
      <c r="AA28" s="17"/>
    </row>
    <row r="29" spans="1:29" ht="16.5" customHeight="1">
      <c r="A29" s="17"/>
      <c r="B29" s="17"/>
      <c r="C29" s="65"/>
      <c r="D29" s="17" t="s">
        <v>37</v>
      </c>
      <c r="E29" s="130" t="str">
        <f t="shared" si="0"/>
        <v>A</v>
      </c>
      <c r="F29" s="131" t="str">
        <f t="shared" si="0"/>
        <v>B</v>
      </c>
      <c r="G29" s="131" t="str">
        <f t="shared" si="0"/>
        <v>B,F</v>
      </c>
      <c r="H29" s="130" t="str">
        <f t="shared" si="0"/>
        <v>B</v>
      </c>
      <c r="I29" s="131" t="str">
        <f t="shared" si="0"/>
        <v>C,I</v>
      </c>
      <c r="J29" s="132" t="str">
        <f t="shared" si="0"/>
        <v>C</v>
      </c>
      <c r="K29" s="130" t="str">
        <f t="shared" si="0"/>
        <v>C</v>
      </c>
      <c r="L29" s="131" t="str">
        <f t="shared" si="0"/>
        <v>C,J</v>
      </c>
      <c r="M29" s="132" t="str">
        <f t="shared" si="0"/>
        <v>B,F</v>
      </c>
      <c r="N29" s="132" t="str">
        <f t="shared" si="0"/>
        <v>B,F</v>
      </c>
      <c r="O29" s="132" t="str">
        <f t="shared" si="0"/>
        <v>A</v>
      </c>
      <c r="P29" s="73"/>
      <c r="Q29" s="73"/>
      <c r="R29" s="17"/>
      <c r="S29" s="73"/>
      <c r="T29" s="73"/>
      <c r="U29" s="73"/>
      <c r="V29" s="73"/>
      <c r="W29" s="17"/>
      <c r="X29" s="17"/>
      <c r="Y29" s="17"/>
      <c r="Z29" s="17"/>
      <c r="AA29" s="17"/>
    </row>
    <row r="30" spans="1:29" ht="16.5" customHeight="1">
      <c r="A30" s="17"/>
      <c r="B30" s="17"/>
      <c r="C30" s="65"/>
      <c r="D30" s="17" t="s">
        <v>41</v>
      </c>
      <c r="E30" s="130" t="str">
        <f t="shared" si="0"/>
        <v>C</v>
      </c>
      <c r="F30" s="131" t="str">
        <f t="shared" si="0"/>
        <v>C</v>
      </c>
      <c r="G30" s="131" t="str">
        <f t="shared" si="0"/>
        <v>C</v>
      </c>
      <c r="H30" s="130" t="str">
        <f t="shared" si="0"/>
        <v>C</v>
      </c>
      <c r="I30" s="131" t="str">
        <f t="shared" si="0"/>
        <v>B,D</v>
      </c>
      <c r="J30" s="132" t="str">
        <f t="shared" si="0"/>
        <v>B</v>
      </c>
      <c r="K30" s="130" t="str">
        <f t="shared" si="0"/>
        <v>B,D</v>
      </c>
      <c r="L30" s="131" t="str">
        <f t="shared" si="0"/>
        <v>B,D</v>
      </c>
      <c r="M30" s="132" t="str">
        <f t="shared" si="0"/>
        <v>C,A</v>
      </c>
      <c r="N30" s="132" t="str">
        <f t="shared" si="0"/>
        <v>C,A</v>
      </c>
      <c r="O30" s="132" t="str">
        <f t="shared" si="0"/>
        <v>B</v>
      </c>
      <c r="P30" s="73"/>
      <c r="Q30" s="73"/>
      <c r="R30" s="17"/>
      <c r="S30" s="73"/>
      <c r="T30" s="73"/>
      <c r="U30" s="73"/>
      <c r="V30" s="73"/>
      <c r="W30" s="17"/>
      <c r="X30" s="17"/>
      <c r="Y30" s="17"/>
      <c r="Z30" s="17"/>
      <c r="AA30" s="17"/>
    </row>
    <row r="31" spans="1:29" ht="16.5" customHeight="1">
      <c r="A31" s="17"/>
      <c r="B31" s="17"/>
      <c r="C31" s="65"/>
      <c r="D31" s="17" t="s">
        <v>64</v>
      </c>
      <c r="E31" s="130" t="str">
        <f t="shared" si="0"/>
        <v/>
      </c>
      <c r="F31" s="131" t="str">
        <f t="shared" si="0"/>
        <v/>
      </c>
      <c r="G31" s="131" t="str">
        <f t="shared" si="0"/>
        <v/>
      </c>
      <c r="H31" s="130" t="str">
        <f t="shared" si="0"/>
        <v/>
      </c>
      <c r="I31" s="131" t="str">
        <f t="shared" si="0"/>
        <v/>
      </c>
      <c r="J31" s="132" t="str">
        <f t="shared" si="0"/>
        <v/>
      </c>
      <c r="K31" s="130" t="str">
        <f t="shared" si="0"/>
        <v/>
      </c>
      <c r="L31" s="131" t="str">
        <f t="shared" si="0"/>
        <v/>
      </c>
      <c r="M31" s="132" t="str">
        <f t="shared" si="0"/>
        <v/>
      </c>
      <c r="N31" s="132" t="str">
        <f t="shared" si="0"/>
        <v/>
      </c>
      <c r="O31" s="132" t="str">
        <f t="shared" si="0"/>
        <v/>
      </c>
      <c r="P31" s="73"/>
      <c r="Q31" s="73"/>
      <c r="R31" s="17"/>
      <c r="S31" s="73"/>
      <c r="T31" s="73"/>
      <c r="U31" s="73"/>
      <c r="V31" s="73"/>
      <c r="W31" s="17"/>
      <c r="X31" s="17"/>
      <c r="Y31" s="17"/>
      <c r="Z31" s="17"/>
      <c r="AA31" s="17"/>
    </row>
    <row r="32" spans="1:29" ht="16.5" customHeight="1">
      <c r="A32" s="17"/>
      <c r="B32" s="17"/>
      <c r="C32" s="65"/>
      <c r="D32" s="65" t="s">
        <v>356</v>
      </c>
      <c r="E32" s="130" t="str">
        <f t="shared" si="0"/>
        <v/>
      </c>
      <c r="F32" s="131" t="str">
        <f t="shared" si="0"/>
        <v/>
      </c>
      <c r="G32" s="131" t="str">
        <f t="shared" si="0"/>
        <v/>
      </c>
      <c r="H32" s="130" t="str">
        <f t="shared" si="0"/>
        <v/>
      </c>
      <c r="I32" s="131" t="str">
        <f t="shared" si="0"/>
        <v/>
      </c>
      <c r="J32" s="132" t="str">
        <f t="shared" si="0"/>
        <v/>
      </c>
      <c r="K32" s="130" t="str">
        <f t="shared" si="0"/>
        <v/>
      </c>
      <c r="L32" s="131" t="str">
        <f t="shared" si="0"/>
        <v/>
      </c>
      <c r="M32" s="132" t="str">
        <f t="shared" si="0"/>
        <v/>
      </c>
      <c r="N32" s="132" t="str">
        <f t="shared" si="0"/>
        <v/>
      </c>
      <c r="O32" s="132" t="str">
        <f t="shared" si="0"/>
        <v/>
      </c>
      <c r="P32" s="73"/>
      <c r="Q32" s="73"/>
      <c r="R32" s="65"/>
      <c r="S32" s="73"/>
      <c r="T32" s="73"/>
      <c r="U32" s="73"/>
      <c r="V32" s="73"/>
      <c r="W32" s="65"/>
      <c r="X32" s="17"/>
      <c r="Y32" s="17"/>
      <c r="Z32" s="17"/>
      <c r="AA32" s="17"/>
    </row>
    <row r="33" spans="1:29" ht="16.5" customHeight="1">
      <c r="A33" s="17"/>
      <c r="B33" s="17"/>
      <c r="C33" s="65"/>
      <c r="D33" s="65" t="s">
        <v>65</v>
      </c>
      <c r="E33" s="130" t="str">
        <f t="shared" si="0"/>
        <v/>
      </c>
      <c r="F33" s="131" t="str">
        <f t="shared" si="0"/>
        <v/>
      </c>
      <c r="G33" s="131" t="str">
        <f t="shared" si="0"/>
        <v/>
      </c>
      <c r="H33" s="130" t="str">
        <f t="shared" si="0"/>
        <v/>
      </c>
      <c r="I33" s="131" t="str">
        <f t="shared" si="0"/>
        <v/>
      </c>
      <c r="J33" s="132" t="str">
        <f t="shared" si="0"/>
        <v/>
      </c>
      <c r="K33" s="130" t="str">
        <f t="shared" si="0"/>
        <v/>
      </c>
      <c r="L33" s="131" t="str">
        <f t="shared" si="0"/>
        <v/>
      </c>
      <c r="M33" s="132" t="str">
        <f t="shared" si="0"/>
        <v/>
      </c>
      <c r="N33" s="132" t="str">
        <f t="shared" si="0"/>
        <v/>
      </c>
      <c r="O33" s="132" t="str">
        <f t="shared" si="0"/>
        <v/>
      </c>
      <c r="P33" s="73"/>
      <c r="Q33" s="73"/>
      <c r="R33" s="65"/>
      <c r="S33" s="73"/>
      <c r="T33" s="73"/>
      <c r="U33" s="73"/>
      <c r="V33" s="73"/>
      <c r="W33" s="65"/>
      <c r="X33" s="17"/>
      <c r="Y33" s="17"/>
      <c r="Z33" s="17"/>
      <c r="AA33" s="17"/>
    </row>
    <row r="34" spans="1:29" ht="16.5" customHeight="1">
      <c r="A34" s="17"/>
      <c r="B34" s="17"/>
      <c r="C34" s="65"/>
      <c r="D34" s="65" t="s">
        <v>66</v>
      </c>
      <c r="E34" s="130" t="str">
        <f t="shared" si="0"/>
        <v/>
      </c>
      <c r="F34" s="131" t="str">
        <f t="shared" si="0"/>
        <v/>
      </c>
      <c r="G34" s="131" t="str">
        <f t="shared" si="0"/>
        <v/>
      </c>
      <c r="H34" s="130" t="str">
        <f t="shared" si="0"/>
        <v/>
      </c>
      <c r="I34" s="131" t="str">
        <f t="shared" si="0"/>
        <v/>
      </c>
      <c r="J34" s="132" t="str">
        <f t="shared" si="0"/>
        <v/>
      </c>
      <c r="K34" s="130" t="str">
        <f t="shared" si="0"/>
        <v/>
      </c>
      <c r="L34" s="131" t="str">
        <f t="shared" si="0"/>
        <v/>
      </c>
      <c r="M34" s="132" t="str">
        <f t="shared" si="0"/>
        <v/>
      </c>
      <c r="N34" s="132" t="str">
        <f t="shared" si="0"/>
        <v/>
      </c>
      <c r="O34" s="132" t="str">
        <f t="shared" si="0"/>
        <v/>
      </c>
      <c r="P34" s="73"/>
      <c r="Q34" s="73"/>
      <c r="R34" s="65"/>
      <c r="S34" s="73"/>
      <c r="T34" s="73"/>
      <c r="U34" s="73"/>
      <c r="V34" s="73"/>
      <c r="W34" s="65"/>
      <c r="X34" s="17"/>
      <c r="Y34" s="17"/>
      <c r="Z34" s="17"/>
      <c r="AA34" s="17"/>
    </row>
    <row r="35" spans="1:29" ht="16.5" customHeight="1">
      <c r="A35" s="17"/>
      <c r="B35" s="17"/>
      <c r="C35" s="65"/>
      <c r="D35" s="65" t="s">
        <v>67</v>
      </c>
      <c r="E35" s="133" t="str">
        <f t="shared" si="0"/>
        <v>G,L</v>
      </c>
      <c r="F35" s="134" t="str">
        <f t="shared" si="0"/>
        <v>G,L</v>
      </c>
      <c r="G35" s="134" t="str">
        <f t="shared" si="0"/>
        <v>G,E</v>
      </c>
      <c r="H35" s="133" t="str">
        <f t="shared" si="0"/>
        <v>G,L</v>
      </c>
      <c r="I35" s="134" t="str">
        <f t="shared" si="0"/>
        <v>G,L</v>
      </c>
      <c r="J35" s="135" t="str">
        <f t="shared" si="0"/>
        <v>G,E</v>
      </c>
      <c r="K35" s="133" t="str">
        <f t="shared" si="0"/>
        <v>G,L</v>
      </c>
      <c r="L35" s="134" t="str">
        <f t="shared" si="0"/>
        <v>G,L</v>
      </c>
      <c r="M35" s="135" t="str">
        <f t="shared" si="0"/>
        <v>G,E</v>
      </c>
      <c r="N35" s="135" t="str">
        <f t="shared" si="0"/>
        <v>G,E</v>
      </c>
      <c r="O35" s="135" t="str">
        <f t="shared" si="0"/>
        <v>G</v>
      </c>
      <c r="P35" s="73"/>
      <c r="Q35" s="73"/>
      <c r="R35" s="65"/>
      <c r="S35" s="73"/>
      <c r="T35" s="73"/>
      <c r="U35" s="73"/>
      <c r="V35" s="73"/>
      <c r="W35" s="65"/>
      <c r="X35" s="17"/>
      <c r="Y35" s="17"/>
      <c r="Z35" s="17"/>
      <c r="AA35" s="17"/>
    </row>
    <row r="36" spans="1:29" ht="16.5" customHeight="1">
      <c r="A36" s="17"/>
      <c r="B36" s="65"/>
      <c r="C36" s="65"/>
      <c r="F36" s="17"/>
      <c r="G36" s="17"/>
      <c r="H36" s="17"/>
    </row>
    <row r="37" spans="1:29" s="218" customFormat="1" ht="16.5" customHeight="1">
      <c r="A37" s="217" t="s">
        <v>321</v>
      </c>
      <c r="B37" s="217" t="s">
        <v>320</v>
      </c>
      <c r="C37" s="217" t="s">
        <v>319</v>
      </c>
      <c r="D37" s="218" t="s">
        <v>301</v>
      </c>
      <c r="E37" s="218" t="s">
        <v>318</v>
      </c>
      <c r="F37" s="219" t="s">
        <v>317</v>
      </c>
      <c r="G37" s="219" t="s">
        <v>316</v>
      </c>
      <c r="H37" s="219" t="s">
        <v>311</v>
      </c>
      <c r="I37" s="218" t="s">
        <v>322</v>
      </c>
      <c r="J37" s="218" t="s">
        <v>323</v>
      </c>
      <c r="K37" s="218" t="s">
        <v>312</v>
      </c>
      <c r="L37" s="218" t="s">
        <v>324</v>
      </c>
      <c r="M37" s="218" t="s">
        <v>325</v>
      </c>
      <c r="N37" s="218" t="s">
        <v>313</v>
      </c>
      <c r="O37" s="218" t="s">
        <v>326</v>
      </c>
      <c r="P37" s="218" t="s">
        <v>327</v>
      </c>
      <c r="Q37" s="218" t="s">
        <v>314</v>
      </c>
      <c r="R37" s="218" t="s">
        <v>328</v>
      </c>
      <c r="S37" s="218" t="s">
        <v>329</v>
      </c>
      <c r="T37" s="218" t="s">
        <v>315</v>
      </c>
      <c r="U37" s="218" t="s">
        <v>330</v>
      </c>
      <c r="V37" s="218" t="s">
        <v>331</v>
      </c>
      <c r="W37" s="218" t="s">
        <v>332</v>
      </c>
      <c r="X37" s="218" t="s">
        <v>333</v>
      </c>
      <c r="Y37" s="218" t="s">
        <v>334</v>
      </c>
      <c r="Z37" s="218" t="s">
        <v>337</v>
      </c>
      <c r="AA37" s="218" t="s">
        <v>336</v>
      </c>
      <c r="AB37" s="218" t="s">
        <v>335</v>
      </c>
      <c r="AC37" s="219" t="s">
        <v>338</v>
      </c>
    </row>
    <row r="38" spans="1:29" s="218" customFormat="1" ht="16.5" customHeight="1">
      <c r="A38" s="217" t="s">
        <v>8</v>
      </c>
      <c r="B38" s="217" t="s">
        <v>68</v>
      </c>
      <c r="C38" s="217" t="s">
        <v>69</v>
      </c>
      <c r="F38" s="219"/>
      <c r="G38" s="219"/>
      <c r="H38" s="219"/>
      <c r="AC38" s="219"/>
    </row>
    <row r="39" spans="1:29" s="218" customFormat="1" ht="16.5" customHeight="1">
      <c r="A39" s="219" t="str">
        <f>_xlfn.TEXTJOIN(",",TRUE,B39:C39)</f>
        <v>H,K</v>
      </c>
      <c r="B39" s="217" t="s">
        <v>46</v>
      </c>
      <c r="C39" s="217" t="s">
        <v>231</v>
      </c>
      <c r="D39" s="220" t="s">
        <v>8</v>
      </c>
      <c r="E39" s="221" t="s">
        <v>70</v>
      </c>
      <c r="F39" s="218" t="str">
        <f t="shared" ref="F39:F62" si="1">$D39&amp;$E39</f>
        <v>3+608-09</v>
      </c>
      <c r="G39" s="222" t="s">
        <v>19</v>
      </c>
      <c r="H39" s="222"/>
      <c r="I39" s="222" t="s">
        <v>26</v>
      </c>
      <c r="J39" s="222" t="s">
        <v>30</v>
      </c>
      <c r="K39" s="222"/>
      <c r="L39" s="222" t="s">
        <v>34</v>
      </c>
      <c r="M39" s="222" t="s">
        <v>23</v>
      </c>
      <c r="N39" s="222"/>
      <c r="O39" s="222" t="s">
        <v>62</v>
      </c>
      <c r="P39" s="220"/>
      <c r="Q39" s="220"/>
      <c r="R39" s="220"/>
      <c r="S39" s="222"/>
      <c r="T39" s="222"/>
      <c r="U39" s="220"/>
      <c r="V39" s="220"/>
      <c r="W39" s="220" t="s">
        <v>232</v>
      </c>
      <c r="X39" s="223">
        <f t="shared" ref="X39:X62" si="2">COUNTA(B39:C39,G39:W39)</f>
        <v>9</v>
      </c>
      <c r="Y39" s="223"/>
      <c r="Z39" s="219" t="s">
        <v>71</v>
      </c>
      <c r="AA39" s="219" t="s">
        <v>72</v>
      </c>
      <c r="AB39" s="219" t="s">
        <v>73</v>
      </c>
      <c r="AC39" s="219" t="str" cm="1">
        <f t="array" ref="AC39">_xlfn.TEXTJOIN(", ", TRUE, _xlfn.UNIQUE(_xlfn._xlws.FILTER(G39:W39, COUNTIF(G39:W39, G39:W39)&gt;1, "無")))</f>
        <v>無</v>
      </c>
    </row>
    <row r="40" spans="1:29" s="218" customFormat="1" ht="16.5" customHeight="1">
      <c r="A40" s="219" t="str">
        <f t="shared" ref="A40:A62" si="3">_xlfn.TEXTJOIN(",",TRUE,B40:C40)</f>
        <v>H,K</v>
      </c>
      <c r="B40" s="217" t="s">
        <v>46</v>
      </c>
      <c r="C40" s="217" t="s">
        <v>231</v>
      </c>
      <c r="D40" s="220" t="s">
        <v>8</v>
      </c>
      <c r="E40" s="221" t="s">
        <v>74</v>
      </c>
      <c r="F40" s="218" t="str">
        <f t="shared" si="1"/>
        <v>3+609-10</v>
      </c>
      <c r="G40" s="222" t="s">
        <v>19</v>
      </c>
      <c r="H40" s="222"/>
      <c r="I40" s="222" t="s">
        <v>26</v>
      </c>
      <c r="J40" s="222" t="s">
        <v>30</v>
      </c>
      <c r="K40" s="222"/>
      <c r="L40" s="222" t="s">
        <v>34</v>
      </c>
      <c r="M40" s="222" t="s">
        <v>23</v>
      </c>
      <c r="N40" s="222"/>
      <c r="O40" s="222" t="s">
        <v>62</v>
      </c>
      <c r="P40" s="220"/>
      <c r="Q40" s="220"/>
      <c r="R40" s="220"/>
      <c r="S40" s="222"/>
      <c r="T40" s="222"/>
      <c r="U40" s="220"/>
      <c r="V40" s="220"/>
      <c r="W40" s="220" t="s">
        <v>232</v>
      </c>
      <c r="X40" s="223">
        <f t="shared" si="2"/>
        <v>9</v>
      </c>
      <c r="Y40" s="223" t="s">
        <v>19</v>
      </c>
      <c r="Z40" s="219">
        <f t="shared" ref="Z40:Z48" si="4">COUNTIF($I$39:$J$62,Y40)</f>
        <v>8</v>
      </c>
      <c r="AA40" s="219">
        <f t="shared" ref="AA40:AA48" si="5">COUNTIF($L$39:$M$62,Y40)</f>
        <v>10</v>
      </c>
      <c r="AB40" s="219">
        <f t="shared" ref="AB40:AB48" si="6">COUNTIF($B$39:$C$62,Y40)</f>
        <v>2</v>
      </c>
      <c r="AC40" s="219" t="str" cm="1">
        <f t="array" ref="AC40">_xlfn.TEXTJOIN(", ", TRUE, _xlfn.UNIQUE(_xlfn._xlws.FILTER(G40:W40, COUNTIF(G40:W40, G40:W40)&gt;1, "無")))</f>
        <v>無</v>
      </c>
    </row>
    <row r="41" spans="1:29" s="218" customFormat="1" ht="16.5" customHeight="1">
      <c r="A41" s="219" t="str">
        <f t="shared" si="3"/>
        <v/>
      </c>
      <c r="B41" s="217"/>
      <c r="C41" s="217"/>
      <c r="D41" s="220" t="s">
        <v>8</v>
      </c>
      <c r="E41" s="221" t="s">
        <v>75</v>
      </c>
      <c r="F41" s="218" t="str">
        <f t="shared" si="1"/>
        <v>3+610-11</v>
      </c>
      <c r="G41" s="222" t="s">
        <v>23</v>
      </c>
      <c r="H41" s="222"/>
      <c r="I41" s="222" t="s">
        <v>19</v>
      </c>
      <c r="J41" s="222" t="s">
        <v>46</v>
      </c>
      <c r="K41" s="222"/>
      <c r="L41" s="222" t="s">
        <v>30</v>
      </c>
      <c r="M41" s="222" t="s">
        <v>34</v>
      </c>
      <c r="N41" s="222"/>
      <c r="O41" s="222" t="s">
        <v>26</v>
      </c>
      <c r="P41" s="220" t="s">
        <v>62</v>
      </c>
      <c r="Q41" s="220"/>
      <c r="R41" s="220" t="s">
        <v>60</v>
      </c>
      <c r="S41" s="222"/>
      <c r="T41" s="222"/>
      <c r="U41" s="220"/>
      <c r="V41" s="220"/>
      <c r="W41" s="220" t="s">
        <v>57</v>
      </c>
      <c r="X41" s="223">
        <f t="shared" si="2"/>
        <v>9</v>
      </c>
      <c r="Y41" s="223" t="s">
        <v>23</v>
      </c>
      <c r="Z41" s="219">
        <f t="shared" si="4"/>
        <v>8</v>
      </c>
      <c r="AA41" s="219">
        <f t="shared" si="5"/>
        <v>10</v>
      </c>
      <c r="AB41" s="219">
        <f t="shared" si="6"/>
        <v>2</v>
      </c>
      <c r="AC41" s="219" t="str" cm="1">
        <f t="array" ref="AC41">_xlfn.TEXTJOIN(", ", TRUE, _xlfn.UNIQUE(_xlfn._xlws.FILTER(G41:W41, COUNTIF(G41:W41, G41:W41)&gt;1, "無")))</f>
        <v>無</v>
      </c>
    </row>
    <row r="42" spans="1:29" s="218" customFormat="1" ht="16.5" customHeight="1">
      <c r="A42" s="219" t="str">
        <f t="shared" si="3"/>
        <v/>
      </c>
      <c r="B42" s="217"/>
      <c r="C42" s="217"/>
      <c r="D42" s="220" t="s">
        <v>8</v>
      </c>
      <c r="E42" s="221" t="s">
        <v>76</v>
      </c>
      <c r="F42" s="218" t="str">
        <f t="shared" si="1"/>
        <v>3+611-12</v>
      </c>
      <c r="G42" s="222" t="s">
        <v>23</v>
      </c>
      <c r="H42" s="222"/>
      <c r="I42" s="222" t="s">
        <v>19</v>
      </c>
      <c r="J42" s="222" t="s">
        <v>46</v>
      </c>
      <c r="K42" s="222"/>
      <c r="L42" s="222" t="s">
        <v>30</v>
      </c>
      <c r="M42" s="222" t="s">
        <v>34</v>
      </c>
      <c r="N42" s="222"/>
      <c r="O42" s="222" t="s">
        <v>26</v>
      </c>
      <c r="P42" s="220" t="s">
        <v>62</v>
      </c>
      <c r="Q42" s="220"/>
      <c r="R42" s="220" t="s">
        <v>60</v>
      </c>
      <c r="S42" s="222"/>
      <c r="T42" s="222"/>
      <c r="U42" s="220"/>
      <c r="V42" s="220"/>
      <c r="W42" s="220" t="s">
        <v>57</v>
      </c>
      <c r="X42" s="223">
        <f t="shared" si="2"/>
        <v>9</v>
      </c>
      <c r="Y42" s="223" t="s">
        <v>30</v>
      </c>
      <c r="Z42" s="219">
        <f t="shared" si="4"/>
        <v>8</v>
      </c>
      <c r="AA42" s="219">
        <f t="shared" si="5"/>
        <v>10</v>
      </c>
      <c r="AB42" s="219">
        <f t="shared" si="6"/>
        <v>2</v>
      </c>
      <c r="AC42" s="219" t="str" cm="1">
        <f t="array" ref="AC42">_xlfn.TEXTJOIN(", ", TRUE, _xlfn.UNIQUE(_xlfn._xlws.FILTER(G42:W42, COUNTIF(G42:W42, G42:W42)&gt;1, "無")))</f>
        <v>無</v>
      </c>
    </row>
    <row r="43" spans="1:29" s="218" customFormat="1" ht="16.5" customHeight="1">
      <c r="A43" s="219" t="str">
        <f t="shared" si="3"/>
        <v>D,M</v>
      </c>
      <c r="B43" s="217" t="s">
        <v>34</v>
      </c>
      <c r="C43" s="217" t="s">
        <v>241</v>
      </c>
      <c r="D43" s="220" t="s">
        <v>8</v>
      </c>
      <c r="E43" s="221" t="s">
        <v>77</v>
      </c>
      <c r="F43" s="218" t="str">
        <f t="shared" si="1"/>
        <v>3+612-13</v>
      </c>
      <c r="G43" s="222" t="s">
        <v>26</v>
      </c>
      <c r="H43" s="222"/>
      <c r="I43" s="222" t="s">
        <v>46</v>
      </c>
      <c r="J43" s="222" t="s">
        <v>23</v>
      </c>
      <c r="K43" s="222"/>
      <c r="L43" s="222" t="s">
        <v>19</v>
      </c>
      <c r="M43" s="222" t="s">
        <v>30</v>
      </c>
      <c r="N43" s="222"/>
      <c r="O43" s="222"/>
      <c r="P43" s="220"/>
      <c r="Q43" s="220"/>
      <c r="R43" s="222" t="s">
        <v>232</v>
      </c>
      <c r="S43" s="222"/>
      <c r="T43" s="222"/>
      <c r="U43" s="220"/>
      <c r="V43" s="220"/>
      <c r="W43" s="220" t="s">
        <v>57</v>
      </c>
      <c r="X43" s="223">
        <f t="shared" si="2"/>
        <v>9</v>
      </c>
      <c r="Y43" s="223" t="s">
        <v>34</v>
      </c>
      <c r="Z43" s="219">
        <f t="shared" si="4"/>
        <v>8</v>
      </c>
      <c r="AA43" s="219">
        <f t="shared" si="5"/>
        <v>8</v>
      </c>
      <c r="AB43" s="219">
        <f t="shared" si="6"/>
        <v>2</v>
      </c>
      <c r="AC43" s="219" t="str" cm="1">
        <f t="array" ref="AC43">_xlfn.TEXTJOIN(", ", TRUE, _xlfn.UNIQUE(_xlfn._xlws.FILTER(G43:W43, COUNTIF(G43:W43, G43:W43)&gt;1, "無")))</f>
        <v>無</v>
      </c>
    </row>
    <row r="44" spans="1:29" s="218" customFormat="1" ht="16.5" customHeight="1">
      <c r="A44" s="219" t="str">
        <f t="shared" si="3"/>
        <v>D,M</v>
      </c>
      <c r="B44" s="217" t="s">
        <v>34</v>
      </c>
      <c r="C44" s="217" t="s">
        <v>241</v>
      </c>
      <c r="D44" s="220" t="s">
        <v>8</v>
      </c>
      <c r="E44" s="221" t="s">
        <v>78</v>
      </c>
      <c r="F44" s="218" t="str">
        <f t="shared" si="1"/>
        <v>3+613-14</v>
      </c>
      <c r="G44" s="222" t="s">
        <v>26</v>
      </c>
      <c r="H44" s="222"/>
      <c r="I44" s="222" t="s">
        <v>46</v>
      </c>
      <c r="J44" s="222" t="s">
        <v>23</v>
      </c>
      <c r="K44" s="222"/>
      <c r="L44" s="222" t="s">
        <v>19</v>
      </c>
      <c r="M44" s="222" t="s">
        <v>30</v>
      </c>
      <c r="N44" s="222"/>
      <c r="O44" s="222"/>
      <c r="P44" s="220"/>
      <c r="Q44" s="220"/>
      <c r="R44" s="222" t="s">
        <v>232</v>
      </c>
      <c r="S44" s="222"/>
      <c r="T44" s="222"/>
      <c r="U44" s="220"/>
      <c r="V44" s="220"/>
      <c r="W44" s="220" t="s">
        <v>57</v>
      </c>
      <c r="X44" s="223">
        <f t="shared" si="2"/>
        <v>9</v>
      </c>
      <c r="Y44" s="223" t="s">
        <v>26</v>
      </c>
      <c r="Z44" s="219">
        <f t="shared" si="4"/>
        <v>8</v>
      </c>
      <c r="AA44" s="219">
        <f t="shared" si="5"/>
        <v>8</v>
      </c>
      <c r="AB44" s="219">
        <f t="shared" si="6"/>
        <v>2</v>
      </c>
      <c r="AC44" s="219" t="str" cm="1">
        <f t="array" ref="AC44">_xlfn.TEXTJOIN(", ", TRUE, _xlfn.UNIQUE(_xlfn._xlws.FILTER(G44:W44, COUNTIF(G44:W44, G44:W44)&gt;1, "無")))</f>
        <v>無</v>
      </c>
    </row>
    <row r="45" spans="1:29" s="218" customFormat="1" ht="16.5" customHeight="1">
      <c r="A45" s="219" t="str">
        <f t="shared" si="3"/>
        <v/>
      </c>
      <c r="B45" s="217"/>
      <c r="C45" s="217"/>
      <c r="D45" s="220" t="s">
        <v>8</v>
      </c>
      <c r="E45" s="221" t="s">
        <v>79</v>
      </c>
      <c r="F45" s="218" t="str">
        <f t="shared" si="1"/>
        <v>3+614-15</v>
      </c>
      <c r="G45" s="222" t="s">
        <v>30</v>
      </c>
      <c r="H45" s="222"/>
      <c r="I45" s="222" t="s">
        <v>26</v>
      </c>
      <c r="J45" s="222" t="s">
        <v>237</v>
      </c>
      <c r="K45" s="222"/>
      <c r="L45" s="222" t="s">
        <v>46</v>
      </c>
      <c r="M45" s="222" t="s">
        <v>233</v>
      </c>
      <c r="N45" s="222"/>
      <c r="O45" s="222" t="s">
        <v>34</v>
      </c>
      <c r="P45" s="220" t="s">
        <v>62</v>
      </c>
      <c r="Q45" s="220"/>
      <c r="R45" s="220" t="s">
        <v>60</v>
      </c>
      <c r="S45" s="222"/>
      <c r="T45" s="222"/>
      <c r="U45" s="220"/>
      <c r="V45" s="220"/>
      <c r="W45" s="220" t="s">
        <v>57</v>
      </c>
      <c r="X45" s="223">
        <f t="shared" si="2"/>
        <v>9</v>
      </c>
      <c r="Y45" s="223" t="s">
        <v>46</v>
      </c>
      <c r="Z45" s="219">
        <f t="shared" si="4"/>
        <v>8</v>
      </c>
      <c r="AA45" s="219">
        <f t="shared" si="5"/>
        <v>2</v>
      </c>
      <c r="AB45" s="219">
        <f t="shared" si="6"/>
        <v>2</v>
      </c>
      <c r="AC45" s="219" t="str" cm="1">
        <f t="array" ref="AC45">_xlfn.TEXTJOIN(", ", TRUE, _xlfn.UNIQUE(_xlfn._xlws.FILTER(G45:W45, COUNTIF(G45:W45, G45:W45)&gt;1, "無")))</f>
        <v>無</v>
      </c>
    </row>
    <row r="46" spans="1:29" s="218" customFormat="1" ht="16.5" customHeight="1">
      <c r="A46" s="219" t="str">
        <f t="shared" si="3"/>
        <v/>
      </c>
      <c r="B46" s="217"/>
      <c r="C46" s="217"/>
      <c r="D46" s="220" t="s">
        <v>8</v>
      </c>
      <c r="E46" s="221" t="s">
        <v>80</v>
      </c>
      <c r="F46" s="218" t="str">
        <f t="shared" si="1"/>
        <v>3+615-16</v>
      </c>
      <c r="G46" s="222" t="s">
        <v>30</v>
      </c>
      <c r="H46" s="222"/>
      <c r="I46" s="222" t="s">
        <v>26</v>
      </c>
      <c r="J46" s="222" t="s">
        <v>237</v>
      </c>
      <c r="K46" s="222"/>
      <c r="L46" s="222" t="s">
        <v>46</v>
      </c>
      <c r="M46" s="222" t="s">
        <v>233</v>
      </c>
      <c r="N46" s="222"/>
      <c r="O46" s="222" t="s">
        <v>34</v>
      </c>
      <c r="P46" s="220" t="s">
        <v>62</v>
      </c>
      <c r="Q46" s="220"/>
      <c r="R46" s="220" t="s">
        <v>60</v>
      </c>
      <c r="S46" s="222"/>
      <c r="T46" s="222"/>
      <c r="U46" s="220"/>
      <c r="V46" s="220"/>
      <c r="W46" s="220" t="s">
        <v>57</v>
      </c>
      <c r="X46" s="223">
        <f t="shared" si="2"/>
        <v>9</v>
      </c>
      <c r="Y46" s="223" t="s">
        <v>57</v>
      </c>
      <c r="Z46" s="219">
        <f t="shared" si="4"/>
        <v>0</v>
      </c>
      <c r="AA46" s="219">
        <f t="shared" si="5"/>
        <v>0</v>
      </c>
      <c r="AB46" s="219">
        <f t="shared" si="6"/>
        <v>2</v>
      </c>
      <c r="AC46" s="219" t="str" cm="1">
        <f t="array" ref="AC46">_xlfn.TEXTJOIN(", ", TRUE, _xlfn.UNIQUE(_xlfn._xlws.FILTER(G46:W46, COUNTIF(G46:W46, G46:W46)&gt;1, "無")))</f>
        <v>無</v>
      </c>
    </row>
    <row r="47" spans="1:29" s="218" customFormat="1" ht="16.5" customHeight="1">
      <c r="A47" s="219" t="str">
        <f t="shared" si="3"/>
        <v>B</v>
      </c>
      <c r="B47" s="217" t="s">
        <v>233</v>
      </c>
      <c r="C47" s="217"/>
      <c r="D47" s="220" t="s">
        <v>8</v>
      </c>
      <c r="E47" s="221" t="s">
        <v>81</v>
      </c>
      <c r="F47" s="218" t="str">
        <f t="shared" si="1"/>
        <v>3+616-17</v>
      </c>
      <c r="G47" s="222" t="s">
        <v>34</v>
      </c>
      <c r="H47" s="222"/>
      <c r="I47" s="222" t="s">
        <v>46</v>
      </c>
      <c r="J47" s="222" t="s">
        <v>26</v>
      </c>
      <c r="K47" s="222"/>
      <c r="L47" s="222" t="s">
        <v>237</v>
      </c>
      <c r="M47" s="222" t="s">
        <v>30</v>
      </c>
      <c r="N47" s="222"/>
      <c r="O47" s="222" t="s">
        <v>241</v>
      </c>
      <c r="P47" s="220"/>
      <c r="Q47" s="220"/>
      <c r="R47" s="220" t="s">
        <v>232</v>
      </c>
      <c r="S47" s="222"/>
      <c r="T47" s="222"/>
      <c r="U47" s="220"/>
      <c r="V47" s="220"/>
      <c r="W47" s="220" t="s">
        <v>57</v>
      </c>
      <c r="X47" s="223">
        <f t="shared" si="2"/>
        <v>9</v>
      </c>
      <c r="Y47" s="223" t="s">
        <v>60</v>
      </c>
      <c r="Z47" s="219">
        <f t="shared" si="4"/>
        <v>0</v>
      </c>
      <c r="AA47" s="219">
        <f t="shared" si="5"/>
        <v>0</v>
      </c>
      <c r="AB47" s="219">
        <f t="shared" si="6"/>
        <v>2</v>
      </c>
      <c r="AC47" s="219" t="str" cm="1">
        <f t="array" ref="AC47">_xlfn.TEXTJOIN(", ", TRUE, _xlfn.UNIQUE(_xlfn._xlws.FILTER(G47:W47, COUNTIF(G47:W47, G47:W47)&gt;1, "無")))</f>
        <v>無</v>
      </c>
    </row>
    <row r="48" spans="1:29" s="218" customFormat="1" ht="16.5" customHeight="1">
      <c r="A48" s="219" t="str">
        <f t="shared" si="3"/>
        <v>B</v>
      </c>
      <c r="B48" s="217" t="s">
        <v>233</v>
      </c>
      <c r="C48" s="217"/>
      <c r="D48" s="220" t="s">
        <v>8</v>
      </c>
      <c r="E48" s="221" t="s">
        <v>82</v>
      </c>
      <c r="F48" s="218" t="str">
        <f t="shared" si="1"/>
        <v>3+617-18</v>
      </c>
      <c r="G48" s="222" t="s">
        <v>34</v>
      </c>
      <c r="H48" s="222"/>
      <c r="I48" s="222" t="s">
        <v>46</v>
      </c>
      <c r="J48" s="222" t="s">
        <v>26</v>
      </c>
      <c r="K48" s="222"/>
      <c r="L48" s="222" t="s">
        <v>237</v>
      </c>
      <c r="M48" s="222" t="s">
        <v>30</v>
      </c>
      <c r="N48" s="222"/>
      <c r="O48" s="222" t="s">
        <v>241</v>
      </c>
      <c r="P48" s="220"/>
      <c r="Q48" s="220"/>
      <c r="R48" s="220" t="s">
        <v>232</v>
      </c>
      <c r="S48" s="222"/>
      <c r="T48" s="222"/>
      <c r="U48" s="220"/>
      <c r="V48" s="220"/>
      <c r="W48" s="220" t="s">
        <v>57</v>
      </c>
      <c r="X48" s="223">
        <f t="shared" si="2"/>
        <v>9</v>
      </c>
      <c r="Y48" s="223" t="s">
        <v>62</v>
      </c>
      <c r="Z48" s="219">
        <f t="shared" si="4"/>
        <v>0</v>
      </c>
      <c r="AA48" s="219">
        <f t="shared" si="5"/>
        <v>0</v>
      </c>
      <c r="AB48" s="219">
        <f t="shared" si="6"/>
        <v>2</v>
      </c>
      <c r="AC48" s="219" t="str" cm="1">
        <f t="array" ref="AC48">_xlfn.TEXTJOIN(", ", TRUE, _xlfn.UNIQUE(_xlfn._xlws.FILTER(G48:W48, COUNTIF(G48:W48, G48:W48)&gt;1, "無")))</f>
        <v>無</v>
      </c>
    </row>
    <row r="49" spans="1:29" s="218" customFormat="1" ht="16.5" customHeight="1">
      <c r="A49" s="219" t="str">
        <f t="shared" si="3"/>
        <v>A</v>
      </c>
      <c r="B49" s="217" t="s">
        <v>19</v>
      </c>
      <c r="C49" s="217"/>
      <c r="D49" s="220" t="s">
        <v>8</v>
      </c>
      <c r="E49" s="221" t="s">
        <v>83</v>
      </c>
      <c r="F49" s="218" t="str">
        <f t="shared" si="1"/>
        <v>3+618-19</v>
      </c>
      <c r="G49" s="222" t="s">
        <v>60</v>
      </c>
      <c r="H49" s="222"/>
      <c r="I49" s="222" t="s">
        <v>34</v>
      </c>
      <c r="J49" s="222" t="s">
        <v>46</v>
      </c>
      <c r="K49" s="222"/>
      <c r="L49" s="222" t="s">
        <v>26</v>
      </c>
      <c r="M49" s="222" t="s">
        <v>30</v>
      </c>
      <c r="N49" s="222"/>
      <c r="O49" s="222" t="s">
        <v>23</v>
      </c>
      <c r="P49" s="220" t="s">
        <v>62</v>
      </c>
      <c r="Q49" s="220"/>
      <c r="R49" s="220"/>
      <c r="S49" s="222"/>
      <c r="T49" s="222"/>
      <c r="U49" s="220"/>
      <c r="V49" s="220"/>
      <c r="W49" s="220" t="s">
        <v>57</v>
      </c>
      <c r="X49" s="223">
        <f t="shared" si="2"/>
        <v>9</v>
      </c>
      <c r="Y49" s="223"/>
      <c r="AA49" s="219"/>
      <c r="AB49" s="219"/>
      <c r="AC49" s="219" t="str" cm="1">
        <f t="array" ref="AC49">_xlfn.TEXTJOIN(", ", TRUE, _xlfn.UNIQUE(_xlfn._xlws.FILTER(G49:W49, COUNTIF(G49:W49, G49:W49)&gt;1, "無")))</f>
        <v>無</v>
      </c>
    </row>
    <row r="50" spans="1:29" s="218" customFormat="1" ht="16.5" customHeight="1">
      <c r="A50" s="219" t="str">
        <f t="shared" si="3"/>
        <v>A</v>
      </c>
      <c r="B50" s="217" t="s">
        <v>19</v>
      </c>
      <c r="C50" s="217"/>
      <c r="D50" s="220" t="s">
        <v>8</v>
      </c>
      <c r="E50" s="221" t="s">
        <v>84</v>
      </c>
      <c r="F50" s="218" t="str">
        <f t="shared" si="1"/>
        <v>3+619-20</v>
      </c>
      <c r="G50" s="222" t="s">
        <v>60</v>
      </c>
      <c r="H50" s="222"/>
      <c r="I50" s="222" t="s">
        <v>34</v>
      </c>
      <c r="J50" s="222" t="s">
        <v>46</v>
      </c>
      <c r="K50" s="222"/>
      <c r="L50" s="222" t="s">
        <v>26</v>
      </c>
      <c r="M50" s="222" t="s">
        <v>30</v>
      </c>
      <c r="N50" s="222"/>
      <c r="O50" s="222" t="s">
        <v>23</v>
      </c>
      <c r="P50" s="220" t="s">
        <v>62</v>
      </c>
      <c r="Q50" s="220"/>
      <c r="R50" s="220"/>
      <c r="S50" s="222"/>
      <c r="T50" s="222"/>
      <c r="U50" s="220"/>
      <c r="V50" s="220"/>
      <c r="W50" s="220" t="s">
        <v>57</v>
      </c>
      <c r="X50" s="223">
        <f t="shared" si="2"/>
        <v>9</v>
      </c>
      <c r="Y50" s="223"/>
      <c r="AA50" s="219"/>
      <c r="AB50" s="219"/>
      <c r="AC50" s="219" t="str" cm="1">
        <f t="array" ref="AC50">_xlfn.TEXTJOIN(", ", TRUE, _xlfn.UNIQUE(_xlfn._xlws.FILTER(G50:W50, COUNTIF(G50:W50, G50:W50)&gt;1, "無")))</f>
        <v>無</v>
      </c>
    </row>
    <row r="51" spans="1:29" s="218" customFormat="1" ht="16.5" customHeight="1">
      <c r="A51" s="219" t="str">
        <f t="shared" si="3"/>
        <v>C</v>
      </c>
      <c r="B51" s="217" t="s">
        <v>30</v>
      </c>
      <c r="C51" s="217"/>
      <c r="D51" s="220" t="s">
        <v>8</v>
      </c>
      <c r="E51" s="221" t="s">
        <v>85</v>
      </c>
      <c r="F51" s="218" t="str">
        <f t="shared" si="1"/>
        <v>3+620-21</v>
      </c>
      <c r="G51" s="222" t="s">
        <v>62</v>
      </c>
      <c r="H51" s="222"/>
      <c r="I51" s="222" t="s">
        <v>233</v>
      </c>
      <c r="J51" s="222" t="s">
        <v>26</v>
      </c>
      <c r="K51" s="222"/>
      <c r="L51" s="222" t="s">
        <v>34</v>
      </c>
      <c r="M51" s="222" t="s">
        <v>237</v>
      </c>
      <c r="N51" s="222"/>
      <c r="O51" s="222" t="s">
        <v>46</v>
      </c>
      <c r="P51" s="220"/>
      <c r="Q51" s="220"/>
      <c r="R51" s="220" t="s">
        <v>60</v>
      </c>
      <c r="S51" s="222"/>
      <c r="T51" s="222"/>
      <c r="U51" s="220"/>
      <c r="V51" s="220"/>
      <c r="W51" s="220" t="s">
        <v>57</v>
      </c>
      <c r="X51" s="223">
        <f t="shared" si="2"/>
        <v>9</v>
      </c>
      <c r="Y51" s="223"/>
      <c r="AA51" s="219"/>
      <c r="AB51" s="219"/>
      <c r="AC51" s="219" t="str" cm="1">
        <f t="array" ref="AC51">_xlfn.TEXTJOIN(", ", TRUE, _xlfn.UNIQUE(_xlfn._xlws.FILTER(G51:W51, COUNTIF(G51:W51, G51:W51)&gt;1, "無")))</f>
        <v>無</v>
      </c>
    </row>
    <row r="52" spans="1:29" s="218" customFormat="1" ht="16.5" customHeight="1">
      <c r="A52" s="219" t="str">
        <f t="shared" si="3"/>
        <v>C</v>
      </c>
      <c r="B52" s="217" t="s">
        <v>30</v>
      </c>
      <c r="C52" s="217"/>
      <c r="D52" s="220" t="s">
        <v>8</v>
      </c>
      <c r="E52" s="221" t="s">
        <v>86</v>
      </c>
      <c r="F52" s="218" t="str">
        <f t="shared" si="1"/>
        <v>3+621-22</v>
      </c>
      <c r="G52" s="222" t="s">
        <v>62</v>
      </c>
      <c r="H52" s="222"/>
      <c r="I52" s="222" t="s">
        <v>233</v>
      </c>
      <c r="J52" s="222" t="s">
        <v>26</v>
      </c>
      <c r="K52" s="222"/>
      <c r="L52" s="222" t="s">
        <v>34</v>
      </c>
      <c r="M52" s="222" t="s">
        <v>237</v>
      </c>
      <c r="N52" s="222"/>
      <c r="O52" s="222" t="s">
        <v>46</v>
      </c>
      <c r="P52" s="220"/>
      <c r="Q52" s="220"/>
      <c r="R52" s="220" t="s">
        <v>60</v>
      </c>
      <c r="S52" s="222"/>
      <c r="T52" s="222"/>
      <c r="U52" s="220"/>
      <c r="V52" s="220"/>
      <c r="W52" s="220" t="s">
        <v>57</v>
      </c>
      <c r="X52" s="223">
        <f t="shared" si="2"/>
        <v>9</v>
      </c>
      <c r="Y52" s="223"/>
      <c r="AA52" s="219"/>
      <c r="AB52" s="219"/>
      <c r="AC52" s="219" t="str" cm="1">
        <f t="array" ref="AC52">_xlfn.TEXTJOIN(", ", TRUE, _xlfn.UNIQUE(_xlfn._xlws.FILTER(G52:W52, COUNTIF(G52:W52, G52:W52)&gt;1, "無")))</f>
        <v>無</v>
      </c>
    </row>
    <row r="53" spans="1:29" s="218" customFormat="1" ht="16.5" customHeight="1">
      <c r="A53" s="219" t="str">
        <f t="shared" si="3"/>
        <v/>
      </c>
      <c r="B53" s="217"/>
      <c r="C53" s="217"/>
      <c r="D53" s="220" t="s">
        <v>8</v>
      </c>
      <c r="E53" s="221" t="s">
        <v>87</v>
      </c>
      <c r="F53" s="218" t="str">
        <f t="shared" si="1"/>
        <v>3+622-23</v>
      </c>
      <c r="G53" s="222" t="s">
        <v>46</v>
      </c>
      <c r="H53" s="222"/>
      <c r="I53" s="222" t="s">
        <v>30</v>
      </c>
      <c r="J53" s="222" t="s">
        <v>34</v>
      </c>
      <c r="K53" s="222"/>
      <c r="L53" s="222" t="s">
        <v>26</v>
      </c>
      <c r="M53" s="222" t="s">
        <v>233</v>
      </c>
      <c r="N53" s="222"/>
      <c r="O53" s="222" t="s">
        <v>237</v>
      </c>
      <c r="P53" s="220" t="s">
        <v>241</v>
      </c>
      <c r="Q53" s="220"/>
      <c r="R53" s="220" t="s">
        <v>232</v>
      </c>
      <c r="S53" s="222"/>
      <c r="T53" s="222"/>
      <c r="U53" s="220"/>
      <c r="V53" s="220"/>
      <c r="W53" s="220" t="s">
        <v>57</v>
      </c>
      <c r="X53" s="223">
        <f t="shared" si="2"/>
        <v>9</v>
      </c>
      <c r="Y53" s="223"/>
      <c r="AA53" s="219"/>
      <c r="AB53" s="219"/>
      <c r="AC53" s="219" t="str" cm="1">
        <f t="array" ref="AC53">_xlfn.TEXTJOIN(", ", TRUE, _xlfn.UNIQUE(_xlfn._xlws.FILTER(G53:W53, COUNTIF(G53:W53, G53:W53)&gt;1, "無")))</f>
        <v>無</v>
      </c>
    </row>
    <row r="54" spans="1:29" s="218" customFormat="1" ht="16.5" customHeight="1">
      <c r="A54" s="219" t="str">
        <f t="shared" si="3"/>
        <v/>
      </c>
      <c r="B54" s="217"/>
      <c r="C54" s="217"/>
      <c r="D54" s="220" t="s">
        <v>8</v>
      </c>
      <c r="E54" s="221" t="s">
        <v>88</v>
      </c>
      <c r="F54" s="218" t="str">
        <f t="shared" si="1"/>
        <v>3+623-24</v>
      </c>
      <c r="G54" s="222" t="s">
        <v>46</v>
      </c>
      <c r="H54" s="222"/>
      <c r="I54" s="222" t="s">
        <v>30</v>
      </c>
      <c r="J54" s="222" t="s">
        <v>34</v>
      </c>
      <c r="K54" s="222"/>
      <c r="L54" s="222" t="s">
        <v>26</v>
      </c>
      <c r="M54" s="222" t="s">
        <v>233</v>
      </c>
      <c r="N54" s="222"/>
      <c r="O54" s="222" t="s">
        <v>237</v>
      </c>
      <c r="P54" s="220" t="s">
        <v>241</v>
      </c>
      <c r="Q54" s="220"/>
      <c r="R54" s="220" t="s">
        <v>232</v>
      </c>
      <c r="S54" s="222"/>
      <c r="T54" s="222"/>
      <c r="U54" s="220"/>
      <c r="V54" s="220"/>
      <c r="W54" s="220" t="s">
        <v>57</v>
      </c>
      <c r="X54" s="223">
        <f t="shared" si="2"/>
        <v>9</v>
      </c>
      <c r="Y54" s="223"/>
      <c r="AA54" s="219"/>
      <c r="AB54" s="219"/>
      <c r="AC54" s="219" t="str" cm="1">
        <f t="array" ref="AC54">_xlfn.TEXTJOIN(", ", TRUE, _xlfn.UNIQUE(_xlfn._xlws.FILTER(G54:W54, COUNTIF(G54:W54, G54:W54)&gt;1, "無")))</f>
        <v>無</v>
      </c>
    </row>
    <row r="55" spans="1:29" s="218" customFormat="1" ht="16.5" customHeight="1">
      <c r="A55" s="219" t="str">
        <f t="shared" si="3"/>
        <v/>
      </c>
      <c r="B55" s="217"/>
      <c r="C55" s="217"/>
      <c r="D55" s="220" t="s">
        <v>8</v>
      </c>
      <c r="E55" s="221" t="s">
        <v>89</v>
      </c>
      <c r="F55" s="218" t="str">
        <f t="shared" si="1"/>
        <v>3+600-01</v>
      </c>
      <c r="G55" s="222" t="s">
        <v>46</v>
      </c>
      <c r="H55" s="222"/>
      <c r="I55" s="222" t="s">
        <v>19</v>
      </c>
      <c r="J55" s="222" t="s">
        <v>23</v>
      </c>
      <c r="K55" s="222"/>
      <c r="L55" s="222" t="s">
        <v>30</v>
      </c>
      <c r="M55" s="222" t="s">
        <v>26</v>
      </c>
      <c r="N55" s="222"/>
      <c r="O55" s="222" t="s">
        <v>34</v>
      </c>
      <c r="P55" s="220" t="s">
        <v>241</v>
      </c>
      <c r="Q55" s="220"/>
      <c r="R55" s="220" t="s">
        <v>232</v>
      </c>
      <c r="S55" s="222"/>
      <c r="T55" s="222"/>
      <c r="U55" s="220"/>
      <c r="V55" s="220"/>
      <c r="W55" s="220" t="s">
        <v>57</v>
      </c>
      <c r="X55" s="223">
        <f t="shared" si="2"/>
        <v>9</v>
      </c>
      <c r="Y55" s="223"/>
      <c r="AA55" s="219"/>
      <c r="AB55" s="219"/>
      <c r="AC55" s="219" t="str" cm="1">
        <f t="array" ref="AC55">_xlfn.TEXTJOIN(", ", TRUE, _xlfn.UNIQUE(_xlfn._xlws.FILTER(G55:W55, COUNTIF(G55:W55, G55:W55)&gt;1, "無")))</f>
        <v>無</v>
      </c>
    </row>
    <row r="56" spans="1:29" s="218" customFormat="1" ht="16.5" customHeight="1">
      <c r="A56" s="219" t="str">
        <f t="shared" si="3"/>
        <v/>
      </c>
      <c r="B56" s="217"/>
      <c r="C56" s="217"/>
      <c r="D56" s="220" t="s">
        <v>8</v>
      </c>
      <c r="E56" s="221" t="s">
        <v>90</v>
      </c>
      <c r="F56" s="218" t="str">
        <f t="shared" si="1"/>
        <v>3+601-02</v>
      </c>
      <c r="G56" s="222" t="s">
        <v>46</v>
      </c>
      <c r="H56" s="222"/>
      <c r="I56" s="222" t="s">
        <v>19</v>
      </c>
      <c r="J56" s="222" t="s">
        <v>23</v>
      </c>
      <c r="K56" s="222"/>
      <c r="L56" s="222" t="s">
        <v>30</v>
      </c>
      <c r="M56" s="222" t="s">
        <v>26</v>
      </c>
      <c r="N56" s="222"/>
      <c r="O56" s="222" t="s">
        <v>34</v>
      </c>
      <c r="P56" s="220" t="s">
        <v>241</v>
      </c>
      <c r="Q56" s="220"/>
      <c r="R56" s="220" t="s">
        <v>232</v>
      </c>
      <c r="S56" s="222"/>
      <c r="T56" s="222"/>
      <c r="U56" s="220"/>
      <c r="V56" s="220"/>
      <c r="W56" s="220" t="s">
        <v>57</v>
      </c>
      <c r="X56" s="223">
        <f t="shared" si="2"/>
        <v>9</v>
      </c>
      <c r="Y56" s="223"/>
      <c r="AA56" s="219"/>
      <c r="AB56" s="219"/>
      <c r="AC56" s="219" t="str" cm="1">
        <f t="array" ref="AC56">_xlfn.TEXTJOIN(", ", TRUE, _xlfn.UNIQUE(_xlfn._xlws.FILTER(G56:W56, COUNTIF(G56:W56, G56:W56)&gt;1, "無")))</f>
        <v>無</v>
      </c>
    </row>
    <row r="57" spans="1:29" s="218" customFormat="1" ht="16.5" customHeight="1">
      <c r="A57" s="219" t="str">
        <f t="shared" si="3"/>
        <v/>
      </c>
      <c r="B57" s="217"/>
      <c r="C57" s="217"/>
      <c r="D57" s="220" t="s">
        <v>8</v>
      </c>
      <c r="E57" s="221" t="s">
        <v>91</v>
      </c>
      <c r="F57" s="218" t="str">
        <f t="shared" si="1"/>
        <v>3+602-03</v>
      </c>
      <c r="G57" s="222" t="s">
        <v>46</v>
      </c>
      <c r="H57" s="222"/>
      <c r="I57" s="222" t="s">
        <v>19</v>
      </c>
      <c r="J57" s="222" t="s">
        <v>23</v>
      </c>
      <c r="K57" s="222"/>
      <c r="L57" s="222" t="s">
        <v>34</v>
      </c>
      <c r="M57" s="222" t="s">
        <v>26</v>
      </c>
      <c r="N57" s="222"/>
      <c r="O57" s="222" t="s">
        <v>30</v>
      </c>
      <c r="P57" s="220" t="s">
        <v>62</v>
      </c>
      <c r="Q57" s="220"/>
      <c r="R57" s="220" t="s">
        <v>232</v>
      </c>
      <c r="S57" s="222"/>
      <c r="T57" s="222"/>
      <c r="U57" s="220"/>
      <c r="V57" s="220"/>
      <c r="W57" s="220" t="s">
        <v>57</v>
      </c>
      <c r="X57" s="223">
        <f t="shared" si="2"/>
        <v>9</v>
      </c>
      <c r="Y57" s="223"/>
      <c r="AA57" s="219"/>
      <c r="AB57" s="219"/>
      <c r="AC57" s="219" t="str" cm="1">
        <f t="array" ref="AC57">_xlfn.TEXTJOIN(", ", TRUE, _xlfn.UNIQUE(_xlfn._xlws.FILTER(G57:W57, COUNTIF(G57:W57, G57:W57)&gt;1, "無")))</f>
        <v>無</v>
      </c>
    </row>
    <row r="58" spans="1:29" s="218" customFormat="1" ht="16.5" customHeight="1">
      <c r="A58" s="219" t="str">
        <f t="shared" si="3"/>
        <v/>
      </c>
      <c r="B58" s="217"/>
      <c r="C58" s="217"/>
      <c r="D58" s="220" t="s">
        <v>8</v>
      </c>
      <c r="E58" s="221" t="s">
        <v>92</v>
      </c>
      <c r="F58" s="218" t="str">
        <f t="shared" si="1"/>
        <v>3+603-04</v>
      </c>
      <c r="G58" s="222" t="s">
        <v>46</v>
      </c>
      <c r="H58" s="222"/>
      <c r="I58" s="222" t="s">
        <v>19</v>
      </c>
      <c r="J58" s="222" t="s">
        <v>23</v>
      </c>
      <c r="K58" s="222"/>
      <c r="L58" s="222" t="s">
        <v>34</v>
      </c>
      <c r="M58" s="222" t="s">
        <v>26</v>
      </c>
      <c r="N58" s="222"/>
      <c r="O58" s="222" t="s">
        <v>30</v>
      </c>
      <c r="P58" s="220" t="s">
        <v>62</v>
      </c>
      <c r="Q58" s="220"/>
      <c r="R58" s="220" t="s">
        <v>232</v>
      </c>
      <c r="S58" s="222"/>
      <c r="T58" s="222"/>
      <c r="U58" s="220"/>
      <c r="V58" s="220"/>
      <c r="W58" s="220" t="s">
        <v>57</v>
      </c>
      <c r="X58" s="223">
        <f t="shared" si="2"/>
        <v>9</v>
      </c>
      <c r="Y58" s="223"/>
      <c r="AA58" s="219"/>
      <c r="AB58" s="219"/>
      <c r="AC58" s="219" t="str" cm="1">
        <f t="array" ref="AC58">_xlfn.TEXTJOIN(", ", TRUE, _xlfn.UNIQUE(_xlfn._xlws.FILTER(G58:W58, COUNTIF(G58:W58, G58:W58)&gt;1, "無")))</f>
        <v>無</v>
      </c>
    </row>
    <row r="59" spans="1:29" s="218" customFormat="1" ht="16.5" customHeight="1">
      <c r="A59" s="219" t="str">
        <f t="shared" si="3"/>
        <v/>
      </c>
      <c r="B59" s="219"/>
      <c r="C59" s="217"/>
      <c r="D59" s="220" t="s">
        <v>8</v>
      </c>
      <c r="E59" s="221" t="s">
        <v>93</v>
      </c>
      <c r="F59" s="218" t="str">
        <f t="shared" si="1"/>
        <v>3+604-05</v>
      </c>
      <c r="G59" s="222" t="s">
        <v>46</v>
      </c>
      <c r="H59" s="222"/>
      <c r="I59" s="222" t="s">
        <v>30</v>
      </c>
      <c r="J59" s="222" t="s">
        <v>34</v>
      </c>
      <c r="K59" s="222"/>
      <c r="L59" s="222" t="s">
        <v>19</v>
      </c>
      <c r="M59" s="222" t="s">
        <v>23</v>
      </c>
      <c r="N59" s="222"/>
      <c r="O59" s="222" t="s">
        <v>26</v>
      </c>
      <c r="P59" s="220" t="s">
        <v>62</v>
      </c>
      <c r="Q59" s="220"/>
      <c r="R59" s="220" t="s">
        <v>232</v>
      </c>
      <c r="S59" s="222"/>
      <c r="T59" s="222"/>
      <c r="U59" s="220"/>
      <c r="V59" s="220"/>
      <c r="W59" s="220" t="s">
        <v>231</v>
      </c>
      <c r="X59" s="223">
        <f t="shared" si="2"/>
        <v>9</v>
      </c>
      <c r="Y59" s="223"/>
      <c r="AA59" s="219"/>
      <c r="AB59" s="219"/>
      <c r="AC59" s="219" t="str" cm="1">
        <f t="array" ref="AC59">_xlfn.TEXTJOIN(", ", TRUE, _xlfn.UNIQUE(_xlfn._xlws.FILTER(G59:W59, COUNTIF(G59:W59, G59:W59)&gt;1, "無")))</f>
        <v>無</v>
      </c>
    </row>
    <row r="60" spans="1:29" s="218" customFormat="1" ht="16.5" customHeight="1">
      <c r="A60" s="219" t="str">
        <f t="shared" si="3"/>
        <v/>
      </c>
      <c r="B60" s="219"/>
      <c r="C60" s="217"/>
      <c r="D60" s="220" t="s">
        <v>8</v>
      </c>
      <c r="E60" s="221" t="s">
        <v>94</v>
      </c>
      <c r="F60" s="218" t="str">
        <f t="shared" si="1"/>
        <v>3+605-06</v>
      </c>
      <c r="G60" s="222" t="s">
        <v>46</v>
      </c>
      <c r="H60" s="222"/>
      <c r="I60" s="222" t="s">
        <v>30</v>
      </c>
      <c r="J60" s="222" t="s">
        <v>34</v>
      </c>
      <c r="K60" s="222"/>
      <c r="L60" s="222" t="s">
        <v>19</v>
      </c>
      <c r="M60" s="222" t="s">
        <v>23</v>
      </c>
      <c r="N60" s="222"/>
      <c r="O60" s="222" t="s">
        <v>26</v>
      </c>
      <c r="P60" s="220" t="s">
        <v>62</v>
      </c>
      <c r="Q60" s="220"/>
      <c r="R60" s="220" t="s">
        <v>232</v>
      </c>
      <c r="S60" s="222"/>
      <c r="T60" s="222"/>
      <c r="U60" s="220"/>
      <c r="V60" s="220"/>
      <c r="W60" s="220" t="s">
        <v>231</v>
      </c>
      <c r="X60" s="223">
        <f t="shared" si="2"/>
        <v>9</v>
      </c>
      <c r="Y60" s="223"/>
      <c r="AA60" s="219"/>
      <c r="AB60" s="219"/>
      <c r="AC60" s="219" t="str" cm="1">
        <f t="array" ref="AC60">_xlfn.TEXTJOIN(", ", TRUE, _xlfn.UNIQUE(_xlfn._xlws.FILTER(G60:W60, COUNTIF(G60:W60, G60:W60)&gt;1, "無")))</f>
        <v>無</v>
      </c>
    </row>
    <row r="61" spans="1:29" s="218" customFormat="1" ht="16.5" customHeight="1">
      <c r="A61" s="219" t="str">
        <f t="shared" si="3"/>
        <v>G,L</v>
      </c>
      <c r="B61" s="217" t="s">
        <v>26</v>
      </c>
      <c r="C61" s="217" t="s">
        <v>232</v>
      </c>
      <c r="D61" s="220" t="s">
        <v>8</v>
      </c>
      <c r="E61" s="221" t="s">
        <v>95</v>
      </c>
      <c r="F61" s="218" t="str">
        <f t="shared" si="1"/>
        <v>3+606-07</v>
      </c>
      <c r="G61" s="222" t="s">
        <v>46</v>
      </c>
      <c r="H61" s="222"/>
      <c r="I61" s="222" t="s">
        <v>30</v>
      </c>
      <c r="J61" s="222" t="s">
        <v>34</v>
      </c>
      <c r="K61" s="222"/>
      <c r="L61" s="222" t="s">
        <v>23</v>
      </c>
      <c r="M61" s="222" t="s">
        <v>19</v>
      </c>
      <c r="N61" s="222"/>
      <c r="O61" s="222" t="s">
        <v>62</v>
      </c>
      <c r="P61" s="220"/>
      <c r="Q61" s="220"/>
      <c r="R61" s="220"/>
      <c r="S61" s="222"/>
      <c r="T61" s="222"/>
      <c r="U61" s="220"/>
      <c r="V61" s="220"/>
      <c r="W61" s="220" t="s">
        <v>57</v>
      </c>
      <c r="X61" s="223">
        <f t="shared" si="2"/>
        <v>9</v>
      </c>
      <c r="Y61" s="223"/>
      <c r="AA61" s="219"/>
      <c r="AB61" s="219"/>
      <c r="AC61" s="219" t="str" cm="1">
        <f t="array" ref="AC61">_xlfn.TEXTJOIN(", ", TRUE, _xlfn.UNIQUE(_xlfn._xlws.FILTER(G61:W61, COUNTIF(G61:W61, G61:W61)&gt;1, "無")))</f>
        <v>無</v>
      </c>
    </row>
    <row r="62" spans="1:29" s="218" customFormat="1" ht="16.5" customHeight="1">
      <c r="A62" s="219" t="str">
        <f t="shared" si="3"/>
        <v>G,L</v>
      </c>
      <c r="B62" s="217" t="s">
        <v>26</v>
      </c>
      <c r="C62" s="217" t="s">
        <v>232</v>
      </c>
      <c r="D62" s="220" t="s">
        <v>8</v>
      </c>
      <c r="E62" s="221" t="s">
        <v>96</v>
      </c>
      <c r="F62" s="218" t="str">
        <f t="shared" si="1"/>
        <v>3+607-08</v>
      </c>
      <c r="G62" s="222" t="s">
        <v>46</v>
      </c>
      <c r="H62" s="222"/>
      <c r="I62" s="222" t="s">
        <v>30</v>
      </c>
      <c r="J62" s="222" t="s">
        <v>34</v>
      </c>
      <c r="K62" s="222"/>
      <c r="L62" s="222" t="s">
        <v>23</v>
      </c>
      <c r="M62" s="222" t="s">
        <v>19</v>
      </c>
      <c r="N62" s="222"/>
      <c r="O62" s="222" t="s">
        <v>62</v>
      </c>
      <c r="P62" s="220"/>
      <c r="Q62" s="220"/>
      <c r="R62" s="220"/>
      <c r="S62" s="222"/>
      <c r="T62" s="222"/>
      <c r="U62" s="220"/>
      <c r="V62" s="220"/>
      <c r="W62" s="220" t="s">
        <v>57</v>
      </c>
      <c r="X62" s="223">
        <f t="shared" si="2"/>
        <v>9</v>
      </c>
      <c r="Y62" s="223"/>
      <c r="AA62" s="219"/>
      <c r="AB62" s="219"/>
      <c r="AC62" s="219" t="str" cm="1">
        <f t="array" ref="AC62">_xlfn.TEXTJOIN(", ", TRUE, _xlfn.UNIQUE(_xlfn._xlws.FILTER(G62:W62, COUNTIF(G62:W62, G62:W62)&gt;1, "無")))</f>
        <v>無</v>
      </c>
    </row>
    <row r="63" spans="1:29" s="218" customFormat="1" ht="16.5" customHeight="1">
      <c r="A63" s="219"/>
      <c r="B63" s="217"/>
      <c r="C63" s="217"/>
      <c r="D63" s="219"/>
      <c r="E63" s="219"/>
      <c r="G63" s="219"/>
      <c r="H63" s="219"/>
      <c r="X63" s="223"/>
      <c r="AC63" s="219"/>
    </row>
    <row r="64" spans="1:29" s="218" customFormat="1" ht="16.5" customHeight="1">
      <c r="A64" s="219"/>
      <c r="B64" s="217"/>
      <c r="C64" s="217"/>
      <c r="G64" s="219"/>
      <c r="H64" s="219"/>
      <c r="X64" s="223"/>
      <c r="AC64" s="219"/>
    </row>
    <row r="65" spans="1:29" s="218" customFormat="1" ht="16.5" customHeight="1">
      <c r="A65" s="217" t="s">
        <v>9</v>
      </c>
      <c r="B65" s="217" t="s">
        <v>68</v>
      </c>
      <c r="C65" s="217" t="s">
        <v>69</v>
      </c>
      <c r="F65" s="219"/>
      <c r="G65" s="219"/>
      <c r="H65" s="219"/>
      <c r="X65" s="223"/>
      <c r="AC65" s="219"/>
    </row>
    <row r="66" spans="1:29" s="218" customFormat="1" ht="16.5" customHeight="1">
      <c r="A66" s="219" t="str">
        <f>_xlfn.TEXTJOIN(",",TRUE,B66:C66)</f>
        <v>H,K</v>
      </c>
      <c r="B66" s="217" t="s">
        <v>46</v>
      </c>
      <c r="C66" s="217" t="s">
        <v>231</v>
      </c>
      <c r="D66" s="220" t="s">
        <v>9</v>
      </c>
      <c r="E66" s="221" t="s">
        <v>70</v>
      </c>
      <c r="F66" s="218" t="str">
        <f t="shared" ref="F66:F89" si="7">$D66&amp;$E66</f>
        <v>2+708-09</v>
      </c>
      <c r="G66" s="222" t="s">
        <v>19</v>
      </c>
      <c r="H66" s="222"/>
      <c r="I66" s="222" t="s">
        <v>42</v>
      </c>
      <c r="J66" s="222" t="s">
        <v>26</v>
      </c>
      <c r="K66" s="222"/>
      <c r="L66" s="222" t="s">
        <v>30</v>
      </c>
      <c r="M66" s="222" t="s">
        <v>34</v>
      </c>
      <c r="N66" s="222"/>
      <c r="O66" s="222" t="s">
        <v>23</v>
      </c>
      <c r="P66" s="220"/>
      <c r="Q66" s="220"/>
      <c r="R66" s="220"/>
      <c r="S66" s="222"/>
      <c r="T66" s="222"/>
      <c r="U66" s="220"/>
      <c r="V66" s="220"/>
      <c r="W66" s="220" t="s">
        <v>232</v>
      </c>
      <c r="X66" s="223">
        <f t="shared" ref="X66:X89" si="8">COUNTA(B66:C66,G66:W66)</f>
        <v>9</v>
      </c>
      <c r="Y66" s="223"/>
      <c r="Z66" s="219" t="s">
        <v>71</v>
      </c>
      <c r="AA66" s="219" t="s">
        <v>72</v>
      </c>
      <c r="AB66" s="219" t="s">
        <v>73</v>
      </c>
      <c r="AC66" s="219" t="str" cm="1">
        <f t="array" ref="AC66">_xlfn.TEXTJOIN(", ", TRUE, _xlfn.UNIQUE(_xlfn._xlws.FILTER(G66:W66, COUNTIF(G66:W66, G66:W66)&gt;1, "無")))</f>
        <v>無</v>
      </c>
    </row>
    <row r="67" spans="1:29" s="218" customFormat="1" ht="16.5" customHeight="1">
      <c r="A67" s="219" t="str">
        <f t="shared" ref="A67:A89" si="9">_xlfn.TEXTJOIN(",",TRUE,B67:C67)</f>
        <v>H,K</v>
      </c>
      <c r="B67" s="217" t="s">
        <v>46</v>
      </c>
      <c r="C67" s="217" t="s">
        <v>231</v>
      </c>
      <c r="D67" s="220" t="s">
        <v>9</v>
      </c>
      <c r="E67" s="221" t="s">
        <v>74</v>
      </c>
      <c r="F67" s="218" t="str">
        <f t="shared" si="7"/>
        <v>2+709-10</v>
      </c>
      <c r="G67" s="222" t="s">
        <v>19</v>
      </c>
      <c r="H67" s="222"/>
      <c r="I67" s="222" t="s">
        <v>42</v>
      </c>
      <c r="J67" s="222" t="s">
        <v>26</v>
      </c>
      <c r="K67" s="222"/>
      <c r="L67" s="222" t="s">
        <v>30</v>
      </c>
      <c r="M67" s="222" t="s">
        <v>34</v>
      </c>
      <c r="N67" s="222"/>
      <c r="O67" s="222" t="s">
        <v>23</v>
      </c>
      <c r="P67" s="220"/>
      <c r="Q67" s="220"/>
      <c r="R67" s="220"/>
      <c r="S67" s="222"/>
      <c r="T67" s="222"/>
      <c r="U67" s="220"/>
      <c r="V67" s="220"/>
      <c r="W67" s="220" t="s">
        <v>232</v>
      </c>
      <c r="X67" s="223">
        <f t="shared" si="8"/>
        <v>9</v>
      </c>
      <c r="Y67" s="223" t="s">
        <v>19</v>
      </c>
      <c r="Z67" s="219">
        <f t="shared" ref="Z67:Z75" si="10">COUNTIF($I$66:$J$89,Y67)</f>
        <v>6</v>
      </c>
      <c r="AA67" s="219">
        <f t="shared" ref="AA67:AA75" si="11">COUNTIF($L$66:$M$89,Y67)</f>
        <v>8</v>
      </c>
      <c r="AB67" s="219">
        <f t="shared" ref="AB67:AB75" si="12">COUNTIF($B$66:$C$89,Y67)</f>
        <v>2</v>
      </c>
      <c r="AC67" s="219" t="str" cm="1">
        <f t="array" ref="AC67">_xlfn.TEXTJOIN(", ", TRUE, _xlfn.UNIQUE(_xlfn._xlws.FILTER(G67:W67, COUNTIF(G67:W67, G67:W67)&gt;1, "無")))</f>
        <v>無</v>
      </c>
    </row>
    <row r="68" spans="1:29" s="218" customFormat="1" ht="16.5" customHeight="1">
      <c r="A68" s="219" t="str">
        <f t="shared" si="9"/>
        <v>D</v>
      </c>
      <c r="B68" s="217" t="s">
        <v>235</v>
      </c>
      <c r="C68" s="217"/>
      <c r="D68" s="220" t="s">
        <v>9</v>
      </c>
      <c r="E68" s="221" t="s">
        <v>75</v>
      </c>
      <c r="F68" s="218" t="str">
        <f t="shared" si="7"/>
        <v>2+710-11</v>
      </c>
      <c r="G68" s="222" t="s">
        <v>23</v>
      </c>
      <c r="H68" s="222"/>
      <c r="I68" s="222" t="s">
        <v>19</v>
      </c>
      <c r="J68" s="222" t="s">
        <v>239</v>
      </c>
      <c r="K68" s="222"/>
      <c r="L68" s="222" t="s">
        <v>46</v>
      </c>
      <c r="M68" s="222" t="s">
        <v>234</v>
      </c>
      <c r="N68" s="222"/>
      <c r="O68" s="222" t="s">
        <v>238</v>
      </c>
      <c r="P68" s="220"/>
      <c r="Q68" s="220"/>
      <c r="R68" s="220" t="s">
        <v>232</v>
      </c>
      <c r="S68" s="222"/>
      <c r="T68" s="222"/>
      <c r="U68" s="220"/>
      <c r="V68" s="220"/>
      <c r="W68" s="220" t="s">
        <v>57</v>
      </c>
      <c r="X68" s="223">
        <f t="shared" si="8"/>
        <v>9</v>
      </c>
      <c r="Y68" s="223" t="s">
        <v>23</v>
      </c>
      <c r="Z68" s="219">
        <f t="shared" si="10"/>
        <v>8</v>
      </c>
      <c r="AA68" s="219">
        <f t="shared" si="11"/>
        <v>6</v>
      </c>
      <c r="AB68" s="219">
        <f t="shared" si="12"/>
        <v>2</v>
      </c>
      <c r="AC68" s="219" t="str" cm="1">
        <f t="array" ref="AC68">_xlfn.TEXTJOIN(", ", TRUE, _xlfn.UNIQUE(_xlfn._xlws.FILTER(G68:W68, COUNTIF(G68:W68, G68:W68)&gt;1, "無")))</f>
        <v>無</v>
      </c>
    </row>
    <row r="69" spans="1:29" s="218" customFormat="1" ht="16.5" customHeight="1">
      <c r="A69" s="219" t="str">
        <f t="shared" si="9"/>
        <v>D</v>
      </c>
      <c r="B69" s="217" t="s">
        <v>235</v>
      </c>
      <c r="C69" s="217"/>
      <c r="D69" s="220" t="s">
        <v>9</v>
      </c>
      <c r="E69" s="221" t="s">
        <v>76</v>
      </c>
      <c r="F69" s="218" t="str">
        <f t="shared" si="7"/>
        <v>2+711-12</v>
      </c>
      <c r="G69" s="222" t="s">
        <v>23</v>
      </c>
      <c r="H69" s="222"/>
      <c r="I69" s="222" t="s">
        <v>19</v>
      </c>
      <c r="J69" s="222" t="s">
        <v>239</v>
      </c>
      <c r="K69" s="222"/>
      <c r="L69" s="222" t="s">
        <v>46</v>
      </c>
      <c r="M69" s="222" t="s">
        <v>234</v>
      </c>
      <c r="N69" s="222"/>
      <c r="O69" s="222" t="s">
        <v>238</v>
      </c>
      <c r="P69" s="220"/>
      <c r="Q69" s="220"/>
      <c r="R69" s="220" t="s">
        <v>232</v>
      </c>
      <c r="S69" s="222"/>
      <c r="T69" s="222"/>
      <c r="U69" s="220"/>
      <c r="V69" s="220"/>
      <c r="W69" s="220" t="s">
        <v>57</v>
      </c>
      <c r="X69" s="223">
        <f t="shared" si="8"/>
        <v>9</v>
      </c>
      <c r="Y69" s="223" t="s">
        <v>30</v>
      </c>
      <c r="Z69" s="219">
        <f t="shared" si="10"/>
        <v>8</v>
      </c>
      <c r="AA69" s="219">
        <f t="shared" si="11"/>
        <v>6</v>
      </c>
      <c r="AB69" s="219">
        <f t="shared" si="12"/>
        <v>2</v>
      </c>
      <c r="AC69" s="219" t="str" cm="1">
        <f t="array" ref="AC69">_xlfn.TEXTJOIN(", ", TRUE, _xlfn.UNIQUE(_xlfn._xlws.FILTER(G69:W69, COUNTIF(G69:W69, G69:W69)&gt;1, "無")))</f>
        <v>無</v>
      </c>
    </row>
    <row r="70" spans="1:29" s="218" customFormat="1" ht="16.5" customHeight="1">
      <c r="A70" s="219" t="str">
        <f t="shared" si="9"/>
        <v>F</v>
      </c>
      <c r="B70" s="217" t="s">
        <v>42</v>
      </c>
      <c r="C70" s="217"/>
      <c r="D70" s="220" t="s">
        <v>9</v>
      </c>
      <c r="E70" s="221" t="s">
        <v>77</v>
      </c>
      <c r="F70" s="218" t="str">
        <f t="shared" si="7"/>
        <v>2+712-13</v>
      </c>
      <c r="G70" s="222" t="s">
        <v>26</v>
      </c>
      <c r="H70" s="222"/>
      <c r="I70" s="222" t="s">
        <v>23</v>
      </c>
      <c r="J70" s="222" t="s">
        <v>46</v>
      </c>
      <c r="K70" s="222"/>
      <c r="L70" s="222" t="s">
        <v>19</v>
      </c>
      <c r="M70" s="222" t="s">
        <v>34</v>
      </c>
      <c r="N70" s="222"/>
      <c r="O70" s="222" t="s">
        <v>30</v>
      </c>
      <c r="P70" s="220"/>
      <c r="Q70" s="220"/>
      <c r="R70" s="220" t="s">
        <v>60</v>
      </c>
      <c r="S70" s="222"/>
      <c r="T70" s="222"/>
      <c r="U70" s="220"/>
      <c r="V70" s="220"/>
      <c r="W70" s="220" t="s">
        <v>57</v>
      </c>
      <c r="X70" s="223">
        <f t="shared" si="8"/>
        <v>9</v>
      </c>
      <c r="Y70" s="223" t="s">
        <v>34</v>
      </c>
      <c r="Z70" s="219">
        <f t="shared" si="10"/>
        <v>6</v>
      </c>
      <c r="AA70" s="219">
        <f t="shared" si="11"/>
        <v>8</v>
      </c>
      <c r="AB70" s="219">
        <f t="shared" si="12"/>
        <v>2</v>
      </c>
      <c r="AC70" s="219" t="str" cm="1">
        <f t="array" ref="AC70">_xlfn.TEXTJOIN(", ", TRUE, _xlfn.UNIQUE(_xlfn._xlws.FILTER(G70:W70, COUNTIF(G70:W70, G70:W70)&gt;1, "無")))</f>
        <v>無</v>
      </c>
    </row>
    <row r="71" spans="1:29" s="218" customFormat="1" ht="16.5" customHeight="1">
      <c r="A71" s="219" t="str">
        <f t="shared" si="9"/>
        <v>F</v>
      </c>
      <c r="B71" s="217" t="s">
        <v>42</v>
      </c>
      <c r="C71" s="217"/>
      <c r="D71" s="220" t="s">
        <v>9</v>
      </c>
      <c r="E71" s="221" t="s">
        <v>78</v>
      </c>
      <c r="F71" s="218" t="str">
        <f t="shared" si="7"/>
        <v>2+713-14</v>
      </c>
      <c r="G71" s="222" t="s">
        <v>26</v>
      </c>
      <c r="H71" s="222"/>
      <c r="I71" s="222" t="s">
        <v>23</v>
      </c>
      <c r="J71" s="222" t="s">
        <v>46</v>
      </c>
      <c r="K71" s="222"/>
      <c r="L71" s="222" t="s">
        <v>19</v>
      </c>
      <c r="M71" s="222" t="s">
        <v>34</v>
      </c>
      <c r="N71" s="222"/>
      <c r="O71" s="222" t="s">
        <v>30</v>
      </c>
      <c r="P71" s="220"/>
      <c r="Q71" s="220"/>
      <c r="R71" s="220" t="s">
        <v>60</v>
      </c>
      <c r="S71" s="222"/>
      <c r="T71" s="222"/>
      <c r="U71" s="220"/>
      <c r="V71" s="220"/>
      <c r="W71" s="220" t="s">
        <v>57</v>
      </c>
      <c r="X71" s="223">
        <f t="shared" si="8"/>
        <v>9</v>
      </c>
      <c r="Y71" s="223" t="s">
        <v>42</v>
      </c>
      <c r="Z71" s="219">
        <f t="shared" si="10"/>
        <v>8</v>
      </c>
      <c r="AA71" s="219">
        <f t="shared" si="11"/>
        <v>8</v>
      </c>
      <c r="AB71" s="219">
        <f t="shared" si="12"/>
        <v>2</v>
      </c>
      <c r="AC71" s="219" t="str" cm="1">
        <f t="array" ref="AC71">_xlfn.TEXTJOIN(", ", TRUE, _xlfn.UNIQUE(_xlfn._xlws.FILTER(G71:W71, COUNTIF(G71:W71, G71:W71)&gt;1, "無")))</f>
        <v>無</v>
      </c>
    </row>
    <row r="72" spans="1:29" s="218" customFormat="1" ht="16.5" customHeight="1">
      <c r="A72" s="219" t="str">
        <f t="shared" si="9"/>
        <v/>
      </c>
      <c r="B72" s="217"/>
      <c r="C72" s="217"/>
      <c r="D72" s="220" t="s">
        <v>9</v>
      </c>
      <c r="E72" s="221" t="s">
        <v>79</v>
      </c>
      <c r="F72" s="218" t="str">
        <f t="shared" si="7"/>
        <v>2+714-15</v>
      </c>
      <c r="G72" s="222" t="s">
        <v>30</v>
      </c>
      <c r="H72" s="222"/>
      <c r="I72" s="222" t="s">
        <v>42</v>
      </c>
      <c r="J72" s="222" t="s">
        <v>46</v>
      </c>
      <c r="K72" s="222"/>
      <c r="L72" s="222" t="s">
        <v>23</v>
      </c>
      <c r="M72" s="222" t="s">
        <v>26</v>
      </c>
      <c r="N72" s="222"/>
      <c r="O72" s="222" t="s">
        <v>19</v>
      </c>
      <c r="P72" s="220" t="s">
        <v>34</v>
      </c>
      <c r="Q72" s="220"/>
      <c r="R72" s="220" t="s">
        <v>60</v>
      </c>
      <c r="S72" s="222"/>
      <c r="T72" s="222"/>
      <c r="U72" s="220"/>
      <c r="V72" s="220"/>
      <c r="W72" s="220" t="s">
        <v>57</v>
      </c>
      <c r="X72" s="223">
        <f t="shared" si="8"/>
        <v>9</v>
      </c>
      <c r="Y72" s="223" t="s">
        <v>26</v>
      </c>
      <c r="Z72" s="219">
        <f t="shared" si="10"/>
        <v>6</v>
      </c>
      <c r="AA72" s="219">
        <f t="shared" si="11"/>
        <v>8</v>
      </c>
      <c r="AB72" s="219">
        <f t="shared" si="12"/>
        <v>2</v>
      </c>
      <c r="AC72" s="219" t="str" cm="1">
        <f t="array" ref="AC72">_xlfn.TEXTJOIN(", ", TRUE, _xlfn.UNIQUE(_xlfn._xlws.FILTER(G72:W72, COUNTIF(G72:W72, G72:W72)&gt;1, "無")))</f>
        <v>無</v>
      </c>
    </row>
    <row r="73" spans="1:29" s="218" customFormat="1" ht="16.5" customHeight="1">
      <c r="A73" s="219" t="str">
        <f t="shared" si="9"/>
        <v/>
      </c>
      <c r="B73" s="217"/>
      <c r="C73" s="217"/>
      <c r="D73" s="220" t="s">
        <v>9</v>
      </c>
      <c r="E73" s="221" t="s">
        <v>80</v>
      </c>
      <c r="F73" s="218" t="str">
        <f t="shared" si="7"/>
        <v>2+715-16</v>
      </c>
      <c r="G73" s="222" t="s">
        <v>30</v>
      </c>
      <c r="H73" s="222"/>
      <c r="I73" s="222" t="s">
        <v>42</v>
      </c>
      <c r="J73" s="222" t="s">
        <v>46</v>
      </c>
      <c r="K73" s="222"/>
      <c r="L73" s="222" t="s">
        <v>23</v>
      </c>
      <c r="M73" s="222" t="s">
        <v>26</v>
      </c>
      <c r="N73" s="222"/>
      <c r="O73" s="222" t="s">
        <v>19</v>
      </c>
      <c r="P73" s="220" t="s">
        <v>34</v>
      </c>
      <c r="Q73" s="220"/>
      <c r="R73" s="220" t="s">
        <v>60</v>
      </c>
      <c r="S73" s="222"/>
      <c r="T73" s="222"/>
      <c r="U73" s="220"/>
      <c r="V73" s="220"/>
      <c r="W73" s="220" t="s">
        <v>57</v>
      </c>
      <c r="X73" s="223">
        <f t="shared" si="8"/>
        <v>9</v>
      </c>
      <c r="Y73" s="223" t="s">
        <v>46</v>
      </c>
      <c r="Z73" s="219">
        <f t="shared" si="10"/>
        <v>6</v>
      </c>
      <c r="AA73" s="219">
        <f t="shared" si="11"/>
        <v>4</v>
      </c>
      <c r="AB73" s="219">
        <f t="shared" si="12"/>
        <v>2</v>
      </c>
      <c r="AC73" s="219" t="str" cm="1">
        <f t="array" ref="AC73">_xlfn.TEXTJOIN(", ", TRUE, _xlfn.UNIQUE(_xlfn._xlws.FILTER(G73:W73, COUNTIF(G73:W73, G73:W73)&gt;1, "無")))</f>
        <v>無</v>
      </c>
    </row>
    <row r="74" spans="1:29" s="218" customFormat="1" ht="16.5" customHeight="1">
      <c r="A74" s="219" t="str">
        <f t="shared" si="9"/>
        <v>A</v>
      </c>
      <c r="B74" s="217" t="s">
        <v>19</v>
      </c>
      <c r="C74" s="217"/>
      <c r="D74" s="220" t="s">
        <v>9</v>
      </c>
      <c r="E74" s="221" t="s">
        <v>81</v>
      </c>
      <c r="F74" s="218" t="str">
        <f t="shared" si="7"/>
        <v>2+716-17</v>
      </c>
      <c r="G74" s="222" t="s">
        <v>34</v>
      </c>
      <c r="H74" s="222"/>
      <c r="I74" s="222" t="s">
        <v>42</v>
      </c>
      <c r="J74" s="222" t="s">
        <v>26</v>
      </c>
      <c r="K74" s="222"/>
      <c r="L74" s="222" t="s">
        <v>30</v>
      </c>
      <c r="M74" s="222" t="s">
        <v>46</v>
      </c>
      <c r="N74" s="222"/>
      <c r="O74" s="222" t="s">
        <v>23</v>
      </c>
      <c r="P74" s="220"/>
      <c r="Q74" s="220"/>
      <c r="R74" s="220" t="s">
        <v>60</v>
      </c>
      <c r="S74" s="222"/>
      <c r="T74" s="222"/>
      <c r="U74" s="220"/>
      <c r="V74" s="220"/>
      <c r="W74" s="220" t="s">
        <v>57</v>
      </c>
      <c r="X74" s="223">
        <f t="shared" si="8"/>
        <v>9</v>
      </c>
      <c r="Y74" s="223" t="s">
        <v>57</v>
      </c>
      <c r="Z74" s="219">
        <f t="shared" si="10"/>
        <v>0</v>
      </c>
      <c r="AA74" s="219">
        <f t="shared" si="11"/>
        <v>0</v>
      </c>
      <c r="AB74" s="219">
        <f t="shared" si="12"/>
        <v>2</v>
      </c>
      <c r="AC74" s="219" t="str" cm="1">
        <f t="array" ref="AC74">_xlfn.TEXTJOIN(", ", TRUE, _xlfn.UNIQUE(_xlfn._xlws.FILTER(G74:W74, COUNTIF(G74:W74, G74:W74)&gt;1, "無")))</f>
        <v>無</v>
      </c>
    </row>
    <row r="75" spans="1:29" s="218" customFormat="1" ht="16.5" customHeight="1">
      <c r="A75" s="219" t="str">
        <f t="shared" si="9"/>
        <v>A</v>
      </c>
      <c r="B75" s="217" t="s">
        <v>19</v>
      </c>
      <c r="C75" s="217"/>
      <c r="D75" s="220" t="s">
        <v>9</v>
      </c>
      <c r="E75" s="221" t="s">
        <v>82</v>
      </c>
      <c r="F75" s="218" t="str">
        <f t="shared" si="7"/>
        <v>2+717-18</v>
      </c>
      <c r="G75" s="222" t="s">
        <v>34</v>
      </c>
      <c r="H75" s="222"/>
      <c r="I75" s="222" t="s">
        <v>42</v>
      </c>
      <c r="J75" s="222" t="s">
        <v>26</v>
      </c>
      <c r="K75" s="222"/>
      <c r="L75" s="222" t="s">
        <v>30</v>
      </c>
      <c r="M75" s="222" t="s">
        <v>46</v>
      </c>
      <c r="N75" s="222"/>
      <c r="O75" s="222" t="s">
        <v>23</v>
      </c>
      <c r="P75" s="220"/>
      <c r="Q75" s="220"/>
      <c r="R75" s="220" t="s">
        <v>60</v>
      </c>
      <c r="S75" s="222"/>
      <c r="T75" s="222"/>
      <c r="U75" s="220"/>
      <c r="V75" s="220"/>
      <c r="W75" s="220" t="s">
        <v>57</v>
      </c>
      <c r="X75" s="223">
        <f t="shared" si="8"/>
        <v>9</v>
      </c>
      <c r="Y75" s="223" t="s">
        <v>60</v>
      </c>
      <c r="Z75" s="219">
        <f t="shared" si="10"/>
        <v>0</v>
      </c>
      <c r="AA75" s="219">
        <f t="shared" si="11"/>
        <v>0</v>
      </c>
      <c r="AB75" s="219">
        <f t="shared" si="12"/>
        <v>2</v>
      </c>
      <c r="AC75" s="219" t="str" cm="1">
        <f t="array" ref="AC75">_xlfn.TEXTJOIN(", ", TRUE, _xlfn.UNIQUE(_xlfn._xlws.FILTER(G75:W75, COUNTIF(G75:W75, G75:W75)&gt;1, "無")))</f>
        <v>無</v>
      </c>
    </row>
    <row r="76" spans="1:29" s="218" customFormat="1" ht="16.5" customHeight="1">
      <c r="A76" s="219" t="str">
        <f t="shared" si="9"/>
        <v>B</v>
      </c>
      <c r="B76" s="217" t="s">
        <v>23</v>
      </c>
      <c r="C76" s="217"/>
      <c r="D76" s="220" t="s">
        <v>9</v>
      </c>
      <c r="E76" s="221" t="s">
        <v>83</v>
      </c>
      <c r="F76" s="218" t="str">
        <f t="shared" si="7"/>
        <v>2+718-19</v>
      </c>
      <c r="G76" s="222" t="s">
        <v>60</v>
      </c>
      <c r="H76" s="222"/>
      <c r="I76" s="222" t="s">
        <v>34</v>
      </c>
      <c r="J76" s="222" t="s">
        <v>46</v>
      </c>
      <c r="K76" s="222"/>
      <c r="L76" s="222" t="s">
        <v>26</v>
      </c>
      <c r="M76" s="222" t="s">
        <v>19</v>
      </c>
      <c r="N76" s="222"/>
      <c r="O76" s="222" t="s">
        <v>30</v>
      </c>
      <c r="P76" s="220" t="s">
        <v>42</v>
      </c>
      <c r="Q76" s="220"/>
      <c r="R76" s="220"/>
      <c r="S76" s="222"/>
      <c r="T76" s="222"/>
      <c r="U76" s="220"/>
      <c r="V76" s="220"/>
      <c r="W76" s="220" t="s">
        <v>57</v>
      </c>
      <c r="X76" s="223">
        <f t="shared" si="8"/>
        <v>9</v>
      </c>
      <c r="Y76" s="223"/>
      <c r="Z76" s="219"/>
      <c r="AA76" s="219"/>
      <c r="AB76" s="219"/>
      <c r="AC76" s="219" t="str" cm="1">
        <f t="array" ref="AC76">_xlfn.TEXTJOIN(", ", TRUE, _xlfn.UNIQUE(_xlfn._xlws.FILTER(G76:W76, COUNTIF(G76:W76, G76:W76)&gt;1, "無")))</f>
        <v>無</v>
      </c>
    </row>
    <row r="77" spans="1:29" s="218" customFormat="1" ht="16.5" customHeight="1">
      <c r="A77" s="219" t="str">
        <f t="shared" si="9"/>
        <v>B</v>
      </c>
      <c r="B77" s="217" t="s">
        <v>23</v>
      </c>
      <c r="C77" s="217"/>
      <c r="D77" s="220" t="s">
        <v>9</v>
      </c>
      <c r="E77" s="221" t="s">
        <v>84</v>
      </c>
      <c r="F77" s="218" t="str">
        <f t="shared" si="7"/>
        <v>2+719-20</v>
      </c>
      <c r="G77" s="222" t="s">
        <v>60</v>
      </c>
      <c r="H77" s="222"/>
      <c r="I77" s="222" t="s">
        <v>34</v>
      </c>
      <c r="J77" s="222" t="s">
        <v>46</v>
      </c>
      <c r="K77" s="222"/>
      <c r="L77" s="222" t="s">
        <v>26</v>
      </c>
      <c r="M77" s="222" t="s">
        <v>19</v>
      </c>
      <c r="N77" s="222"/>
      <c r="O77" s="222" t="s">
        <v>30</v>
      </c>
      <c r="P77" s="220" t="s">
        <v>42</v>
      </c>
      <c r="Q77" s="220"/>
      <c r="R77" s="220"/>
      <c r="S77" s="222"/>
      <c r="T77" s="222"/>
      <c r="U77" s="220"/>
      <c r="V77" s="220"/>
      <c r="W77" s="220" t="s">
        <v>57</v>
      </c>
      <c r="X77" s="223">
        <f t="shared" si="8"/>
        <v>9</v>
      </c>
      <c r="Y77" s="223"/>
      <c r="Z77" s="219"/>
      <c r="AA77" s="219"/>
      <c r="AB77" s="219"/>
      <c r="AC77" s="219" t="str" cm="1">
        <f t="array" ref="AC77">_xlfn.TEXTJOIN(", ", TRUE, _xlfn.UNIQUE(_xlfn._xlws.FILTER(G77:W77, COUNTIF(G77:W77, G77:W77)&gt;1, "無")))</f>
        <v>無</v>
      </c>
    </row>
    <row r="78" spans="1:29" s="218" customFormat="1" ht="16.5" customHeight="1">
      <c r="A78" s="219" t="str">
        <f t="shared" si="9"/>
        <v>C</v>
      </c>
      <c r="B78" s="217" t="s">
        <v>30</v>
      </c>
      <c r="C78" s="217"/>
      <c r="D78" s="220" t="s">
        <v>9</v>
      </c>
      <c r="E78" s="221" t="s">
        <v>85</v>
      </c>
      <c r="F78" s="218" t="str">
        <f t="shared" si="7"/>
        <v>2+720-21</v>
      </c>
      <c r="G78" s="222" t="s">
        <v>42</v>
      </c>
      <c r="H78" s="222"/>
      <c r="I78" s="222" t="s">
        <v>23</v>
      </c>
      <c r="J78" s="222" t="s">
        <v>26</v>
      </c>
      <c r="K78" s="222"/>
      <c r="L78" s="222" t="s">
        <v>19</v>
      </c>
      <c r="M78" s="222" t="s">
        <v>34</v>
      </c>
      <c r="N78" s="222"/>
      <c r="O78" s="222" t="s">
        <v>46</v>
      </c>
      <c r="P78" s="220"/>
      <c r="Q78" s="220"/>
      <c r="R78" s="220" t="s">
        <v>60</v>
      </c>
      <c r="S78" s="222"/>
      <c r="T78" s="222"/>
      <c r="U78" s="220"/>
      <c r="V78" s="220"/>
      <c r="W78" s="220" t="s">
        <v>57</v>
      </c>
      <c r="X78" s="223">
        <f t="shared" si="8"/>
        <v>9</v>
      </c>
      <c r="Y78" s="223"/>
      <c r="AA78" s="219"/>
      <c r="AB78" s="219"/>
      <c r="AC78" s="219" t="str" cm="1">
        <f t="array" ref="AC78">_xlfn.TEXTJOIN(", ", TRUE, _xlfn.UNIQUE(_xlfn._xlws.FILTER(G78:W78, COUNTIF(G78:W78, G78:W78)&gt;1, "無")))</f>
        <v>無</v>
      </c>
    </row>
    <row r="79" spans="1:29" s="218" customFormat="1" ht="16.5" customHeight="1">
      <c r="A79" s="219" t="str">
        <f t="shared" si="9"/>
        <v>C</v>
      </c>
      <c r="B79" s="217" t="s">
        <v>30</v>
      </c>
      <c r="C79" s="217"/>
      <c r="D79" s="220" t="s">
        <v>9</v>
      </c>
      <c r="E79" s="221" t="s">
        <v>86</v>
      </c>
      <c r="F79" s="218" t="str">
        <f t="shared" si="7"/>
        <v>2+721-22</v>
      </c>
      <c r="G79" s="222" t="s">
        <v>42</v>
      </c>
      <c r="H79" s="222"/>
      <c r="I79" s="222" t="s">
        <v>23</v>
      </c>
      <c r="J79" s="222" t="s">
        <v>26</v>
      </c>
      <c r="K79" s="222"/>
      <c r="L79" s="222" t="s">
        <v>19</v>
      </c>
      <c r="M79" s="222" t="s">
        <v>34</v>
      </c>
      <c r="N79" s="222"/>
      <c r="O79" s="222" t="s">
        <v>46</v>
      </c>
      <c r="P79" s="220"/>
      <c r="Q79" s="220"/>
      <c r="R79" s="220" t="s">
        <v>60</v>
      </c>
      <c r="S79" s="222"/>
      <c r="T79" s="222"/>
      <c r="U79" s="220"/>
      <c r="V79" s="220"/>
      <c r="W79" s="220" t="s">
        <v>57</v>
      </c>
      <c r="X79" s="223">
        <f t="shared" si="8"/>
        <v>9</v>
      </c>
      <c r="Y79" s="223"/>
      <c r="AA79" s="219"/>
      <c r="AB79" s="219"/>
      <c r="AC79" s="219" t="str" cm="1">
        <f t="array" ref="AC79">_xlfn.TEXTJOIN(", ", TRUE, _xlfn.UNIQUE(_xlfn._xlws.FILTER(G79:W79, COUNTIF(G79:W79, G79:W79)&gt;1, "無")))</f>
        <v>無</v>
      </c>
    </row>
    <row r="80" spans="1:29" s="218" customFormat="1" ht="16.5" customHeight="1">
      <c r="A80" s="219" t="str">
        <f t="shared" si="9"/>
        <v/>
      </c>
      <c r="B80" s="217"/>
      <c r="C80" s="217"/>
      <c r="D80" s="220" t="s">
        <v>9</v>
      </c>
      <c r="E80" s="221" t="s">
        <v>87</v>
      </c>
      <c r="F80" s="218" t="str">
        <f t="shared" si="7"/>
        <v>2+722-23</v>
      </c>
      <c r="G80" s="222" t="s">
        <v>46</v>
      </c>
      <c r="H80" s="222"/>
      <c r="I80" s="222" t="s">
        <v>42</v>
      </c>
      <c r="J80" s="222" t="s">
        <v>30</v>
      </c>
      <c r="K80" s="222"/>
      <c r="L80" s="222" t="s">
        <v>23</v>
      </c>
      <c r="M80" s="222" t="s">
        <v>26</v>
      </c>
      <c r="N80" s="222"/>
      <c r="O80" s="222" t="s">
        <v>19</v>
      </c>
      <c r="P80" s="220" t="s">
        <v>235</v>
      </c>
      <c r="Q80" s="220"/>
      <c r="R80" s="220" t="s">
        <v>232</v>
      </c>
      <c r="S80" s="222"/>
      <c r="T80" s="222"/>
      <c r="U80" s="220"/>
      <c r="V80" s="220"/>
      <c r="W80" s="220" t="s">
        <v>57</v>
      </c>
      <c r="X80" s="223">
        <f t="shared" si="8"/>
        <v>9</v>
      </c>
      <c r="Y80" s="223"/>
      <c r="AA80" s="219"/>
      <c r="AB80" s="219"/>
      <c r="AC80" s="219" t="str" cm="1">
        <f t="array" ref="AC80">_xlfn.TEXTJOIN(", ", TRUE, _xlfn.UNIQUE(_xlfn._xlws.FILTER(G80:W80, COUNTIF(G80:W80, G80:W80)&gt;1, "無")))</f>
        <v>無</v>
      </c>
    </row>
    <row r="81" spans="1:29" s="218" customFormat="1" ht="16.5" customHeight="1">
      <c r="A81" s="219" t="str">
        <f t="shared" si="9"/>
        <v/>
      </c>
      <c r="B81" s="217"/>
      <c r="C81" s="217"/>
      <c r="D81" s="220" t="s">
        <v>9</v>
      </c>
      <c r="E81" s="221" t="s">
        <v>88</v>
      </c>
      <c r="F81" s="218" t="str">
        <f t="shared" si="7"/>
        <v>2+723-24</v>
      </c>
      <c r="G81" s="222" t="s">
        <v>46</v>
      </c>
      <c r="H81" s="222"/>
      <c r="I81" s="222" t="s">
        <v>42</v>
      </c>
      <c r="J81" s="222" t="s">
        <v>30</v>
      </c>
      <c r="K81" s="222"/>
      <c r="L81" s="222" t="s">
        <v>23</v>
      </c>
      <c r="M81" s="222" t="s">
        <v>26</v>
      </c>
      <c r="N81" s="222"/>
      <c r="O81" s="222" t="s">
        <v>19</v>
      </c>
      <c r="P81" s="220" t="s">
        <v>235</v>
      </c>
      <c r="Q81" s="220"/>
      <c r="R81" s="220" t="s">
        <v>232</v>
      </c>
      <c r="S81" s="222"/>
      <c r="T81" s="222"/>
      <c r="U81" s="220"/>
      <c r="V81" s="220"/>
      <c r="W81" s="220" t="s">
        <v>57</v>
      </c>
      <c r="X81" s="223">
        <f t="shared" si="8"/>
        <v>9</v>
      </c>
      <c r="Y81" s="223"/>
      <c r="AA81" s="219"/>
      <c r="AB81" s="219"/>
      <c r="AC81" s="219" t="str" cm="1">
        <f t="array" ref="AC81">_xlfn.TEXTJOIN(", ", TRUE, _xlfn.UNIQUE(_xlfn._xlws.FILTER(G81:W81, COUNTIF(G81:W81, G81:W81)&gt;1, "無")))</f>
        <v>無</v>
      </c>
    </row>
    <row r="82" spans="1:29" s="218" customFormat="1" ht="16.5" customHeight="1">
      <c r="A82" s="219" t="str">
        <f t="shared" si="9"/>
        <v/>
      </c>
      <c r="B82" s="217"/>
      <c r="C82" s="217"/>
      <c r="D82" s="220" t="s">
        <v>9</v>
      </c>
      <c r="E82" s="221" t="s">
        <v>89</v>
      </c>
      <c r="F82" s="218" t="str">
        <f t="shared" si="7"/>
        <v>2+700-01</v>
      </c>
      <c r="G82" s="222" t="s">
        <v>46</v>
      </c>
      <c r="H82" s="222"/>
      <c r="I82" s="222" t="s">
        <v>19</v>
      </c>
      <c r="J82" s="222" t="s">
        <v>23</v>
      </c>
      <c r="K82" s="222"/>
      <c r="L82" s="222" t="s">
        <v>26</v>
      </c>
      <c r="M82" s="222" t="s">
        <v>42</v>
      </c>
      <c r="N82" s="222"/>
      <c r="O82" s="222" t="s">
        <v>34</v>
      </c>
      <c r="P82" s="220" t="s">
        <v>30</v>
      </c>
      <c r="Q82" s="220"/>
      <c r="R82" s="220" t="s">
        <v>60</v>
      </c>
      <c r="S82" s="222"/>
      <c r="T82" s="222"/>
      <c r="U82" s="220"/>
      <c r="V82" s="220"/>
      <c r="W82" s="220" t="s">
        <v>57</v>
      </c>
      <c r="X82" s="223">
        <f t="shared" si="8"/>
        <v>9</v>
      </c>
      <c r="Y82" s="223"/>
      <c r="AA82" s="219"/>
      <c r="AB82" s="219"/>
      <c r="AC82" s="219" t="str" cm="1">
        <f t="array" ref="AC82">_xlfn.TEXTJOIN(", ", TRUE, _xlfn.UNIQUE(_xlfn._xlws.FILTER(G82:W82, COUNTIF(G82:W82, G82:W82)&gt;1, "無")))</f>
        <v>無</v>
      </c>
    </row>
    <row r="83" spans="1:29" s="218" customFormat="1" ht="16.5" customHeight="1">
      <c r="A83" s="219" t="str">
        <f t="shared" si="9"/>
        <v/>
      </c>
      <c r="B83" s="217"/>
      <c r="C83" s="217"/>
      <c r="D83" s="220" t="s">
        <v>9</v>
      </c>
      <c r="E83" s="221" t="s">
        <v>90</v>
      </c>
      <c r="F83" s="218" t="str">
        <f t="shared" si="7"/>
        <v>2+701-02</v>
      </c>
      <c r="G83" s="222" t="s">
        <v>46</v>
      </c>
      <c r="H83" s="222"/>
      <c r="I83" s="222" t="s">
        <v>19</v>
      </c>
      <c r="J83" s="222" t="s">
        <v>23</v>
      </c>
      <c r="K83" s="222"/>
      <c r="L83" s="222" t="s">
        <v>26</v>
      </c>
      <c r="M83" s="222" t="s">
        <v>42</v>
      </c>
      <c r="N83" s="222"/>
      <c r="O83" s="222" t="s">
        <v>34</v>
      </c>
      <c r="P83" s="220" t="s">
        <v>30</v>
      </c>
      <c r="Q83" s="220"/>
      <c r="R83" s="220" t="s">
        <v>60</v>
      </c>
      <c r="S83" s="222"/>
      <c r="T83" s="222"/>
      <c r="U83" s="220"/>
      <c r="V83" s="220"/>
      <c r="W83" s="220" t="s">
        <v>57</v>
      </c>
      <c r="X83" s="223">
        <f t="shared" si="8"/>
        <v>9</v>
      </c>
      <c r="Y83" s="223"/>
      <c r="AA83" s="219"/>
      <c r="AB83" s="219"/>
      <c r="AC83" s="219" t="str" cm="1">
        <f t="array" ref="AC83">_xlfn.TEXTJOIN(", ", TRUE, _xlfn.UNIQUE(_xlfn._xlws.FILTER(G83:W83, COUNTIF(G83:W83, G83:W83)&gt;1, "無")))</f>
        <v>無</v>
      </c>
    </row>
    <row r="84" spans="1:29" s="218" customFormat="1" ht="16.5" customHeight="1">
      <c r="A84" s="219" t="str">
        <f t="shared" si="9"/>
        <v/>
      </c>
      <c r="B84" s="217"/>
      <c r="C84" s="217"/>
      <c r="D84" s="220" t="s">
        <v>9</v>
      </c>
      <c r="E84" s="221" t="s">
        <v>91</v>
      </c>
      <c r="F84" s="218" t="str">
        <f t="shared" si="7"/>
        <v>2+702-03</v>
      </c>
      <c r="G84" s="222" t="s">
        <v>46</v>
      </c>
      <c r="H84" s="222"/>
      <c r="I84" s="222" t="s">
        <v>19</v>
      </c>
      <c r="J84" s="222" t="s">
        <v>23</v>
      </c>
      <c r="K84" s="222"/>
      <c r="L84" s="222" t="s">
        <v>30</v>
      </c>
      <c r="M84" s="222" t="s">
        <v>34</v>
      </c>
      <c r="N84" s="222"/>
      <c r="O84" s="222" t="s">
        <v>26</v>
      </c>
      <c r="P84" s="220" t="s">
        <v>42</v>
      </c>
      <c r="Q84" s="220"/>
      <c r="R84" s="220" t="s">
        <v>232</v>
      </c>
      <c r="S84" s="222"/>
      <c r="T84" s="222"/>
      <c r="U84" s="220"/>
      <c r="V84" s="220"/>
      <c r="W84" s="220" t="s">
        <v>57</v>
      </c>
      <c r="X84" s="223">
        <f t="shared" si="8"/>
        <v>9</v>
      </c>
      <c r="Y84" s="223"/>
      <c r="AA84" s="219"/>
      <c r="AB84" s="219"/>
      <c r="AC84" s="219" t="str" cm="1">
        <f t="array" ref="AC84">_xlfn.TEXTJOIN(", ", TRUE, _xlfn.UNIQUE(_xlfn._xlws.FILTER(G84:W84, COUNTIF(G84:W84, G84:W84)&gt;1, "無")))</f>
        <v>無</v>
      </c>
    </row>
    <row r="85" spans="1:29" s="218" customFormat="1" ht="16.5" customHeight="1">
      <c r="A85" s="219" t="str">
        <f t="shared" si="9"/>
        <v/>
      </c>
      <c r="B85" s="217"/>
      <c r="C85" s="217"/>
      <c r="D85" s="220" t="s">
        <v>9</v>
      </c>
      <c r="E85" s="221" t="s">
        <v>92</v>
      </c>
      <c r="F85" s="218" t="str">
        <f t="shared" si="7"/>
        <v>2+703-04</v>
      </c>
      <c r="G85" s="222" t="s">
        <v>46</v>
      </c>
      <c r="H85" s="222"/>
      <c r="I85" s="222" t="s">
        <v>19</v>
      </c>
      <c r="J85" s="222" t="s">
        <v>23</v>
      </c>
      <c r="K85" s="222"/>
      <c r="L85" s="222" t="s">
        <v>30</v>
      </c>
      <c r="M85" s="222" t="s">
        <v>34</v>
      </c>
      <c r="N85" s="222"/>
      <c r="O85" s="222" t="s">
        <v>26</v>
      </c>
      <c r="P85" s="220" t="s">
        <v>42</v>
      </c>
      <c r="Q85" s="220"/>
      <c r="R85" s="220" t="s">
        <v>232</v>
      </c>
      <c r="S85" s="222"/>
      <c r="T85" s="222"/>
      <c r="U85" s="220"/>
      <c r="V85" s="220"/>
      <c r="W85" s="220" t="s">
        <v>57</v>
      </c>
      <c r="X85" s="223">
        <f t="shared" si="8"/>
        <v>9</v>
      </c>
      <c r="Y85" s="223"/>
      <c r="AA85" s="219"/>
      <c r="AB85" s="219"/>
      <c r="AC85" s="219" t="str" cm="1">
        <f t="array" ref="AC85">_xlfn.TEXTJOIN(", ", TRUE, _xlfn.UNIQUE(_xlfn._xlws.FILTER(G85:W85, COUNTIF(G85:W85, G85:W85)&gt;1, "無")))</f>
        <v>無</v>
      </c>
    </row>
    <row r="86" spans="1:29" s="218" customFormat="1" ht="16.5" customHeight="1">
      <c r="A86" s="219" t="str">
        <f t="shared" si="9"/>
        <v/>
      </c>
      <c r="B86" s="217"/>
      <c r="C86" s="217"/>
      <c r="D86" s="220" t="s">
        <v>9</v>
      </c>
      <c r="E86" s="221" t="s">
        <v>93</v>
      </c>
      <c r="F86" s="218" t="str">
        <f t="shared" si="7"/>
        <v>2+704-05</v>
      </c>
      <c r="G86" s="222" t="s">
        <v>46</v>
      </c>
      <c r="H86" s="222"/>
      <c r="I86" s="222" t="s">
        <v>30</v>
      </c>
      <c r="J86" s="222" t="s">
        <v>34</v>
      </c>
      <c r="K86" s="222"/>
      <c r="L86" s="222" t="s">
        <v>19</v>
      </c>
      <c r="M86" s="222" t="s">
        <v>42</v>
      </c>
      <c r="N86" s="222"/>
      <c r="O86" s="222" t="s">
        <v>23</v>
      </c>
      <c r="P86" s="220" t="s">
        <v>26</v>
      </c>
      <c r="Q86" s="220"/>
      <c r="R86" s="220" t="s">
        <v>232</v>
      </c>
      <c r="S86" s="222"/>
      <c r="T86" s="222"/>
      <c r="U86" s="220"/>
      <c r="V86" s="220"/>
      <c r="W86" s="220" t="s">
        <v>231</v>
      </c>
      <c r="X86" s="223">
        <f t="shared" si="8"/>
        <v>9</v>
      </c>
      <c r="Y86" s="223"/>
      <c r="AA86" s="219"/>
      <c r="AB86" s="219"/>
      <c r="AC86" s="219" t="str" cm="1">
        <f t="array" ref="AC86">_xlfn.TEXTJOIN(", ", TRUE, _xlfn.UNIQUE(_xlfn._xlws.FILTER(G86:W86, COUNTIF(G86:W86, G86:W86)&gt;1, "無")))</f>
        <v>無</v>
      </c>
    </row>
    <row r="87" spans="1:29" s="218" customFormat="1" ht="16.5" customHeight="1">
      <c r="A87" s="219" t="str">
        <f t="shared" si="9"/>
        <v/>
      </c>
      <c r="B87" s="217"/>
      <c r="C87" s="217"/>
      <c r="D87" s="220" t="s">
        <v>9</v>
      </c>
      <c r="E87" s="221" t="s">
        <v>94</v>
      </c>
      <c r="F87" s="218" t="str">
        <f t="shared" si="7"/>
        <v>2+705-06</v>
      </c>
      <c r="G87" s="222" t="s">
        <v>46</v>
      </c>
      <c r="H87" s="222"/>
      <c r="I87" s="222" t="s">
        <v>30</v>
      </c>
      <c r="J87" s="222" t="s">
        <v>34</v>
      </c>
      <c r="K87" s="222"/>
      <c r="L87" s="222" t="s">
        <v>19</v>
      </c>
      <c r="M87" s="222" t="s">
        <v>42</v>
      </c>
      <c r="N87" s="222"/>
      <c r="O87" s="222" t="s">
        <v>23</v>
      </c>
      <c r="P87" s="220" t="s">
        <v>26</v>
      </c>
      <c r="Q87" s="220"/>
      <c r="R87" s="220" t="s">
        <v>232</v>
      </c>
      <c r="S87" s="222"/>
      <c r="T87" s="222"/>
      <c r="U87" s="220"/>
      <c r="V87" s="220"/>
      <c r="W87" s="220" t="s">
        <v>231</v>
      </c>
      <c r="X87" s="223">
        <f t="shared" si="8"/>
        <v>9</v>
      </c>
      <c r="Y87" s="223"/>
      <c r="AA87" s="219"/>
      <c r="AB87" s="219"/>
      <c r="AC87" s="219" t="str" cm="1">
        <f t="array" ref="AC87">_xlfn.TEXTJOIN(", ", TRUE, _xlfn.UNIQUE(_xlfn._xlws.FILTER(G87:W87, COUNTIF(G87:W87, G87:W87)&gt;1, "無")))</f>
        <v>無</v>
      </c>
    </row>
    <row r="88" spans="1:29" s="218" customFormat="1" ht="16.5" customHeight="1">
      <c r="A88" s="219" t="str">
        <f t="shared" si="9"/>
        <v>G,L</v>
      </c>
      <c r="B88" s="217" t="s">
        <v>26</v>
      </c>
      <c r="C88" s="217" t="s">
        <v>232</v>
      </c>
      <c r="D88" s="220" t="s">
        <v>9</v>
      </c>
      <c r="E88" s="221" t="s">
        <v>95</v>
      </c>
      <c r="F88" s="218" t="str">
        <f t="shared" si="7"/>
        <v>2+706-07</v>
      </c>
      <c r="G88" s="222" t="s">
        <v>46</v>
      </c>
      <c r="H88" s="222"/>
      <c r="I88" s="222" t="s">
        <v>30</v>
      </c>
      <c r="J88" s="222" t="s">
        <v>34</v>
      </c>
      <c r="K88" s="222"/>
      <c r="L88" s="222" t="s">
        <v>42</v>
      </c>
      <c r="M88" s="222" t="s">
        <v>23</v>
      </c>
      <c r="N88" s="222"/>
      <c r="O88" s="222" t="s">
        <v>19</v>
      </c>
      <c r="P88" s="220"/>
      <c r="Q88" s="220"/>
      <c r="R88" s="220"/>
      <c r="S88" s="222"/>
      <c r="T88" s="222"/>
      <c r="U88" s="220"/>
      <c r="V88" s="220"/>
      <c r="W88" s="220" t="s">
        <v>57</v>
      </c>
      <c r="X88" s="223">
        <f t="shared" si="8"/>
        <v>9</v>
      </c>
      <c r="Y88" s="223"/>
      <c r="AA88" s="219"/>
      <c r="AB88" s="219"/>
      <c r="AC88" s="219" t="str" cm="1">
        <f t="array" ref="AC88">_xlfn.TEXTJOIN(", ", TRUE, _xlfn.UNIQUE(_xlfn._xlws.FILTER(G88:W88, COUNTIF(G88:W88, G88:W88)&gt;1, "無")))</f>
        <v>無</v>
      </c>
    </row>
    <row r="89" spans="1:29" s="218" customFormat="1" ht="16.5" customHeight="1">
      <c r="A89" s="219" t="str">
        <f t="shared" si="9"/>
        <v>G,L</v>
      </c>
      <c r="B89" s="217" t="s">
        <v>26</v>
      </c>
      <c r="C89" s="217" t="s">
        <v>232</v>
      </c>
      <c r="D89" s="220" t="s">
        <v>9</v>
      </c>
      <c r="E89" s="221" t="s">
        <v>96</v>
      </c>
      <c r="F89" s="218" t="str">
        <f t="shared" si="7"/>
        <v>2+707-08</v>
      </c>
      <c r="G89" s="222" t="s">
        <v>46</v>
      </c>
      <c r="H89" s="222"/>
      <c r="I89" s="222" t="s">
        <v>30</v>
      </c>
      <c r="J89" s="222" t="s">
        <v>34</v>
      </c>
      <c r="K89" s="222"/>
      <c r="L89" s="222" t="s">
        <v>42</v>
      </c>
      <c r="M89" s="222" t="s">
        <v>23</v>
      </c>
      <c r="N89" s="222"/>
      <c r="O89" s="222" t="s">
        <v>19</v>
      </c>
      <c r="P89" s="220"/>
      <c r="Q89" s="220"/>
      <c r="R89" s="220"/>
      <c r="S89" s="222"/>
      <c r="T89" s="222"/>
      <c r="U89" s="220"/>
      <c r="V89" s="220"/>
      <c r="W89" s="220" t="s">
        <v>57</v>
      </c>
      <c r="X89" s="223">
        <f t="shared" si="8"/>
        <v>9</v>
      </c>
      <c r="Y89" s="223"/>
      <c r="AA89" s="219"/>
      <c r="AB89" s="219"/>
      <c r="AC89" s="219" t="str" cm="1">
        <f t="array" ref="AC89">_xlfn.TEXTJOIN(", ", TRUE, _xlfn.UNIQUE(_xlfn._xlws.FILTER(G89:W89, COUNTIF(G89:W89, G89:W89)&gt;1, "無")))</f>
        <v>無</v>
      </c>
    </row>
    <row r="90" spans="1:29" s="218" customFormat="1" ht="16.5" customHeight="1">
      <c r="A90" s="219"/>
      <c r="B90" s="217"/>
      <c r="C90" s="217"/>
      <c r="D90" s="219"/>
      <c r="E90" s="219"/>
      <c r="G90" s="219"/>
      <c r="H90" s="219"/>
      <c r="X90" s="223"/>
      <c r="AC90" s="219"/>
    </row>
    <row r="91" spans="1:29" s="218" customFormat="1" ht="16.5" customHeight="1">
      <c r="A91" s="219"/>
      <c r="B91" s="217"/>
      <c r="C91" s="217"/>
      <c r="G91" s="219"/>
      <c r="H91" s="219"/>
      <c r="X91" s="223"/>
      <c r="AC91" s="219"/>
    </row>
    <row r="92" spans="1:29" s="218" customFormat="1" ht="16.5" customHeight="1">
      <c r="A92" s="217" t="s">
        <v>10</v>
      </c>
      <c r="B92" s="217" t="s">
        <v>68</v>
      </c>
      <c r="C92" s="217" t="s">
        <v>69</v>
      </c>
      <c r="F92" s="219"/>
      <c r="G92" s="219"/>
      <c r="H92" s="219"/>
      <c r="AC92" s="219"/>
    </row>
    <row r="93" spans="1:29" s="218" customFormat="1" ht="16.5" customHeight="1">
      <c r="A93" s="219" t="str">
        <f>_xlfn.TEXTJOIN(",",TRUE,B93:C93)</f>
        <v>H</v>
      </c>
      <c r="B93" s="217" t="s">
        <v>46</v>
      </c>
      <c r="C93" s="217"/>
      <c r="D93" s="220" t="s">
        <v>10</v>
      </c>
      <c r="E93" s="221" t="s">
        <v>70</v>
      </c>
      <c r="F93" s="218" t="str">
        <f t="shared" ref="F93:F116" si="13">$D93&amp;$E93</f>
        <v>1+808-09</v>
      </c>
      <c r="G93" s="222" t="s">
        <v>19</v>
      </c>
      <c r="H93" s="222"/>
      <c r="I93" s="222" t="s">
        <v>38</v>
      </c>
      <c r="J93" s="222" t="s">
        <v>42</v>
      </c>
      <c r="K93" s="222"/>
      <c r="L93" s="222" t="s">
        <v>30</v>
      </c>
      <c r="M93" s="222" t="s">
        <v>26</v>
      </c>
      <c r="N93" s="222"/>
      <c r="O93" s="222" t="s">
        <v>34</v>
      </c>
      <c r="P93" s="220" t="s">
        <v>23</v>
      </c>
      <c r="Q93" s="220"/>
      <c r="R93" s="220"/>
      <c r="S93" s="222"/>
      <c r="T93" s="222"/>
      <c r="U93" s="220"/>
      <c r="V93" s="220"/>
      <c r="W93" s="220" t="s">
        <v>57</v>
      </c>
      <c r="X93" s="223">
        <f t="shared" ref="X93:X116" si="14">COUNTA(B93:C93,G93:W93)</f>
        <v>9</v>
      </c>
      <c r="Y93" s="223"/>
      <c r="Z93" s="219" t="s">
        <v>71</v>
      </c>
      <c r="AA93" s="219" t="s">
        <v>72</v>
      </c>
      <c r="AB93" s="219" t="s">
        <v>73</v>
      </c>
      <c r="AC93" s="219" t="str" cm="1">
        <f t="array" ref="AC93">_xlfn.TEXTJOIN(", ", TRUE, _xlfn.UNIQUE(_xlfn._xlws.FILTER(G93:W93, COUNTIF(G93:W93, G93:W93)&gt;1, "無")))</f>
        <v>無</v>
      </c>
    </row>
    <row r="94" spans="1:29" s="218" customFormat="1" ht="16.5" customHeight="1">
      <c r="A94" s="219" t="str">
        <f t="shared" ref="A94:A116" si="15">_xlfn.TEXTJOIN(",",TRUE,B94:C94)</f>
        <v>H</v>
      </c>
      <c r="B94" s="217" t="s">
        <v>46</v>
      </c>
      <c r="C94" s="217"/>
      <c r="D94" s="220" t="s">
        <v>10</v>
      </c>
      <c r="E94" s="221" t="s">
        <v>74</v>
      </c>
      <c r="F94" s="218" t="str">
        <f t="shared" si="13"/>
        <v>1+809-10</v>
      </c>
      <c r="G94" s="222" t="s">
        <v>19</v>
      </c>
      <c r="H94" s="222"/>
      <c r="I94" s="222" t="s">
        <v>38</v>
      </c>
      <c r="J94" s="222" t="s">
        <v>42</v>
      </c>
      <c r="K94" s="222"/>
      <c r="L94" s="222" t="s">
        <v>30</v>
      </c>
      <c r="M94" s="222" t="s">
        <v>26</v>
      </c>
      <c r="N94" s="222"/>
      <c r="O94" s="222" t="s">
        <v>34</v>
      </c>
      <c r="P94" s="220" t="s">
        <v>23</v>
      </c>
      <c r="Q94" s="220"/>
      <c r="R94" s="220"/>
      <c r="S94" s="222"/>
      <c r="T94" s="222"/>
      <c r="U94" s="220"/>
      <c r="V94" s="220"/>
      <c r="W94" s="220" t="s">
        <v>57</v>
      </c>
      <c r="X94" s="223">
        <f t="shared" si="14"/>
        <v>9</v>
      </c>
      <c r="Y94" s="223" t="s">
        <v>19</v>
      </c>
      <c r="Z94" s="219">
        <f t="shared" ref="Z94:Z102" si="16">COUNTIF($I$93:$J$116,Y94)</f>
        <v>6</v>
      </c>
      <c r="AA94" s="219">
        <f t="shared" ref="AA94:AA102" si="17">COUNTIF($L$93:$M$116,Y94)</f>
        <v>6</v>
      </c>
      <c r="AB94" s="219">
        <f t="shared" ref="AB94:AB102" si="18">COUNTIF($B$93:$C$116,Y94)</f>
        <v>2</v>
      </c>
      <c r="AC94" s="219" t="str" cm="1">
        <f t="array" ref="AC94">_xlfn.TEXTJOIN(", ", TRUE, _xlfn.UNIQUE(_xlfn._xlws.FILTER(G94:W94, COUNTIF(G94:W94, G94:W94)&gt;1, "無")))</f>
        <v>無</v>
      </c>
    </row>
    <row r="95" spans="1:29" s="218" customFormat="1" ht="16.5" customHeight="1">
      <c r="A95" s="219" t="str">
        <f t="shared" si="15"/>
        <v>D</v>
      </c>
      <c r="B95" s="217" t="s">
        <v>235</v>
      </c>
      <c r="C95" s="217"/>
      <c r="D95" s="220" t="s">
        <v>10</v>
      </c>
      <c r="E95" s="221" t="s">
        <v>75</v>
      </c>
      <c r="F95" s="218" t="str">
        <f t="shared" si="13"/>
        <v>1+810-11</v>
      </c>
      <c r="G95" s="222" t="s">
        <v>23</v>
      </c>
      <c r="H95" s="222"/>
      <c r="I95" s="222" t="s">
        <v>19</v>
      </c>
      <c r="J95" s="222" t="s">
        <v>38</v>
      </c>
      <c r="K95" s="222"/>
      <c r="L95" s="222" t="s">
        <v>236</v>
      </c>
      <c r="M95" s="222" t="s">
        <v>239</v>
      </c>
      <c r="N95" s="222"/>
      <c r="O95" s="222" t="s">
        <v>234</v>
      </c>
      <c r="P95" s="220" t="s">
        <v>238</v>
      </c>
      <c r="Q95" s="220"/>
      <c r="R95" s="220"/>
      <c r="S95" s="222"/>
      <c r="T95" s="222"/>
      <c r="U95" s="220"/>
      <c r="V95" s="220"/>
      <c r="W95" s="220" t="s">
        <v>57</v>
      </c>
      <c r="X95" s="223">
        <f t="shared" si="14"/>
        <v>9</v>
      </c>
      <c r="Y95" s="223" t="s">
        <v>23</v>
      </c>
      <c r="Z95" s="219">
        <f t="shared" si="16"/>
        <v>6</v>
      </c>
      <c r="AA95" s="219">
        <f t="shared" si="17"/>
        <v>6</v>
      </c>
      <c r="AB95" s="219">
        <f t="shared" si="18"/>
        <v>2</v>
      </c>
      <c r="AC95" s="219" t="str" cm="1">
        <f t="array" ref="AC95">_xlfn.TEXTJOIN(", ", TRUE, _xlfn.UNIQUE(_xlfn._xlws.FILTER(G95:W95, COUNTIF(G95:W95, G95:W95)&gt;1, "無")))</f>
        <v>無</v>
      </c>
    </row>
    <row r="96" spans="1:29" s="218" customFormat="1" ht="16.5" customHeight="1">
      <c r="A96" s="219" t="str">
        <f t="shared" si="15"/>
        <v>D</v>
      </c>
      <c r="B96" s="217" t="s">
        <v>235</v>
      </c>
      <c r="C96" s="217"/>
      <c r="D96" s="220" t="s">
        <v>10</v>
      </c>
      <c r="E96" s="221" t="s">
        <v>76</v>
      </c>
      <c r="F96" s="218" t="str">
        <f t="shared" si="13"/>
        <v>1+811-12</v>
      </c>
      <c r="G96" s="222" t="s">
        <v>23</v>
      </c>
      <c r="H96" s="222"/>
      <c r="I96" s="222" t="s">
        <v>19</v>
      </c>
      <c r="J96" s="222" t="s">
        <v>38</v>
      </c>
      <c r="K96" s="222"/>
      <c r="L96" s="222" t="s">
        <v>236</v>
      </c>
      <c r="M96" s="222" t="s">
        <v>239</v>
      </c>
      <c r="N96" s="222"/>
      <c r="O96" s="222" t="s">
        <v>234</v>
      </c>
      <c r="P96" s="220" t="s">
        <v>238</v>
      </c>
      <c r="Q96" s="220"/>
      <c r="R96" s="220"/>
      <c r="S96" s="222"/>
      <c r="T96" s="222"/>
      <c r="U96" s="220"/>
      <c r="V96" s="220"/>
      <c r="W96" s="220" t="s">
        <v>57</v>
      </c>
      <c r="X96" s="223">
        <f t="shared" si="14"/>
        <v>9</v>
      </c>
      <c r="Y96" s="223" t="s">
        <v>30</v>
      </c>
      <c r="Z96" s="219">
        <f t="shared" si="16"/>
        <v>6</v>
      </c>
      <c r="AA96" s="219">
        <f t="shared" si="17"/>
        <v>8</v>
      </c>
      <c r="AB96" s="219">
        <f t="shared" si="18"/>
        <v>2</v>
      </c>
      <c r="AC96" s="219" t="str" cm="1">
        <f t="array" ref="AC96">_xlfn.TEXTJOIN(", ", TRUE, _xlfn.UNIQUE(_xlfn._xlws.FILTER(G96:W96, COUNTIF(G96:W96, G96:W96)&gt;1, "無")))</f>
        <v>無</v>
      </c>
    </row>
    <row r="97" spans="1:29" s="218" customFormat="1" ht="16.5" customHeight="1">
      <c r="A97" s="219" t="str">
        <f t="shared" si="15"/>
        <v>K</v>
      </c>
      <c r="B97" s="217" t="s">
        <v>231</v>
      </c>
      <c r="C97" s="217"/>
      <c r="D97" s="220" t="s">
        <v>10</v>
      </c>
      <c r="E97" s="221" t="s">
        <v>77</v>
      </c>
      <c r="F97" s="218" t="str">
        <f t="shared" si="13"/>
        <v>1+812-13</v>
      </c>
      <c r="G97" s="222" t="s">
        <v>26</v>
      </c>
      <c r="H97" s="222"/>
      <c r="I97" s="222" t="s">
        <v>23</v>
      </c>
      <c r="J97" s="222" t="s">
        <v>46</v>
      </c>
      <c r="K97" s="222"/>
      <c r="L97" s="222" t="s">
        <v>38</v>
      </c>
      <c r="M97" s="222" t="s">
        <v>34</v>
      </c>
      <c r="N97" s="222"/>
      <c r="O97" s="222" t="s">
        <v>19</v>
      </c>
      <c r="P97" s="220" t="s">
        <v>234</v>
      </c>
      <c r="Q97" s="220"/>
      <c r="R97" s="220"/>
      <c r="S97" s="222"/>
      <c r="T97" s="222"/>
      <c r="U97" s="220"/>
      <c r="V97" s="220"/>
      <c r="W97" s="220" t="s">
        <v>239</v>
      </c>
      <c r="X97" s="223">
        <f t="shared" si="14"/>
        <v>9</v>
      </c>
      <c r="Y97" s="223" t="s">
        <v>34</v>
      </c>
      <c r="Z97" s="219">
        <f t="shared" si="16"/>
        <v>6</v>
      </c>
      <c r="AA97" s="219">
        <f t="shared" si="17"/>
        <v>4</v>
      </c>
      <c r="AB97" s="219">
        <f t="shared" si="18"/>
        <v>2</v>
      </c>
      <c r="AC97" s="219" t="str" cm="1">
        <f t="array" ref="AC97">_xlfn.TEXTJOIN(", ", TRUE, _xlfn.UNIQUE(_xlfn._xlws.FILTER(G97:W97, COUNTIF(G97:W97, G97:W97)&gt;1, "無")))</f>
        <v>無</v>
      </c>
    </row>
    <row r="98" spans="1:29" s="218" customFormat="1" ht="16.5" customHeight="1">
      <c r="A98" s="219" t="str">
        <f t="shared" si="15"/>
        <v>K</v>
      </c>
      <c r="B98" s="217" t="s">
        <v>231</v>
      </c>
      <c r="C98" s="217"/>
      <c r="D98" s="220" t="s">
        <v>10</v>
      </c>
      <c r="E98" s="221" t="s">
        <v>78</v>
      </c>
      <c r="F98" s="218" t="str">
        <f t="shared" si="13"/>
        <v>1+813-14</v>
      </c>
      <c r="G98" s="222" t="s">
        <v>26</v>
      </c>
      <c r="H98" s="222"/>
      <c r="I98" s="222" t="s">
        <v>23</v>
      </c>
      <c r="J98" s="222" t="s">
        <v>46</v>
      </c>
      <c r="K98" s="222"/>
      <c r="L98" s="222" t="s">
        <v>38</v>
      </c>
      <c r="M98" s="222" t="s">
        <v>34</v>
      </c>
      <c r="N98" s="222"/>
      <c r="O98" s="222" t="s">
        <v>19</v>
      </c>
      <c r="P98" s="220" t="s">
        <v>234</v>
      </c>
      <c r="Q98" s="220"/>
      <c r="R98" s="220"/>
      <c r="S98" s="222"/>
      <c r="T98" s="222"/>
      <c r="U98" s="220"/>
      <c r="V98" s="220"/>
      <c r="W98" s="220" t="s">
        <v>239</v>
      </c>
      <c r="X98" s="223">
        <f t="shared" si="14"/>
        <v>9</v>
      </c>
      <c r="Y98" s="223" t="s">
        <v>38</v>
      </c>
      <c r="Z98" s="219">
        <f t="shared" si="16"/>
        <v>6</v>
      </c>
      <c r="AA98" s="219">
        <f t="shared" si="17"/>
        <v>8</v>
      </c>
      <c r="AB98" s="219">
        <f t="shared" si="18"/>
        <v>2</v>
      </c>
      <c r="AC98" s="219" t="str" cm="1">
        <f t="array" ref="AC98">_xlfn.TEXTJOIN(", ", TRUE, _xlfn.UNIQUE(_xlfn._xlws.FILTER(G98:W98, COUNTIF(G98:W98, G98:W98)&gt;1, "無")))</f>
        <v>無</v>
      </c>
    </row>
    <row r="99" spans="1:29" s="218" customFormat="1" ht="16.5" customHeight="1">
      <c r="A99" s="219" t="str">
        <f t="shared" si="15"/>
        <v/>
      </c>
      <c r="B99" s="217"/>
      <c r="C99" s="217"/>
      <c r="D99" s="220" t="s">
        <v>10</v>
      </c>
      <c r="E99" s="221" t="s">
        <v>79</v>
      </c>
      <c r="F99" s="218" t="str">
        <f t="shared" si="13"/>
        <v>1+814-15</v>
      </c>
      <c r="G99" s="222" t="s">
        <v>30</v>
      </c>
      <c r="H99" s="222"/>
      <c r="I99" s="222" t="s">
        <v>26</v>
      </c>
      <c r="J99" s="222" t="s">
        <v>46</v>
      </c>
      <c r="K99" s="222"/>
      <c r="L99" s="222" t="s">
        <v>42</v>
      </c>
      <c r="M99" s="222" t="s">
        <v>38</v>
      </c>
      <c r="N99" s="222"/>
      <c r="O99" s="222" t="s">
        <v>23</v>
      </c>
      <c r="P99" s="220" t="s">
        <v>19</v>
      </c>
      <c r="Q99" s="220"/>
      <c r="R99" s="220" t="s">
        <v>34</v>
      </c>
      <c r="S99" s="222"/>
      <c r="T99" s="222"/>
      <c r="U99" s="220"/>
      <c r="V99" s="220"/>
      <c r="W99" s="220" t="s">
        <v>57</v>
      </c>
      <c r="X99" s="223">
        <f t="shared" si="14"/>
        <v>9</v>
      </c>
      <c r="Y99" s="223" t="s">
        <v>42</v>
      </c>
      <c r="Z99" s="219">
        <f t="shared" si="16"/>
        <v>6</v>
      </c>
      <c r="AA99" s="219">
        <f t="shared" si="17"/>
        <v>6</v>
      </c>
      <c r="AB99" s="219">
        <f t="shared" si="18"/>
        <v>2</v>
      </c>
      <c r="AC99" s="219" t="str" cm="1">
        <f t="array" ref="AC99">_xlfn.TEXTJOIN(", ", TRUE, _xlfn.UNIQUE(_xlfn._xlws.FILTER(G99:W99, COUNTIF(G99:W99, G99:W99)&gt;1, "無")))</f>
        <v>無</v>
      </c>
    </row>
    <row r="100" spans="1:29" s="218" customFormat="1" ht="16.5" customHeight="1">
      <c r="A100" s="219" t="str">
        <f t="shared" si="15"/>
        <v/>
      </c>
      <c r="B100" s="217"/>
      <c r="C100" s="217"/>
      <c r="D100" s="220" t="s">
        <v>10</v>
      </c>
      <c r="E100" s="221" t="s">
        <v>80</v>
      </c>
      <c r="F100" s="218" t="str">
        <f t="shared" si="13"/>
        <v>1+815-16</v>
      </c>
      <c r="G100" s="222" t="s">
        <v>30</v>
      </c>
      <c r="H100" s="222"/>
      <c r="I100" s="222" t="s">
        <v>26</v>
      </c>
      <c r="J100" s="222" t="s">
        <v>46</v>
      </c>
      <c r="K100" s="222"/>
      <c r="L100" s="222" t="s">
        <v>42</v>
      </c>
      <c r="M100" s="222" t="s">
        <v>38</v>
      </c>
      <c r="N100" s="222"/>
      <c r="O100" s="222" t="s">
        <v>23</v>
      </c>
      <c r="P100" s="220" t="s">
        <v>19</v>
      </c>
      <c r="Q100" s="220"/>
      <c r="R100" s="220" t="s">
        <v>34</v>
      </c>
      <c r="S100" s="222"/>
      <c r="T100" s="222"/>
      <c r="U100" s="220"/>
      <c r="V100" s="220"/>
      <c r="W100" s="220" t="s">
        <v>57</v>
      </c>
      <c r="X100" s="223">
        <f t="shared" si="14"/>
        <v>9</v>
      </c>
      <c r="Y100" s="223" t="s">
        <v>26</v>
      </c>
      <c r="Z100" s="219">
        <f t="shared" si="16"/>
        <v>6</v>
      </c>
      <c r="AA100" s="219">
        <f t="shared" si="17"/>
        <v>6</v>
      </c>
      <c r="AB100" s="219">
        <f t="shared" si="18"/>
        <v>2</v>
      </c>
      <c r="AC100" s="219" t="str" cm="1">
        <f t="array" ref="AC100">_xlfn.TEXTJOIN(", ", TRUE, _xlfn.UNIQUE(_xlfn._xlws.FILTER(G100:W100, COUNTIF(G100:W100, G100:W100)&gt;1, "無")))</f>
        <v>無</v>
      </c>
    </row>
    <row r="101" spans="1:29" s="218" customFormat="1" ht="16.5" customHeight="1">
      <c r="A101" s="219" t="str">
        <f t="shared" si="15"/>
        <v>A</v>
      </c>
      <c r="B101" s="217" t="s">
        <v>19</v>
      </c>
      <c r="C101" s="217"/>
      <c r="D101" s="220" t="s">
        <v>10</v>
      </c>
      <c r="E101" s="221" t="s">
        <v>81</v>
      </c>
      <c r="F101" s="218" t="str">
        <f t="shared" si="13"/>
        <v>1+816-17</v>
      </c>
      <c r="G101" s="222" t="s">
        <v>34</v>
      </c>
      <c r="H101" s="222"/>
      <c r="I101" s="222" t="s">
        <v>42</v>
      </c>
      <c r="J101" s="222" t="s">
        <v>26</v>
      </c>
      <c r="K101" s="222"/>
      <c r="L101" s="222" t="s">
        <v>30</v>
      </c>
      <c r="M101" s="222" t="s">
        <v>46</v>
      </c>
      <c r="N101" s="222"/>
      <c r="O101" s="222" t="s">
        <v>23</v>
      </c>
      <c r="P101" s="220" t="s">
        <v>38</v>
      </c>
      <c r="Q101" s="220"/>
      <c r="R101" s="220"/>
      <c r="S101" s="222"/>
      <c r="T101" s="222"/>
      <c r="U101" s="220"/>
      <c r="V101" s="220"/>
      <c r="W101" s="220" t="s">
        <v>57</v>
      </c>
      <c r="X101" s="223">
        <f t="shared" si="14"/>
        <v>9</v>
      </c>
      <c r="Y101" s="223" t="s">
        <v>46</v>
      </c>
      <c r="Z101" s="219">
        <f t="shared" si="16"/>
        <v>6</v>
      </c>
      <c r="AA101" s="219">
        <f t="shared" si="17"/>
        <v>4</v>
      </c>
      <c r="AB101" s="219">
        <f t="shared" si="18"/>
        <v>2</v>
      </c>
      <c r="AC101" s="219" t="str" cm="1">
        <f t="array" ref="AC101">_xlfn.TEXTJOIN(", ", TRUE, _xlfn.UNIQUE(_xlfn._xlws.FILTER(G101:W101, COUNTIF(G101:W101, G101:W101)&gt;1, "無")))</f>
        <v>無</v>
      </c>
    </row>
    <row r="102" spans="1:29" s="218" customFormat="1" ht="16.5" customHeight="1">
      <c r="A102" s="219" t="str">
        <f t="shared" si="15"/>
        <v>A</v>
      </c>
      <c r="B102" s="217" t="s">
        <v>19</v>
      </c>
      <c r="C102" s="217"/>
      <c r="D102" s="220" t="s">
        <v>10</v>
      </c>
      <c r="E102" s="221" t="s">
        <v>82</v>
      </c>
      <c r="F102" s="218" t="str">
        <f t="shared" si="13"/>
        <v>1+817-18</v>
      </c>
      <c r="G102" s="222" t="s">
        <v>34</v>
      </c>
      <c r="H102" s="222"/>
      <c r="I102" s="222" t="s">
        <v>42</v>
      </c>
      <c r="J102" s="222" t="s">
        <v>26</v>
      </c>
      <c r="K102" s="222"/>
      <c r="L102" s="222" t="s">
        <v>30</v>
      </c>
      <c r="M102" s="222" t="s">
        <v>46</v>
      </c>
      <c r="N102" s="222"/>
      <c r="O102" s="222" t="s">
        <v>23</v>
      </c>
      <c r="P102" s="220" t="s">
        <v>38</v>
      </c>
      <c r="Q102" s="220"/>
      <c r="R102" s="220"/>
      <c r="S102" s="222"/>
      <c r="T102" s="222"/>
      <c r="U102" s="220"/>
      <c r="V102" s="220"/>
      <c r="W102" s="220" t="s">
        <v>57</v>
      </c>
      <c r="X102" s="223">
        <f t="shared" si="14"/>
        <v>9</v>
      </c>
      <c r="Y102" s="223" t="s">
        <v>57</v>
      </c>
      <c r="Z102" s="219">
        <f t="shared" si="16"/>
        <v>0</v>
      </c>
      <c r="AA102" s="219">
        <f t="shared" si="17"/>
        <v>0</v>
      </c>
      <c r="AB102" s="219">
        <f t="shared" si="18"/>
        <v>2</v>
      </c>
      <c r="AC102" s="219" t="str" cm="1">
        <f t="array" ref="AC102">_xlfn.TEXTJOIN(", ", TRUE, _xlfn.UNIQUE(_xlfn._xlws.FILTER(G102:W102, COUNTIF(G102:W102, G102:W102)&gt;1, "無")))</f>
        <v>無</v>
      </c>
    </row>
    <row r="103" spans="1:29" s="218" customFormat="1" ht="16.5" customHeight="1">
      <c r="A103" s="219" t="str">
        <f t="shared" si="15"/>
        <v>B,F</v>
      </c>
      <c r="B103" s="217" t="s">
        <v>23</v>
      </c>
      <c r="C103" s="217" t="s">
        <v>234</v>
      </c>
      <c r="D103" s="220" t="s">
        <v>10</v>
      </c>
      <c r="E103" s="221" t="s">
        <v>83</v>
      </c>
      <c r="F103" s="218" t="str">
        <f t="shared" si="13"/>
        <v>1+818-19</v>
      </c>
      <c r="G103" s="222" t="s">
        <v>38</v>
      </c>
      <c r="H103" s="222"/>
      <c r="I103" s="222" t="s">
        <v>34</v>
      </c>
      <c r="J103" s="222" t="s">
        <v>46</v>
      </c>
      <c r="K103" s="222"/>
      <c r="L103" s="222" t="s">
        <v>19</v>
      </c>
      <c r="M103" s="222" t="s">
        <v>26</v>
      </c>
      <c r="N103" s="222"/>
      <c r="O103" s="222" t="s">
        <v>30</v>
      </c>
      <c r="P103" s="220"/>
      <c r="Q103" s="220"/>
      <c r="R103" s="220"/>
      <c r="S103" s="222"/>
      <c r="T103" s="222"/>
      <c r="U103" s="220"/>
      <c r="V103" s="220"/>
      <c r="W103" s="220" t="s">
        <v>57</v>
      </c>
      <c r="X103" s="223">
        <f t="shared" si="14"/>
        <v>9</v>
      </c>
      <c r="Y103" s="223"/>
      <c r="AA103" s="219"/>
      <c r="AB103" s="219"/>
      <c r="AC103" s="219" t="str" cm="1">
        <f t="array" ref="AC103">_xlfn.TEXTJOIN(", ", TRUE, _xlfn.UNIQUE(_xlfn._xlws.FILTER(G103:W103, COUNTIF(G103:W103, G103:W103)&gt;1, "無")))</f>
        <v>無</v>
      </c>
    </row>
    <row r="104" spans="1:29" s="218" customFormat="1" ht="16.5" customHeight="1">
      <c r="A104" s="219" t="str">
        <f t="shared" si="15"/>
        <v>B,F</v>
      </c>
      <c r="B104" s="217" t="s">
        <v>23</v>
      </c>
      <c r="C104" s="217" t="s">
        <v>234</v>
      </c>
      <c r="D104" s="220" t="s">
        <v>10</v>
      </c>
      <c r="E104" s="221" t="s">
        <v>84</v>
      </c>
      <c r="F104" s="218" t="str">
        <f t="shared" si="13"/>
        <v>1+819-20</v>
      </c>
      <c r="G104" s="222" t="s">
        <v>38</v>
      </c>
      <c r="H104" s="222"/>
      <c r="I104" s="222" t="s">
        <v>34</v>
      </c>
      <c r="J104" s="222" t="s">
        <v>46</v>
      </c>
      <c r="K104" s="222"/>
      <c r="L104" s="222" t="s">
        <v>19</v>
      </c>
      <c r="M104" s="222" t="s">
        <v>26</v>
      </c>
      <c r="N104" s="222"/>
      <c r="O104" s="222" t="s">
        <v>30</v>
      </c>
      <c r="P104" s="220"/>
      <c r="Q104" s="220"/>
      <c r="R104" s="220"/>
      <c r="S104" s="222"/>
      <c r="T104" s="222"/>
      <c r="U104" s="220"/>
      <c r="V104" s="220"/>
      <c r="W104" s="220" t="s">
        <v>57</v>
      </c>
      <c r="X104" s="223">
        <f t="shared" si="14"/>
        <v>9</v>
      </c>
      <c r="Y104" s="223"/>
      <c r="AA104" s="219"/>
      <c r="AB104" s="219"/>
      <c r="AC104" s="219" t="str" cm="1">
        <f t="array" ref="AC104">_xlfn.TEXTJOIN(", ", TRUE, _xlfn.UNIQUE(_xlfn._xlws.FILTER(G104:W104, COUNTIF(G104:W104, G104:W104)&gt;1, "無")))</f>
        <v>無</v>
      </c>
    </row>
    <row r="105" spans="1:29" s="218" customFormat="1" ht="16.5" customHeight="1">
      <c r="A105" s="219" t="str">
        <f t="shared" si="15"/>
        <v>C</v>
      </c>
      <c r="B105" s="217" t="s">
        <v>30</v>
      </c>
      <c r="C105" s="217"/>
      <c r="D105" s="220" t="s">
        <v>10</v>
      </c>
      <c r="E105" s="221" t="s">
        <v>85</v>
      </c>
      <c r="F105" s="218" t="str">
        <f t="shared" si="13"/>
        <v>1+820-21</v>
      </c>
      <c r="G105" s="222" t="s">
        <v>42</v>
      </c>
      <c r="H105" s="222"/>
      <c r="I105" s="222" t="s">
        <v>38</v>
      </c>
      <c r="J105" s="222" t="s">
        <v>26</v>
      </c>
      <c r="K105" s="222"/>
      <c r="L105" s="222" t="s">
        <v>23</v>
      </c>
      <c r="M105" s="222" t="s">
        <v>19</v>
      </c>
      <c r="N105" s="222"/>
      <c r="O105" s="222" t="s">
        <v>34</v>
      </c>
      <c r="P105" s="220" t="s">
        <v>46</v>
      </c>
      <c r="Q105" s="220"/>
      <c r="R105" s="220"/>
      <c r="S105" s="222"/>
      <c r="T105" s="222"/>
      <c r="U105" s="220"/>
      <c r="V105" s="220"/>
      <c r="W105" s="220" t="s">
        <v>57</v>
      </c>
      <c r="X105" s="223">
        <f t="shared" si="14"/>
        <v>9</v>
      </c>
      <c r="Y105" s="223"/>
      <c r="AA105" s="219"/>
      <c r="AB105" s="219"/>
      <c r="AC105" s="219" t="str" cm="1">
        <f t="array" ref="AC105">_xlfn.TEXTJOIN(", ", TRUE, _xlfn.UNIQUE(_xlfn._xlws.FILTER(G105:W105, COUNTIF(G105:W105, G105:W105)&gt;1, "無")))</f>
        <v>無</v>
      </c>
    </row>
    <row r="106" spans="1:29" s="218" customFormat="1" ht="16.5" customHeight="1">
      <c r="A106" s="219" t="str">
        <f t="shared" si="15"/>
        <v>C</v>
      </c>
      <c r="B106" s="217" t="s">
        <v>30</v>
      </c>
      <c r="C106" s="217"/>
      <c r="D106" s="220" t="s">
        <v>10</v>
      </c>
      <c r="E106" s="221" t="s">
        <v>86</v>
      </c>
      <c r="F106" s="218" t="str">
        <f t="shared" si="13"/>
        <v>1+821-22</v>
      </c>
      <c r="G106" s="222" t="s">
        <v>42</v>
      </c>
      <c r="H106" s="222"/>
      <c r="I106" s="222" t="s">
        <v>38</v>
      </c>
      <c r="J106" s="222" t="s">
        <v>26</v>
      </c>
      <c r="K106" s="222"/>
      <c r="L106" s="222" t="s">
        <v>23</v>
      </c>
      <c r="M106" s="222" t="s">
        <v>19</v>
      </c>
      <c r="N106" s="222"/>
      <c r="O106" s="222" t="s">
        <v>34</v>
      </c>
      <c r="P106" s="220" t="s">
        <v>46</v>
      </c>
      <c r="Q106" s="220"/>
      <c r="R106" s="220"/>
      <c r="S106" s="222"/>
      <c r="T106" s="222"/>
      <c r="U106" s="220"/>
      <c r="V106" s="220"/>
      <c r="W106" s="220" t="s">
        <v>57</v>
      </c>
      <c r="X106" s="223">
        <f t="shared" si="14"/>
        <v>9</v>
      </c>
      <c r="Y106" s="223"/>
      <c r="AA106" s="219"/>
      <c r="AB106" s="219"/>
      <c r="AC106" s="219" t="str" cm="1">
        <f t="array" ref="AC106">_xlfn.TEXTJOIN(", ", TRUE, _xlfn.UNIQUE(_xlfn._xlws.FILTER(G106:W106, COUNTIF(G106:W106, G106:W106)&gt;1, "無")))</f>
        <v>無</v>
      </c>
    </row>
    <row r="107" spans="1:29" s="218" customFormat="1" ht="16.5" customHeight="1">
      <c r="A107" s="219" t="str">
        <f t="shared" si="15"/>
        <v/>
      </c>
      <c r="B107" s="217"/>
      <c r="C107" s="217"/>
      <c r="D107" s="220" t="s">
        <v>10</v>
      </c>
      <c r="E107" s="221" t="s">
        <v>87</v>
      </c>
      <c r="F107" s="218" t="str">
        <f t="shared" si="13"/>
        <v>1+822-23</v>
      </c>
      <c r="G107" s="222" t="s">
        <v>46</v>
      </c>
      <c r="H107" s="222"/>
      <c r="I107" s="222" t="s">
        <v>42</v>
      </c>
      <c r="J107" s="222" t="s">
        <v>30</v>
      </c>
      <c r="K107" s="222"/>
      <c r="L107" s="222" t="s">
        <v>19</v>
      </c>
      <c r="M107" s="222" t="s">
        <v>23</v>
      </c>
      <c r="N107" s="222"/>
      <c r="O107" s="222" t="s">
        <v>26</v>
      </c>
      <c r="P107" s="220" t="s">
        <v>38</v>
      </c>
      <c r="Q107" s="220"/>
      <c r="R107" s="220" t="s">
        <v>235</v>
      </c>
      <c r="S107" s="222"/>
      <c r="T107" s="222"/>
      <c r="U107" s="220"/>
      <c r="V107" s="220"/>
      <c r="W107" s="220" t="s">
        <v>57</v>
      </c>
      <c r="X107" s="223">
        <f t="shared" si="14"/>
        <v>9</v>
      </c>
      <c r="Y107" s="223"/>
      <c r="AA107" s="219"/>
      <c r="AB107" s="219"/>
      <c r="AC107" s="219" t="str" cm="1">
        <f t="array" ref="AC107">_xlfn.TEXTJOIN(", ", TRUE, _xlfn.UNIQUE(_xlfn._xlws.FILTER(G107:W107, COUNTIF(G107:W107, G107:W107)&gt;1, "無")))</f>
        <v>無</v>
      </c>
    </row>
    <row r="108" spans="1:29" s="218" customFormat="1" ht="16.5" customHeight="1">
      <c r="A108" s="219" t="str">
        <f t="shared" si="15"/>
        <v/>
      </c>
      <c r="B108" s="217"/>
      <c r="C108" s="217"/>
      <c r="D108" s="220" t="s">
        <v>10</v>
      </c>
      <c r="E108" s="221" t="s">
        <v>88</v>
      </c>
      <c r="F108" s="218" t="str">
        <f t="shared" si="13"/>
        <v>1+823-24</v>
      </c>
      <c r="G108" s="222" t="s">
        <v>46</v>
      </c>
      <c r="H108" s="222"/>
      <c r="I108" s="222" t="s">
        <v>42</v>
      </c>
      <c r="J108" s="222" t="s">
        <v>30</v>
      </c>
      <c r="K108" s="222"/>
      <c r="L108" s="222" t="s">
        <v>19</v>
      </c>
      <c r="M108" s="222" t="s">
        <v>23</v>
      </c>
      <c r="N108" s="222"/>
      <c r="O108" s="222" t="s">
        <v>26</v>
      </c>
      <c r="P108" s="220" t="s">
        <v>38</v>
      </c>
      <c r="Q108" s="220"/>
      <c r="R108" s="220" t="s">
        <v>235</v>
      </c>
      <c r="S108" s="222"/>
      <c r="T108" s="222"/>
      <c r="U108" s="220"/>
      <c r="V108" s="220"/>
      <c r="W108" s="220" t="s">
        <v>57</v>
      </c>
      <c r="X108" s="223">
        <f t="shared" si="14"/>
        <v>9</v>
      </c>
      <c r="Y108" s="223"/>
      <c r="AA108" s="219"/>
      <c r="AB108" s="219"/>
      <c r="AC108" s="219" t="str" cm="1">
        <f t="array" ref="AC108">_xlfn.TEXTJOIN(", ", TRUE, _xlfn.UNIQUE(_xlfn._xlws.FILTER(G108:W108, COUNTIF(G108:W108, G108:W108)&gt;1, "無")))</f>
        <v>無</v>
      </c>
    </row>
    <row r="109" spans="1:29" s="218" customFormat="1" ht="16.5" customHeight="1">
      <c r="A109" s="219" t="str">
        <f t="shared" si="15"/>
        <v/>
      </c>
      <c r="B109" s="217"/>
      <c r="C109" s="217"/>
      <c r="D109" s="220" t="s">
        <v>10</v>
      </c>
      <c r="E109" s="221" t="s">
        <v>89</v>
      </c>
      <c r="F109" s="218" t="str">
        <f t="shared" si="13"/>
        <v>1+800-01</v>
      </c>
      <c r="G109" s="222" t="s">
        <v>46</v>
      </c>
      <c r="H109" s="222"/>
      <c r="I109" s="222" t="s">
        <v>19</v>
      </c>
      <c r="J109" s="222" t="s">
        <v>23</v>
      </c>
      <c r="K109" s="222"/>
      <c r="L109" s="222" t="s">
        <v>26</v>
      </c>
      <c r="M109" s="222" t="s">
        <v>30</v>
      </c>
      <c r="N109" s="222"/>
      <c r="O109" s="222" t="s">
        <v>34</v>
      </c>
      <c r="P109" s="220" t="s">
        <v>42</v>
      </c>
      <c r="Q109" s="220"/>
      <c r="R109" s="220" t="s">
        <v>240</v>
      </c>
      <c r="S109" s="222"/>
      <c r="T109" s="222"/>
      <c r="U109" s="220"/>
      <c r="V109" s="220"/>
      <c r="W109" s="220" t="s">
        <v>57</v>
      </c>
      <c r="X109" s="223">
        <f t="shared" si="14"/>
        <v>9</v>
      </c>
      <c r="Y109" s="223"/>
      <c r="AA109" s="219"/>
      <c r="AB109" s="219"/>
      <c r="AC109" s="219" t="str" cm="1">
        <f t="array" ref="AC109">_xlfn.TEXTJOIN(", ", TRUE, _xlfn.UNIQUE(_xlfn._xlws.FILTER(G109:W109, COUNTIF(G109:W109, G109:W109)&gt;1, "無")))</f>
        <v>無</v>
      </c>
    </row>
    <row r="110" spans="1:29" s="218" customFormat="1" ht="16.5" customHeight="1">
      <c r="A110" s="219" t="str">
        <f t="shared" si="15"/>
        <v/>
      </c>
      <c r="B110" s="217"/>
      <c r="C110" s="217"/>
      <c r="D110" s="220" t="s">
        <v>10</v>
      </c>
      <c r="E110" s="221" t="s">
        <v>90</v>
      </c>
      <c r="F110" s="218" t="str">
        <f t="shared" si="13"/>
        <v>1+801-02</v>
      </c>
      <c r="G110" s="222" t="s">
        <v>46</v>
      </c>
      <c r="H110" s="222"/>
      <c r="I110" s="222" t="s">
        <v>19</v>
      </c>
      <c r="J110" s="222" t="s">
        <v>23</v>
      </c>
      <c r="K110" s="222"/>
      <c r="L110" s="222" t="s">
        <v>26</v>
      </c>
      <c r="M110" s="222" t="s">
        <v>30</v>
      </c>
      <c r="N110" s="222"/>
      <c r="O110" s="222" t="s">
        <v>34</v>
      </c>
      <c r="P110" s="220" t="s">
        <v>42</v>
      </c>
      <c r="Q110" s="220"/>
      <c r="R110" s="220" t="s">
        <v>240</v>
      </c>
      <c r="S110" s="222"/>
      <c r="T110" s="222"/>
      <c r="U110" s="220"/>
      <c r="V110" s="220"/>
      <c r="W110" s="220" t="s">
        <v>57</v>
      </c>
      <c r="X110" s="223">
        <f t="shared" si="14"/>
        <v>9</v>
      </c>
      <c r="Y110" s="223"/>
      <c r="AA110" s="219"/>
      <c r="AB110" s="219"/>
      <c r="AC110" s="219" t="str" cm="1">
        <f t="array" ref="AC110">_xlfn.TEXTJOIN(", ", TRUE, _xlfn.UNIQUE(_xlfn._xlws.FILTER(G110:W110, COUNTIF(G110:W110, G110:W110)&gt;1, "無")))</f>
        <v>無</v>
      </c>
    </row>
    <row r="111" spans="1:29" s="218" customFormat="1" ht="16.5" customHeight="1">
      <c r="A111" s="219" t="str">
        <f t="shared" si="15"/>
        <v/>
      </c>
      <c r="B111" s="217"/>
      <c r="C111" s="217"/>
      <c r="D111" s="220" t="s">
        <v>10</v>
      </c>
      <c r="E111" s="221" t="s">
        <v>91</v>
      </c>
      <c r="F111" s="218" t="str">
        <f t="shared" si="13"/>
        <v>1+802-03</v>
      </c>
      <c r="G111" s="222" t="s">
        <v>46</v>
      </c>
      <c r="H111" s="222"/>
      <c r="I111" s="222" t="s">
        <v>19</v>
      </c>
      <c r="J111" s="222" t="s">
        <v>23</v>
      </c>
      <c r="K111" s="222"/>
      <c r="L111" s="222" t="s">
        <v>34</v>
      </c>
      <c r="M111" s="222" t="s">
        <v>38</v>
      </c>
      <c r="N111" s="222"/>
      <c r="O111" s="222" t="s">
        <v>26</v>
      </c>
      <c r="P111" s="220" t="s">
        <v>42</v>
      </c>
      <c r="Q111" s="220"/>
      <c r="R111" s="220" t="s">
        <v>30</v>
      </c>
      <c r="S111" s="222"/>
      <c r="T111" s="222"/>
      <c r="U111" s="220"/>
      <c r="V111" s="220"/>
      <c r="W111" s="220" t="s">
        <v>57</v>
      </c>
      <c r="X111" s="223">
        <f t="shared" si="14"/>
        <v>9</v>
      </c>
      <c r="Y111" s="223"/>
      <c r="AA111" s="219"/>
      <c r="AB111" s="219"/>
      <c r="AC111" s="219" t="str" cm="1">
        <f t="array" ref="AC111">_xlfn.TEXTJOIN(", ", TRUE, _xlfn.UNIQUE(_xlfn._xlws.FILTER(G111:W111, COUNTIF(G111:W111, G111:W111)&gt;1, "無")))</f>
        <v>無</v>
      </c>
    </row>
    <row r="112" spans="1:29" s="218" customFormat="1" ht="16.5" customHeight="1">
      <c r="A112" s="219" t="str">
        <f t="shared" si="15"/>
        <v/>
      </c>
      <c r="B112" s="217"/>
      <c r="C112" s="217"/>
      <c r="D112" s="220" t="s">
        <v>10</v>
      </c>
      <c r="E112" s="221" t="s">
        <v>92</v>
      </c>
      <c r="F112" s="218" t="str">
        <f t="shared" si="13"/>
        <v>1+803-04</v>
      </c>
      <c r="G112" s="222" t="s">
        <v>46</v>
      </c>
      <c r="H112" s="222"/>
      <c r="I112" s="222" t="s">
        <v>19</v>
      </c>
      <c r="J112" s="222" t="s">
        <v>23</v>
      </c>
      <c r="K112" s="222"/>
      <c r="L112" s="222" t="s">
        <v>34</v>
      </c>
      <c r="M112" s="222" t="s">
        <v>38</v>
      </c>
      <c r="N112" s="222"/>
      <c r="O112" s="222" t="s">
        <v>26</v>
      </c>
      <c r="P112" s="220" t="s">
        <v>42</v>
      </c>
      <c r="Q112" s="220"/>
      <c r="R112" s="220" t="s">
        <v>30</v>
      </c>
      <c r="S112" s="222"/>
      <c r="T112" s="222"/>
      <c r="U112" s="220"/>
      <c r="V112" s="220"/>
      <c r="W112" s="220" t="s">
        <v>57</v>
      </c>
      <c r="X112" s="223">
        <f t="shared" si="14"/>
        <v>9</v>
      </c>
      <c r="Y112" s="223"/>
      <c r="AA112" s="219"/>
      <c r="AB112" s="219"/>
      <c r="AC112" s="219" t="str" cm="1">
        <f t="array" ref="AC112">_xlfn.TEXTJOIN(", ", TRUE, _xlfn.UNIQUE(_xlfn._xlws.FILTER(G112:W112, COUNTIF(G112:W112, G112:W112)&gt;1, "無")))</f>
        <v>無</v>
      </c>
    </row>
    <row r="113" spans="1:29" s="218" customFormat="1" ht="16.5" customHeight="1">
      <c r="A113" s="219" t="str">
        <f t="shared" si="15"/>
        <v/>
      </c>
      <c r="B113" s="219"/>
      <c r="C113" s="217"/>
      <c r="D113" s="220" t="s">
        <v>10</v>
      </c>
      <c r="E113" s="221" t="s">
        <v>93</v>
      </c>
      <c r="F113" s="218" t="str">
        <f t="shared" si="13"/>
        <v>1+804-05</v>
      </c>
      <c r="G113" s="222" t="s">
        <v>46</v>
      </c>
      <c r="H113" s="222"/>
      <c r="I113" s="222" t="s">
        <v>30</v>
      </c>
      <c r="J113" s="222" t="s">
        <v>34</v>
      </c>
      <c r="K113" s="222"/>
      <c r="L113" s="222" t="s">
        <v>38</v>
      </c>
      <c r="M113" s="222" t="s">
        <v>42</v>
      </c>
      <c r="N113" s="222"/>
      <c r="O113" s="222" t="s">
        <v>19</v>
      </c>
      <c r="P113" s="220" t="s">
        <v>23</v>
      </c>
      <c r="Q113" s="220"/>
      <c r="R113" s="220" t="s">
        <v>26</v>
      </c>
      <c r="S113" s="222"/>
      <c r="T113" s="222"/>
      <c r="U113" s="220"/>
      <c r="V113" s="220"/>
      <c r="W113" s="220" t="s">
        <v>231</v>
      </c>
      <c r="X113" s="223">
        <f t="shared" si="14"/>
        <v>9</v>
      </c>
      <c r="Y113" s="223"/>
      <c r="AA113" s="219"/>
      <c r="AB113" s="219"/>
      <c r="AC113" s="219" t="str" cm="1">
        <f t="array" ref="AC113">_xlfn.TEXTJOIN(", ", TRUE, _xlfn.UNIQUE(_xlfn._xlws.FILTER(G113:W113, COUNTIF(G113:W113, G113:W113)&gt;1, "無")))</f>
        <v>無</v>
      </c>
    </row>
    <row r="114" spans="1:29" s="218" customFormat="1" ht="16.5" customHeight="1">
      <c r="A114" s="219" t="str">
        <f t="shared" si="15"/>
        <v/>
      </c>
      <c r="B114" s="219"/>
      <c r="C114" s="217"/>
      <c r="D114" s="220" t="s">
        <v>10</v>
      </c>
      <c r="E114" s="221" t="s">
        <v>94</v>
      </c>
      <c r="F114" s="218" t="str">
        <f t="shared" si="13"/>
        <v>1+805-06</v>
      </c>
      <c r="G114" s="222" t="s">
        <v>46</v>
      </c>
      <c r="H114" s="222"/>
      <c r="I114" s="222" t="s">
        <v>30</v>
      </c>
      <c r="J114" s="222" t="s">
        <v>34</v>
      </c>
      <c r="K114" s="222"/>
      <c r="L114" s="222" t="s">
        <v>38</v>
      </c>
      <c r="M114" s="222" t="s">
        <v>42</v>
      </c>
      <c r="N114" s="222"/>
      <c r="O114" s="222" t="s">
        <v>19</v>
      </c>
      <c r="P114" s="220" t="s">
        <v>23</v>
      </c>
      <c r="Q114" s="220"/>
      <c r="R114" s="220" t="s">
        <v>26</v>
      </c>
      <c r="S114" s="222"/>
      <c r="T114" s="222"/>
      <c r="U114" s="220"/>
      <c r="V114" s="220"/>
      <c r="W114" s="220" t="s">
        <v>231</v>
      </c>
      <c r="X114" s="223">
        <f t="shared" si="14"/>
        <v>9</v>
      </c>
      <c r="Y114" s="223"/>
      <c r="AA114" s="219"/>
      <c r="AB114" s="219"/>
      <c r="AC114" s="219" t="str" cm="1">
        <f t="array" ref="AC114">_xlfn.TEXTJOIN(", ", TRUE, _xlfn.UNIQUE(_xlfn._xlws.FILTER(G114:W114, COUNTIF(G114:W114, G114:W114)&gt;1, "無")))</f>
        <v>無</v>
      </c>
    </row>
    <row r="115" spans="1:29" s="218" customFormat="1" ht="16.5" customHeight="1">
      <c r="A115" s="219" t="str">
        <f t="shared" si="15"/>
        <v>G,E</v>
      </c>
      <c r="B115" s="217" t="s">
        <v>26</v>
      </c>
      <c r="C115" s="217" t="s">
        <v>240</v>
      </c>
      <c r="D115" s="220" t="s">
        <v>10</v>
      </c>
      <c r="E115" s="221" t="s">
        <v>95</v>
      </c>
      <c r="F115" s="218" t="str">
        <f t="shared" si="13"/>
        <v>1+806-07</v>
      </c>
      <c r="G115" s="222" t="s">
        <v>46</v>
      </c>
      <c r="H115" s="222"/>
      <c r="I115" s="222" t="s">
        <v>30</v>
      </c>
      <c r="J115" s="222" t="s">
        <v>34</v>
      </c>
      <c r="K115" s="222"/>
      <c r="L115" s="222" t="s">
        <v>42</v>
      </c>
      <c r="M115" s="222" t="s">
        <v>23</v>
      </c>
      <c r="N115" s="222"/>
      <c r="O115" s="222" t="s">
        <v>237</v>
      </c>
      <c r="P115" s="220"/>
      <c r="Q115" s="220"/>
      <c r="R115" s="220"/>
      <c r="S115" s="222"/>
      <c r="T115" s="222"/>
      <c r="U115" s="220"/>
      <c r="V115" s="220"/>
      <c r="W115" s="220" t="s">
        <v>57</v>
      </c>
      <c r="X115" s="223">
        <f t="shared" si="14"/>
        <v>9</v>
      </c>
      <c r="Y115" s="223"/>
      <c r="AA115" s="219"/>
      <c r="AB115" s="219"/>
      <c r="AC115" s="219" t="str" cm="1">
        <f t="array" ref="AC115">_xlfn.TEXTJOIN(", ", TRUE, _xlfn.UNIQUE(_xlfn._xlws.FILTER(G115:W115, COUNTIF(G115:W115, G115:W115)&gt;1, "無")))</f>
        <v>無</v>
      </c>
    </row>
    <row r="116" spans="1:29" s="218" customFormat="1" ht="16.5" customHeight="1">
      <c r="A116" s="219" t="str">
        <f t="shared" si="15"/>
        <v>G,E</v>
      </c>
      <c r="B116" s="217" t="s">
        <v>26</v>
      </c>
      <c r="C116" s="217" t="s">
        <v>240</v>
      </c>
      <c r="D116" s="220" t="s">
        <v>10</v>
      </c>
      <c r="E116" s="221" t="s">
        <v>96</v>
      </c>
      <c r="F116" s="218" t="str">
        <f t="shared" si="13"/>
        <v>1+807-08</v>
      </c>
      <c r="G116" s="222" t="s">
        <v>46</v>
      </c>
      <c r="H116" s="222"/>
      <c r="I116" s="222" t="s">
        <v>30</v>
      </c>
      <c r="J116" s="222" t="s">
        <v>34</v>
      </c>
      <c r="K116" s="222"/>
      <c r="L116" s="222" t="s">
        <v>42</v>
      </c>
      <c r="M116" s="222" t="s">
        <v>23</v>
      </c>
      <c r="N116" s="222"/>
      <c r="O116" s="222" t="s">
        <v>237</v>
      </c>
      <c r="P116" s="220"/>
      <c r="Q116" s="220"/>
      <c r="R116" s="220"/>
      <c r="S116" s="222"/>
      <c r="T116" s="222"/>
      <c r="U116" s="220"/>
      <c r="V116" s="220"/>
      <c r="W116" s="220" t="s">
        <v>57</v>
      </c>
      <c r="X116" s="223">
        <f t="shared" si="14"/>
        <v>9</v>
      </c>
      <c r="Y116" s="223"/>
      <c r="AA116" s="219"/>
      <c r="AB116" s="219"/>
      <c r="AC116" s="219" t="str" cm="1">
        <f t="array" ref="AC116">_xlfn.TEXTJOIN(", ", TRUE, _xlfn.UNIQUE(_xlfn._xlws.FILTER(G116:W116, COUNTIF(G116:W116, G116:W116)&gt;1, "無")))</f>
        <v>無</v>
      </c>
    </row>
    <row r="117" spans="1:29" s="218" customFormat="1" ht="16.5" customHeight="1">
      <c r="A117" s="219"/>
      <c r="B117" s="217"/>
      <c r="C117" s="217"/>
      <c r="D117" s="219"/>
      <c r="E117" s="219"/>
      <c r="G117" s="219"/>
      <c r="H117" s="219"/>
      <c r="X117" s="223"/>
      <c r="AC117" s="219"/>
    </row>
    <row r="118" spans="1:29" s="218" customFormat="1" ht="16.5" customHeight="1">
      <c r="A118" s="219"/>
      <c r="B118" s="217"/>
      <c r="C118" s="217"/>
      <c r="G118" s="219"/>
      <c r="H118" s="219"/>
      <c r="X118" s="223"/>
      <c r="AC118" s="219"/>
    </row>
    <row r="119" spans="1:29" s="218" customFormat="1" ht="16.5" customHeight="1">
      <c r="A119" s="217" t="s">
        <v>11</v>
      </c>
      <c r="B119" s="217" t="s">
        <v>68</v>
      </c>
      <c r="C119" s="217" t="s">
        <v>69</v>
      </c>
      <c r="F119" s="219"/>
      <c r="G119" s="219"/>
      <c r="H119" s="219"/>
      <c r="X119" s="223"/>
      <c r="AC119" s="219"/>
    </row>
    <row r="120" spans="1:29" s="218" customFormat="1" ht="16.5" customHeight="1">
      <c r="A120" s="219" t="str">
        <f>_xlfn.TEXTJOIN(",",TRUE,B120:C120)</f>
        <v>H,K</v>
      </c>
      <c r="B120" s="217" t="s">
        <v>46</v>
      </c>
      <c r="C120" s="217" t="s">
        <v>231</v>
      </c>
      <c r="D120" s="220" t="s">
        <v>11</v>
      </c>
      <c r="E120" s="221" t="s">
        <v>70</v>
      </c>
      <c r="F120" s="218" t="str">
        <f t="shared" ref="F120:F143" si="19">$D120&amp;$E120</f>
        <v>3+708-09</v>
      </c>
      <c r="G120" s="222" t="s">
        <v>19</v>
      </c>
      <c r="H120" s="222"/>
      <c r="I120" s="222" t="s">
        <v>49</v>
      </c>
      <c r="J120" s="222" t="s">
        <v>26</v>
      </c>
      <c r="K120" s="222"/>
      <c r="L120" s="222" t="s">
        <v>30</v>
      </c>
      <c r="M120" s="222" t="s">
        <v>34</v>
      </c>
      <c r="N120" s="222"/>
      <c r="O120" s="222" t="s">
        <v>23</v>
      </c>
      <c r="P120" s="220" t="s">
        <v>62</v>
      </c>
      <c r="Q120" s="220"/>
      <c r="R120" s="220"/>
      <c r="S120" s="222"/>
      <c r="T120" s="222"/>
      <c r="U120" s="220"/>
      <c r="V120" s="220"/>
      <c r="W120" s="220" t="s">
        <v>232</v>
      </c>
      <c r="X120" s="223">
        <f t="shared" ref="X120:X143" si="20">COUNTA(B120:C120,G120:W120)</f>
        <v>10</v>
      </c>
      <c r="Y120" s="223"/>
      <c r="Z120" s="219" t="s">
        <v>71</v>
      </c>
      <c r="AA120" s="219" t="s">
        <v>72</v>
      </c>
      <c r="AB120" s="219" t="s">
        <v>73</v>
      </c>
      <c r="AC120" s="219" t="str" cm="1">
        <f t="array" ref="AC120">_xlfn.TEXTJOIN(", ", TRUE, _xlfn.UNIQUE(_xlfn._xlws.FILTER(G120:W120, COUNTIF(G120:W120, G120:W120)&gt;1, "無")))</f>
        <v>無</v>
      </c>
    </row>
    <row r="121" spans="1:29" s="218" customFormat="1" ht="16.5" customHeight="1">
      <c r="A121" s="219" t="str">
        <f t="shared" ref="A121:A143" si="21">_xlfn.TEXTJOIN(",",TRUE,B121:C121)</f>
        <v>H,K</v>
      </c>
      <c r="B121" s="217" t="s">
        <v>46</v>
      </c>
      <c r="C121" s="217" t="s">
        <v>231</v>
      </c>
      <c r="D121" s="220" t="s">
        <v>11</v>
      </c>
      <c r="E121" s="221" t="s">
        <v>74</v>
      </c>
      <c r="F121" s="218" t="str">
        <f t="shared" si="19"/>
        <v>3+709-10</v>
      </c>
      <c r="G121" s="222" t="s">
        <v>19</v>
      </c>
      <c r="H121" s="222"/>
      <c r="I121" s="222" t="s">
        <v>49</v>
      </c>
      <c r="J121" s="222" t="s">
        <v>26</v>
      </c>
      <c r="K121" s="222"/>
      <c r="L121" s="222" t="s">
        <v>30</v>
      </c>
      <c r="M121" s="222" t="s">
        <v>34</v>
      </c>
      <c r="N121" s="222"/>
      <c r="O121" s="222" t="s">
        <v>23</v>
      </c>
      <c r="P121" s="220" t="s">
        <v>62</v>
      </c>
      <c r="Q121" s="220"/>
      <c r="R121" s="220"/>
      <c r="S121" s="222"/>
      <c r="T121" s="222"/>
      <c r="U121" s="220"/>
      <c r="V121" s="220"/>
      <c r="W121" s="220" t="s">
        <v>232</v>
      </c>
      <c r="X121" s="223">
        <f t="shared" si="20"/>
        <v>10</v>
      </c>
      <c r="Y121" s="223" t="s">
        <v>19</v>
      </c>
      <c r="Z121" s="219">
        <f t="shared" ref="Z121:Z130" si="22">COUNTIF($I$120:$J$143,Y121)</f>
        <v>8</v>
      </c>
      <c r="AA121" s="219">
        <f t="shared" ref="AA121:AA130" si="23">COUNTIF($L$120:$M$143,Y121)</f>
        <v>6</v>
      </c>
      <c r="AB121" s="219">
        <f t="shared" ref="AB121:AB130" si="24">COUNTIF($B$120:$C$143,Y121)</f>
        <v>2</v>
      </c>
      <c r="AC121" s="219" t="str" cm="1">
        <f t="array" ref="AC121">_xlfn.TEXTJOIN(", ", TRUE, _xlfn.UNIQUE(_xlfn._xlws.FILTER(G121:W121, COUNTIF(G121:W121, G121:W121)&gt;1, "無")))</f>
        <v>無</v>
      </c>
    </row>
    <row r="122" spans="1:29" s="218" customFormat="1" ht="16.5" customHeight="1">
      <c r="A122" s="219" t="str">
        <f t="shared" si="21"/>
        <v>D</v>
      </c>
      <c r="B122" s="217" t="s">
        <v>235</v>
      </c>
      <c r="C122" s="217"/>
      <c r="D122" s="220" t="s">
        <v>11</v>
      </c>
      <c r="E122" s="221" t="s">
        <v>75</v>
      </c>
      <c r="F122" s="218" t="str">
        <f t="shared" si="19"/>
        <v>3+710-11</v>
      </c>
      <c r="G122" s="222" t="s">
        <v>23</v>
      </c>
      <c r="H122" s="222"/>
      <c r="I122" s="222" t="s">
        <v>19</v>
      </c>
      <c r="J122" s="222" t="s">
        <v>46</v>
      </c>
      <c r="K122" s="222"/>
      <c r="L122" s="222" t="s">
        <v>239</v>
      </c>
      <c r="M122" s="222" t="s">
        <v>230</v>
      </c>
      <c r="N122" s="222"/>
      <c r="O122" s="222" t="s">
        <v>238</v>
      </c>
      <c r="P122" s="220" t="s">
        <v>241</v>
      </c>
      <c r="Q122" s="220"/>
      <c r="R122" s="222"/>
      <c r="S122" s="222" t="s">
        <v>60</v>
      </c>
      <c r="T122" s="222"/>
      <c r="U122" s="220"/>
      <c r="V122" s="220"/>
      <c r="W122" s="220" t="s">
        <v>57</v>
      </c>
      <c r="X122" s="223">
        <f t="shared" si="20"/>
        <v>10</v>
      </c>
      <c r="Y122" s="223" t="s">
        <v>23</v>
      </c>
      <c r="Z122" s="219">
        <f t="shared" si="22"/>
        <v>8</v>
      </c>
      <c r="AA122" s="219">
        <f t="shared" si="23"/>
        <v>6</v>
      </c>
      <c r="AB122" s="219">
        <f t="shared" si="24"/>
        <v>2</v>
      </c>
      <c r="AC122" s="219" t="str" cm="1">
        <f t="array" ref="AC122">_xlfn.TEXTJOIN(", ", TRUE, _xlfn.UNIQUE(_xlfn._xlws.FILTER(G122:W122, COUNTIF(G122:W122, G122:W122)&gt;1, "無")))</f>
        <v>無</v>
      </c>
    </row>
    <row r="123" spans="1:29" s="218" customFormat="1" ht="16.5" customHeight="1">
      <c r="A123" s="219" t="str">
        <f t="shared" si="21"/>
        <v>D</v>
      </c>
      <c r="B123" s="217" t="s">
        <v>235</v>
      </c>
      <c r="C123" s="217"/>
      <c r="D123" s="220" t="s">
        <v>11</v>
      </c>
      <c r="E123" s="221" t="s">
        <v>76</v>
      </c>
      <c r="F123" s="218" t="str">
        <f t="shared" si="19"/>
        <v>3+711-12</v>
      </c>
      <c r="G123" s="222" t="s">
        <v>23</v>
      </c>
      <c r="H123" s="222"/>
      <c r="I123" s="222" t="s">
        <v>19</v>
      </c>
      <c r="J123" s="222" t="s">
        <v>46</v>
      </c>
      <c r="K123" s="222"/>
      <c r="L123" s="222" t="s">
        <v>239</v>
      </c>
      <c r="M123" s="222" t="s">
        <v>230</v>
      </c>
      <c r="N123" s="222"/>
      <c r="O123" s="222" t="s">
        <v>238</v>
      </c>
      <c r="P123" s="220" t="s">
        <v>241</v>
      </c>
      <c r="Q123" s="220"/>
      <c r="R123" s="222"/>
      <c r="S123" s="222" t="s">
        <v>60</v>
      </c>
      <c r="T123" s="222"/>
      <c r="U123" s="220"/>
      <c r="V123" s="220"/>
      <c r="W123" s="220" t="s">
        <v>57</v>
      </c>
      <c r="X123" s="223">
        <f t="shared" si="20"/>
        <v>10</v>
      </c>
      <c r="Y123" s="223" t="s">
        <v>30</v>
      </c>
      <c r="Z123" s="219">
        <f t="shared" si="22"/>
        <v>6</v>
      </c>
      <c r="AA123" s="219">
        <f t="shared" si="23"/>
        <v>8</v>
      </c>
      <c r="AB123" s="219">
        <f t="shared" si="24"/>
        <v>2</v>
      </c>
      <c r="AC123" s="219" t="str" cm="1">
        <f t="array" ref="AC123">_xlfn.TEXTJOIN(", ", TRUE, _xlfn.UNIQUE(_xlfn._xlws.FILTER(G123:W123, COUNTIF(G123:W123, G123:W123)&gt;1, "無")))</f>
        <v>無</v>
      </c>
    </row>
    <row r="124" spans="1:29" s="218" customFormat="1" ht="16.5" customHeight="1">
      <c r="A124" s="219" t="str">
        <f t="shared" si="21"/>
        <v>I,M</v>
      </c>
      <c r="B124" s="217" t="s">
        <v>49</v>
      </c>
      <c r="C124" s="217" t="s">
        <v>241</v>
      </c>
      <c r="D124" s="220" t="s">
        <v>11</v>
      </c>
      <c r="E124" s="221" t="s">
        <v>77</v>
      </c>
      <c r="F124" s="218" t="str">
        <f t="shared" si="19"/>
        <v>3+712-13</v>
      </c>
      <c r="G124" s="222" t="s">
        <v>26</v>
      </c>
      <c r="H124" s="222"/>
      <c r="I124" s="222" t="s">
        <v>23</v>
      </c>
      <c r="J124" s="222" t="s">
        <v>19</v>
      </c>
      <c r="K124" s="222"/>
      <c r="L124" s="222" t="s">
        <v>46</v>
      </c>
      <c r="M124" s="222" t="s">
        <v>34</v>
      </c>
      <c r="N124" s="222"/>
      <c r="O124" s="222" t="s">
        <v>30</v>
      </c>
      <c r="P124" s="220"/>
      <c r="Q124" s="220"/>
      <c r="R124" s="220"/>
      <c r="S124" s="222" t="s">
        <v>60</v>
      </c>
      <c r="T124" s="222"/>
      <c r="U124" s="220"/>
      <c r="V124" s="220"/>
      <c r="W124" s="220" t="s">
        <v>57</v>
      </c>
      <c r="X124" s="223">
        <f t="shared" si="20"/>
        <v>10</v>
      </c>
      <c r="Y124" s="223" t="s">
        <v>34</v>
      </c>
      <c r="Z124" s="219">
        <f t="shared" si="22"/>
        <v>6</v>
      </c>
      <c r="AA124" s="219">
        <f t="shared" si="23"/>
        <v>8</v>
      </c>
      <c r="AB124" s="219">
        <f t="shared" si="24"/>
        <v>2</v>
      </c>
      <c r="AC124" s="219" t="str" cm="1">
        <f t="array" ref="AC124">_xlfn.TEXTJOIN(", ", TRUE, _xlfn.UNIQUE(_xlfn._xlws.FILTER(G124:W124, COUNTIF(G124:W124, G124:W124)&gt;1, "無")))</f>
        <v>無</v>
      </c>
    </row>
    <row r="125" spans="1:29" s="218" customFormat="1" ht="16.5" customHeight="1">
      <c r="A125" s="219" t="str">
        <f t="shared" si="21"/>
        <v>I,M</v>
      </c>
      <c r="B125" s="217" t="s">
        <v>49</v>
      </c>
      <c r="C125" s="217" t="s">
        <v>241</v>
      </c>
      <c r="D125" s="220" t="s">
        <v>11</v>
      </c>
      <c r="E125" s="221" t="s">
        <v>78</v>
      </c>
      <c r="F125" s="218" t="str">
        <f t="shared" si="19"/>
        <v>3+713-14</v>
      </c>
      <c r="G125" s="222" t="s">
        <v>26</v>
      </c>
      <c r="H125" s="222"/>
      <c r="I125" s="222" t="s">
        <v>23</v>
      </c>
      <c r="J125" s="222" t="s">
        <v>19</v>
      </c>
      <c r="K125" s="222"/>
      <c r="L125" s="222" t="s">
        <v>46</v>
      </c>
      <c r="M125" s="222" t="s">
        <v>34</v>
      </c>
      <c r="N125" s="222"/>
      <c r="O125" s="222" t="s">
        <v>30</v>
      </c>
      <c r="P125" s="220"/>
      <c r="Q125" s="220"/>
      <c r="R125" s="220"/>
      <c r="S125" s="222" t="s">
        <v>60</v>
      </c>
      <c r="T125" s="222"/>
      <c r="U125" s="220"/>
      <c r="V125" s="220"/>
      <c r="W125" s="220" t="s">
        <v>57</v>
      </c>
      <c r="X125" s="223">
        <f t="shared" si="20"/>
        <v>10</v>
      </c>
      <c r="Y125" s="223" t="s">
        <v>49</v>
      </c>
      <c r="Z125" s="219">
        <f t="shared" si="22"/>
        <v>6</v>
      </c>
      <c r="AA125" s="219">
        <f t="shared" si="23"/>
        <v>8</v>
      </c>
      <c r="AB125" s="219">
        <f t="shared" si="24"/>
        <v>2</v>
      </c>
      <c r="AC125" s="219" t="str" cm="1">
        <f t="array" ref="AC125">_xlfn.TEXTJOIN(", ", TRUE, _xlfn.UNIQUE(_xlfn._xlws.FILTER(G125:W125, COUNTIF(G125:W125, G125:W125)&gt;1, "無")))</f>
        <v>無</v>
      </c>
    </row>
    <row r="126" spans="1:29" s="218" customFormat="1" ht="16.5" customHeight="1">
      <c r="A126" s="219" t="str">
        <f t="shared" si="21"/>
        <v/>
      </c>
      <c r="B126" s="217"/>
      <c r="C126" s="217"/>
      <c r="D126" s="220" t="s">
        <v>11</v>
      </c>
      <c r="E126" s="221" t="s">
        <v>79</v>
      </c>
      <c r="F126" s="218" t="str">
        <f t="shared" si="19"/>
        <v>3+714-15</v>
      </c>
      <c r="G126" s="222" t="s">
        <v>30</v>
      </c>
      <c r="H126" s="222"/>
      <c r="I126" s="222" t="s">
        <v>26</v>
      </c>
      <c r="J126" s="222" t="s">
        <v>46</v>
      </c>
      <c r="K126" s="222"/>
      <c r="L126" s="222" t="s">
        <v>23</v>
      </c>
      <c r="M126" s="222" t="s">
        <v>49</v>
      </c>
      <c r="N126" s="222"/>
      <c r="O126" s="222" t="s">
        <v>19</v>
      </c>
      <c r="P126" s="220" t="s">
        <v>34</v>
      </c>
      <c r="Q126" s="220"/>
      <c r="R126" s="220" t="s">
        <v>62</v>
      </c>
      <c r="S126" s="222" t="s">
        <v>60</v>
      </c>
      <c r="T126" s="222"/>
      <c r="U126" s="220"/>
      <c r="V126" s="220"/>
      <c r="W126" s="220" t="s">
        <v>57</v>
      </c>
      <c r="X126" s="223">
        <f t="shared" si="20"/>
        <v>10</v>
      </c>
      <c r="Y126" s="223" t="s">
        <v>26</v>
      </c>
      <c r="Z126" s="219">
        <f t="shared" si="22"/>
        <v>8</v>
      </c>
      <c r="AA126" s="219">
        <f t="shared" si="23"/>
        <v>8</v>
      </c>
      <c r="AB126" s="219">
        <f t="shared" si="24"/>
        <v>2</v>
      </c>
      <c r="AC126" s="219" t="str" cm="1">
        <f t="array" ref="AC126">_xlfn.TEXTJOIN(", ", TRUE, _xlfn.UNIQUE(_xlfn._xlws.FILTER(G126:W126, COUNTIF(G126:W126, G126:W126)&gt;1, "無")))</f>
        <v>無</v>
      </c>
    </row>
    <row r="127" spans="1:29" s="218" customFormat="1" ht="16.5" customHeight="1">
      <c r="A127" s="219" t="str">
        <f t="shared" si="21"/>
        <v/>
      </c>
      <c r="B127" s="217"/>
      <c r="C127" s="217"/>
      <c r="D127" s="220" t="s">
        <v>11</v>
      </c>
      <c r="E127" s="221" t="s">
        <v>80</v>
      </c>
      <c r="F127" s="218" t="str">
        <f t="shared" si="19"/>
        <v>3+715-16</v>
      </c>
      <c r="G127" s="222" t="s">
        <v>30</v>
      </c>
      <c r="H127" s="222"/>
      <c r="I127" s="222" t="s">
        <v>26</v>
      </c>
      <c r="J127" s="222" t="s">
        <v>46</v>
      </c>
      <c r="K127" s="222"/>
      <c r="L127" s="222" t="s">
        <v>23</v>
      </c>
      <c r="M127" s="222" t="s">
        <v>49</v>
      </c>
      <c r="N127" s="222"/>
      <c r="O127" s="222" t="s">
        <v>19</v>
      </c>
      <c r="P127" s="220" t="s">
        <v>34</v>
      </c>
      <c r="Q127" s="220"/>
      <c r="R127" s="220" t="s">
        <v>62</v>
      </c>
      <c r="S127" s="222" t="s">
        <v>60</v>
      </c>
      <c r="T127" s="222"/>
      <c r="U127" s="220"/>
      <c r="V127" s="220"/>
      <c r="W127" s="220" t="s">
        <v>57</v>
      </c>
      <c r="X127" s="223">
        <f t="shared" si="20"/>
        <v>10</v>
      </c>
      <c r="Y127" s="223" t="s">
        <v>46</v>
      </c>
      <c r="Z127" s="219">
        <f t="shared" si="22"/>
        <v>6</v>
      </c>
      <c r="AA127" s="219">
        <f t="shared" si="23"/>
        <v>4</v>
      </c>
      <c r="AB127" s="219">
        <f t="shared" si="24"/>
        <v>2</v>
      </c>
      <c r="AC127" s="219" t="str" cm="1">
        <f t="array" ref="AC127">_xlfn.TEXTJOIN(", ", TRUE, _xlfn.UNIQUE(_xlfn._xlws.FILTER(G127:W127, COUNTIF(G127:W127, G127:W127)&gt;1, "無")))</f>
        <v>無</v>
      </c>
    </row>
    <row r="128" spans="1:29" s="218" customFormat="1" ht="16.5" customHeight="1">
      <c r="A128" s="219" t="str">
        <f t="shared" si="21"/>
        <v>A</v>
      </c>
      <c r="B128" s="217" t="s">
        <v>19</v>
      </c>
      <c r="C128" s="217"/>
      <c r="D128" s="220" t="s">
        <v>11</v>
      </c>
      <c r="E128" s="221" t="s">
        <v>81</v>
      </c>
      <c r="F128" s="218" t="str">
        <f t="shared" si="19"/>
        <v>3+716-17</v>
      </c>
      <c r="G128" s="222" t="s">
        <v>34</v>
      </c>
      <c r="H128" s="222"/>
      <c r="I128" s="222" t="s">
        <v>49</v>
      </c>
      <c r="J128" s="222" t="s">
        <v>26</v>
      </c>
      <c r="K128" s="222"/>
      <c r="L128" s="222" t="s">
        <v>30</v>
      </c>
      <c r="M128" s="222" t="s">
        <v>46</v>
      </c>
      <c r="N128" s="222"/>
      <c r="O128" s="222" t="s">
        <v>23</v>
      </c>
      <c r="P128" s="220" t="s">
        <v>62</v>
      </c>
      <c r="Q128" s="220"/>
      <c r="R128" s="220"/>
      <c r="S128" s="220" t="s">
        <v>60</v>
      </c>
      <c r="T128" s="222"/>
      <c r="U128" s="220"/>
      <c r="V128" s="220"/>
      <c r="W128" s="220" t="s">
        <v>57</v>
      </c>
      <c r="X128" s="223">
        <f t="shared" si="20"/>
        <v>10</v>
      </c>
      <c r="Y128" s="223" t="s">
        <v>57</v>
      </c>
      <c r="Z128" s="219">
        <f t="shared" si="22"/>
        <v>0</v>
      </c>
      <c r="AA128" s="219">
        <f t="shared" si="23"/>
        <v>0</v>
      </c>
      <c r="AB128" s="219">
        <f t="shared" si="24"/>
        <v>2</v>
      </c>
      <c r="AC128" s="219" t="str" cm="1">
        <f t="array" ref="AC128">_xlfn.TEXTJOIN(", ", TRUE, _xlfn.UNIQUE(_xlfn._xlws.FILTER(G128:W128, COUNTIF(G128:W128, G128:W128)&gt;1, "無")))</f>
        <v>無</v>
      </c>
    </row>
    <row r="129" spans="1:29" s="218" customFormat="1" ht="16.5" customHeight="1">
      <c r="A129" s="219" t="str">
        <f t="shared" si="21"/>
        <v>A</v>
      </c>
      <c r="B129" s="217" t="s">
        <v>19</v>
      </c>
      <c r="C129" s="217"/>
      <c r="D129" s="220" t="s">
        <v>11</v>
      </c>
      <c r="E129" s="221" t="s">
        <v>82</v>
      </c>
      <c r="F129" s="218" t="str">
        <f t="shared" si="19"/>
        <v>3+717-18</v>
      </c>
      <c r="G129" s="222" t="s">
        <v>34</v>
      </c>
      <c r="H129" s="222"/>
      <c r="I129" s="222" t="s">
        <v>49</v>
      </c>
      <c r="J129" s="222" t="s">
        <v>26</v>
      </c>
      <c r="K129" s="222"/>
      <c r="L129" s="222" t="s">
        <v>30</v>
      </c>
      <c r="M129" s="222" t="s">
        <v>46</v>
      </c>
      <c r="N129" s="222"/>
      <c r="O129" s="222" t="s">
        <v>23</v>
      </c>
      <c r="P129" s="220" t="s">
        <v>62</v>
      </c>
      <c r="Q129" s="220"/>
      <c r="R129" s="220"/>
      <c r="S129" s="220" t="s">
        <v>60</v>
      </c>
      <c r="T129" s="222"/>
      <c r="U129" s="220"/>
      <c r="V129" s="220"/>
      <c r="W129" s="220" t="s">
        <v>57</v>
      </c>
      <c r="X129" s="223">
        <f t="shared" si="20"/>
        <v>10</v>
      </c>
      <c r="Y129" s="223" t="s">
        <v>60</v>
      </c>
      <c r="Z129" s="219">
        <f t="shared" si="22"/>
        <v>0</v>
      </c>
      <c r="AA129" s="219">
        <f t="shared" si="23"/>
        <v>0</v>
      </c>
      <c r="AB129" s="219">
        <f t="shared" si="24"/>
        <v>2</v>
      </c>
      <c r="AC129" s="219" t="str" cm="1">
        <f t="array" ref="AC129">_xlfn.TEXTJOIN(", ", TRUE, _xlfn.UNIQUE(_xlfn._xlws.FILTER(G129:W129, COUNTIF(G129:W129, G129:W129)&gt;1, "無")))</f>
        <v>無</v>
      </c>
    </row>
    <row r="130" spans="1:29" s="218" customFormat="1" ht="16.5" customHeight="1">
      <c r="A130" s="219" t="str">
        <f t="shared" si="21"/>
        <v>B</v>
      </c>
      <c r="B130" s="217" t="s">
        <v>23</v>
      </c>
      <c r="C130" s="217"/>
      <c r="D130" s="220" t="s">
        <v>11</v>
      </c>
      <c r="E130" s="221" t="s">
        <v>83</v>
      </c>
      <c r="F130" s="218" t="str">
        <f t="shared" si="19"/>
        <v>3+718-19</v>
      </c>
      <c r="G130" s="222" t="s">
        <v>62</v>
      </c>
      <c r="H130" s="222"/>
      <c r="I130" s="222" t="s">
        <v>34</v>
      </c>
      <c r="J130" s="222" t="s">
        <v>46</v>
      </c>
      <c r="K130" s="222"/>
      <c r="L130" s="222" t="s">
        <v>26</v>
      </c>
      <c r="M130" s="222" t="s">
        <v>19</v>
      </c>
      <c r="N130" s="222"/>
      <c r="O130" s="222" t="s">
        <v>30</v>
      </c>
      <c r="P130" s="220" t="s">
        <v>49</v>
      </c>
      <c r="Q130" s="220"/>
      <c r="R130" s="220"/>
      <c r="S130" s="220" t="s">
        <v>60</v>
      </c>
      <c r="T130" s="222"/>
      <c r="U130" s="220"/>
      <c r="V130" s="220"/>
      <c r="W130" s="220" t="s">
        <v>57</v>
      </c>
      <c r="X130" s="223">
        <f t="shared" si="20"/>
        <v>10</v>
      </c>
      <c r="Y130" s="223" t="s">
        <v>62</v>
      </c>
      <c r="Z130" s="219">
        <f t="shared" si="22"/>
        <v>0</v>
      </c>
      <c r="AA130" s="219">
        <f t="shared" si="23"/>
        <v>0</v>
      </c>
      <c r="AB130" s="219">
        <f t="shared" si="24"/>
        <v>2</v>
      </c>
      <c r="AC130" s="219" t="str" cm="1">
        <f t="array" ref="AC130">_xlfn.TEXTJOIN(", ", TRUE, _xlfn.UNIQUE(_xlfn._xlws.FILTER(G130:W130, COUNTIF(G130:W130, G130:W130)&gt;1, "無")))</f>
        <v>無</v>
      </c>
    </row>
    <row r="131" spans="1:29" s="218" customFormat="1" ht="16.5" customHeight="1">
      <c r="A131" s="219" t="str">
        <f t="shared" si="21"/>
        <v>B</v>
      </c>
      <c r="B131" s="217" t="s">
        <v>23</v>
      </c>
      <c r="C131" s="217"/>
      <c r="D131" s="220" t="s">
        <v>11</v>
      </c>
      <c r="E131" s="221" t="s">
        <v>84</v>
      </c>
      <c r="F131" s="218" t="str">
        <f t="shared" si="19"/>
        <v>3+719-20</v>
      </c>
      <c r="G131" s="222" t="s">
        <v>62</v>
      </c>
      <c r="H131" s="222"/>
      <c r="I131" s="222" t="s">
        <v>34</v>
      </c>
      <c r="J131" s="222" t="s">
        <v>46</v>
      </c>
      <c r="K131" s="222"/>
      <c r="L131" s="222" t="s">
        <v>26</v>
      </c>
      <c r="M131" s="222" t="s">
        <v>19</v>
      </c>
      <c r="N131" s="222"/>
      <c r="O131" s="222" t="s">
        <v>30</v>
      </c>
      <c r="P131" s="220" t="s">
        <v>49</v>
      </c>
      <c r="Q131" s="220"/>
      <c r="R131" s="220"/>
      <c r="S131" s="220" t="s">
        <v>60</v>
      </c>
      <c r="T131" s="222"/>
      <c r="U131" s="220"/>
      <c r="V131" s="220"/>
      <c r="W131" s="220" t="s">
        <v>57</v>
      </c>
      <c r="X131" s="223">
        <f t="shared" si="20"/>
        <v>10</v>
      </c>
      <c r="Y131" s="223"/>
      <c r="AA131" s="219"/>
      <c r="AB131" s="219"/>
      <c r="AC131" s="219" t="str" cm="1">
        <f t="array" ref="AC131">_xlfn.TEXTJOIN(", ", TRUE, _xlfn.UNIQUE(_xlfn._xlws.FILTER(G131:W131, COUNTIF(G131:W131, G131:W131)&gt;1, "無")))</f>
        <v>無</v>
      </c>
    </row>
    <row r="132" spans="1:29" s="218" customFormat="1" ht="16.5" customHeight="1">
      <c r="A132" s="219" t="str">
        <f t="shared" si="21"/>
        <v>C</v>
      </c>
      <c r="B132" s="217" t="s">
        <v>30</v>
      </c>
      <c r="C132" s="217"/>
      <c r="D132" s="220" t="s">
        <v>11</v>
      </c>
      <c r="E132" s="221" t="s">
        <v>85</v>
      </c>
      <c r="F132" s="218" t="str">
        <f t="shared" si="19"/>
        <v>3+720-21</v>
      </c>
      <c r="G132" s="222" t="s">
        <v>60</v>
      </c>
      <c r="H132" s="222"/>
      <c r="I132" s="222" t="s">
        <v>23</v>
      </c>
      <c r="J132" s="222" t="s">
        <v>26</v>
      </c>
      <c r="K132" s="222"/>
      <c r="L132" s="222" t="s">
        <v>19</v>
      </c>
      <c r="M132" s="222" t="s">
        <v>34</v>
      </c>
      <c r="N132" s="222"/>
      <c r="O132" s="222" t="s">
        <v>46</v>
      </c>
      <c r="P132" s="220" t="s">
        <v>49</v>
      </c>
      <c r="Q132" s="220"/>
      <c r="R132" s="220" t="s">
        <v>62</v>
      </c>
      <c r="S132" s="222"/>
      <c r="T132" s="222"/>
      <c r="U132" s="220"/>
      <c r="V132" s="220"/>
      <c r="W132" s="220" t="s">
        <v>57</v>
      </c>
      <c r="X132" s="223">
        <f t="shared" si="20"/>
        <v>10</v>
      </c>
      <c r="Y132" s="223"/>
      <c r="AA132" s="219"/>
      <c r="AB132" s="219"/>
      <c r="AC132" s="219" t="str" cm="1">
        <f t="array" ref="AC132">_xlfn.TEXTJOIN(", ", TRUE, _xlfn.UNIQUE(_xlfn._xlws.FILTER(G132:W132, COUNTIF(G132:W132, G132:W132)&gt;1, "無")))</f>
        <v>無</v>
      </c>
    </row>
    <row r="133" spans="1:29" s="218" customFormat="1" ht="16.5" customHeight="1">
      <c r="A133" s="219" t="str">
        <f t="shared" si="21"/>
        <v>C</v>
      </c>
      <c r="B133" s="217" t="s">
        <v>30</v>
      </c>
      <c r="C133" s="217"/>
      <c r="D133" s="220" t="s">
        <v>11</v>
      </c>
      <c r="E133" s="221" t="s">
        <v>86</v>
      </c>
      <c r="F133" s="218" t="str">
        <f t="shared" si="19"/>
        <v>3+721-22</v>
      </c>
      <c r="G133" s="222" t="s">
        <v>60</v>
      </c>
      <c r="H133" s="222"/>
      <c r="I133" s="222" t="s">
        <v>23</v>
      </c>
      <c r="J133" s="222" t="s">
        <v>26</v>
      </c>
      <c r="K133" s="222"/>
      <c r="L133" s="222" t="s">
        <v>19</v>
      </c>
      <c r="M133" s="222" t="s">
        <v>34</v>
      </c>
      <c r="N133" s="222"/>
      <c r="O133" s="222" t="s">
        <v>46</v>
      </c>
      <c r="P133" s="220" t="s">
        <v>49</v>
      </c>
      <c r="Q133" s="220"/>
      <c r="R133" s="220" t="s">
        <v>62</v>
      </c>
      <c r="S133" s="222"/>
      <c r="T133" s="222"/>
      <c r="U133" s="220"/>
      <c r="V133" s="220"/>
      <c r="W133" s="220" t="s">
        <v>57</v>
      </c>
      <c r="X133" s="223">
        <f t="shared" si="20"/>
        <v>10</v>
      </c>
      <c r="Y133" s="223"/>
      <c r="AA133" s="219"/>
      <c r="AB133" s="219"/>
      <c r="AC133" s="219" t="str" cm="1">
        <f t="array" ref="AC133">_xlfn.TEXTJOIN(", ", TRUE, _xlfn.UNIQUE(_xlfn._xlws.FILTER(G133:W133, COUNTIF(G133:W133, G133:W133)&gt;1, "無")))</f>
        <v>無</v>
      </c>
    </row>
    <row r="134" spans="1:29" s="218" customFormat="1" ht="16.5" customHeight="1">
      <c r="A134" s="219" t="str">
        <f t="shared" si="21"/>
        <v/>
      </c>
      <c r="B134" s="217"/>
      <c r="C134" s="217"/>
      <c r="D134" s="220" t="s">
        <v>11</v>
      </c>
      <c r="E134" s="221" t="s">
        <v>87</v>
      </c>
      <c r="F134" s="218" t="str">
        <f t="shared" si="19"/>
        <v>3+722-23</v>
      </c>
      <c r="G134" s="222" t="s">
        <v>46</v>
      </c>
      <c r="H134" s="222"/>
      <c r="I134" s="222" t="s">
        <v>49</v>
      </c>
      <c r="J134" s="222" t="s">
        <v>30</v>
      </c>
      <c r="K134" s="222"/>
      <c r="L134" s="222" t="s">
        <v>23</v>
      </c>
      <c r="M134" s="222" t="s">
        <v>26</v>
      </c>
      <c r="N134" s="222"/>
      <c r="O134" s="222" t="s">
        <v>19</v>
      </c>
      <c r="P134" s="220" t="s">
        <v>235</v>
      </c>
      <c r="Q134" s="220"/>
      <c r="R134" s="220" t="s">
        <v>62</v>
      </c>
      <c r="S134" s="220" t="s">
        <v>60</v>
      </c>
      <c r="T134" s="222"/>
      <c r="U134" s="220"/>
      <c r="V134" s="220"/>
      <c r="W134" s="220" t="s">
        <v>57</v>
      </c>
      <c r="X134" s="223">
        <f t="shared" si="20"/>
        <v>10</v>
      </c>
      <c r="Y134" s="223"/>
      <c r="AA134" s="219"/>
      <c r="AB134" s="219"/>
      <c r="AC134" s="219" t="str" cm="1">
        <f t="array" ref="AC134">_xlfn.TEXTJOIN(", ", TRUE, _xlfn.UNIQUE(_xlfn._xlws.FILTER(G134:W134, COUNTIF(G134:W134, G134:W134)&gt;1, "無")))</f>
        <v>無</v>
      </c>
    </row>
    <row r="135" spans="1:29" s="218" customFormat="1" ht="16.5" customHeight="1">
      <c r="A135" s="219" t="str">
        <f t="shared" si="21"/>
        <v/>
      </c>
      <c r="B135" s="217"/>
      <c r="C135" s="217"/>
      <c r="D135" s="220" t="s">
        <v>11</v>
      </c>
      <c r="E135" s="221" t="s">
        <v>88</v>
      </c>
      <c r="F135" s="218" t="str">
        <f t="shared" si="19"/>
        <v>3+723-24</v>
      </c>
      <c r="G135" s="222" t="s">
        <v>46</v>
      </c>
      <c r="H135" s="222"/>
      <c r="I135" s="222" t="s">
        <v>49</v>
      </c>
      <c r="J135" s="222" t="s">
        <v>30</v>
      </c>
      <c r="K135" s="222"/>
      <c r="L135" s="222" t="s">
        <v>23</v>
      </c>
      <c r="M135" s="222" t="s">
        <v>26</v>
      </c>
      <c r="N135" s="222"/>
      <c r="O135" s="222" t="s">
        <v>19</v>
      </c>
      <c r="P135" s="220" t="s">
        <v>235</v>
      </c>
      <c r="Q135" s="220"/>
      <c r="R135" s="220" t="s">
        <v>62</v>
      </c>
      <c r="S135" s="220" t="s">
        <v>60</v>
      </c>
      <c r="T135" s="222"/>
      <c r="U135" s="220"/>
      <c r="V135" s="220"/>
      <c r="W135" s="220" t="s">
        <v>57</v>
      </c>
      <c r="X135" s="223">
        <f t="shared" si="20"/>
        <v>10</v>
      </c>
      <c r="Y135" s="223"/>
      <c r="AA135" s="219"/>
      <c r="AB135" s="219"/>
      <c r="AC135" s="219" t="str" cm="1">
        <f t="array" ref="AC135">_xlfn.TEXTJOIN(", ", TRUE, _xlfn.UNIQUE(_xlfn._xlws.FILTER(G135:W135, COUNTIF(G135:W135, G135:W135)&gt;1, "無")))</f>
        <v>無</v>
      </c>
    </row>
    <row r="136" spans="1:29" s="218" customFormat="1" ht="16.5" customHeight="1">
      <c r="A136" s="219" t="str">
        <f t="shared" si="21"/>
        <v/>
      </c>
      <c r="B136" s="217"/>
      <c r="C136" s="217"/>
      <c r="D136" s="220" t="s">
        <v>11</v>
      </c>
      <c r="E136" s="221" t="s">
        <v>89</v>
      </c>
      <c r="F136" s="218" t="str">
        <f t="shared" si="19"/>
        <v>3+700-01</v>
      </c>
      <c r="G136" s="222" t="s">
        <v>46</v>
      </c>
      <c r="H136" s="222"/>
      <c r="I136" s="222" t="s">
        <v>19</v>
      </c>
      <c r="J136" s="222" t="s">
        <v>23</v>
      </c>
      <c r="K136" s="222"/>
      <c r="L136" s="222" t="s">
        <v>26</v>
      </c>
      <c r="M136" s="222" t="s">
        <v>235</v>
      </c>
      <c r="N136" s="222"/>
      <c r="O136" s="222" t="s">
        <v>230</v>
      </c>
      <c r="P136" s="220" t="s">
        <v>30</v>
      </c>
      <c r="Q136" s="220"/>
      <c r="R136" s="220" t="s">
        <v>62</v>
      </c>
      <c r="S136" s="220" t="s">
        <v>60</v>
      </c>
      <c r="T136" s="222"/>
      <c r="U136" s="220"/>
      <c r="V136" s="220"/>
      <c r="W136" s="220" t="s">
        <v>57</v>
      </c>
      <c r="X136" s="223">
        <f t="shared" si="20"/>
        <v>10</v>
      </c>
      <c r="Y136" s="223"/>
      <c r="AA136" s="219"/>
      <c r="AB136" s="219"/>
      <c r="AC136" s="219" t="str" cm="1">
        <f t="array" ref="AC136">_xlfn.TEXTJOIN(", ", TRUE, _xlfn.UNIQUE(_xlfn._xlws.FILTER(G136:W136, COUNTIF(G136:W136, G136:W136)&gt;1, "無")))</f>
        <v>無</v>
      </c>
    </row>
    <row r="137" spans="1:29" s="218" customFormat="1" ht="16.5" customHeight="1">
      <c r="A137" s="219" t="str">
        <f t="shared" si="21"/>
        <v/>
      </c>
      <c r="B137" s="217"/>
      <c r="C137" s="217"/>
      <c r="D137" s="220" t="s">
        <v>11</v>
      </c>
      <c r="E137" s="221" t="s">
        <v>90</v>
      </c>
      <c r="F137" s="218" t="str">
        <f t="shared" si="19"/>
        <v>3+701-02</v>
      </c>
      <c r="G137" s="222" t="s">
        <v>46</v>
      </c>
      <c r="H137" s="222"/>
      <c r="I137" s="222" t="s">
        <v>19</v>
      </c>
      <c r="J137" s="222" t="s">
        <v>23</v>
      </c>
      <c r="K137" s="222"/>
      <c r="L137" s="222" t="s">
        <v>26</v>
      </c>
      <c r="M137" s="222" t="s">
        <v>235</v>
      </c>
      <c r="N137" s="222"/>
      <c r="O137" s="222" t="s">
        <v>230</v>
      </c>
      <c r="P137" s="220" t="s">
        <v>30</v>
      </c>
      <c r="Q137" s="220"/>
      <c r="R137" s="220" t="s">
        <v>62</v>
      </c>
      <c r="S137" s="220" t="s">
        <v>60</v>
      </c>
      <c r="T137" s="222"/>
      <c r="U137" s="220"/>
      <c r="V137" s="220"/>
      <c r="W137" s="220" t="s">
        <v>57</v>
      </c>
      <c r="X137" s="223">
        <f t="shared" si="20"/>
        <v>10</v>
      </c>
      <c r="Y137" s="223"/>
      <c r="AA137" s="219"/>
      <c r="AB137" s="219"/>
      <c r="AC137" s="219" t="str" cm="1">
        <f t="array" ref="AC137">_xlfn.TEXTJOIN(", ", TRUE, _xlfn.UNIQUE(_xlfn._xlws.FILTER(G137:W137, COUNTIF(G137:W137, G137:W137)&gt;1, "無")))</f>
        <v>無</v>
      </c>
    </row>
    <row r="138" spans="1:29" s="218" customFormat="1" ht="16.5" customHeight="1">
      <c r="A138" s="219" t="str">
        <f t="shared" si="21"/>
        <v/>
      </c>
      <c r="B138" s="217"/>
      <c r="C138" s="217"/>
      <c r="D138" s="220" t="s">
        <v>11</v>
      </c>
      <c r="E138" s="221" t="s">
        <v>91</v>
      </c>
      <c r="F138" s="218" t="str">
        <f t="shared" si="19"/>
        <v>3+702-03</v>
      </c>
      <c r="G138" s="222" t="s">
        <v>46</v>
      </c>
      <c r="H138" s="222"/>
      <c r="I138" s="222" t="s">
        <v>19</v>
      </c>
      <c r="J138" s="222" t="s">
        <v>23</v>
      </c>
      <c r="K138" s="222"/>
      <c r="L138" s="222" t="s">
        <v>30</v>
      </c>
      <c r="M138" s="222" t="s">
        <v>26</v>
      </c>
      <c r="N138" s="222"/>
      <c r="O138" s="222" t="s">
        <v>235</v>
      </c>
      <c r="P138" s="220" t="s">
        <v>230</v>
      </c>
      <c r="Q138" s="220"/>
      <c r="R138" s="220" t="s">
        <v>62</v>
      </c>
      <c r="S138" s="220" t="s">
        <v>60</v>
      </c>
      <c r="T138" s="222"/>
      <c r="U138" s="220"/>
      <c r="V138" s="220"/>
      <c r="W138" s="220" t="s">
        <v>57</v>
      </c>
      <c r="X138" s="223">
        <f t="shared" si="20"/>
        <v>10</v>
      </c>
      <c r="Y138" s="223"/>
      <c r="AA138" s="219"/>
      <c r="AB138" s="219"/>
      <c r="AC138" s="219" t="str" cm="1">
        <f t="array" ref="AC138">_xlfn.TEXTJOIN(", ", TRUE, _xlfn.UNIQUE(_xlfn._xlws.FILTER(G138:W138, COUNTIF(G138:W138, G138:W138)&gt;1, "無")))</f>
        <v>無</v>
      </c>
    </row>
    <row r="139" spans="1:29" s="218" customFormat="1" ht="16.5" customHeight="1">
      <c r="A139" s="219" t="str">
        <f t="shared" si="21"/>
        <v/>
      </c>
      <c r="B139" s="217"/>
      <c r="C139" s="217"/>
      <c r="D139" s="220" t="s">
        <v>11</v>
      </c>
      <c r="E139" s="221" t="s">
        <v>92</v>
      </c>
      <c r="F139" s="218" t="str">
        <f t="shared" si="19"/>
        <v>3+703-04</v>
      </c>
      <c r="G139" s="222" t="s">
        <v>46</v>
      </c>
      <c r="H139" s="222"/>
      <c r="I139" s="222" t="s">
        <v>19</v>
      </c>
      <c r="J139" s="222" t="s">
        <v>23</v>
      </c>
      <c r="K139" s="222"/>
      <c r="L139" s="222" t="s">
        <v>30</v>
      </c>
      <c r="M139" s="222" t="s">
        <v>26</v>
      </c>
      <c r="N139" s="222"/>
      <c r="O139" s="222" t="s">
        <v>235</v>
      </c>
      <c r="P139" s="220" t="s">
        <v>230</v>
      </c>
      <c r="Q139" s="220"/>
      <c r="R139" s="220" t="s">
        <v>62</v>
      </c>
      <c r="S139" s="220" t="s">
        <v>60</v>
      </c>
      <c r="T139" s="222"/>
      <c r="U139" s="220"/>
      <c r="V139" s="220"/>
      <c r="W139" s="220" t="s">
        <v>57</v>
      </c>
      <c r="X139" s="223">
        <f t="shared" si="20"/>
        <v>10</v>
      </c>
      <c r="Y139" s="223"/>
      <c r="AA139" s="219"/>
      <c r="AB139" s="219"/>
      <c r="AC139" s="219" t="str" cm="1">
        <f t="array" ref="AC139">_xlfn.TEXTJOIN(", ", TRUE, _xlfn.UNIQUE(_xlfn._xlws.FILTER(G139:W139, COUNTIF(G139:W139, G139:W139)&gt;1, "無")))</f>
        <v>無</v>
      </c>
    </row>
    <row r="140" spans="1:29" s="218" customFormat="1" ht="16.5" customHeight="1">
      <c r="A140" s="219" t="str">
        <f t="shared" si="21"/>
        <v/>
      </c>
      <c r="B140" s="217"/>
      <c r="C140" s="217"/>
      <c r="D140" s="220" t="s">
        <v>11</v>
      </c>
      <c r="E140" s="221" t="s">
        <v>93</v>
      </c>
      <c r="F140" s="218" t="str">
        <f t="shared" si="19"/>
        <v>3+704-05</v>
      </c>
      <c r="G140" s="222" t="s">
        <v>46</v>
      </c>
      <c r="H140" s="222"/>
      <c r="I140" s="222" t="s">
        <v>30</v>
      </c>
      <c r="J140" s="222" t="s">
        <v>34</v>
      </c>
      <c r="K140" s="222"/>
      <c r="L140" s="222" t="s">
        <v>19</v>
      </c>
      <c r="M140" s="222" t="s">
        <v>49</v>
      </c>
      <c r="N140" s="222"/>
      <c r="O140" s="222" t="s">
        <v>23</v>
      </c>
      <c r="P140" s="220" t="s">
        <v>26</v>
      </c>
      <c r="Q140" s="220"/>
      <c r="R140" s="220" t="s">
        <v>62</v>
      </c>
      <c r="S140" s="220" t="s">
        <v>60</v>
      </c>
      <c r="T140" s="222"/>
      <c r="U140" s="220"/>
      <c r="V140" s="220"/>
      <c r="W140" s="220" t="s">
        <v>231</v>
      </c>
      <c r="X140" s="223">
        <f t="shared" si="20"/>
        <v>10</v>
      </c>
      <c r="Y140" s="223"/>
      <c r="AA140" s="219"/>
      <c r="AB140" s="219"/>
      <c r="AC140" s="219" t="str" cm="1">
        <f t="array" ref="AC140">_xlfn.TEXTJOIN(", ", TRUE, _xlfn.UNIQUE(_xlfn._xlws.FILTER(G140:W140, COUNTIF(G140:W140, G140:W140)&gt;1, "無")))</f>
        <v>無</v>
      </c>
    </row>
    <row r="141" spans="1:29" s="218" customFormat="1" ht="16.5" customHeight="1">
      <c r="A141" s="219" t="str">
        <f t="shared" si="21"/>
        <v/>
      </c>
      <c r="B141" s="217"/>
      <c r="C141" s="217"/>
      <c r="D141" s="220" t="s">
        <v>11</v>
      </c>
      <c r="E141" s="221" t="s">
        <v>94</v>
      </c>
      <c r="F141" s="218" t="str">
        <f t="shared" si="19"/>
        <v>3+705-06</v>
      </c>
      <c r="G141" s="222" t="s">
        <v>46</v>
      </c>
      <c r="H141" s="222"/>
      <c r="I141" s="222" t="s">
        <v>30</v>
      </c>
      <c r="J141" s="222" t="s">
        <v>34</v>
      </c>
      <c r="K141" s="222"/>
      <c r="L141" s="222" t="s">
        <v>19</v>
      </c>
      <c r="M141" s="222" t="s">
        <v>49</v>
      </c>
      <c r="N141" s="222"/>
      <c r="O141" s="222" t="s">
        <v>23</v>
      </c>
      <c r="P141" s="220" t="s">
        <v>26</v>
      </c>
      <c r="Q141" s="220"/>
      <c r="R141" s="220" t="s">
        <v>62</v>
      </c>
      <c r="S141" s="220" t="s">
        <v>60</v>
      </c>
      <c r="T141" s="222"/>
      <c r="U141" s="220"/>
      <c r="V141" s="220"/>
      <c r="W141" s="220" t="s">
        <v>231</v>
      </c>
      <c r="X141" s="223">
        <f t="shared" si="20"/>
        <v>10</v>
      </c>
      <c r="Y141" s="223"/>
      <c r="AA141" s="219"/>
      <c r="AB141" s="219"/>
      <c r="AC141" s="219" t="str" cm="1">
        <f t="array" ref="AC141">_xlfn.TEXTJOIN(", ", TRUE, _xlfn.UNIQUE(_xlfn._xlws.FILTER(G141:W141, COUNTIF(G141:W141, G141:W141)&gt;1, "無")))</f>
        <v>無</v>
      </c>
    </row>
    <row r="142" spans="1:29" s="218" customFormat="1" ht="16.5" customHeight="1">
      <c r="A142" s="219" t="str">
        <f t="shared" si="21"/>
        <v>G,L</v>
      </c>
      <c r="B142" s="217" t="s">
        <v>26</v>
      </c>
      <c r="C142" s="217" t="s">
        <v>232</v>
      </c>
      <c r="D142" s="220" t="s">
        <v>11</v>
      </c>
      <c r="E142" s="221" t="s">
        <v>95</v>
      </c>
      <c r="F142" s="218" t="str">
        <f t="shared" si="19"/>
        <v>3+706-07</v>
      </c>
      <c r="G142" s="222" t="s">
        <v>46</v>
      </c>
      <c r="H142" s="222"/>
      <c r="I142" s="222" t="s">
        <v>30</v>
      </c>
      <c r="J142" s="222" t="s">
        <v>34</v>
      </c>
      <c r="K142" s="222"/>
      <c r="L142" s="222" t="s">
        <v>49</v>
      </c>
      <c r="M142" s="222" t="s">
        <v>23</v>
      </c>
      <c r="N142" s="222"/>
      <c r="O142" s="222" t="s">
        <v>19</v>
      </c>
      <c r="P142" s="220" t="s">
        <v>62</v>
      </c>
      <c r="Q142" s="220"/>
      <c r="R142" s="220"/>
      <c r="S142" s="222"/>
      <c r="T142" s="222"/>
      <c r="U142" s="220"/>
      <c r="V142" s="220"/>
      <c r="W142" s="220" t="s">
        <v>57</v>
      </c>
      <c r="X142" s="223">
        <f t="shared" si="20"/>
        <v>10</v>
      </c>
      <c r="Y142" s="223"/>
      <c r="AA142" s="219"/>
      <c r="AB142" s="219"/>
      <c r="AC142" s="219" t="str" cm="1">
        <f t="array" ref="AC142">_xlfn.TEXTJOIN(", ", TRUE, _xlfn.UNIQUE(_xlfn._xlws.FILTER(G142:W142, COUNTIF(G142:W142, G142:W142)&gt;1, "無")))</f>
        <v>無</v>
      </c>
    </row>
    <row r="143" spans="1:29" s="218" customFormat="1" ht="16.5" customHeight="1">
      <c r="A143" s="219" t="str">
        <f t="shared" si="21"/>
        <v>G,L</v>
      </c>
      <c r="B143" s="217" t="s">
        <v>26</v>
      </c>
      <c r="C143" s="217" t="s">
        <v>232</v>
      </c>
      <c r="D143" s="220" t="s">
        <v>11</v>
      </c>
      <c r="E143" s="221" t="s">
        <v>96</v>
      </c>
      <c r="F143" s="218" t="str">
        <f t="shared" si="19"/>
        <v>3+707-08</v>
      </c>
      <c r="G143" s="222" t="s">
        <v>46</v>
      </c>
      <c r="H143" s="222"/>
      <c r="I143" s="222" t="s">
        <v>30</v>
      </c>
      <c r="J143" s="222" t="s">
        <v>34</v>
      </c>
      <c r="K143" s="222"/>
      <c r="L143" s="222" t="s">
        <v>49</v>
      </c>
      <c r="M143" s="222" t="s">
        <v>23</v>
      </c>
      <c r="N143" s="222"/>
      <c r="O143" s="222" t="s">
        <v>19</v>
      </c>
      <c r="P143" s="220" t="s">
        <v>62</v>
      </c>
      <c r="Q143" s="220"/>
      <c r="R143" s="220"/>
      <c r="S143" s="222"/>
      <c r="T143" s="222"/>
      <c r="U143" s="220"/>
      <c r="V143" s="220"/>
      <c r="W143" s="220" t="s">
        <v>57</v>
      </c>
      <c r="X143" s="223">
        <f t="shared" si="20"/>
        <v>10</v>
      </c>
      <c r="Y143" s="223"/>
      <c r="AA143" s="219"/>
      <c r="AB143" s="219"/>
      <c r="AC143" s="219" t="str" cm="1">
        <f t="array" ref="AC143">_xlfn.TEXTJOIN(", ", TRUE, _xlfn.UNIQUE(_xlfn._xlws.FILTER(G143:W143, COUNTIF(G143:W143, G143:W143)&gt;1, "無")))</f>
        <v>無</v>
      </c>
    </row>
    <row r="144" spans="1:29" s="218" customFormat="1" ht="16.5" customHeight="1">
      <c r="A144" s="219"/>
      <c r="B144" s="217"/>
      <c r="C144" s="217"/>
      <c r="D144" s="219"/>
      <c r="E144" s="219"/>
      <c r="G144" s="219"/>
      <c r="H144" s="219"/>
      <c r="X144" s="223"/>
      <c r="AC144" s="219"/>
    </row>
    <row r="145" spans="1:29" s="218" customFormat="1" ht="16.5" customHeight="1">
      <c r="A145" s="219"/>
      <c r="B145" s="217"/>
      <c r="C145" s="217"/>
      <c r="G145" s="219"/>
      <c r="H145" s="219"/>
      <c r="X145" s="223"/>
      <c r="AC145" s="219"/>
    </row>
    <row r="146" spans="1:29" s="218" customFormat="1" ht="16.5" customHeight="1">
      <c r="A146" s="217" t="s">
        <v>12</v>
      </c>
      <c r="B146" s="217" t="s">
        <v>68</v>
      </c>
      <c r="C146" s="217" t="s">
        <v>69</v>
      </c>
      <c r="G146" s="219"/>
      <c r="H146" s="219"/>
      <c r="X146" s="223"/>
      <c r="AC146" s="219"/>
    </row>
    <row r="147" spans="1:29" s="218" customFormat="1" ht="16.5" customHeight="1">
      <c r="A147" s="219" t="str">
        <f>_xlfn.TEXTJOIN(",",TRUE,B147:C147)</f>
        <v>H,K</v>
      </c>
      <c r="B147" s="217" t="s">
        <v>46</v>
      </c>
      <c r="C147" s="217" t="s">
        <v>231</v>
      </c>
      <c r="D147" s="220" t="s">
        <v>12</v>
      </c>
      <c r="E147" s="221" t="s">
        <v>70</v>
      </c>
      <c r="F147" s="218" t="str">
        <f t="shared" ref="F147:F170" si="25">$D147&amp;$E147</f>
        <v>2+808-09</v>
      </c>
      <c r="G147" s="222" t="s">
        <v>19</v>
      </c>
      <c r="H147" s="222"/>
      <c r="I147" s="222" t="s">
        <v>49</v>
      </c>
      <c r="J147" s="222" t="s">
        <v>42</v>
      </c>
      <c r="K147" s="222"/>
      <c r="L147" s="222" t="s">
        <v>30</v>
      </c>
      <c r="M147" s="222" t="s">
        <v>26</v>
      </c>
      <c r="N147" s="222"/>
      <c r="O147" s="222" t="s">
        <v>34</v>
      </c>
      <c r="P147" s="220" t="s">
        <v>23</v>
      </c>
      <c r="Q147" s="220"/>
      <c r="R147" s="220"/>
      <c r="S147" s="222"/>
      <c r="T147" s="222"/>
      <c r="U147" s="220"/>
      <c r="V147" s="220"/>
      <c r="W147" s="220" t="s">
        <v>232</v>
      </c>
      <c r="X147" s="223">
        <f t="shared" ref="X147:X170" si="26">COUNTA(B147:C147,G147:W147)</f>
        <v>10</v>
      </c>
      <c r="Y147" s="223"/>
      <c r="Z147" s="219" t="s">
        <v>71</v>
      </c>
      <c r="AA147" s="219" t="s">
        <v>72</v>
      </c>
      <c r="AB147" s="219" t="s">
        <v>73</v>
      </c>
      <c r="AC147" s="219" t="str" cm="1">
        <f t="array" ref="AC147">_xlfn.TEXTJOIN(", ", TRUE, _xlfn.UNIQUE(_xlfn._xlws.FILTER(G147:W147, COUNTIF(G147:W147, G147:W147)&gt;1, "無")))</f>
        <v>無</v>
      </c>
    </row>
    <row r="148" spans="1:29" s="218" customFormat="1" ht="16.5" customHeight="1">
      <c r="A148" s="219" t="str">
        <f t="shared" ref="A148:A170" si="27">_xlfn.TEXTJOIN(",",TRUE,B148:C148)</f>
        <v>H,K</v>
      </c>
      <c r="B148" s="217" t="s">
        <v>46</v>
      </c>
      <c r="C148" s="217" t="s">
        <v>231</v>
      </c>
      <c r="D148" s="220" t="s">
        <v>12</v>
      </c>
      <c r="E148" s="221" t="s">
        <v>74</v>
      </c>
      <c r="F148" s="218" t="str">
        <f t="shared" si="25"/>
        <v>2+809-10</v>
      </c>
      <c r="G148" s="222" t="s">
        <v>19</v>
      </c>
      <c r="H148" s="222"/>
      <c r="I148" s="222" t="s">
        <v>49</v>
      </c>
      <c r="J148" s="222" t="s">
        <v>42</v>
      </c>
      <c r="K148" s="222"/>
      <c r="L148" s="222" t="s">
        <v>30</v>
      </c>
      <c r="M148" s="222" t="s">
        <v>26</v>
      </c>
      <c r="N148" s="222"/>
      <c r="O148" s="222" t="s">
        <v>34</v>
      </c>
      <c r="P148" s="220" t="s">
        <v>23</v>
      </c>
      <c r="Q148" s="220"/>
      <c r="R148" s="220"/>
      <c r="S148" s="222"/>
      <c r="T148" s="222"/>
      <c r="U148" s="220"/>
      <c r="V148" s="220"/>
      <c r="W148" s="220" t="s">
        <v>232</v>
      </c>
      <c r="X148" s="223">
        <f t="shared" si="26"/>
        <v>10</v>
      </c>
      <c r="Y148" s="223" t="s">
        <v>19</v>
      </c>
      <c r="Z148" s="219">
        <f t="shared" ref="Z148:Z157" si="28">COUNTIF($I$147:$J$170,Y148)</f>
        <v>6</v>
      </c>
      <c r="AA148" s="219">
        <f t="shared" ref="AA148:AA157" si="29">COUNTIF($L$147:$M$170,Y148)</f>
        <v>6</v>
      </c>
      <c r="AB148" s="219">
        <f t="shared" ref="AB148:AB157" si="30">COUNTIF($B$147:$C$170,Y148)</f>
        <v>2</v>
      </c>
      <c r="AC148" s="219" t="str" cm="1">
        <f t="array" ref="AC148">_xlfn.TEXTJOIN(", ", TRUE, _xlfn.UNIQUE(_xlfn._xlws.FILTER(G148:W148, COUNTIF(G148:W148, G148:W148)&gt;1, "無")))</f>
        <v>無</v>
      </c>
    </row>
    <row r="149" spans="1:29" s="218" customFormat="1" ht="16.5" customHeight="1">
      <c r="A149" s="219" t="str">
        <f t="shared" si="27"/>
        <v/>
      </c>
      <c r="B149" s="217"/>
      <c r="C149" s="217"/>
      <c r="D149" s="220" t="s">
        <v>12</v>
      </c>
      <c r="E149" s="221" t="s">
        <v>75</v>
      </c>
      <c r="F149" s="218" t="str">
        <f t="shared" si="25"/>
        <v>2+810-11</v>
      </c>
      <c r="G149" s="222" t="s">
        <v>23</v>
      </c>
      <c r="H149" s="222"/>
      <c r="I149" s="222" t="s">
        <v>235</v>
      </c>
      <c r="J149" s="222" t="s">
        <v>49</v>
      </c>
      <c r="K149" s="222"/>
      <c r="L149" s="222" t="s">
        <v>237</v>
      </c>
      <c r="M149" s="222" t="s">
        <v>46</v>
      </c>
      <c r="N149" s="222"/>
      <c r="O149" s="222" t="s">
        <v>30</v>
      </c>
      <c r="P149" s="220" t="s">
        <v>42</v>
      </c>
      <c r="Q149" s="220"/>
      <c r="R149" s="220" t="s">
        <v>26</v>
      </c>
      <c r="S149" s="222" t="s">
        <v>60</v>
      </c>
      <c r="T149" s="222"/>
      <c r="U149" s="220"/>
      <c r="V149" s="220"/>
      <c r="W149" s="220" t="s">
        <v>57</v>
      </c>
      <c r="X149" s="223">
        <f t="shared" si="26"/>
        <v>10</v>
      </c>
      <c r="Y149" s="223" t="s">
        <v>23</v>
      </c>
      <c r="Z149" s="219">
        <f t="shared" si="28"/>
        <v>6</v>
      </c>
      <c r="AA149" s="219">
        <f t="shared" si="29"/>
        <v>6</v>
      </c>
      <c r="AB149" s="219">
        <f t="shared" si="30"/>
        <v>2</v>
      </c>
      <c r="AC149" s="219" t="str" cm="1">
        <f t="array" ref="AC149">_xlfn.TEXTJOIN(", ", TRUE, _xlfn.UNIQUE(_xlfn._xlws.FILTER(G149:W149, COUNTIF(G149:W149, G149:W149)&gt;1, "無")))</f>
        <v>無</v>
      </c>
    </row>
    <row r="150" spans="1:29" s="218" customFormat="1" ht="16.5" customHeight="1">
      <c r="A150" s="219" t="str">
        <f t="shared" si="27"/>
        <v/>
      </c>
      <c r="B150" s="217"/>
      <c r="C150" s="217"/>
      <c r="D150" s="220" t="s">
        <v>12</v>
      </c>
      <c r="E150" s="221" t="s">
        <v>76</v>
      </c>
      <c r="F150" s="218" t="str">
        <f t="shared" si="25"/>
        <v>2+811-12</v>
      </c>
      <c r="G150" s="222" t="s">
        <v>23</v>
      </c>
      <c r="H150" s="222"/>
      <c r="I150" s="222" t="s">
        <v>235</v>
      </c>
      <c r="J150" s="222" t="s">
        <v>49</v>
      </c>
      <c r="K150" s="222"/>
      <c r="L150" s="222" t="s">
        <v>237</v>
      </c>
      <c r="M150" s="222" t="s">
        <v>46</v>
      </c>
      <c r="N150" s="222"/>
      <c r="O150" s="222" t="s">
        <v>30</v>
      </c>
      <c r="P150" s="220" t="s">
        <v>42</v>
      </c>
      <c r="Q150" s="220"/>
      <c r="R150" s="220" t="s">
        <v>26</v>
      </c>
      <c r="S150" s="222" t="s">
        <v>60</v>
      </c>
      <c r="T150" s="222"/>
      <c r="U150" s="220"/>
      <c r="V150" s="220"/>
      <c r="W150" s="220" t="s">
        <v>57</v>
      </c>
      <c r="X150" s="223">
        <f t="shared" si="26"/>
        <v>10</v>
      </c>
      <c r="Y150" s="223" t="s">
        <v>30</v>
      </c>
      <c r="Z150" s="219">
        <f t="shared" si="28"/>
        <v>6</v>
      </c>
      <c r="AA150" s="219">
        <f t="shared" si="29"/>
        <v>6</v>
      </c>
      <c r="AB150" s="219">
        <f t="shared" si="30"/>
        <v>2</v>
      </c>
      <c r="AC150" s="219" t="str" cm="1">
        <f t="array" ref="AC150">_xlfn.TEXTJOIN(", ", TRUE, _xlfn.UNIQUE(_xlfn._xlws.FILTER(G150:W150, COUNTIF(G150:W150, G150:W150)&gt;1, "無")))</f>
        <v>無</v>
      </c>
    </row>
    <row r="151" spans="1:29" s="218" customFormat="1" ht="16.5" customHeight="1">
      <c r="A151" s="219" t="str">
        <f t="shared" si="27"/>
        <v>F</v>
      </c>
      <c r="B151" s="217" t="s">
        <v>42</v>
      </c>
      <c r="C151" s="217"/>
      <c r="D151" s="220" t="s">
        <v>12</v>
      </c>
      <c r="E151" s="221" t="s">
        <v>77</v>
      </c>
      <c r="F151" s="218" t="str">
        <f t="shared" si="25"/>
        <v>2+812-13</v>
      </c>
      <c r="G151" s="222" t="s">
        <v>26</v>
      </c>
      <c r="H151" s="222"/>
      <c r="I151" s="222" t="s">
        <v>23</v>
      </c>
      <c r="J151" s="222" t="s">
        <v>46</v>
      </c>
      <c r="K151" s="222"/>
      <c r="L151" s="222" t="s">
        <v>49</v>
      </c>
      <c r="M151" s="222" t="s">
        <v>34</v>
      </c>
      <c r="N151" s="222"/>
      <c r="O151" s="222" t="s">
        <v>19</v>
      </c>
      <c r="P151" s="220" t="s">
        <v>30</v>
      </c>
      <c r="Q151" s="220"/>
      <c r="R151" s="220"/>
      <c r="S151" s="220" t="s">
        <v>60</v>
      </c>
      <c r="T151" s="222"/>
      <c r="U151" s="220"/>
      <c r="V151" s="220"/>
      <c r="W151" s="220" t="s">
        <v>57</v>
      </c>
      <c r="X151" s="223">
        <f t="shared" si="26"/>
        <v>10</v>
      </c>
      <c r="Y151" s="223" t="s">
        <v>34</v>
      </c>
      <c r="Z151" s="219">
        <f t="shared" si="28"/>
        <v>6</v>
      </c>
      <c r="AA151" s="219">
        <f t="shared" si="29"/>
        <v>6</v>
      </c>
      <c r="AB151" s="219">
        <f t="shared" si="30"/>
        <v>2</v>
      </c>
      <c r="AC151" s="219" t="str" cm="1">
        <f t="array" ref="AC151">_xlfn.TEXTJOIN(", ", TRUE, _xlfn.UNIQUE(_xlfn._xlws.FILTER(G151:W151, COUNTIF(G151:W151, G151:W151)&gt;1, "無")))</f>
        <v>無</v>
      </c>
    </row>
    <row r="152" spans="1:29" s="218" customFormat="1" ht="16.5" customHeight="1">
      <c r="A152" s="219" t="str">
        <f t="shared" si="27"/>
        <v>F</v>
      </c>
      <c r="B152" s="217" t="s">
        <v>42</v>
      </c>
      <c r="C152" s="217"/>
      <c r="D152" s="220" t="s">
        <v>12</v>
      </c>
      <c r="E152" s="221" t="s">
        <v>78</v>
      </c>
      <c r="F152" s="218" t="str">
        <f t="shared" si="25"/>
        <v>2+813-14</v>
      </c>
      <c r="G152" s="222" t="s">
        <v>26</v>
      </c>
      <c r="H152" s="222"/>
      <c r="I152" s="222" t="s">
        <v>23</v>
      </c>
      <c r="J152" s="222" t="s">
        <v>46</v>
      </c>
      <c r="K152" s="222"/>
      <c r="L152" s="222" t="s">
        <v>49</v>
      </c>
      <c r="M152" s="222" t="s">
        <v>34</v>
      </c>
      <c r="N152" s="222"/>
      <c r="O152" s="222" t="s">
        <v>19</v>
      </c>
      <c r="P152" s="220" t="s">
        <v>30</v>
      </c>
      <c r="Q152" s="220"/>
      <c r="R152" s="220"/>
      <c r="S152" s="220" t="s">
        <v>60</v>
      </c>
      <c r="T152" s="222"/>
      <c r="U152" s="220"/>
      <c r="V152" s="220"/>
      <c r="W152" s="220" t="s">
        <v>57</v>
      </c>
      <c r="X152" s="223">
        <f t="shared" si="26"/>
        <v>10</v>
      </c>
      <c r="Y152" s="223" t="s">
        <v>49</v>
      </c>
      <c r="Z152" s="219">
        <f t="shared" si="28"/>
        <v>6</v>
      </c>
      <c r="AA152" s="219">
        <f t="shared" si="29"/>
        <v>8</v>
      </c>
      <c r="AB152" s="219">
        <f t="shared" si="30"/>
        <v>2</v>
      </c>
      <c r="AC152" s="219" t="str" cm="1">
        <f t="array" ref="AC152">_xlfn.TEXTJOIN(", ", TRUE, _xlfn.UNIQUE(_xlfn._xlws.FILTER(G152:W152, COUNTIF(G152:W152, G152:W152)&gt;1, "無")))</f>
        <v>無</v>
      </c>
    </row>
    <row r="153" spans="1:29" s="218" customFormat="1" ht="16.5" customHeight="1">
      <c r="A153" s="219" t="str">
        <f t="shared" si="27"/>
        <v/>
      </c>
      <c r="B153" s="217"/>
      <c r="C153" s="217"/>
      <c r="D153" s="220" t="s">
        <v>12</v>
      </c>
      <c r="E153" s="221" t="s">
        <v>79</v>
      </c>
      <c r="F153" s="218" t="str">
        <f t="shared" si="25"/>
        <v>2+814-15</v>
      </c>
      <c r="G153" s="222" t="s">
        <v>30</v>
      </c>
      <c r="H153" s="222"/>
      <c r="I153" s="222" t="s">
        <v>26</v>
      </c>
      <c r="J153" s="222" t="s">
        <v>46</v>
      </c>
      <c r="K153" s="222"/>
      <c r="L153" s="222" t="s">
        <v>42</v>
      </c>
      <c r="M153" s="222" t="s">
        <v>49</v>
      </c>
      <c r="N153" s="222"/>
      <c r="O153" s="222" t="s">
        <v>23</v>
      </c>
      <c r="P153" s="220" t="s">
        <v>19</v>
      </c>
      <c r="Q153" s="220"/>
      <c r="R153" s="220" t="s">
        <v>34</v>
      </c>
      <c r="S153" s="222" t="s">
        <v>60</v>
      </c>
      <c r="T153" s="222"/>
      <c r="U153" s="220"/>
      <c r="V153" s="220"/>
      <c r="W153" s="220" t="s">
        <v>57</v>
      </c>
      <c r="X153" s="223">
        <f t="shared" si="26"/>
        <v>10</v>
      </c>
      <c r="Y153" s="223" t="s">
        <v>42</v>
      </c>
      <c r="Z153" s="219">
        <f t="shared" si="28"/>
        <v>6</v>
      </c>
      <c r="AA153" s="219">
        <f t="shared" si="29"/>
        <v>6</v>
      </c>
      <c r="AB153" s="219">
        <f t="shared" si="30"/>
        <v>2</v>
      </c>
      <c r="AC153" s="219" t="str" cm="1">
        <f t="array" ref="AC153">_xlfn.TEXTJOIN(", ", TRUE, _xlfn.UNIQUE(_xlfn._xlws.FILTER(G153:W153, COUNTIF(G153:W153, G153:W153)&gt;1, "無")))</f>
        <v>無</v>
      </c>
    </row>
    <row r="154" spans="1:29" s="218" customFormat="1" ht="16.5" customHeight="1">
      <c r="A154" s="219" t="str">
        <f t="shared" si="27"/>
        <v/>
      </c>
      <c r="B154" s="217"/>
      <c r="C154" s="217"/>
      <c r="D154" s="220" t="s">
        <v>12</v>
      </c>
      <c r="E154" s="221" t="s">
        <v>80</v>
      </c>
      <c r="F154" s="218" t="str">
        <f t="shared" si="25"/>
        <v>2+815-16</v>
      </c>
      <c r="G154" s="222" t="s">
        <v>30</v>
      </c>
      <c r="H154" s="222"/>
      <c r="I154" s="222" t="s">
        <v>26</v>
      </c>
      <c r="J154" s="222" t="s">
        <v>46</v>
      </c>
      <c r="K154" s="222"/>
      <c r="L154" s="222" t="s">
        <v>42</v>
      </c>
      <c r="M154" s="222" t="s">
        <v>49</v>
      </c>
      <c r="N154" s="222"/>
      <c r="O154" s="222" t="s">
        <v>23</v>
      </c>
      <c r="P154" s="220" t="s">
        <v>19</v>
      </c>
      <c r="Q154" s="220"/>
      <c r="R154" s="220" t="s">
        <v>34</v>
      </c>
      <c r="S154" s="222" t="s">
        <v>60</v>
      </c>
      <c r="T154" s="222"/>
      <c r="U154" s="220"/>
      <c r="V154" s="220"/>
      <c r="W154" s="220" t="s">
        <v>57</v>
      </c>
      <c r="X154" s="223">
        <f t="shared" si="26"/>
        <v>10</v>
      </c>
      <c r="Y154" s="223" t="s">
        <v>26</v>
      </c>
      <c r="Z154" s="219">
        <f t="shared" si="28"/>
        <v>6</v>
      </c>
      <c r="AA154" s="219">
        <f t="shared" si="29"/>
        <v>6</v>
      </c>
      <c r="AB154" s="219">
        <f t="shared" si="30"/>
        <v>2</v>
      </c>
      <c r="AC154" s="219" t="str" cm="1">
        <f t="array" ref="AC154">_xlfn.TEXTJOIN(", ", TRUE, _xlfn.UNIQUE(_xlfn._xlws.FILTER(G154:W154, COUNTIF(G154:W154, G154:W154)&gt;1, "無")))</f>
        <v>無</v>
      </c>
    </row>
    <row r="155" spans="1:29" s="218" customFormat="1" ht="16.5" customHeight="1">
      <c r="A155" s="219" t="str">
        <f t="shared" si="27"/>
        <v>A</v>
      </c>
      <c r="B155" s="217" t="s">
        <v>19</v>
      </c>
      <c r="C155" s="217"/>
      <c r="D155" s="220" t="s">
        <v>12</v>
      </c>
      <c r="E155" s="221" t="s">
        <v>81</v>
      </c>
      <c r="F155" s="218" t="str">
        <f t="shared" si="25"/>
        <v>2+816-17</v>
      </c>
      <c r="G155" s="222" t="s">
        <v>34</v>
      </c>
      <c r="H155" s="222"/>
      <c r="I155" s="222" t="s">
        <v>42</v>
      </c>
      <c r="J155" s="222" t="s">
        <v>26</v>
      </c>
      <c r="K155" s="222"/>
      <c r="L155" s="222" t="s">
        <v>23</v>
      </c>
      <c r="M155" s="222" t="s">
        <v>46</v>
      </c>
      <c r="N155" s="222"/>
      <c r="O155" s="222" t="s">
        <v>30</v>
      </c>
      <c r="P155" s="220" t="s">
        <v>49</v>
      </c>
      <c r="Q155" s="220"/>
      <c r="R155" s="220"/>
      <c r="S155" s="220" t="s">
        <v>60</v>
      </c>
      <c r="T155" s="222"/>
      <c r="U155" s="220"/>
      <c r="V155" s="220"/>
      <c r="W155" s="220" t="s">
        <v>57</v>
      </c>
      <c r="X155" s="223">
        <f t="shared" si="26"/>
        <v>10</v>
      </c>
      <c r="Y155" s="223" t="s">
        <v>46</v>
      </c>
      <c r="Z155" s="219">
        <f t="shared" si="28"/>
        <v>6</v>
      </c>
      <c r="AA155" s="219">
        <f t="shared" si="29"/>
        <v>4</v>
      </c>
      <c r="AB155" s="219">
        <f t="shared" si="30"/>
        <v>2</v>
      </c>
      <c r="AC155" s="219" t="str" cm="1">
        <f t="array" ref="AC155">_xlfn.TEXTJOIN(", ", TRUE, _xlfn.UNIQUE(_xlfn._xlws.FILTER(G155:W155, COUNTIF(G155:W155, G155:W155)&gt;1, "無")))</f>
        <v>無</v>
      </c>
    </row>
    <row r="156" spans="1:29" s="218" customFormat="1" ht="16.5" customHeight="1">
      <c r="A156" s="219" t="str">
        <f t="shared" si="27"/>
        <v>A</v>
      </c>
      <c r="B156" s="217" t="s">
        <v>19</v>
      </c>
      <c r="C156" s="217"/>
      <c r="D156" s="220" t="s">
        <v>12</v>
      </c>
      <c r="E156" s="221" t="s">
        <v>82</v>
      </c>
      <c r="F156" s="218" t="str">
        <f t="shared" si="25"/>
        <v>2+817-18</v>
      </c>
      <c r="G156" s="222" t="s">
        <v>34</v>
      </c>
      <c r="H156" s="222"/>
      <c r="I156" s="222" t="s">
        <v>42</v>
      </c>
      <c r="J156" s="222" t="s">
        <v>26</v>
      </c>
      <c r="K156" s="222"/>
      <c r="L156" s="222" t="s">
        <v>23</v>
      </c>
      <c r="M156" s="222" t="s">
        <v>46</v>
      </c>
      <c r="N156" s="222"/>
      <c r="O156" s="222" t="s">
        <v>30</v>
      </c>
      <c r="P156" s="220" t="s">
        <v>49</v>
      </c>
      <c r="Q156" s="220"/>
      <c r="R156" s="220"/>
      <c r="S156" s="220" t="s">
        <v>60</v>
      </c>
      <c r="T156" s="222"/>
      <c r="U156" s="220"/>
      <c r="V156" s="220"/>
      <c r="W156" s="220" t="s">
        <v>57</v>
      </c>
      <c r="X156" s="223">
        <f t="shared" si="26"/>
        <v>10</v>
      </c>
      <c r="Y156" s="223" t="s">
        <v>57</v>
      </c>
      <c r="Z156" s="219">
        <f t="shared" si="28"/>
        <v>0</v>
      </c>
      <c r="AA156" s="219">
        <f t="shared" si="29"/>
        <v>0</v>
      </c>
      <c r="AB156" s="219">
        <f t="shared" si="30"/>
        <v>2</v>
      </c>
      <c r="AC156" s="219" t="str" cm="1">
        <f t="array" ref="AC156">_xlfn.TEXTJOIN(", ", TRUE, _xlfn.UNIQUE(_xlfn._xlws.FILTER(G156:W156, COUNTIF(G156:W156, G156:W156)&gt;1, "無")))</f>
        <v>無</v>
      </c>
    </row>
    <row r="157" spans="1:29" s="218" customFormat="1" ht="16.5" customHeight="1">
      <c r="A157" s="219" t="str">
        <f t="shared" si="27"/>
        <v>C,I</v>
      </c>
      <c r="B157" s="217" t="s">
        <v>30</v>
      </c>
      <c r="C157" s="217" t="s">
        <v>230</v>
      </c>
      <c r="D157" s="220" t="s">
        <v>12</v>
      </c>
      <c r="E157" s="221" t="s">
        <v>83</v>
      </c>
      <c r="F157" s="218" t="str">
        <f t="shared" si="25"/>
        <v>2+818-19</v>
      </c>
      <c r="G157" s="222" t="s">
        <v>60</v>
      </c>
      <c r="H157" s="222"/>
      <c r="I157" s="222" t="s">
        <v>237</v>
      </c>
      <c r="J157" s="222" t="s">
        <v>46</v>
      </c>
      <c r="K157" s="222"/>
      <c r="L157" s="222" t="s">
        <v>238</v>
      </c>
      <c r="M157" s="222" t="s">
        <v>235</v>
      </c>
      <c r="N157" s="222"/>
      <c r="O157" s="222" t="s">
        <v>233</v>
      </c>
      <c r="P157" s="220" t="s">
        <v>234</v>
      </c>
      <c r="Q157" s="220"/>
      <c r="R157" s="220"/>
      <c r="S157" s="222"/>
      <c r="T157" s="222"/>
      <c r="U157" s="220"/>
      <c r="V157" s="220"/>
      <c r="W157" s="220" t="s">
        <v>57</v>
      </c>
      <c r="X157" s="223">
        <f t="shared" si="26"/>
        <v>10</v>
      </c>
      <c r="Y157" s="219" t="s">
        <v>60</v>
      </c>
      <c r="Z157" s="219">
        <f t="shared" si="28"/>
        <v>0</v>
      </c>
      <c r="AA157" s="219">
        <f t="shared" si="29"/>
        <v>0</v>
      </c>
      <c r="AB157" s="219">
        <f t="shared" si="30"/>
        <v>2</v>
      </c>
      <c r="AC157" s="219" t="str" cm="1">
        <f t="array" ref="AC157">_xlfn.TEXTJOIN(", ", TRUE, _xlfn.UNIQUE(_xlfn._xlws.FILTER(G157:W157, COUNTIF(G157:W157, G157:W157)&gt;1, "無")))</f>
        <v>無</v>
      </c>
    </row>
    <row r="158" spans="1:29" s="218" customFormat="1" ht="16.5" customHeight="1">
      <c r="A158" s="219" t="str">
        <f t="shared" si="27"/>
        <v>C,I</v>
      </c>
      <c r="B158" s="217" t="s">
        <v>30</v>
      </c>
      <c r="C158" s="217" t="s">
        <v>230</v>
      </c>
      <c r="D158" s="220" t="s">
        <v>12</v>
      </c>
      <c r="E158" s="221" t="s">
        <v>84</v>
      </c>
      <c r="F158" s="218" t="str">
        <f t="shared" si="25"/>
        <v>2+819-20</v>
      </c>
      <c r="G158" s="222" t="s">
        <v>60</v>
      </c>
      <c r="H158" s="222"/>
      <c r="I158" s="222" t="s">
        <v>237</v>
      </c>
      <c r="J158" s="222" t="s">
        <v>46</v>
      </c>
      <c r="K158" s="222"/>
      <c r="L158" s="222" t="s">
        <v>238</v>
      </c>
      <c r="M158" s="222" t="s">
        <v>235</v>
      </c>
      <c r="N158" s="222"/>
      <c r="O158" s="222" t="s">
        <v>233</v>
      </c>
      <c r="P158" s="220" t="s">
        <v>234</v>
      </c>
      <c r="Q158" s="220"/>
      <c r="R158" s="220"/>
      <c r="S158" s="222"/>
      <c r="T158" s="222"/>
      <c r="U158" s="220"/>
      <c r="V158" s="220"/>
      <c r="W158" s="220" t="s">
        <v>57</v>
      </c>
      <c r="X158" s="223">
        <f t="shared" si="26"/>
        <v>10</v>
      </c>
      <c r="Y158" s="223"/>
      <c r="Z158" s="219"/>
      <c r="AA158" s="219"/>
      <c r="AB158" s="219"/>
      <c r="AC158" s="219" t="str" cm="1">
        <f t="array" ref="AC158">_xlfn.TEXTJOIN(", ", TRUE, _xlfn.UNIQUE(_xlfn._xlws.FILTER(G158:W158, COUNTIF(G158:W158, G158:W158)&gt;1, "無")))</f>
        <v>無</v>
      </c>
    </row>
    <row r="159" spans="1:29" s="218" customFormat="1" ht="16.5" customHeight="1">
      <c r="A159" s="219" t="str">
        <f t="shared" si="27"/>
        <v>B,D</v>
      </c>
      <c r="B159" s="217" t="s">
        <v>23</v>
      </c>
      <c r="C159" s="217" t="s">
        <v>235</v>
      </c>
      <c r="D159" s="220" t="s">
        <v>12</v>
      </c>
      <c r="E159" s="221" t="s">
        <v>85</v>
      </c>
      <c r="F159" s="218" t="str">
        <f t="shared" si="25"/>
        <v>2+820-21</v>
      </c>
      <c r="G159" s="222" t="s">
        <v>42</v>
      </c>
      <c r="H159" s="222"/>
      <c r="I159" s="222" t="s">
        <v>49</v>
      </c>
      <c r="J159" s="222" t="s">
        <v>26</v>
      </c>
      <c r="K159" s="222"/>
      <c r="L159" s="222" t="s">
        <v>30</v>
      </c>
      <c r="M159" s="222" t="s">
        <v>19</v>
      </c>
      <c r="N159" s="222"/>
      <c r="O159" s="222" t="s">
        <v>236</v>
      </c>
      <c r="P159" s="220"/>
      <c r="Q159" s="220"/>
      <c r="R159" s="220"/>
      <c r="S159" s="220" t="s">
        <v>232</v>
      </c>
      <c r="T159" s="222"/>
      <c r="U159" s="220"/>
      <c r="V159" s="220"/>
      <c r="W159" s="220" t="s">
        <v>57</v>
      </c>
      <c r="X159" s="223">
        <f t="shared" si="26"/>
        <v>10</v>
      </c>
      <c r="Y159" s="223"/>
      <c r="Z159" s="219"/>
      <c r="AA159" s="219"/>
      <c r="AB159" s="219"/>
      <c r="AC159" s="219" t="str" cm="1">
        <f t="array" ref="AC159">_xlfn.TEXTJOIN(", ", TRUE, _xlfn.UNIQUE(_xlfn._xlws.FILTER(G159:W159, COUNTIF(G159:W159, G159:W159)&gt;1, "無")))</f>
        <v>無</v>
      </c>
    </row>
    <row r="160" spans="1:29" s="218" customFormat="1" ht="16.5" customHeight="1">
      <c r="A160" s="219" t="str">
        <f t="shared" si="27"/>
        <v>B,D</v>
      </c>
      <c r="B160" s="217" t="s">
        <v>23</v>
      </c>
      <c r="C160" s="217" t="s">
        <v>235</v>
      </c>
      <c r="D160" s="220" t="s">
        <v>12</v>
      </c>
      <c r="E160" s="221" t="s">
        <v>86</v>
      </c>
      <c r="F160" s="218" t="str">
        <f t="shared" si="25"/>
        <v>2+821-22</v>
      </c>
      <c r="G160" s="222" t="s">
        <v>42</v>
      </c>
      <c r="H160" s="222"/>
      <c r="I160" s="222" t="s">
        <v>49</v>
      </c>
      <c r="J160" s="222" t="s">
        <v>26</v>
      </c>
      <c r="K160" s="222"/>
      <c r="L160" s="222" t="s">
        <v>30</v>
      </c>
      <c r="M160" s="222" t="s">
        <v>19</v>
      </c>
      <c r="N160" s="222"/>
      <c r="O160" s="222" t="s">
        <v>236</v>
      </c>
      <c r="P160" s="220"/>
      <c r="Q160" s="220"/>
      <c r="R160" s="220"/>
      <c r="S160" s="220" t="s">
        <v>232</v>
      </c>
      <c r="T160" s="222"/>
      <c r="U160" s="220"/>
      <c r="V160" s="220"/>
      <c r="W160" s="220" t="s">
        <v>57</v>
      </c>
      <c r="X160" s="223">
        <f t="shared" si="26"/>
        <v>10</v>
      </c>
      <c r="Y160" s="219"/>
      <c r="Z160" s="219"/>
      <c r="AA160" s="219"/>
      <c r="AB160" s="219"/>
      <c r="AC160" s="219" t="str" cm="1">
        <f t="array" ref="AC160">_xlfn.TEXTJOIN(", ", TRUE, _xlfn.UNIQUE(_xlfn._xlws.FILTER(G160:W160, COUNTIF(G160:W160, G160:W160)&gt;1, "無")))</f>
        <v>無</v>
      </c>
    </row>
    <row r="161" spans="1:29" s="218" customFormat="1" ht="16.5" customHeight="1">
      <c r="A161" s="219" t="str">
        <f t="shared" si="27"/>
        <v/>
      </c>
      <c r="B161" s="217"/>
      <c r="C161" s="217"/>
      <c r="D161" s="220" t="s">
        <v>12</v>
      </c>
      <c r="E161" s="221" t="s">
        <v>87</v>
      </c>
      <c r="F161" s="218" t="str">
        <f t="shared" si="25"/>
        <v>2+822-23</v>
      </c>
      <c r="G161" s="222" t="s">
        <v>46</v>
      </c>
      <c r="H161" s="222"/>
      <c r="I161" s="222" t="s">
        <v>42</v>
      </c>
      <c r="J161" s="222" t="s">
        <v>30</v>
      </c>
      <c r="K161" s="222"/>
      <c r="L161" s="222" t="s">
        <v>19</v>
      </c>
      <c r="M161" s="222" t="s">
        <v>23</v>
      </c>
      <c r="N161" s="222"/>
      <c r="O161" s="222" t="s">
        <v>26</v>
      </c>
      <c r="P161" s="220" t="s">
        <v>49</v>
      </c>
      <c r="Q161" s="220"/>
      <c r="R161" s="220" t="s">
        <v>235</v>
      </c>
      <c r="S161" s="222" t="s">
        <v>232</v>
      </c>
      <c r="T161" s="222"/>
      <c r="U161" s="220"/>
      <c r="V161" s="220"/>
      <c r="W161" s="220" t="s">
        <v>57</v>
      </c>
      <c r="X161" s="223">
        <f t="shared" si="26"/>
        <v>10</v>
      </c>
      <c r="Y161" s="219"/>
      <c r="Z161" s="219"/>
      <c r="AA161" s="219"/>
      <c r="AB161" s="219"/>
      <c r="AC161" s="219" t="str" cm="1">
        <f t="array" ref="AC161">_xlfn.TEXTJOIN(", ", TRUE, _xlfn.UNIQUE(_xlfn._xlws.FILTER(G161:W161, COUNTIF(G161:W161, G161:W161)&gt;1, "無")))</f>
        <v>無</v>
      </c>
    </row>
    <row r="162" spans="1:29" s="218" customFormat="1" ht="16.5" customHeight="1">
      <c r="A162" s="219" t="str">
        <f t="shared" si="27"/>
        <v/>
      </c>
      <c r="B162" s="217"/>
      <c r="C162" s="217"/>
      <c r="D162" s="220" t="s">
        <v>12</v>
      </c>
      <c r="E162" s="221" t="s">
        <v>88</v>
      </c>
      <c r="F162" s="218" t="str">
        <f t="shared" si="25"/>
        <v>2+823-24</v>
      </c>
      <c r="G162" s="222" t="s">
        <v>46</v>
      </c>
      <c r="H162" s="222"/>
      <c r="I162" s="222" t="s">
        <v>42</v>
      </c>
      <c r="J162" s="222" t="s">
        <v>30</v>
      </c>
      <c r="K162" s="222"/>
      <c r="L162" s="222" t="s">
        <v>19</v>
      </c>
      <c r="M162" s="222" t="s">
        <v>23</v>
      </c>
      <c r="N162" s="222"/>
      <c r="O162" s="222" t="s">
        <v>26</v>
      </c>
      <c r="P162" s="220" t="s">
        <v>49</v>
      </c>
      <c r="Q162" s="220"/>
      <c r="R162" s="220" t="s">
        <v>235</v>
      </c>
      <c r="S162" s="222" t="s">
        <v>232</v>
      </c>
      <c r="T162" s="222"/>
      <c r="U162" s="220"/>
      <c r="V162" s="220"/>
      <c r="W162" s="220" t="s">
        <v>57</v>
      </c>
      <c r="X162" s="223">
        <f t="shared" si="26"/>
        <v>10</v>
      </c>
      <c r="Y162" s="219"/>
      <c r="Z162" s="219"/>
      <c r="AA162" s="219"/>
      <c r="AB162" s="219"/>
      <c r="AC162" s="219" t="str" cm="1">
        <f t="array" ref="AC162">_xlfn.TEXTJOIN(", ", TRUE, _xlfn.UNIQUE(_xlfn._xlws.FILTER(G162:W162, COUNTIF(G162:W162, G162:W162)&gt;1, "無")))</f>
        <v>無</v>
      </c>
    </row>
    <row r="163" spans="1:29" s="218" customFormat="1" ht="16.5" customHeight="1">
      <c r="A163" s="219" t="str">
        <f t="shared" si="27"/>
        <v/>
      </c>
      <c r="B163" s="217"/>
      <c r="C163" s="217"/>
      <c r="D163" s="220" t="s">
        <v>12</v>
      </c>
      <c r="E163" s="221" t="s">
        <v>89</v>
      </c>
      <c r="F163" s="218" t="str">
        <f t="shared" si="25"/>
        <v>2+800-01</v>
      </c>
      <c r="G163" s="222" t="s">
        <v>46</v>
      </c>
      <c r="H163" s="222"/>
      <c r="I163" s="222" t="s">
        <v>19</v>
      </c>
      <c r="J163" s="222" t="s">
        <v>23</v>
      </c>
      <c r="K163" s="222"/>
      <c r="L163" s="222" t="s">
        <v>26</v>
      </c>
      <c r="M163" s="222" t="s">
        <v>30</v>
      </c>
      <c r="N163" s="222"/>
      <c r="O163" s="222" t="s">
        <v>34</v>
      </c>
      <c r="P163" s="220" t="s">
        <v>42</v>
      </c>
      <c r="Q163" s="220"/>
      <c r="R163" s="220" t="s">
        <v>230</v>
      </c>
      <c r="S163" s="222" t="s">
        <v>232</v>
      </c>
      <c r="T163" s="222"/>
      <c r="U163" s="220"/>
      <c r="V163" s="220"/>
      <c r="W163" s="220" t="s">
        <v>57</v>
      </c>
      <c r="X163" s="223">
        <f t="shared" si="26"/>
        <v>10</v>
      </c>
      <c r="Y163" s="219"/>
      <c r="Z163" s="219"/>
      <c r="AA163" s="219"/>
      <c r="AB163" s="219"/>
      <c r="AC163" s="219" t="str" cm="1">
        <f t="array" ref="AC163">_xlfn.TEXTJOIN(", ", TRUE, _xlfn.UNIQUE(_xlfn._xlws.FILTER(G163:W163, COUNTIF(G163:W163, G163:W163)&gt;1, "無")))</f>
        <v>無</v>
      </c>
    </row>
    <row r="164" spans="1:29" s="218" customFormat="1" ht="16.5" customHeight="1">
      <c r="A164" s="219" t="str">
        <f t="shared" si="27"/>
        <v/>
      </c>
      <c r="B164" s="217"/>
      <c r="C164" s="217"/>
      <c r="D164" s="220" t="s">
        <v>12</v>
      </c>
      <c r="E164" s="221" t="s">
        <v>90</v>
      </c>
      <c r="F164" s="218" t="str">
        <f t="shared" si="25"/>
        <v>2+801-02</v>
      </c>
      <c r="G164" s="222" t="s">
        <v>46</v>
      </c>
      <c r="H164" s="222"/>
      <c r="I164" s="222" t="s">
        <v>19</v>
      </c>
      <c r="J164" s="222" t="s">
        <v>23</v>
      </c>
      <c r="K164" s="222"/>
      <c r="L164" s="222" t="s">
        <v>26</v>
      </c>
      <c r="M164" s="222" t="s">
        <v>30</v>
      </c>
      <c r="N164" s="222"/>
      <c r="O164" s="222" t="s">
        <v>34</v>
      </c>
      <c r="P164" s="220" t="s">
        <v>42</v>
      </c>
      <c r="Q164" s="220"/>
      <c r="R164" s="220" t="s">
        <v>230</v>
      </c>
      <c r="S164" s="222" t="s">
        <v>232</v>
      </c>
      <c r="T164" s="222"/>
      <c r="U164" s="220"/>
      <c r="V164" s="220"/>
      <c r="W164" s="220" t="s">
        <v>57</v>
      </c>
      <c r="X164" s="223">
        <f t="shared" si="26"/>
        <v>10</v>
      </c>
      <c r="Y164" s="219"/>
      <c r="Z164" s="219"/>
      <c r="AA164" s="219"/>
      <c r="AB164" s="219"/>
      <c r="AC164" s="219" t="str" cm="1">
        <f t="array" ref="AC164">_xlfn.TEXTJOIN(", ", TRUE, _xlfn.UNIQUE(_xlfn._xlws.FILTER(G164:W164, COUNTIF(G164:W164, G164:W164)&gt;1, "無")))</f>
        <v>無</v>
      </c>
    </row>
    <row r="165" spans="1:29" s="218" customFormat="1" ht="16.5" customHeight="1">
      <c r="A165" s="219" t="str">
        <f t="shared" si="27"/>
        <v/>
      </c>
      <c r="B165" s="217"/>
      <c r="C165" s="217"/>
      <c r="D165" s="220" t="s">
        <v>12</v>
      </c>
      <c r="E165" s="221" t="s">
        <v>91</v>
      </c>
      <c r="F165" s="218" t="str">
        <f t="shared" si="25"/>
        <v>2+802-03</v>
      </c>
      <c r="G165" s="222" t="s">
        <v>46</v>
      </c>
      <c r="H165" s="222"/>
      <c r="I165" s="222" t="s">
        <v>19</v>
      </c>
      <c r="J165" s="222" t="s">
        <v>23</v>
      </c>
      <c r="K165" s="222"/>
      <c r="L165" s="222" t="s">
        <v>34</v>
      </c>
      <c r="M165" s="222" t="s">
        <v>49</v>
      </c>
      <c r="N165" s="222"/>
      <c r="O165" s="222" t="s">
        <v>26</v>
      </c>
      <c r="P165" s="220" t="s">
        <v>42</v>
      </c>
      <c r="Q165" s="220"/>
      <c r="R165" s="220" t="s">
        <v>30</v>
      </c>
      <c r="S165" s="222" t="s">
        <v>232</v>
      </c>
      <c r="T165" s="222"/>
      <c r="U165" s="220"/>
      <c r="V165" s="220"/>
      <c r="W165" s="220" t="s">
        <v>57</v>
      </c>
      <c r="X165" s="223">
        <f t="shared" si="26"/>
        <v>10</v>
      </c>
      <c r="Y165" s="219"/>
      <c r="Z165" s="219"/>
      <c r="AA165" s="219"/>
      <c r="AB165" s="219"/>
      <c r="AC165" s="219" t="str" cm="1">
        <f t="array" ref="AC165">_xlfn.TEXTJOIN(", ", TRUE, _xlfn.UNIQUE(_xlfn._xlws.FILTER(G165:W165, COUNTIF(G165:W165, G165:W165)&gt;1, "無")))</f>
        <v>無</v>
      </c>
    </row>
    <row r="166" spans="1:29" s="218" customFormat="1" ht="16.5" customHeight="1">
      <c r="A166" s="219" t="str">
        <f t="shared" si="27"/>
        <v/>
      </c>
      <c r="B166" s="217"/>
      <c r="C166" s="217"/>
      <c r="D166" s="220" t="s">
        <v>12</v>
      </c>
      <c r="E166" s="221" t="s">
        <v>92</v>
      </c>
      <c r="F166" s="218" t="str">
        <f t="shared" si="25"/>
        <v>2+803-04</v>
      </c>
      <c r="G166" s="222" t="s">
        <v>46</v>
      </c>
      <c r="H166" s="222"/>
      <c r="I166" s="222" t="s">
        <v>19</v>
      </c>
      <c r="J166" s="222" t="s">
        <v>23</v>
      </c>
      <c r="K166" s="222"/>
      <c r="L166" s="222" t="s">
        <v>34</v>
      </c>
      <c r="M166" s="222" t="s">
        <v>49</v>
      </c>
      <c r="N166" s="222"/>
      <c r="O166" s="222" t="s">
        <v>26</v>
      </c>
      <c r="P166" s="220" t="s">
        <v>42</v>
      </c>
      <c r="Q166" s="220"/>
      <c r="R166" s="220" t="s">
        <v>30</v>
      </c>
      <c r="S166" s="222" t="s">
        <v>232</v>
      </c>
      <c r="T166" s="222"/>
      <c r="U166" s="220"/>
      <c r="V166" s="220"/>
      <c r="W166" s="220" t="s">
        <v>57</v>
      </c>
      <c r="X166" s="223">
        <f t="shared" si="26"/>
        <v>10</v>
      </c>
      <c r="Y166" s="219"/>
      <c r="Z166" s="219"/>
      <c r="AA166" s="219"/>
      <c r="AB166" s="219"/>
      <c r="AC166" s="219" t="str" cm="1">
        <f t="array" ref="AC166">_xlfn.TEXTJOIN(", ", TRUE, _xlfn.UNIQUE(_xlfn._xlws.FILTER(G166:W166, COUNTIF(G166:W166, G166:W166)&gt;1, "無")))</f>
        <v>無</v>
      </c>
    </row>
    <row r="167" spans="1:29" s="218" customFormat="1" ht="16.5" customHeight="1">
      <c r="A167" s="219" t="str">
        <f t="shared" si="27"/>
        <v/>
      </c>
      <c r="B167" s="217"/>
      <c r="C167" s="217"/>
      <c r="D167" s="220" t="s">
        <v>12</v>
      </c>
      <c r="E167" s="221" t="s">
        <v>93</v>
      </c>
      <c r="F167" s="218" t="str">
        <f t="shared" si="25"/>
        <v>2+804-05</v>
      </c>
      <c r="G167" s="222" t="s">
        <v>46</v>
      </c>
      <c r="H167" s="222"/>
      <c r="I167" s="222" t="s">
        <v>30</v>
      </c>
      <c r="J167" s="222" t="s">
        <v>34</v>
      </c>
      <c r="K167" s="222"/>
      <c r="L167" s="222" t="s">
        <v>49</v>
      </c>
      <c r="M167" s="222" t="s">
        <v>42</v>
      </c>
      <c r="N167" s="222"/>
      <c r="O167" s="222" t="s">
        <v>19</v>
      </c>
      <c r="P167" s="220" t="s">
        <v>23</v>
      </c>
      <c r="Q167" s="220"/>
      <c r="R167" s="220" t="s">
        <v>26</v>
      </c>
      <c r="S167" s="222" t="s">
        <v>232</v>
      </c>
      <c r="T167" s="222"/>
      <c r="U167" s="220"/>
      <c r="V167" s="220"/>
      <c r="W167" s="220" t="s">
        <v>231</v>
      </c>
      <c r="X167" s="223">
        <f t="shared" si="26"/>
        <v>10</v>
      </c>
      <c r="Y167" s="219"/>
      <c r="Z167" s="219"/>
      <c r="AA167" s="219"/>
      <c r="AB167" s="219"/>
      <c r="AC167" s="219" t="str" cm="1">
        <f t="array" ref="AC167">_xlfn.TEXTJOIN(", ", TRUE, _xlfn.UNIQUE(_xlfn._xlws.FILTER(G167:W167, COUNTIF(G167:W167, G167:W167)&gt;1, "無")))</f>
        <v>無</v>
      </c>
    </row>
    <row r="168" spans="1:29" s="218" customFormat="1" ht="16.5" customHeight="1">
      <c r="A168" s="219" t="str">
        <f t="shared" si="27"/>
        <v/>
      </c>
      <c r="B168" s="217"/>
      <c r="C168" s="217"/>
      <c r="D168" s="220" t="s">
        <v>12</v>
      </c>
      <c r="E168" s="221" t="s">
        <v>94</v>
      </c>
      <c r="F168" s="218" t="str">
        <f t="shared" si="25"/>
        <v>2+805-06</v>
      </c>
      <c r="G168" s="222" t="s">
        <v>46</v>
      </c>
      <c r="H168" s="222"/>
      <c r="I168" s="222" t="s">
        <v>30</v>
      </c>
      <c r="J168" s="222" t="s">
        <v>34</v>
      </c>
      <c r="K168" s="222"/>
      <c r="L168" s="222" t="s">
        <v>49</v>
      </c>
      <c r="M168" s="222" t="s">
        <v>42</v>
      </c>
      <c r="N168" s="222"/>
      <c r="O168" s="222" t="s">
        <v>19</v>
      </c>
      <c r="P168" s="220" t="s">
        <v>23</v>
      </c>
      <c r="Q168" s="220"/>
      <c r="R168" s="220" t="s">
        <v>26</v>
      </c>
      <c r="S168" s="222" t="s">
        <v>232</v>
      </c>
      <c r="T168" s="222"/>
      <c r="U168" s="220"/>
      <c r="V168" s="220"/>
      <c r="W168" s="220" t="s">
        <v>231</v>
      </c>
      <c r="X168" s="223">
        <f t="shared" si="26"/>
        <v>10</v>
      </c>
      <c r="Y168" s="219"/>
      <c r="Z168" s="219"/>
      <c r="AA168" s="219"/>
      <c r="AB168" s="219"/>
      <c r="AC168" s="219" t="str" cm="1">
        <f t="array" ref="AC168">_xlfn.TEXTJOIN(", ", TRUE, _xlfn.UNIQUE(_xlfn._xlws.FILTER(G168:W168, COUNTIF(G168:W168, G168:W168)&gt;1, "無")))</f>
        <v>無</v>
      </c>
    </row>
    <row r="169" spans="1:29" s="218" customFormat="1" ht="16.5" customHeight="1">
      <c r="A169" s="219" t="str">
        <f t="shared" si="27"/>
        <v>G,L</v>
      </c>
      <c r="B169" s="217" t="s">
        <v>26</v>
      </c>
      <c r="C169" s="217" t="s">
        <v>232</v>
      </c>
      <c r="D169" s="220" t="s">
        <v>12</v>
      </c>
      <c r="E169" s="221" t="s">
        <v>95</v>
      </c>
      <c r="F169" s="218" t="str">
        <f t="shared" si="25"/>
        <v>2+806-07</v>
      </c>
      <c r="G169" s="222" t="s">
        <v>46</v>
      </c>
      <c r="H169" s="222"/>
      <c r="I169" s="222" t="s">
        <v>30</v>
      </c>
      <c r="J169" s="222" t="s">
        <v>34</v>
      </c>
      <c r="K169" s="222"/>
      <c r="L169" s="222" t="s">
        <v>42</v>
      </c>
      <c r="M169" s="222" t="s">
        <v>23</v>
      </c>
      <c r="N169" s="222"/>
      <c r="O169" s="222" t="s">
        <v>49</v>
      </c>
      <c r="P169" s="220" t="s">
        <v>19</v>
      </c>
      <c r="Q169" s="220"/>
      <c r="R169" s="220"/>
      <c r="S169" s="222"/>
      <c r="T169" s="222"/>
      <c r="U169" s="220"/>
      <c r="V169" s="220"/>
      <c r="W169" s="220" t="s">
        <v>57</v>
      </c>
      <c r="X169" s="223">
        <f t="shared" si="26"/>
        <v>10</v>
      </c>
      <c r="Y169" s="219"/>
      <c r="Z169" s="219"/>
      <c r="AA169" s="219"/>
      <c r="AB169" s="219"/>
      <c r="AC169" s="219" t="str" cm="1">
        <f t="array" ref="AC169">_xlfn.TEXTJOIN(", ", TRUE, _xlfn.UNIQUE(_xlfn._xlws.FILTER(G169:W169, COUNTIF(G169:W169, G169:W169)&gt;1, "無")))</f>
        <v>無</v>
      </c>
    </row>
    <row r="170" spans="1:29" s="218" customFormat="1" ht="16.5" customHeight="1">
      <c r="A170" s="219" t="str">
        <f t="shared" si="27"/>
        <v>G,L</v>
      </c>
      <c r="B170" s="217" t="s">
        <v>26</v>
      </c>
      <c r="C170" s="217" t="s">
        <v>232</v>
      </c>
      <c r="D170" s="220" t="s">
        <v>12</v>
      </c>
      <c r="E170" s="221" t="s">
        <v>96</v>
      </c>
      <c r="F170" s="218" t="str">
        <f t="shared" si="25"/>
        <v>2+807-08</v>
      </c>
      <c r="G170" s="222" t="s">
        <v>46</v>
      </c>
      <c r="H170" s="222"/>
      <c r="I170" s="222" t="s">
        <v>30</v>
      </c>
      <c r="J170" s="222" t="s">
        <v>34</v>
      </c>
      <c r="K170" s="222"/>
      <c r="L170" s="222" t="s">
        <v>42</v>
      </c>
      <c r="M170" s="222" t="s">
        <v>23</v>
      </c>
      <c r="N170" s="222"/>
      <c r="O170" s="222" t="s">
        <v>49</v>
      </c>
      <c r="P170" s="220" t="s">
        <v>19</v>
      </c>
      <c r="Q170" s="220"/>
      <c r="R170" s="220"/>
      <c r="S170" s="222"/>
      <c r="T170" s="222"/>
      <c r="U170" s="220"/>
      <c r="V170" s="220"/>
      <c r="W170" s="220" t="s">
        <v>57</v>
      </c>
      <c r="X170" s="223">
        <f t="shared" si="26"/>
        <v>10</v>
      </c>
      <c r="Y170" s="219"/>
      <c r="Z170" s="219"/>
      <c r="AA170" s="219"/>
      <c r="AB170" s="219"/>
      <c r="AC170" s="219" t="str" cm="1">
        <f t="array" ref="AC170">_xlfn.TEXTJOIN(", ", TRUE, _xlfn.UNIQUE(_xlfn._xlws.FILTER(G170:W170, COUNTIF(G170:W170, G170:W170)&gt;1, "無")))</f>
        <v>無</v>
      </c>
    </row>
    <row r="171" spans="1:29" s="218" customFormat="1" ht="16.5" customHeight="1">
      <c r="A171" s="219"/>
      <c r="B171" s="217"/>
      <c r="C171" s="217"/>
      <c r="G171" s="219"/>
      <c r="H171" s="219"/>
      <c r="I171" s="219"/>
      <c r="J171" s="224"/>
      <c r="L171" s="223"/>
      <c r="M171" s="223"/>
      <c r="N171" s="223"/>
      <c r="O171" s="223"/>
      <c r="P171" s="223"/>
      <c r="Q171" s="223"/>
      <c r="R171" s="223"/>
      <c r="S171" s="223"/>
      <c r="T171" s="223"/>
      <c r="U171" s="223"/>
      <c r="V171" s="223"/>
      <c r="W171" s="223"/>
      <c r="X171" s="223"/>
      <c r="Y171" s="219"/>
      <c r="Z171" s="219"/>
      <c r="AA171" s="219"/>
      <c r="AB171" s="219"/>
      <c r="AC171" s="219"/>
    </row>
    <row r="172" spans="1:29" s="218" customFormat="1" ht="16.5" customHeight="1">
      <c r="A172" s="219"/>
      <c r="B172" s="217"/>
      <c r="C172" s="217"/>
      <c r="G172" s="219"/>
      <c r="H172" s="219"/>
      <c r="I172" s="219"/>
      <c r="J172" s="224"/>
      <c r="L172" s="223"/>
      <c r="M172" s="223"/>
      <c r="N172" s="223"/>
      <c r="O172" s="223"/>
      <c r="P172" s="223"/>
      <c r="Q172" s="223"/>
      <c r="R172" s="223"/>
      <c r="S172" s="223"/>
      <c r="T172" s="223"/>
      <c r="U172" s="223"/>
      <c r="V172" s="223"/>
      <c r="W172" s="223"/>
      <c r="X172" s="223"/>
      <c r="Y172" s="219"/>
      <c r="Z172" s="219"/>
      <c r="AA172" s="219"/>
      <c r="AB172" s="219"/>
      <c r="AC172" s="219"/>
    </row>
    <row r="173" spans="1:29" s="218" customFormat="1" ht="16.5" customHeight="1">
      <c r="A173" s="219" t="s">
        <v>13</v>
      </c>
      <c r="B173" s="217" t="s">
        <v>68</v>
      </c>
      <c r="C173" s="217" t="s">
        <v>69</v>
      </c>
      <c r="F173" s="219"/>
      <c r="G173" s="219"/>
      <c r="H173" s="219"/>
      <c r="X173" s="223"/>
      <c r="AC173" s="219"/>
    </row>
    <row r="174" spans="1:29" s="218" customFormat="1" ht="16.5" customHeight="1">
      <c r="A174" s="219" t="str">
        <f>_xlfn.TEXTJOIN(",",TRUE,B174:C174)</f>
        <v>H,D</v>
      </c>
      <c r="B174" s="217" t="s">
        <v>46</v>
      </c>
      <c r="C174" s="217" t="s">
        <v>235</v>
      </c>
      <c r="D174" s="220" t="s">
        <v>13</v>
      </c>
      <c r="E174" s="221" t="s">
        <v>70</v>
      </c>
      <c r="F174" s="218" t="str">
        <f t="shared" ref="F174:F197" si="31">$D174&amp;$E174</f>
        <v>1+908-09</v>
      </c>
      <c r="G174" s="222" t="s">
        <v>19</v>
      </c>
      <c r="H174" s="222"/>
      <c r="I174" s="222" t="s">
        <v>38</v>
      </c>
      <c r="J174" s="222" t="s">
        <v>42</v>
      </c>
      <c r="K174" s="222"/>
      <c r="L174" s="222" t="s">
        <v>30</v>
      </c>
      <c r="M174" s="222" t="s">
        <v>238</v>
      </c>
      <c r="N174" s="222"/>
      <c r="O174" s="222" t="s">
        <v>230</v>
      </c>
      <c r="P174" s="220" t="s">
        <v>233</v>
      </c>
      <c r="Q174" s="222"/>
      <c r="R174" s="222"/>
      <c r="S174" s="220"/>
      <c r="T174" s="220"/>
      <c r="U174" s="220"/>
      <c r="V174" s="220"/>
      <c r="W174" s="220" t="s">
        <v>57</v>
      </c>
      <c r="X174" s="223">
        <f t="shared" ref="X174:X197" si="32">COUNTA(B174:C174,G174:W174)</f>
        <v>10</v>
      </c>
      <c r="Y174" s="223"/>
      <c r="Z174" s="219" t="s">
        <v>71</v>
      </c>
      <c r="AA174" s="219" t="s">
        <v>72</v>
      </c>
      <c r="AB174" s="219" t="s">
        <v>73</v>
      </c>
      <c r="AC174" s="219" t="str" cm="1">
        <f t="array" ref="AC174">_xlfn.TEXTJOIN(", ", TRUE, _xlfn.UNIQUE(_xlfn._xlws.FILTER(G174:W174, COUNTIF(G174:W174, G174:W174)&gt;1, "無")))</f>
        <v>無</v>
      </c>
    </row>
    <row r="175" spans="1:29" s="218" customFormat="1" ht="16.5" customHeight="1">
      <c r="A175" s="219" t="str">
        <f t="shared" ref="A175:A197" si="33">_xlfn.TEXTJOIN(",",TRUE,B175:C175)</f>
        <v>H,D</v>
      </c>
      <c r="B175" s="217" t="s">
        <v>46</v>
      </c>
      <c r="C175" s="217" t="s">
        <v>235</v>
      </c>
      <c r="D175" s="220" t="s">
        <v>13</v>
      </c>
      <c r="E175" s="221" t="s">
        <v>74</v>
      </c>
      <c r="F175" s="218" t="str">
        <f t="shared" si="31"/>
        <v>1+909-10</v>
      </c>
      <c r="G175" s="222" t="s">
        <v>19</v>
      </c>
      <c r="H175" s="222"/>
      <c r="I175" s="222" t="s">
        <v>38</v>
      </c>
      <c r="J175" s="222" t="s">
        <v>42</v>
      </c>
      <c r="K175" s="222"/>
      <c r="L175" s="222" t="s">
        <v>30</v>
      </c>
      <c r="M175" s="222" t="s">
        <v>238</v>
      </c>
      <c r="N175" s="222"/>
      <c r="O175" s="222" t="s">
        <v>230</v>
      </c>
      <c r="P175" s="220" t="s">
        <v>233</v>
      </c>
      <c r="Q175" s="222"/>
      <c r="R175" s="222"/>
      <c r="S175" s="220"/>
      <c r="T175" s="220"/>
      <c r="U175" s="220"/>
      <c r="V175" s="220"/>
      <c r="W175" s="220" t="s">
        <v>57</v>
      </c>
      <c r="X175" s="223">
        <f t="shared" si="32"/>
        <v>10</v>
      </c>
      <c r="Y175" s="223" t="s">
        <v>19</v>
      </c>
      <c r="Z175" s="219">
        <f t="shared" ref="Z175:Z184" si="34">COUNTIF($I$174:$J$197,Y175)</f>
        <v>6</v>
      </c>
      <c r="AA175" s="219">
        <f t="shared" ref="AA175:AA184" si="35">COUNTIF($L$174:$M$197,Y175)</f>
        <v>4</v>
      </c>
      <c r="AB175" s="219">
        <f t="shared" ref="AB175:AB184" si="36">COUNTIF($B$174:$C$197,Y175)</f>
        <v>2</v>
      </c>
      <c r="AC175" s="219" t="str" cm="1">
        <f t="array" ref="AC175">_xlfn.TEXTJOIN(", ", TRUE, _xlfn.UNIQUE(_xlfn._xlws.FILTER(G175:W175, COUNTIF(G175:W175, G175:W175)&gt;1, "無")))</f>
        <v>無</v>
      </c>
    </row>
    <row r="176" spans="1:29" s="218" customFormat="1" ht="16.5" customHeight="1">
      <c r="A176" s="219" t="str">
        <f t="shared" si="33"/>
        <v>I</v>
      </c>
      <c r="B176" s="217" t="s">
        <v>49</v>
      </c>
      <c r="C176" s="217"/>
      <c r="D176" s="220" t="s">
        <v>13</v>
      </c>
      <c r="E176" s="221" t="s">
        <v>75</v>
      </c>
      <c r="F176" s="218" t="str">
        <f t="shared" si="31"/>
        <v>1+910-11</v>
      </c>
      <c r="G176" s="222" t="s">
        <v>23</v>
      </c>
      <c r="H176" s="222"/>
      <c r="I176" s="222" t="s">
        <v>19</v>
      </c>
      <c r="J176" s="222" t="s">
        <v>38</v>
      </c>
      <c r="K176" s="222"/>
      <c r="L176" s="222" t="s">
        <v>34</v>
      </c>
      <c r="M176" s="222" t="s">
        <v>236</v>
      </c>
      <c r="N176" s="222"/>
      <c r="O176" s="222" t="s">
        <v>239</v>
      </c>
      <c r="P176" s="220" t="s">
        <v>42</v>
      </c>
      <c r="Q176" s="222"/>
      <c r="R176" s="222" t="s">
        <v>26</v>
      </c>
      <c r="S176" s="220"/>
      <c r="T176" s="220"/>
      <c r="U176" s="220"/>
      <c r="V176" s="220"/>
      <c r="W176" s="220" t="s">
        <v>57</v>
      </c>
      <c r="X176" s="223">
        <f t="shared" si="32"/>
        <v>10</v>
      </c>
      <c r="Y176" s="223" t="s">
        <v>23</v>
      </c>
      <c r="Z176" s="219">
        <f t="shared" si="34"/>
        <v>6</v>
      </c>
      <c r="AA176" s="219">
        <f t="shared" si="35"/>
        <v>4</v>
      </c>
      <c r="AB176" s="219">
        <f t="shared" si="36"/>
        <v>2</v>
      </c>
      <c r="AC176" s="219" t="str" cm="1">
        <f t="array" ref="AC176">_xlfn.TEXTJOIN(", ", TRUE, _xlfn.UNIQUE(_xlfn._xlws.FILTER(G176:W176, COUNTIF(G176:W176, G176:W176)&gt;1, "無")))</f>
        <v>無</v>
      </c>
    </row>
    <row r="177" spans="1:29" s="218" customFormat="1" ht="16.5" customHeight="1">
      <c r="A177" s="219" t="str">
        <f t="shared" si="33"/>
        <v>I</v>
      </c>
      <c r="B177" s="217" t="s">
        <v>49</v>
      </c>
      <c r="C177" s="217"/>
      <c r="D177" s="220" t="s">
        <v>13</v>
      </c>
      <c r="E177" s="221" t="s">
        <v>76</v>
      </c>
      <c r="F177" s="218" t="str">
        <f t="shared" si="31"/>
        <v>1+911-12</v>
      </c>
      <c r="G177" s="222" t="s">
        <v>23</v>
      </c>
      <c r="H177" s="222"/>
      <c r="I177" s="222" t="s">
        <v>19</v>
      </c>
      <c r="J177" s="222" t="s">
        <v>38</v>
      </c>
      <c r="K177" s="222"/>
      <c r="L177" s="222" t="s">
        <v>34</v>
      </c>
      <c r="M177" s="222" t="s">
        <v>236</v>
      </c>
      <c r="N177" s="222"/>
      <c r="O177" s="222" t="s">
        <v>239</v>
      </c>
      <c r="P177" s="220" t="s">
        <v>42</v>
      </c>
      <c r="Q177" s="222"/>
      <c r="R177" s="222" t="s">
        <v>26</v>
      </c>
      <c r="S177" s="220"/>
      <c r="T177" s="220"/>
      <c r="U177" s="220"/>
      <c r="V177" s="220"/>
      <c r="W177" s="220" t="s">
        <v>57</v>
      </c>
      <c r="X177" s="223">
        <f t="shared" si="32"/>
        <v>10</v>
      </c>
      <c r="Y177" s="223" t="s">
        <v>30</v>
      </c>
      <c r="Z177" s="219">
        <f t="shared" si="34"/>
        <v>6</v>
      </c>
      <c r="AA177" s="219">
        <f t="shared" si="35"/>
        <v>4</v>
      </c>
      <c r="AB177" s="219">
        <f t="shared" si="36"/>
        <v>2</v>
      </c>
      <c r="AC177" s="219" t="str" cm="1">
        <f t="array" ref="AC177">_xlfn.TEXTJOIN(", ", TRUE, _xlfn.UNIQUE(_xlfn._xlws.FILTER(G177:W177, COUNTIF(G177:W177, G177:W177)&gt;1, "無")))</f>
        <v>無</v>
      </c>
    </row>
    <row r="178" spans="1:29" s="218" customFormat="1" ht="16.5" customHeight="1">
      <c r="A178" s="219" t="str">
        <f t="shared" si="33"/>
        <v>F,K</v>
      </c>
      <c r="B178" s="217" t="s">
        <v>42</v>
      </c>
      <c r="C178" s="217" t="s">
        <v>231</v>
      </c>
      <c r="D178" s="220" t="s">
        <v>13</v>
      </c>
      <c r="E178" s="221" t="s">
        <v>77</v>
      </c>
      <c r="F178" s="218" t="str">
        <f t="shared" si="31"/>
        <v>1+912-13</v>
      </c>
      <c r="G178" s="222" t="s">
        <v>26</v>
      </c>
      <c r="H178" s="222"/>
      <c r="I178" s="222" t="s">
        <v>49</v>
      </c>
      <c r="J178" s="222" t="s">
        <v>46</v>
      </c>
      <c r="K178" s="222"/>
      <c r="L178" s="222" t="s">
        <v>38</v>
      </c>
      <c r="M178" s="222" t="s">
        <v>34</v>
      </c>
      <c r="N178" s="222"/>
      <c r="O178" s="222" t="s">
        <v>23</v>
      </c>
      <c r="P178" s="220" t="s">
        <v>19</v>
      </c>
      <c r="Q178" s="222"/>
      <c r="R178" s="222"/>
      <c r="S178" s="220"/>
      <c r="T178" s="220"/>
      <c r="U178" s="220"/>
      <c r="V178" s="220"/>
      <c r="W178" s="220" t="s">
        <v>239</v>
      </c>
      <c r="X178" s="223">
        <f t="shared" si="32"/>
        <v>10</v>
      </c>
      <c r="Y178" s="223" t="s">
        <v>34</v>
      </c>
      <c r="Z178" s="219">
        <f t="shared" si="34"/>
        <v>6</v>
      </c>
      <c r="AA178" s="219">
        <f t="shared" si="35"/>
        <v>4</v>
      </c>
      <c r="AB178" s="219">
        <f t="shared" si="36"/>
        <v>2</v>
      </c>
      <c r="AC178" s="219" t="str" cm="1">
        <f t="array" ref="AC178">_xlfn.TEXTJOIN(", ", TRUE, _xlfn.UNIQUE(_xlfn._xlws.FILTER(G178:W178, COUNTIF(G178:W178, G178:W178)&gt;1, "無")))</f>
        <v>無</v>
      </c>
    </row>
    <row r="179" spans="1:29" s="218" customFormat="1" ht="16.5" customHeight="1">
      <c r="A179" s="219" t="str">
        <f t="shared" si="33"/>
        <v>F,K</v>
      </c>
      <c r="B179" s="217" t="s">
        <v>42</v>
      </c>
      <c r="C179" s="217" t="s">
        <v>231</v>
      </c>
      <c r="D179" s="220" t="s">
        <v>13</v>
      </c>
      <c r="E179" s="221" t="s">
        <v>78</v>
      </c>
      <c r="F179" s="218" t="str">
        <f t="shared" si="31"/>
        <v>1+913-14</v>
      </c>
      <c r="G179" s="222" t="s">
        <v>26</v>
      </c>
      <c r="H179" s="222"/>
      <c r="I179" s="222" t="s">
        <v>49</v>
      </c>
      <c r="J179" s="222" t="s">
        <v>46</v>
      </c>
      <c r="K179" s="222"/>
      <c r="L179" s="222" t="s">
        <v>38</v>
      </c>
      <c r="M179" s="222" t="s">
        <v>34</v>
      </c>
      <c r="N179" s="222"/>
      <c r="O179" s="222" t="s">
        <v>23</v>
      </c>
      <c r="P179" s="220" t="s">
        <v>19</v>
      </c>
      <c r="Q179" s="222"/>
      <c r="R179" s="222"/>
      <c r="S179" s="220"/>
      <c r="T179" s="220"/>
      <c r="U179" s="220"/>
      <c r="V179" s="220"/>
      <c r="W179" s="220" t="s">
        <v>239</v>
      </c>
      <c r="X179" s="223">
        <f t="shared" si="32"/>
        <v>10</v>
      </c>
      <c r="Y179" s="223" t="s">
        <v>38</v>
      </c>
      <c r="Z179" s="219">
        <f t="shared" si="34"/>
        <v>6</v>
      </c>
      <c r="AA179" s="219">
        <f t="shared" si="35"/>
        <v>6</v>
      </c>
      <c r="AB179" s="219">
        <f t="shared" si="36"/>
        <v>2</v>
      </c>
      <c r="AC179" s="219" t="str" cm="1">
        <f t="array" ref="AC179">_xlfn.TEXTJOIN(", ", TRUE, _xlfn.UNIQUE(_xlfn._xlws.FILTER(G179:W179, COUNTIF(G179:W179, G179:W179)&gt;1, "無")))</f>
        <v>無</v>
      </c>
    </row>
    <row r="180" spans="1:29" s="218" customFormat="1" ht="16.5" customHeight="1">
      <c r="A180" s="219" t="str">
        <f t="shared" si="33"/>
        <v/>
      </c>
      <c r="B180" s="217"/>
      <c r="C180" s="217"/>
      <c r="D180" s="220" t="s">
        <v>13</v>
      </c>
      <c r="E180" s="221" t="s">
        <v>79</v>
      </c>
      <c r="F180" s="218" t="str">
        <f t="shared" si="31"/>
        <v>1+914-15</v>
      </c>
      <c r="G180" s="222" t="s">
        <v>30</v>
      </c>
      <c r="H180" s="222"/>
      <c r="I180" s="222" t="s">
        <v>26</v>
      </c>
      <c r="J180" s="222" t="s">
        <v>23</v>
      </c>
      <c r="K180" s="222"/>
      <c r="L180" s="222" t="s">
        <v>42</v>
      </c>
      <c r="M180" s="222" t="s">
        <v>46</v>
      </c>
      <c r="N180" s="222"/>
      <c r="O180" s="222" t="s">
        <v>38</v>
      </c>
      <c r="P180" s="220" t="s">
        <v>230</v>
      </c>
      <c r="Q180" s="222"/>
      <c r="R180" s="222" t="s">
        <v>237</v>
      </c>
      <c r="S180" s="220" t="s">
        <v>34</v>
      </c>
      <c r="T180" s="220"/>
      <c r="U180" s="220"/>
      <c r="V180" s="220"/>
      <c r="W180" s="220" t="s">
        <v>57</v>
      </c>
      <c r="X180" s="223">
        <f t="shared" si="32"/>
        <v>10</v>
      </c>
      <c r="Y180" s="223" t="s">
        <v>42</v>
      </c>
      <c r="Z180" s="219">
        <f t="shared" si="34"/>
        <v>6</v>
      </c>
      <c r="AA180" s="219">
        <f t="shared" si="35"/>
        <v>6</v>
      </c>
      <c r="AB180" s="219">
        <f t="shared" si="36"/>
        <v>2</v>
      </c>
      <c r="AC180" s="219" t="str" cm="1">
        <f t="array" ref="AC180">_xlfn.TEXTJOIN(", ", TRUE, _xlfn.UNIQUE(_xlfn._xlws.FILTER(G180:W180, COUNTIF(G180:W180, G180:W180)&gt;1, "無")))</f>
        <v>無</v>
      </c>
    </row>
    <row r="181" spans="1:29" s="218" customFormat="1" ht="16.5" customHeight="1">
      <c r="A181" s="219" t="str">
        <f t="shared" si="33"/>
        <v/>
      </c>
      <c r="B181" s="217"/>
      <c r="C181" s="217"/>
      <c r="D181" s="220" t="s">
        <v>13</v>
      </c>
      <c r="E181" s="221" t="s">
        <v>80</v>
      </c>
      <c r="F181" s="218" t="str">
        <f t="shared" si="31"/>
        <v>1+915-16</v>
      </c>
      <c r="G181" s="222" t="s">
        <v>30</v>
      </c>
      <c r="H181" s="222"/>
      <c r="I181" s="222" t="s">
        <v>26</v>
      </c>
      <c r="J181" s="222" t="s">
        <v>23</v>
      </c>
      <c r="K181" s="222"/>
      <c r="L181" s="222" t="s">
        <v>42</v>
      </c>
      <c r="M181" s="222" t="s">
        <v>46</v>
      </c>
      <c r="N181" s="222"/>
      <c r="O181" s="222" t="s">
        <v>38</v>
      </c>
      <c r="P181" s="220" t="s">
        <v>230</v>
      </c>
      <c r="Q181" s="222"/>
      <c r="R181" s="222" t="s">
        <v>237</v>
      </c>
      <c r="S181" s="220" t="s">
        <v>34</v>
      </c>
      <c r="T181" s="220"/>
      <c r="U181" s="220"/>
      <c r="V181" s="220"/>
      <c r="W181" s="220" t="s">
        <v>57</v>
      </c>
      <c r="X181" s="223">
        <f t="shared" si="32"/>
        <v>10</v>
      </c>
      <c r="Y181" s="223" t="s">
        <v>26</v>
      </c>
      <c r="Z181" s="219">
        <f t="shared" si="34"/>
        <v>4</v>
      </c>
      <c r="AA181" s="219">
        <f t="shared" si="35"/>
        <v>6</v>
      </c>
      <c r="AB181" s="219">
        <f t="shared" si="36"/>
        <v>2</v>
      </c>
      <c r="AC181" s="219" t="str" cm="1">
        <f t="array" ref="AC181">_xlfn.TEXTJOIN(", ", TRUE, _xlfn.UNIQUE(_xlfn._xlws.FILTER(G181:W181, COUNTIF(G181:W181, G181:W181)&gt;1, "無")))</f>
        <v>無</v>
      </c>
    </row>
    <row r="182" spans="1:29" s="218" customFormat="1" ht="16.5" customHeight="1">
      <c r="A182" s="219" t="str">
        <f t="shared" si="33"/>
        <v>A</v>
      </c>
      <c r="B182" s="217" t="s">
        <v>19</v>
      </c>
      <c r="C182" s="217"/>
      <c r="D182" s="220" t="s">
        <v>13</v>
      </c>
      <c r="E182" s="221" t="s">
        <v>81</v>
      </c>
      <c r="F182" s="218" t="str">
        <f t="shared" si="31"/>
        <v>1+916-17</v>
      </c>
      <c r="G182" s="222" t="s">
        <v>34</v>
      </c>
      <c r="H182" s="222"/>
      <c r="I182" s="222" t="s">
        <v>42</v>
      </c>
      <c r="J182" s="222" t="s">
        <v>26</v>
      </c>
      <c r="K182" s="222"/>
      <c r="L182" s="222" t="s">
        <v>23</v>
      </c>
      <c r="M182" s="222" t="s">
        <v>46</v>
      </c>
      <c r="N182" s="222"/>
      <c r="O182" s="222" t="s">
        <v>230</v>
      </c>
      <c r="P182" s="220" t="s">
        <v>239</v>
      </c>
      <c r="Q182" s="222"/>
      <c r="R182" s="222" t="s">
        <v>240</v>
      </c>
      <c r="S182" s="220"/>
      <c r="T182" s="220"/>
      <c r="U182" s="220"/>
      <c r="V182" s="220"/>
      <c r="W182" s="220" t="s">
        <v>57</v>
      </c>
      <c r="X182" s="223">
        <f t="shared" si="32"/>
        <v>10</v>
      </c>
      <c r="Y182" s="223" t="s">
        <v>46</v>
      </c>
      <c r="Z182" s="219">
        <f t="shared" si="34"/>
        <v>4</v>
      </c>
      <c r="AA182" s="219">
        <f t="shared" si="35"/>
        <v>6</v>
      </c>
      <c r="AB182" s="219">
        <f t="shared" si="36"/>
        <v>2</v>
      </c>
      <c r="AC182" s="219" t="str" cm="1">
        <f t="array" ref="AC182">_xlfn.TEXTJOIN(", ", TRUE, _xlfn.UNIQUE(_xlfn._xlws.FILTER(G182:W182, COUNTIF(G182:W182, G182:W182)&gt;1, "無")))</f>
        <v>無</v>
      </c>
    </row>
    <row r="183" spans="1:29" s="218" customFormat="1" ht="16.5" customHeight="1">
      <c r="A183" s="219" t="str">
        <f t="shared" si="33"/>
        <v>A</v>
      </c>
      <c r="B183" s="217" t="s">
        <v>19</v>
      </c>
      <c r="C183" s="217"/>
      <c r="D183" s="220" t="s">
        <v>13</v>
      </c>
      <c r="E183" s="221" t="s">
        <v>82</v>
      </c>
      <c r="F183" s="218" t="str">
        <f t="shared" si="31"/>
        <v>1+917-18</v>
      </c>
      <c r="G183" s="222" t="s">
        <v>34</v>
      </c>
      <c r="H183" s="222"/>
      <c r="I183" s="222" t="s">
        <v>42</v>
      </c>
      <c r="J183" s="222" t="s">
        <v>26</v>
      </c>
      <c r="K183" s="222"/>
      <c r="L183" s="222" t="s">
        <v>23</v>
      </c>
      <c r="M183" s="222" t="s">
        <v>46</v>
      </c>
      <c r="N183" s="222"/>
      <c r="O183" s="222" t="s">
        <v>230</v>
      </c>
      <c r="P183" s="220" t="s">
        <v>239</v>
      </c>
      <c r="Q183" s="222"/>
      <c r="R183" s="222" t="s">
        <v>240</v>
      </c>
      <c r="S183" s="220"/>
      <c r="T183" s="220"/>
      <c r="U183" s="220"/>
      <c r="V183" s="220"/>
      <c r="W183" s="220" t="s">
        <v>57</v>
      </c>
      <c r="X183" s="223">
        <f t="shared" si="32"/>
        <v>10</v>
      </c>
      <c r="Y183" s="223" t="s">
        <v>49</v>
      </c>
      <c r="Z183" s="219">
        <f t="shared" si="34"/>
        <v>4</v>
      </c>
      <c r="AA183" s="219">
        <f t="shared" si="35"/>
        <v>8</v>
      </c>
      <c r="AB183" s="219">
        <f t="shared" si="36"/>
        <v>2</v>
      </c>
      <c r="AC183" s="219" t="str" cm="1">
        <f t="array" ref="AC183">_xlfn.TEXTJOIN(", ", TRUE, _xlfn.UNIQUE(_xlfn._xlws.FILTER(G183:W183, COUNTIF(G183:W183, G183:W183)&gt;1, "無")))</f>
        <v>無</v>
      </c>
    </row>
    <row r="184" spans="1:29" s="218" customFormat="1" ht="16.5" customHeight="1">
      <c r="A184" s="219" t="str">
        <f t="shared" si="33"/>
        <v>C</v>
      </c>
      <c r="B184" s="217" t="s">
        <v>30</v>
      </c>
      <c r="C184" s="217"/>
      <c r="D184" s="220" t="s">
        <v>13</v>
      </c>
      <c r="E184" s="221" t="s">
        <v>83</v>
      </c>
      <c r="F184" s="218" t="str">
        <f t="shared" si="31"/>
        <v>1+918-19</v>
      </c>
      <c r="G184" s="222" t="s">
        <v>38</v>
      </c>
      <c r="H184" s="222"/>
      <c r="I184" s="222" t="s">
        <v>34</v>
      </c>
      <c r="J184" s="222" t="s">
        <v>46</v>
      </c>
      <c r="K184" s="222"/>
      <c r="L184" s="222" t="s">
        <v>26</v>
      </c>
      <c r="M184" s="222" t="s">
        <v>49</v>
      </c>
      <c r="N184" s="222"/>
      <c r="O184" s="222" t="s">
        <v>237</v>
      </c>
      <c r="P184" s="220" t="s">
        <v>233</v>
      </c>
      <c r="Q184" s="222"/>
      <c r="R184" s="222" t="s">
        <v>234</v>
      </c>
      <c r="S184" s="220"/>
      <c r="T184" s="220"/>
      <c r="U184" s="220"/>
      <c r="V184" s="220"/>
      <c r="W184" s="220" t="s">
        <v>231</v>
      </c>
      <c r="X184" s="223">
        <f t="shared" si="32"/>
        <v>10</v>
      </c>
      <c r="Y184" s="223" t="s">
        <v>57</v>
      </c>
      <c r="Z184" s="219">
        <f t="shared" si="34"/>
        <v>0</v>
      </c>
      <c r="AA184" s="219">
        <f t="shared" si="35"/>
        <v>0</v>
      </c>
      <c r="AB184" s="219">
        <f t="shared" si="36"/>
        <v>2</v>
      </c>
      <c r="AC184" s="219" t="str" cm="1">
        <f t="array" ref="AC184">_xlfn.TEXTJOIN(", ", TRUE, _xlfn.UNIQUE(_xlfn._xlws.FILTER(G184:W184, COUNTIF(G184:W184, G184:W184)&gt;1, "無")))</f>
        <v>無</v>
      </c>
    </row>
    <row r="185" spans="1:29" s="218" customFormat="1" ht="16.5" customHeight="1">
      <c r="A185" s="219" t="str">
        <f t="shared" si="33"/>
        <v>C</v>
      </c>
      <c r="B185" s="217" t="s">
        <v>30</v>
      </c>
      <c r="C185" s="217"/>
      <c r="D185" s="220" t="s">
        <v>13</v>
      </c>
      <c r="E185" s="221" t="s">
        <v>84</v>
      </c>
      <c r="F185" s="218" t="str">
        <f t="shared" si="31"/>
        <v>1+919-20</v>
      </c>
      <c r="G185" s="222" t="s">
        <v>38</v>
      </c>
      <c r="H185" s="222"/>
      <c r="I185" s="222" t="s">
        <v>34</v>
      </c>
      <c r="J185" s="222" t="s">
        <v>46</v>
      </c>
      <c r="K185" s="222"/>
      <c r="L185" s="222" t="s">
        <v>26</v>
      </c>
      <c r="M185" s="222" t="s">
        <v>49</v>
      </c>
      <c r="N185" s="222"/>
      <c r="O185" s="222" t="s">
        <v>237</v>
      </c>
      <c r="P185" s="220" t="s">
        <v>233</v>
      </c>
      <c r="Q185" s="222"/>
      <c r="R185" s="222" t="s">
        <v>234</v>
      </c>
      <c r="S185" s="220"/>
      <c r="T185" s="220"/>
      <c r="U185" s="220"/>
      <c r="V185" s="220"/>
      <c r="W185" s="220" t="s">
        <v>231</v>
      </c>
      <c r="X185" s="223">
        <f t="shared" si="32"/>
        <v>10</v>
      </c>
      <c r="AB185" s="219"/>
      <c r="AC185" s="219" t="str" cm="1">
        <f t="array" ref="AC185">_xlfn.TEXTJOIN(", ", TRUE, _xlfn.UNIQUE(_xlfn._xlws.FILTER(G185:W185, COUNTIF(G185:W185, G185:W185)&gt;1, "無")))</f>
        <v>無</v>
      </c>
    </row>
    <row r="186" spans="1:29" s="218" customFormat="1" ht="16.5" customHeight="1">
      <c r="A186" s="219" t="str">
        <f t="shared" si="33"/>
        <v>B</v>
      </c>
      <c r="B186" s="217" t="s">
        <v>23</v>
      </c>
      <c r="C186" s="217"/>
      <c r="D186" s="220" t="s">
        <v>13</v>
      </c>
      <c r="E186" s="221" t="s">
        <v>85</v>
      </c>
      <c r="F186" s="218" t="str">
        <f t="shared" si="31"/>
        <v>1+920-21</v>
      </c>
      <c r="G186" s="222" t="s">
        <v>42</v>
      </c>
      <c r="H186" s="222"/>
      <c r="I186" s="222" t="s">
        <v>38</v>
      </c>
      <c r="J186" s="222" t="s">
        <v>49</v>
      </c>
      <c r="K186" s="222"/>
      <c r="L186" s="222" t="s">
        <v>30</v>
      </c>
      <c r="M186" s="222" t="s">
        <v>19</v>
      </c>
      <c r="N186" s="222"/>
      <c r="O186" s="222" t="s">
        <v>34</v>
      </c>
      <c r="P186" s="220" t="s">
        <v>46</v>
      </c>
      <c r="Q186" s="222"/>
      <c r="R186" s="222" t="s">
        <v>26</v>
      </c>
      <c r="S186" s="220"/>
      <c r="T186" s="220"/>
      <c r="U186" s="220"/>
      <c r="V186" s="220"/>
      <c r="W186" s="220" t="s">
        <v>57</v>
      </c>
      <c r="X186" s="223">
        <f t="shared" si="32"/>
        <v>10</v>
      </c>
      <c r="AC186" s="219" t="str" cm="1">
        <f t="array" ref="AC186">_xlfn.TEXTJOIN(", ", TRUE, _xlfn.UNIQUE(_xlfn._xlws.FILTER(G186:W186, COUNTIF(G186:W186, G186:W186)&gt;1, "無")))</f>
        <v>無</v>
      </c>
    </row>
    <row r="187" spans="1:29" s="218" customFormat="1" ht="16.5" customHeight="1">
      <c r="A187" s="219" t="str">
        <f t="shared" si="33"/>
        <v>B</v>
      </c>
      <c r="B187" s="217" t="s">
        <v>23</v>
      </c>
      <c r="C187" s="217"/>
      <c r="D187" s="220" t="s">
        <v>13</v>
      </c>
      <c r="E187" s="221" t="s">
        <v>86</v>
      </c>
      <c r="F187" s="218" t="str">
        <f t="shared" si="31"/>
        <v>1+921-22</v>
      </c>
      <c r="G187" s="222" t="s">
        <v>42</v>
      </c>
      <c r="H187" s="222"/>
      <c r="I187" s="222" t="s">
        <v>38</v>
      </c>
      <c r="J187" s="222" t="s">
        <v>49</v>
      </c>
      <c r="K187" s="222"/>
      <c r="L187" s="222" t="s">
        <v>30</v>
      </c>
      <c r="M187" s="222" t="s">
        <v>19</v>
      </c>
      <c r="N187" s="222"/>
      <c r="O187" s="222" t="s">
        <v>34</v>
      </c>
      <c r="P187" s="220" t="s">
        <v>46</v>
      </c>
      <c r="Q187" s="222"/>
      <c r="R187" s="222" t="s">
        <v>26</v>
      </c>
      <c r="S187" s="220"/>
      <c r="T187" s="220"/>
      <c r="U187" s="220"/>
      <c r="V187" s="220"/>
      <c r="W187" s="220" t="s">
        <v>57</v>
      </c>
      <c r="X187" s="223">
        <f t="shared" si="32"/>
        <v>10</v>
      </c>
      <c r="AC187" s="219" t="str" cm="1">
        <f t="array" ref="AC187">_xlfn.TEXTJOIN(", ", TRUE, _xlfn.UNIQUE(_xlfn._xlws.FILTER(G187:W187, COUNTIF(G187:W187, G187:W187)&gt;1, "無")))</f>
        <v>無</v>
      </c>
    </row>
    <row r="188" spans="1:29" s="218" customFormat="1" ht="16.5" customHeight="1">
      <c r="A188" s="219" t="str">
        <f t="shared" si="33"/>
        <v/>
      </c>
      <c r="B188" s="217"/>
      <c r="C188" s="217"/>
      <c r="D188" s="220" t="s">
        <v>13</v>
      </c>
      <c r="E188" s="221" t="s">
        <v>87</v>
      </c>
      <c r="F188" s="218" t="str">
        <f t="shared" si="31"/>
        <v>1+922-23</v>
      </c>
      <c r="G188" s="222" t="s">
        <v>46</v>
      </c>
      <c r="H188" s="222"/>
      <c r="I188" s="222" t="s">
        <v>42</v>
      </c>
      <c r="J188" s="222" t="s">
        <v>30</v>
      </c>
      <c r="K188" s="222"/>
      <c r="L188" s="222" t="s">
        <v>19</v>
      </c>
      <c r="M188" s="222" t="s">
        <v>23</v>
      </c>
      <c r="N188" s="222"/>
      <c r="O188" s="222" t="s">
        <v>26</v>
      </c>
      <c r="P188" s="220" t="s">
        <v>38</v>
      </c>
      <c r="Q188" s="222"/>
      <c r="R188" s="222" t="s">
        <v>235</v>
      </c>
      <c r="S188" s="220" t="s">
        <v>230</v>
      </c>
      <c r="T188" s="220"/>
      <c r="U188" s="220"/>
      <c r="V188" s="220"/>
      <c r="W188" s="220" t="s">
        <v>57</v>
      </c>
      <c r="X188" s="223">
        <f t="shared" si="32"/>
        <v>10</v>
      </c>
      <c r="AC188" s="219" t="str" cm="1">
        <f t="array" ref="AC188">_xlfn.TEXTJOIN(", ", TRUE, _xlfn.UNIQUE(_xlfn._xlws.FILTER(G188:W188, COUNTIF(G188:W188, G188:W188)&gt;1, "無")))</f>
        <v>無</v>
      </c>
    </row>
    <row r="189" spans="1:29" s="218" customFormat="1" ht="16.5" customHeight="1">
      <c r="A189" s="219" t="str">
        <f t="shared" si="33"/>
        <v/>
      </c>
      <c r="B189" s="217"/>
      <c r="C189" s="217"/>
      <c r="D189" s="220" t="s">
        <v>13</v>
      </c>
      <c r="E189" s="221" t="s">
        <v>88</v>
      </c>
      <c r="F189" s="218" t="str">
        <f t="shared" si="31"/>
        <v>1+923-24</v>
      </c>
      <c r="G189" s="222" t="s">
        <v>46</v>
      </c>
      <c r="H189" s="222"/>
      <c r="I189" s="222" t="s">
        <v>42</v>
      </c>
      <c r="J189" s="222" t="s">
        <v>30</v>
      </c>
      <c r="K189" s="222"/>
      <c r="L189" s="222" t="s">
        <v>19</v>
      </c>
      <c r="M189" s="222" t="s">
        <v>23</v>
      </c>
      <c r="N189" s="222"/>
      <c r="O189" s="222" t="s">
        <v>26</v>
      </c>
      <c r="P189" s="220" t="s">
        <v>38</v>
      </c>
      <c r="Q189" s="222"/>
      <c r="R189" s="222" t="s">
        <v>235</v>
      </c>
      <c r="S189" s="220" t="s">
        <v>230</v>
      </c>
      <c r="T189" s="220"/>
      <c r="U189" s="220"/>
      <c r="V189" s="220"/>
      <c r="W189" s="220" t="s">
        <v>57</v>
      </c>
      <c r="X189" s="223">
        <f t="shared" si="32"/>
        <v>10</v>
      </c>
      <c r="AC189" s="219" t="str" cm="1">
        <f t="array" ref="AC189">_xlfn.TEXTJOIN(", ", TRUE, _xlfn.UNIQUE(_xlfn._xlws.FILTER(G189:W189, COUNTIF(G189:W189, G189:W189)&gt;1, "無")))</f>
        <v>無</v>
      </c>
    </row>
    <row r="190" spans="1:29" s="218" customFormat="1" ht="16.5" customHeight="1">
      <c r="A190" s="219" t="str">
        <f t="shared" si="33"/>
        <v/>
      </c>
      <c r="B190" s="217"/>
      <c r="C190" s="217"/>
      <c r="D190" s="220" t="s">
        <v>13</v>
      </c>
      <c r="E190" s="221" t="s">
        <v>89</v>
      </c>
      <c r="F190" s="218" t="str">
        <f t="shared" si="31"/>
        <v>1+900-01</v>
      </c>
      <c r="G190" s="222" t="s">
        <v>46</v>
      </c>
      <c r="H190" s="222"/>
      <c r="I190" s="222" t="s">
        <v>19</v>
      </c>
      <c r="J190" s="222" t="s">
        <v>23</v>
      </c>
      <c r="K190" s="222"/>
      <c r="L190" s="222" t="s">
        <v>26</v>
      </c>
      <c r="M190" s="222" t="s">
        <v>49</v>
      </c>
      <c r="N190" s="222"/>
      <c r="O190" s="222" t="s">
        <v>42</v>
      </c>
      <c r="P190" s="220" t="s">
        <v>30</v>
      </c>
      <c r="Q190" s="222"/>
      <c r="R190" s="222" t="s">
        <v>240</v>
      </c>
      <c r="S190" s="220" t="s">
        <v>235</v>
      </c>
      <c r="T190" s="220"/>
      <c r="U190" s="220"/>
      <c r="V190" s="220"/>
      <c r="W190" s="220" t="s">
        <v>57</v>
      </c>
      <c r="X190" s="223">
        <f t="shared" si="32"/>
        <v>10</v>
      </c>
      <c r="AC190" s="219" t="str" cm="1">
        <f t="array" ref="AC190">_xlfn.TEXTJOIN(", ", TRUE, _xlfn.UNIQUE(_xlfn._xlws.FILTER(G190:W190, COUNTIF(G190:W190, G190:W190)&gt;1, "無")))</f>
        <v>無</v>
      </c>
    </row>
    <row r="191" spans="1:29" s="218" customFormat="1" ht="16.5" customHeight="1">
      <c r="A191" s="219" t="str">
        <f t="shared" si="33"/>
        <v/>
      </c>
      <c r="B191" s="217"/>
      <c r="C191" s="217"/>
      <c r="D191" s="220" t="s">
        <v>13</v>
      </c>
      <c r="E191" s="221" t="s">
        <v>90</v>
      </c>
      <c r="F191" s="218" t="str">
        <f t="shared" si="31"/>
        <v>1+901-02</v>
      </c>
      <c r="G191" s="222" t="s">
        <v>46</v>
      </c>
      <c r="H191" s="222"/>
      <c r="I191" s="222" t="s">
        <v>19</v>
      </c>
      <c r="J191" s="222" t="s">
        <v>23</v>
      </c>
      <c r="K191" s="222"/>
      <c r="L191" s="222" t="s">
        <v>26</v>
      </c>
      <c r="M191" s="222" t="s">
        <v>49</v>
      </c>
      <c r="N191" s="222"/>
      <c r="O191" s="222" t="s">
        <v>42</v>
      </c>
      <c r="P191" s="220" t="s">
        <v>30</v>
      </c>
      <c r="Q191" s="222"/>
      <c r="R191" s="222" t="s">
        <v>240</v>
      </c>
      <c r="S191" s="220" t="s">
        <v>235</v>
      </c>
      <c r="T191" s="220"/>
      <c r="U191" s="220"/>
      <c r="V191" s="220"/>
      <c r="W191" s="220" t="s">
        <v>57</v>
      </c>
      <c r="X191" s="223">
        <f t="shared" si="32"/>
        <v>10</v>
      </c>
      <c r="AC191" s="219" t="str" cm="1">
        <f t="array" ref="AC191">_xlfn.TEXTJOIN(", ", TRUE, _xlfn.UNIQUE(_xlfn._xlws.FILTER(G191:W191, COUNTIF(G191:W191, G191:W191)&gt;1, "無")))</f>
        <v>無</v>
      </c>
    </row>
    <row r="192" spans="1:29" s="218" customFormat="1" ht="16.5" customHeight="1">
      <c r="A192" s="219" t="str">
        <f t="shared" si="33"/>
        <v/>
      </c>
      <c r="B192" s="217"/>
      <c r="C192" s="217"/>
      <c r="D192" s="220" t="s">
        <v>13</v>
      </c>
      <c r="E192" s="221" t="s">
        <v>91</v>
      </c>
      <c r="F192" s="218" t="str">
        <f t="shared" si="31"/>
        <v>1+902-03</v>
      </c>
      <c r="G192" s="222" t="s">
        <v>46</v>
      </c>
      <c r="H192" s="222"/>
      <c r="I192" s="222" t="s">
        <v>19</v>
      </c>
      <c r="J192" s="222" t="s">
        <v>23</v>
      </c>
      <c r="K192" s="222"/>
      <c r="L192" s="222" t="s">
        <v>49</v>
      </c>
      <c r="M192" s="222" t="s">
        <v>240</v>
      </c>
      <c r="N192" s="222"/>
      <c r="O192" s="222" t="s">
        <v>34</v>
      </c>
      <c r="P192" s="220" t="s">
        <v>42</v>
      </c>
      <c r="Q192" s="222"/>
      <c r="R192" s="222" t="s">
        <v>30</v>
      </c>
      <c r="S192" s="220" t="s">
        <v>238</v>
      </c>
      <c r="T192" s="220"/>
      <c r="U192" s="220"/>
      <c r="V192" s="220"/>
      <c r="W192" s="220" t="s">
        <v>57</v>
      </c>
      <c r="X192" s="223">
        <f t="shared" si="32"/>
        <v>10</v>
      </c>
      <c r="AC192" s="219" t="str" cm="1">
        <f t="array" ref="AC192">_xlfn.TEXTJOIN(", ", TRUE, _xlfn.UNIQUE(_xlfn._xlws.FILTER(G192:W192, COUNTIF(G192:W192, G192:W192)&gt;1, "無")))</f>
        <v>無</v>
      </c>
    </row>
    <row r="193" spans="1:29" s="218" customFormat="1" ht="16.5" customHeight="1">
      <c r="A193" s="219" t="str">
        <f t="shared" si="33"/>
        <v/>
      </c>
      <c r="B193" s="217"/>
      <c r="C193" s="217"/>
      <c r="D193" s="220" t="s">
        <v>13</v>
      </c>
      <c r="E193" s="221" t="s">
        <v>92</v>
      </c>
      <c r="F193" s="218" t="str">
        <f t="shared" si="31"/>
        <v>1+903-04</v>
      </c>
      <c r="G193" s="222" t="s">
        <v>46</v>
      </c>
      <c r="H193" s="222"/>
      <c r="I193" s="222" t="s">
        <v>19</v>
      </c>
      <c r="J193" s="222" t="s">
        <v>23</v>
      </c>
      <c r="K193" s="222"/>
      <c r="L193" s="222" t="s">
        <v>49</v>
      </c>
      <c r="M193" s="222" t="s">
        <v>240</v>
      </c>
      <c r="N193" s="222"/>
      <c r="O193" s="222" t="s">
        <v>34</v>
      </c>
      <c r="P193" s="220" t="s">
        <v>42</v>
      </c>
      <c r="Q193" s="222"/>
      <c r="R193" s="222" t="s">
        <v>30</v>
      </c>
      <c r="S193" s="220" t="s">
        <v>238</v>
      </c>
      <c r="T193" s="220"/>
      <c r="U193" s="220"/>
      <c r="V193" s="220"/>
      <c r="W193" s="220" t="s">
        <v>57</v>
      </c>
      <c r="X193" s="223">
        <f t="shared" si="32"/>
        <v>10</v>
      </c>
      <c r="AC193" s="219" t="str" cm="1">
        <f t="array" ref="AC193">_xlfn.TEXTJOIN(", ", TRUE, _xlfn.UNIQUE(_xlfn._xlws.FILTER(G193:W193, COUNTIF(G193:W193, G193:W193)&gt;1, "無")))</f>
        <v>無</v>
      </c>
    </row>
    <row r="194" spans="1:29" s="218" customFormat="1" ht="16.5" customHeight="1">
      <c r="A194" s="219" t="str">
        <f t="shared" si="33"/>
        <v/>
      </c>
      <c r="B194" s="217"/>
      <c r="C194" s="217"/>
      <c r="D194" s="220" t="s">
        <v>13</v>
      </c>
      <c r="E194" s="221" t="s">
        <v>93</v>
      </c>
      <c r="F194" s="218" t="str">
        <f t="shared" si="31"/>
        <v>1+904-05</v>
      </c>
      <c r="G194" s="222" t="s">
        <v>46</v>
      </c>
      <c r="H194" s="222"/>
      <c r="I194" s="222" t="s">
        <v>30</v>
      </c>
      <c r="J194" s="222" t="s">
        <v>34</v>
      </c>
      <c r="K194" s="222"/>
      <c r="L194" s="222" t="s">
        <v>38</v>
      </c>
      <c r="M194" s="222" t="s">
        <v>42</v>
      </c>
      <c r="N194" s="222"/>
      <c r="O194" s="222" t="s">
        <v>49</v>
      </c>
      <c r="P194" s="220" t="s">
        <v>19</v>
      </c>
      <c r="Q194" s="222"/>
      <c r="R194" s="222" t="s">
        <v>23</v>
      </c>
      <c r="S194" s="220" t="s">
        <v>26</v>
      </c>
      <c r="T194" s="220"/>
      <c r="U194" s="220"/>
      <c r="V194" s="220"/>
      <c r="W194" s="220" t="s">
        <v>231</v>
      </c>
      <c r="X194" s="223">
        <f t="shared" si="32"/>
        <v>10</v>
      </c>
      <c r="AC194" s="219" t="str" cm="1">
        <f t="array" ref="AC194">_xlfn.TEXTJOIN(", ", TRUE, _xlfn.UNIQUE(_xlfn._xlws.FILTER(G194:W194, COUNTIF(G194:W194, G194:W194)&gt;1, "無")))</f>
        <v>無</v>
      </c>
    </row>
    <row r="195" spans="1:29" s="218" customFormat="1" ht="16.5" customHeight="1">
      <c r="A195" s="219" t="str">
        <f t="shared" si="33"/>
        <v/>
      </c>
      <c r="B195" s="217"/>
      <c r="C195" s="217"/>
      <c r="D195" s="220" t="s">
        <v>13</v>
      </c>
      <c r="E195" s="221" t="s">
        <v>94</v>
      </c>
      <c r="F195" s="218" t="str">
        <f t="shared" si="31"/>
        <v>1+905-06</v>
      </c>
      <c r="G195" s="222" t="s">
        <v>46</v>
      </c>
      <c r="H195" s="222"/>
      <c r="I195" s="222" t="s">
        <v>30</v>
      </c>
      <c r="J195" s="222" t="s">
        <v>34</v>
      </c>
      <c r="K195" s="222"/>
      <c r="L195" s="222" t="s">
        <v>38</v>
      </c>
      <c r="M195" s="222" t="s">
        <v>42</v>
      </c>
      <c r="N195" s="222"/>
      <c r="O195" s="222" t="s">
        <v>49</v>
      </c>
      <c r="P195" s="220" t="s">
        <v>19</v>
      </c>
      <c r="Q195" s="222"/>
      <c r="R195" s="222" t="s">
        <v>23</v>
      </c>
      <c r="S195" s="220" t="s">
        <v>26</v>
      </c>
      <c r="T195" s="220"/>
      <c r="U195" s="220"/>
      <c r="V195" s="220"/>
      <c r="W195" s="220" t="s">
        <v>231</v>
      </c>
      <c r="X195" s="223">
        <f t="shared" si="32"/>
        <v>10</v>
      </c>
      <c r="AC195" s="219" t="str" cm="1">
        <f t="array" ref="AC195">_xlfn.TEXTJOIN(", ", TRUE, _xlfn.UNIQUE(_xlfn._xlws.FILTER(G195:W195, COUNTIF(G195:W195, G195:W195)&gt;1, "無")))</f>
        <v>無</v>
      </c>
    </row>
    <row r="196" spans="1:29" s="218" customFormat="1" ht="16.5" customHeight="1">
      <c r="A196" s="219" t="str">
        <f t="shared" si="33"/>
        <v>G,E</v>
      </c>
      <c r="B196" s="217" t="s">
        <v>26</v>
      </c>
      <c r="C196" s="217" t="s">
        <v>240</v>
      </c>
      <c r="D196" s="220" t="s">
        <v>13</v>
      </c>
      <c r="E196" s="221" t="s">
        <v>95</v>
      </c>
      <c r="F196" s="218" t="str">
        <f t="shared" si="31"/>
        <v>1+906-07</v>
      </c>
      <c r="G196" s="222" t="s">
        <v>46</v>
      </c>
      <c r="H196" s="222"/>
      <c r="I196" s="222" t="s">
        <v>30</v>
      </c>
      <c r="J196" s="222" t="s">
        <v>34</v>
      </c>
      <c r="K196" s="222"/>
      <c r="L196" s="222" t="s">
        <v>42</v>
      </c>
      <c r="M196" s="222" t="s">
        <v>230</v>
      </c>
      <c r="N196" s="222"/>
      <c r="O196" s="222" t="s">
        <v>23</v>
      </c>
      <c r="P196" s="220" t="s">
        <v>19</v>
      </c>
      <c r="Q196" s="222"/>
      <c r="R196" s="222"/>
      <c r="S196" s="220"/>
      <c r="T196" s="220"/>
      <c r="U196" s="220"/>
      <c r="V196" s="220"/>
      <c r="W196" s="220" t="s">
        <v>57</v>
      </c>
      <c r="X196" s="223">
        <f t="shared" si="32"/>
        <v>10</v>
      </c>
      <c r="AC196" s="219" t="str" cm="1">
        <f t="array" ref="AC196">_xlfn.TEXTJOIN(", ", TRUE, _xlfn.UNIQUE(_xlfn._xlws.FILTER(G196:W196, COUNTIF(G196:W196, G196:W196)&gt;1, "無")))</f>
        <v>無</v>
      </c>
    </row>
    <row r="197" spans="1:29" s="218" customFormat="1" ht="16.5" customHeight="1">
      <c r="A197" s="219" t="str">
        <f t="shared" si="33"/>
        <v>G,E</v>
      </c>
      <c r="B197" s="217" t="s">
        <v>26</v>
      </c>
      <c r="C197" s="217" t="s">
        <v>240</v>
      </c>
      <c r="D197" s="220" t="s">
        <v>13</v>
      </c>
      <c r="E197" s="221" t="s">
        <v>96</v>
      </c>
      <c r="F197" s="218" t="str">
        <f t="shared" si="31"/>
        <v>1+907-08</v>
      </c>
      <c r="G197" s="222" t="s">
        <v>46</v>
      </c>
      <c r="H197" s="222"/>
      <c r="I197" s="222" t="s">
        <v>30</v>
      </c>
      <c r="J197" s="222" t="s">
        <v>34</v>
      </c>
      <c r="K197" s="222"/>
      <c r="L197" s="222" t="s">
        <v>42</v>
      </c>
      <c r="M197" s="222" t="s">
        <v>230</v>
      </c>
      <c r="N197" s="222"/>
      <c r="O197" s="222" t="s">
        <v>23</v>
      </c>
      <c r="P197" s="220" t="s">
        <v>19</v>
      </c>
      <c r="Q197" s="222"/>
      <c r="R197" s="222"/>
      <c r="S197" s="220"/>
      <c r="T197" s="220"/>
      <c r="U197" s="220"/>
      <c r="V197" s="220"/>
      <c r="W197" s="220" t="s">
        <v>57</v>
      </c>
      <c r="X197" s="223">
        <f t="shared" si="32"/>
        <v>10</v>
      </c>
      <c r="AC197" s="219" t="str" cm="1">
        <f t="array" ref="AC197">_xlfn.TEXTJOIN(", ", TRUE, _xlfn.UNIQUE(_xlfn._xlws.FILTER(G197:W197, COUNTIF(G197:W197, G197:W197)&gt;1, "無")))</f>
        <v>無</v>
      </c>
    </row>
    <row r="198" spans="1:29" s="218" customFormat="1" ht="16.5" customHeight="1">
      <c r="A198" s="219"/>
      <c r="B198" s="217"/>
      <c r="C198" s="217"/>
      <c r="F198" s="219"/>
      <c r="G198" s="219"/>
      <c r="H198" s="219"/>
      <c r="X198" s="223"/>
      <c r="AC198" s="219"/>
    </row>
    <row r="199" spans="1:29" s="218" customFormat="1" ht="16.5" customHeight="1">
      <c r="A199" s="219"/>
      <c r="B199" s="217"/>
      <c r="C199" s="217"/>
      <c r="F199" s="219"/>
      <c r="G199" s="219"/>
      <c r="H199" s="219"/>
      <c r="X199" s="223"/>
      <c r="AC199" s="219"/>
    </row>
    <row r="200" spans="1:29" s="218" customFormat="1" ht="16.5" customHeight="1">
      <c r="A200" s="217" t="s">
        <v>14</v>
      </c>
      <c r="B200" s="217" t="s">
        <v>68</v>
      </c>
      <c r="C200" s="217" t="s">
        <v>69</v>
      </c>
      <c r="G200" s="219"/>
      <c r="H200" s="219"/>
      <c r="X200" s="223"/>
      <c r="AC200" s="219"/>
    </row>
    <row r="201" spans="1:29" s="218" customFormat="1" ht="16.5" customHeight="1">
      <c r="A201" s="219" t="str">
        <f>_xlfn.TEXTJOIN(",",TRUE,B201:C201)</f>
        <v>H,K</v>
      </c>
      <c r="B201" s="217" t="s">
        <v>46</v>
      </c>
      <c r="C201" s="217" t="s">
        <v>231</v>
      </c>
      <c r="D201" s="220" t="s">
        <v>14</v>
      </c>
      <c r="E201" s="221" t="s">
        <v>70</v>
      </c>
      <c r="F201" s="218" t="str">
        <f t="shared" ref="F201:F224" si="37">$D201&amp;$E201</f>
        <v>3+808-09</v>
      </c>
      <c r="G201" s="222" t="s">
        <v>19</v>
      </c>
      <c r="H201" s="222"/>
      <c r="I201" s="222" t="s">
        <v>238</v>
      </c>
      <c r="J201" s="222" t="s">
        <v>53</v>
      </c>
      <c r="K201" s="222"/>
      <c r="L201" s="222" t="s">
        <v>235</v>
      </c>
      <c r="M201" s="222" t="s">
        <v>239</v>
      </c>
      <c r="N201" s="222"/>
      <c r="O201" s="222" t="s">
        <v>230</v>
      </c>
      <c r="P201" s="220" t="s">
        <v>23</v>
      </c>
      <c r="Q201" s="220"/>
      <c r="R201" s="220" t="s">
        <v>62</v>
      </c>
      <c r="S201" s="222"/>
      <c r="T201" s="222"/>
      <c r="U201" s="220"/>
      <c r="V201" s="220"/>
      <c r="W201" s="220" t="s">
        <v>232</v>
      </c>
      <c r="X201" s="223">
        <f t="shared" ref="X201:X224" si="38">COUNTA(B201:C201,G201:W201)</f>
        <v>11</v>
      </c>
      <c r="Y201" s="223"/>
      <c r="Z201" s="219" t="s">
        <v>71</v>
      </c>
      <c r="AA201" s="219" t="s">
        <v>72</v>
      </c>
      <c r="AB201" s="219" t="s">
        <v>73</v>
      </c>
      <c r="AC201" s="219" t="str" cm="1">
        <f t="array" ref="AC201">_xlfn.TEXTJOIN(", ", TRUE, _xlfn.UNIQUE(_xlfn._xlws.FILTER(G201:W201, COUNTIF(G201:W201, G201:W201)&gt;1, "無")))</f>
        <v>無</v>
      </c>
    </row>
    <row r="202" spans="1:29" s="218" customFormat="1" ht="16.5" customHeight="1">
      <c r="A202" s="219" t="str">
        <f t="shared" ref="A202:A224" si="39">_xlfn.TEXTJOIN(",",TRUE,B202:C202)</f>
        <v>H,K</v>
      </c>
      <c r="B202" s="217" t="s">
        <v>46</v>
      </c>
      <c r="C202" s="217" t="s">
        <v>231</v>
      </c>
      <c r="D202" s="220" t="s">
        <v>14</v>
      </c>
      <c r="E202" s="221" t="s">
        <v>74</v>
      </c>
      <c r="F202" s="218" t="str">
        <f t="shared" si="37"/>
        <v>3+809-10</v>
      </c>
      <c r="G202" s="222" t="s">
        <v>19</v>
      </c>
      <c r="H202" s="222"/>
      <c r="I202" s="222" t="s">
        <v>238</v>
      </c>
      <c r="J202" s="222" t="s">
        <v>53</v>
      </c>
      <c r="K202" s="222"/>
      <c r="L202" s="222" t="s">
        <v>235</v>
      </c>
      <c r="M202" s="222" t="s">
        <v>239</v>
      </c>
      <c r="N202" s="222"/>
      <c r="O202" s="222" t="s">
        <v>230</v>
      </c>
      <c r="P202" s="220" t="s">
        <v>23</v>
      </c>
      <c r="Q202" s="220"/>
      <c r="R202" s="220" t="s">
        <v>62</v>
      </c>
      <c r="S202" s="222"/>
      <c r="T202" s="222"/>
      <c r="U202" s="220"/>
      <c r="V202" s="220"/>
      <c r="W202" s="220" t="s">
        <v>232</v>
      </c>
      <c r="X202" s="223">
        <f t="shared" si="38"/>
        <v>11</v>
      </c>
      <c r="Y202" s="223" t="s">
        <v>19</v>
      </c>
      <c r="Z202" s="219">
        <f t="shared" ref="Z202:Z212" si="40">COUNTIF($I$201:$J$224,Y202)</f>
        <v>6</v>
      </c>
      <c r="AA202" s="219">
        <f t="shared" ref="AA202:AA212" si="41">COUNTIF($L$201:$M$224,Y202)</f>
        <v>6</v>
      </c>
      <c r="AB202" s="219">
        <f t="shared" ref="AB202:AB212" si="42">COUNTIF($B$201:$C$224,Y202)</f>
        <v>2</v>
      </c>
      <c r="AC202" s="219" t="str" cm="1">
        <f t="array" ref="AC202">_xlfn.TEXTJOIN(", ", TRUE, _xlfn.UNIQUE(_xlfn._xlws.FILTER(G202:W202, COUNTIF(G202:W202, G202:W202)&gt;1, "無")))</f>
        <v>無</v>
      </c>
    </row>
    <row r="203" spans="1:29" s="218" customFormat="1" ht="16.5" customHeight="1">
      <c r="A203" s="219" t="str">
        <f t="shared" si="39"/>
        <v>I</v>
      </c>
      <c r="B203" s="217" t="s">
        <v>49</v>
      </c>
      <c r="C203" s="217"/>
      <c r="D203" s="220" t="s">
        <v>14</v>
      </c>
      <c r="E203" s="221" t="s">
        <v>75</v>
      </c>
      <c r="F203" s="218" t="str">
        <f t="shared" si="37"/>
        <v>3+810-11</v>
      </c>
      <c r="G203" s="222" t="s">
        <v>23</v>
      </c>
      <c r="H203" s="222"/>
      <c r="I203" s="222" t="s">
        <v>46</v>
      </c>
      <c r="J203" s="222" t="s">
        <v>19</v>
      </c>
      <c r="K203" s="222"/>
      <c r="L203" s="222" t="s">
        <v>34</v>
      </c>
      <c r="M203" s="222" t="s">
        <v>30</v>
      </c>
      <c r="N203" s="222"/>
      <c r="O203" s="222" t="s">
        <v>53</v>
      </c>
      <c r="P203" s="220" t="s">
        <v>26</v>
      </c>
      <c r="Q203" s="220"/>
      <c r="R203" s="220" t="s">
        <v>62</v>
      </c>
      <c r="S203" s="222"/>
      <c r="T203" s="222"/>
      <c r="U203" s="222" t="s">
        <v>60</v>
      </c>
      <c r="V203" s="220"/>
      <c r="W203" s="220" t="s">
        <v>57</v>
      </c>
      <c r="X203" s="223">
        <f t="shared" si="38"/>
        <v>11</v>
      </c>
      <c r="Y203" s="223" t="s">
        <v>23</v>
      </c>
      <c r="Z203" s="219">
        <f t="shared" si="40"/>
        <v>6</v>
      </c>
      <c r="AA203" s="219">
        <f t="shared" si="41"/>
        <v>6</v>
      </c>
      <c r="AB203" s="219">
        <f t="shared" si="42"/>
        <v>2</v>
      </c>
      <c r="AC203" s="219" t="str" cm="1">
        <f t="array" ref="AC203">_xlfn.TEXTJOIN(", ", TRUE, _xlfn.UNIQUE(_xlfn._xlws.FILTER(G203:W203, COUNTIF(G203:W203, G203:W203)&gt;1, "無")))</f>
        <v>無</v>
      </c>
    </row>
    <row r="204" spans="1:29" s="218" customFormat="1" ht="16.5" customHeight="1">
      <c r="A204" s="219" t="str">
        <f t="shared" si="39"/>
        <v>I</v>
      </c>
      <c r="B204" s="217" t="s">
        <v>49</v>
      </c>
      <c r="C204" s="217"/>
      <c r="D204" s="220" t="s">
        <v>14</v>
      </c>
      <c r="E204" s="221" t="s">
        <v>76</v>
      </c>
      <c r="F204" s="218" t="str">
        <f t="shared" si="37"/>
        <v>3+811-12</v>
      </c>
      <c r="G204" s="222" t="s">
        <v>23</v>
      </c>
      <c r="H204" s="222"/>
      <c r="I204" s="222" t="s">
        <v>46</v>
      </c>
      <c r="J204" s="222" t="s">
        <v>19</v>
      </c>
      <c r="K204" s="222"/>
      <c r="L204" s="222" t="s">
        <v>34</v>
      </c>
      <c r="M204" s="222" t="s">
        <v>30</v>
      </c>
      <c r="N204" s="222"/>
      <c r="O204" s="222" t="s">
        <v>53</v>
      </c>
      <c r="P204" s="220" t="s">
        <v>26</v>
      </c>
      <c r="Q204" s="220"/>
      <c r="R204" s="220" t="s">
        <v>62</v>
      </c>
      <c r="S204" s="222"/>
      <c r="T204" s="222"/>
      <c r="U204" s="222" t="s">
        <v>60</v>
      </c>
      <c r="V204" s="220"/>
      <c r="W204" s="220" t="s">
        <v>57</v>
      </c>
      <c r="X204" s="223">
        <f t="shared" si="38"/>
        <v>11</v>
      </c>
      <c r="Y204" s="223" t="s">
        <v>30</v>
      </c>
      <c r="Z204" s="219">
        <f t="shared" si="40"/>
        <v>6</v>
      </c>
      <c r="AA204" s="219">
        <f t="shared" si="41"/>
        <v>6</v>
      </c>
      <c r="AB204" s="219">
        <f t="shared" si="42"/>
        <v>2</v>
      </c>
      <c r="AC204" s="219" t="str" cm="1">
        <f t="array" ref="AC204">_xlfn.TEXTJOIN(", ", TRUE, _xlfn.UNIQUE(_xlfn._xlws.FILTER(G204:W204, COUNTIF(G204:W204, G204:W204)&gt;1, "無")))</f>
        <v>無</v>
      </c>
    </row>
    <row r="205" spans="1:29" s="218" customFormat="1" ht="16.5" customHeight="1">
      <c r="A205" s="219" t="str">
        <f t="shared" si="39"/>
        <v>J,M</v>
      </c>
      <c r="B205" s="217" t="s">
        <v>53</v>
      </c>
      <c r="C205" s="217" t="s">
        <v>241</v>
      </c>
      <c r="D205" s="220" t="s">
        <v>14</v>
      </c>
      <c r="E205" s="221" t="s">
        <v>77</v>
      </c>
      <c r="F205" s="218" t="str">
        <f t="shared" si="37"/>
        <v>3+812-13</v>
      </c>
      <c r="G205" s="222" t="s">
        <v>26</v>
      </c>
      <c r="H205" s="222"/>
      <c r="I205" s="222" t="s">
        <v>23</v>
      </c>
      <c r="J205" s="222" t="s">
        <v>235</v>
      </c>
      <c r="K205" s="222"/>
      <c r="L205" s="222" t="s">
        <v>46</v>
      </c>
      <c r="M205" s="222" t="s">
        <v>230</v>
      </c>
      <c r="N205" s="222"/>
      <c r="O205" s="222" t="s">
        <v>19</v>
      </c>
      <c r="P205" s="220" t="s">
        <v>30</v>
      </c>
      <c r="Q205" s="220"/>
      <c r="R205" s="220"/>
      <c r="S205" s="222"/>
      <c r="T205" s="222"/>
      <c r="U205" s="220" t="s">
        <v>232</v>
      </c>
      <c r="V205" s="220"/>
      <c r="W205" s="220" t="s">
        <v>57</v>
      </c>
      <c r="X205" s="223">
        <f t="shared" si="38"/>
        <v>11</v>
      </c>
      <c r="Y205" s="223" t="s">
        <v>34</v>
      </c>
      <c r="Z205" s="219">
        <f t="shared" si="40"/>
        <v>6</v>
      </c>
      <c r="AA205" s="219">
        <f t="shared" si="41"/>
        <v>6</v>
      </c>
      <c r="AB205" s="219">
        <f t="shared" si="42"/>
        <v>2</v>
      </c>
      <c r="AC205" s="219" t="str" cm="1">
        <f t="array" ref="AC205">_xlfn.TEXTJOIN(", ", TRUE, _xlfn.UNIQUE(_xlfn._xlws.FILTER(G205:W205, COUNTIF(G205:W205, G205:W205)&gt;1, "無")))</f>
        <v>無</v>
      </c>
    </row>
    <row r="206" spans="1:29" s="218" customFormat="1" ht="16.5" customHeight="1">
      <c r="A206" s="219" t="str">
        <f t="shared" si="39"/>
        <v>J,M</v>
      </c>
      <c r="B206" s="217" t="s">
        <v>53</v>
      </c>
      <c r="C206" s="217" t="s">
        <v>241</v>
      </c>
      <c r="D206" s="220" t="s">
        <v>14</v>
      </c>
      <c r="E206" s="221" t="s">
        <v>78</v>
      </c>
      <c r="F206" s="218" t="str">
        <f t="shared" si="37"/>
        <v>3+813-14</v>
      </c>
      <c r="G206" s="222" t="s">
        <v>26</v>
      </c>
      <c r="H206" s="222"/>
      <c r="I206" s="222" t="s">
        <v>23</v>
      </c>
      <c r="J206" s="222" t="s">
        <v>235</v>
      </c>
      <c r="K206" s="222"/>
      <c r="L206" s="222" t="s">
        <v>46</v>
      </c>
      <c r="M206" s="222" t="s">
        <v>230</v>
      </c>
      <c r="N206" s="222"/>
      <c r="O206" s="222" t="s">
        <v>19</v>
      </c>
      <c r="P206" s="220" t="s">
        <v>30</v>
      </c>
      <c r="Q206" s="220"/>
      <c r="R206" s="220"/>
      <c r="S206" s="222"/>
      <c r="T206" s="222"/>
      <c r="U206" s="220" t="s">
        <v>232</v>
      </c>
      <c r="V206" s="220"/>
      <c r="W206" s="220" t="s">
        <v>57</v>
      </c>
      <c r="X206" s="223">
        <f t="shared" si="38"/>
        <v>11</v>
      </c>
      <c r="Y206" s="223" t="s">
        <v>49</v>
      </c>
      <c r="Z206" s="219">
        <f t="shared" si="40"/>
        <v>6</v>
      </c>
      <c r="AA206" s="219">
        <f t="shared" si="41"/>
        <v>8</v>
      </c>
      <c r="AB206" s="219">
        <f t="shared" si="42"/>
        <v>2</v>
      </c>
      <c r="AC206" s="219" t="str" cm="1">
        <f t="array" ref="AC206">_xlfn.TEXTJOIN(", ", TRUE, _xlfn.UNIQUE(_xlfn._xlws.FILTER(G206:W206, COUNTIF(G206:W206, G206:W206)&gt;1, "無")))</f>
        <v>無</v>
      </c>
    </row>
    <row r="207" spans="1:29" s="218" customFormat="1" ht="16.5" customHeight="1">
      <c r="A207" s="219" t="str">
        <f t="shared" si="39"/>
        <v/>
      </c>
      <c r="B207" s="217"/>
      <c r="C207" s="217"/>
      <c r="D207" s="220" t="s">
        <v>14</v>
      </c>
      <c r="E207" s="221" t="s">
        <v>79</v>
      </c>
      <c r="F207" s="218" t="str">
        <f t="shared" si="37"/>
        <v>3+814-15</v>
      </c>
      <c r="G207" s="222" t="s">
        <v>30</v>
      </c>
      <c r="H207" s="222"/>
      <c r="I207" s="222" t="s">
        <v>230</v>
      </c>
      <c r="J207" s="222" t="s">
        <v>46</v>
      </c>
      <c r="K207" s="222"/>
      <c r="L207" s="222" t="s">
        <v>53</v>
      </c>
      <c r="M207" s="222" t="s">
        <v>238</v>
      </c>
      <c r="N207" s="222"/>
      <c r="O207" s="222" t="s">
        <v>23</v>
      </c>
      <c r="P207" s="220" t="s">
        <v>19</v>
      </c>
      <c r="Q207" s="220"/>
      <c r="R207" s="220" t="s">
        <v>34</v>
      </c>
      <c r="S207" s="222" t="s">
        <v>62</v>
      </c>
      <c r="T207" s="222"/>
      <c r="U207" s="220" t="s">
        <v>60</v>
      </c>
      <c r="V207" s="220"/>
      <c r="W207" s="220" t="s">
        <v>57</v>
      </c>
      <c r="X207" s="223">
        <f t="shared" si="38"/>
        <v>11</v>
      </c>
      <c r="Y207" s="223" t="s">
        <v>53</v>
      </c>
      <c r="Z207" s="219">
        <f t="shared" si="40"/>
        <v>6</v>
      </c>
      <c r="AA207" s="219">
        <f t="shared" si="41"/>
        <v>6</v>
      </c>
      <c r="AB207" s="219">
        <f t="shared" si="42"/>
        <v>2</v>
      </c>
      <c r="AC207" s="219" t="str" cm="1">
        <f t="array" ref="AC207">_xlfn.TEXTJOIN(", ", TRUE, _xlfn.UNIQUE(_xlfn._xlws.FILTER(G207:W207, COUNTIF(G207:W207, G207:W207)&gt;1, "無")))</f>
        <v>無</v>
      </c>
    </row>
    <row r="208" spans="1:29" s="218" customFormat="1" ht="16.5" customHeight="1">
      <c r="A208" s="219" t="str">
        <f t="shared" si="39"/>
        <v/>
      </c>
      <c r="B208" s="217"/>
      <c r="C208" s="217"/>
      <c r="D208" s="220" t="s">
        <v>14</v>
      </c>
      <c r="E208" s="221" t="s">
        <v>80</v>
      </c>
      <c r="F208" s="218" t="str">
        <f t="shared" si="37"/>
        <v>3+815-16</v>
      </c>
      <c r="G208" s="222" t="s">
        <v>30</v>
      </c>
      <c r="H208" s="222"/>
      <c r="I208" s="222" t="s">
        <v>230</v>
      </c>
      <c r="J208" s="222" t="s">
        <v>46</v>
      </c>
      <c r="K208" s="222"/>
      <c r="L208" s="222" t="s">
        <v>53</v>
      </c>
      <c r="M208" s="222" t="s">
        <v>238</v>
      </c>
      <c r="N208" s="222"/>
      <c r="O208" s="222" t="s">
        <v>23</v>
      </c>
      <c r="P208" s="220" t="s">
        <v>19</v>
      </c>
      <c r="Q208" s="220"/>
      <c r="R208" s="220" t="s">
        <v>34</v>
      </c>
      <c r="S208" s="222" t="s">
        <v>62</v>
      </c>
      <c r="T208" s="222"/>
      <c r="U208" s="220" t="s">
        <v>60</v>
      </c>
      <c r="V208" s="220"/>
      <c r="W208" s="220" t="s">
        <v>57</v>
      </c>
      <c r="X208" s="223">
        <f t="shared" si="38"/>
        <v>11</v>
      </c>
      <c r="Y208" s="223" t="s">
        <v>26</v>
      </c>
      <c r="Z208" s="219">
        <f t="shared" si="40"/>
        <v>6</v>
      </c>
      <c r="AA208" s="219">
        <f t="shared" si="41"/>
        <v>6</v>
      </c>
      <c r="AB208" s="219">
        <f t="shared" si="42"/>
        <v>2</v>
      </c>
      <c r="AC208" s="219" t="str" cm="1">
        <f t="array" ref="AC208">_xlfn.TEXTJOIN(", ", TRUE, _xlfn.UNIQUE(_xlfn._xlws.FILTER(G208:W208, COUNTIF(G208:W208, G208:W208)&gt;1, "無")))</f>
        <v>無</v>
      </c>
    </row>
    <row r="209" spans="1:29" s="218" customFormat="1" ht="16.5" customHeight="1">
      <c r="A209" s="219" t="str">
        <f t="shared" si="39"/>
        <v>A</v>
      </c>
      <c r="B209" s="217" t="s">
        <v>19</v>
      </c>
      <c r="C209" s="217"/>
      <c r="D209" s="220" t="s">
        <v>14</v>
      </c>
      <c r="E209" s="221" t="s">
        <v>81</v>
      </c>
      <c r="F209" s="218" t="str">
        <f t="shared" si="37"/>
        <v>3+816-17</v>
      </c>
      <c r="G209" s="222" t="s">
        <v>34</v>
      </c>
      <c r="H209" s="222"/>
      <c r="I209" s="222" t="s">
        <v>53</v>
      </c>
      <c r="J209" s="222" t="s">
        <v>26</v>
      </c>
      <c r="K209" s="222"/>
      <c r="L209" s="222" t="s">
        <v>23</v>
      </c>
      <c r="M209" s="222" t="s">
        <v>46</v>
      </c>
      <c r="N209" s="222"/>
      <c r="O209" s="222" t="s">
        <v>30</v>
      </c>
      <c r="P209" s="220" t="s">
        <v>49</v>
      </c>
      <c r="Q209" s="220"/>
      <c r="R209" s="220" t="s">
        <v>62</v>
      </c>
      <c r="S209" s="222"/>
      <c r="T209" s="222"/>
      <c r="U209" s="222" t="s">
        <v>60</v>
      </c>
      <c r="V209" s="220"/>
      <c r="W209" s="220" t="s">
        <v>57</v>
      </c>
      <c r="X209" s="223">
        <f t="shared" si="38"/>
        <v>11</v>
      </c>
      <c r="Y209" s="223" t="s">
        <v>46</v>
      </c>
      <c r="Z209" s="219">
        <f t="shared" si="40"/>
        <v>6</v>
      </c>
      <c r="AA209" s="219">
        <f t="shared" si="41"/>
        <v>4</v>
      </c>
      <c r="AB209" s="219">
        <f t="shared" si="42"/>
        <v>2</v>
      </c>
      <c r="AC209" s="219" t="str" cm="1">
        <f t="array" ref="AC209">_xlfn.TEXTJOIN(", ", TRUE, _xlfn.UNIQUE(_xlfn._xlws.FILTER(G209:W209, COUNTIF(G209:W209, G209:W209)&gt;1, "無")))</f>
        <v>無</v>
      </c>
    </row>
    <row r="210" spans="1:29" s="218" customFormat="1" ht="16.5" customHeight="1">
      <c r="A210" s="219" t="str">
        <f t="shared" si="39"/>
        <v>A</v>
      </c>
      <c r="B210" s="217" t="s">
        <v>19</v>
      </c>
      <c r="C210" s="217"/>
      <c r="D210" s="220" t="s">
        <v>14</v>
      </c>
      <c r="E210" s="221" t="s">
        <v>82</v>
      </c>
      <c r="F210" s="218" t="str">
        <f t="shared" si="37"/>
        <v>3+817-18</v>
      </c>
      <c r="G210" s="222" t="s">
        <v>34</v>
      </c>
      <c r="H210" s="222"/>
      <c r="I210" s="222" t="s">
        <v>53</v>
      </c>
      <c r="J210" s="222" t="s">
        <v>26</v>
      </c>
      <c r="K210" s="222"/>
      <c r="L210" s="222" t="s">
        <v>23</v>
      </c>
      <c r="M210" s="222" t="s">
        <v>46</v>
      </c>
      <c r="N210" s="222"/>
      <c r="O210" s="222" t="s">
        <v>30</v>
      </c>
      <c r="P210" s="220" t="s">
        <v>49</v>
      </c>
      <c r="Q210" s="220"/>
      <c r="R210" s="220" t="s">
        <v>62</v>
      </c>
      <c r="S210" s="222"/>
      <c r="T210" s="222"/>
      <c r="U210" s="222" t="s">
        <v>60</v>
      </c>
      <c r="V210" s="220"/>
      <c r="W210" s="220" t="s">
        <v>57</v>
      </c>
      <c r="X210" s="223">
        <f t="shared" si="38"/>
        <v>11</v>
      </c>
      <c r="Y210" s="223" t="s">
        <v>57</v>
      </c>
      <c r="Z210" s="219">
        <f t="shared" si="40"/>
        <v>0</v>
      </c>
      <c r="AA210" s="219">
        <f t="shared" si="41"/>
        <v>0</v>
      </c>
      <c r="AB210" s="219">
        <f t="shared" si="42"/>
        <v>2</v>
      </c>
      <c r="AC210" s="219" t="str" cm="1">
        <f t="array" ref="AC210">_xlfn.TEXTJOIN(", ", TRUE, _xlfn.UNIQUE(_xlfn._xlws.FILTER(G210:W210, COUNTIF(G210:W210, G210:W210)&gt;1, "無")))</f>
        <v>無</v>
      </c>
    </row>
    <row r="211" spans="1:29" s="218" customFormat="1" ht="16.5" customHeight="1">
      <c r="A211" s="219" t="str">
        <f t="shared" si="39"/>
        <v>C</v>
      </c>
      <c r="B211" s="217" t="s">
        <v>30</v>
      </c>
      <c r="C211" s="217"/>
      <c r="D211" s="220" t="s">
        <v>14</v>
      </c>
      <c r="E211" s="221" t="s">
        <v>83</v>
      </c>
      <c r="F211" s="218" t="str">
        <f t="shared" si="37"/>
        <v>3+818-19</v>
      </c>
      <c r="G211" s="222" t="s">
        <v>60</v>
      </c>
      <c r="H211" s="222"/>
      <c r="I211" s="222" t="s">
        <v>230</v>
      </c>
      <c r="J211" s="222" t="s">
        <v>46</v>
      </c>
      <c r="K211" s="222"/>
      <c r="L211" s="222" t="s">
        <v>19</v>
      </c>
      <c r="M211" s="222" t="s">
        <v>26</v>
      </c>
      <c r="N211" s="222"/>
      <c r="O211" s="222" t="s">
        <v>235</v>
      </c>
      <c r="P211" s="220" t="s">
        <v>23</v>
      </c>
      <c r="Q211" s="220"/>
      <c r="R211" s="220" t="s">
        <v>53</v>
      </c>
      <c r="S211" s="222" t="s">
        <v>62</v>
      </c>
      <c r="T211" s="222"/>
      <c r="U211" s="220"/>
      <c r="V211" s="220"/>
      <c r="W211" s="220" t="s">
        <v>57</v>
      </c>
      <c r="X211" s="223">
        <f t="shared" si="38"/>
        <v>11</v>
      </c>
      <c r="Y211" s="219" t="s">
        <v>60</v>
      </c>
      <c r="Z211" s="219">
        <f t="shared" si="40"/>
        <v>0</v>
      </c>
      <c r="AA211" s="219">
        <f t="shared" si="41"/>
        <v>0</v>
      </c>
      <c r="AB211" s="219">
        <f t="shared" si="42"/>
        <v>2</v>
      </c>
      <c r="AC211" s="219" t="str" cm="1">
        <f t="array" ref="AC211">_xlfn.TEXTJOIN(", ", TRUE, _xlfn.UNIQUE(_xlfn._xlws.FILTER(G211:W211, COUNTIF(G211:W211, G211:W211)&gt;1, "無")))</f>
        <v>無</v>
      </c>
    </row>
    <row r="212" spans="1:29" s="218" customFormat="1" ht="16.5" customHeight="1">
      <c r="A212" s="219" t="str">
        <f t="shared" si="39"/>
        <v>C</v>
      </c>
      <c r="B212" s="217" t="s">
        <v>30</v>
      </c>
      <c r="C212" s="217"/>
      <c r="D212" s="220" t="s">
        <v>14</v>
      </c>
      <c r="E212" s="221" t="s">
        <v>84</v>
      </c>
      <c r="F212" s="218" t="str">
        <f t="shared" si="37"/>
        <v>3+819-20</v>
      </c>
      <c r="G212" s="222" t="s">
        <v>60</v>
      </c>
      <c r="H212" s="222"/>
      <c r="I212" s="222" t="s">
        <v>230</v>
      </c>
      <c r="J212" s="222" t="s">
        <v>46</v>
      </c>
      <c r="K212" s="222"/>
      <c r="L212" s="222" t="s">
        <v>19</v>
      </c>
      <c r="M212" s="222" t="s">
        <v>26</v>
      </c>
      <c r="N212" s="222"/>
      <c r="O212" s="222" t="s">
        <v>235</v>
      </c>
      <c r="P212" s="220" t="s">
        <v>23</v>
      </c>
      <c r="Q212" s="220"/>
      <c r="R212" s="220" t="s">
        <v>53</v>
      </c>
      <c r="S212" s="222" t="s">
        <v>62</v>
      </c>
      <c r="T212" s="222"/>
      <c r="U212" s="220"/>
      <c r="V212" s="220"/>
      <c r="W212" s="220" t="s">
        <v>57</v>
      </c>
      <c r="X212" s="223">
        <f t="shared" si="38"/>
        <v>11</v>
      </c>
      <c r="Y212" s="223" t="s">
        <v>62</v>
      </c>
      <c r="Z212" s="219">
        <f t="shared" si="40"/>
        <v>0</v>
      </c>
      <c r="AA212" s="219">
        <f t="shared" si="41"/>
        <v>0</v>
      </c>
      <c r="AB212" s="219">
        <f t="shared" si="42"/>
        <v>2</v>
      </c>
      <c r="AC212" s="219" t="str" cm="1">
        <f t="array" ref="AC212">_xlfn.TEXTJOIN(", ", TRUE, _xlfn.UNIQUE(_xlfn._xlws.FILTER(G212:W212, COUNTIF(G212:W212, G212:W212)&gt;1, "無")))</f>
        <v>無</v>
      </c>
    </row>
    <row r="213" spans="1:29" s="218" customFormat="1" ht="16.5" customHeight="1">
      <c r="A213" s="219" t="str">
        <f t="shared" si="39"/>
        <v>B,D</v>
      </c>
      <c r="B213" s="217" t="s">
        <v>23</v>
      </c>
      <c r="C213" s="217" t="s">
        <v>235</v>
      </c>
      <c r="D213" s="220" t="s">
        <v>14</v>
      </c>
      <c r="E213" s="221" t="s">
        <v>85</v>
      </c>
      <c r="F213" s="218" t="str">
        <f t="shared" si="37"/>
        <v>3+820-21</v>
      </c>
      <c r="G213" s="222" t="s">
        <v>62</v>
      </c>
      <c r="H213" s="222"/>
      <c r="I213" s="222" t="s">
        <v>238</v>
      </c>
      <c r="J213" s="222" t="s">
        <v>230</v>
      </c>
      <c r="K213" s="222"/>
      <c r="L213" s="222" t="s">
        <v>30</v>
      </c>
      <c r="M213" s="222" t="s">
        <v>19</v>
      </c>
      <c r="N213" s="222"/>
      <c r="O213" s="220" t="s">
        <v>46</v>
      </c>
      <c r="P213" s="220" t="s">
        <v>53</v>
      </c>
      <c r="Q213" s="220"/>
      <c r="R213" s="222"/>
      <c r="S213" s="222"/>
      <c r="T213" s="222"/>
      <c r="U213" s="222" t="s">
        <v>60</v>
      </c>
      <c r="V213" s="220"/>
      <c r="W213" s="220" t="s">
        <v>57</v>
      </c>
      <c r="X213" s="223">
        <f t="shared" si="38"/>
        <v>11</v>
      </c>
      <c r="Y213" s="223"/>
      <c r="Z213" s="219"/>
      <c r="AA213" s="219"/>
      <c r="AB213" s="219"/>
      <c r="AC213" s="219" t="str" cm="1">
        <f t="array" ref="AC213">_xlfn.TEXTJOIN(", ", TRUE, _xlfn.UNIQUE(_xlfn._xlws.FILTER(G213:W213, COUNTIF(G213:W213, G213:W213)&gt;1, "無")))</f>
        <v>無</v>
      </c>
    </row>
    <row r="214" spans="1:29" s="218" customFormat="1" ht="16.5" customHeight="1">
      <c r="A214" s="219" t="str">
        <f t="shared" si="39"/>
        <v>B,D</v>
      </c>
      <c r="B214" s="217" t="s">
        <v>23</v>
      </c>
      <c r="C214" s="217" t="s">
        <v>235</v>
      </c>
      <c r="D214" s="220" t="s">
        <v>14</v>
      </c>
      <c r="E214" s="221" t="s">
        <v>86</v>
      </c>
      <c r="F214" s="218" t="str">
        <f t="shared" si="37"/>
        <v>3+821-22</v>
      </c>
      <c r="G214" s="222" t="s">
        <v>62</v>
      </c>
      <c r="H214" s="222"/>
      <c r="I214" s="222" t="s">
        <v>238</v>
      </c>
      <c r="J214" s="222" t="s">
        <v>230</v>
      </c>
      <c r="K214" s="222"/>
      <c r="L214" s="222" t="s">
        <v>30</v>
      </c>
      <c r="M214" s="222" t="s">
        <v>19</v>
      </c>
      <c r="N214" s="222"/>
      <c r="O214" s="220" t="s">
        <v>46</v>
      </c>
      <c r="P214" s="220" t="s">
        <v>53</v>
      </c>
      <c r="Q214" s="220"/>
      <c r="R214" s="222"/>
      <c r="S214" s="222"/>
      <c r="T214" s="222"/>
      <c r="U214" s="222" t="s">
        <v>60</v>
      </c>
      <c r="V214" s="220"/>
      <c r="W214" s="220" t="s">
        <v>57</v>
      </c>
      <c r="X214" s="223">
        <f t="shared" si="38"/>
        <v>11</v>
      </c>
      <c r="Y214" s="219"/>
      <c r="Z214" s="219"/>
      <c r="AA214" s="219"/>
      <c r="AB214" s="219"/>
      <c r="AC214" s="219" t="str" cm="1">
        <f t="array" ref="AC214">_xlfn.TEXTJOIN(", ", TRUE, _xlfn.UNIQUE(_xlfn._xlws.FILTER(G214:W214, COUNTIF(G214:W214, G214:W214)&gt;1, "無")))</f>
        <v>無</v>
      </c>
    </row>
    <row r="215" spans="1:29" s="218" customFormat="1" ht="16.5" customHeight="1">
      <c r="A215" s="219" t="str">
        <f t="shared" si="39"/>
        <v/>
      </c>
      <c r="B215" s="217"/>
      <c r="C215" s="217"/>
      <c r="D215" s="220" t="s">
        <v>14</v>
      </c>
      <c r="E215" s="221" t="s">
        <v>87</v>
      </c>
      <c r="F215" s="218" t="str">
        <f t="shared" si="37"/>
        <v>3+822-23</v>
      </c>
      <c r="G215" s="222" t="s">
        <v>46</v>
      </c>
      <c r="H215" s="222"/>
      <c r="I215" s="222" t="s">
        <v>53</v>
      </c>
      <c r="J215" s="222" t="s">
        <v>30</v>
      </c>
      <c r="K215" s="222"/>
      <c r="L215" s="222" t="s">
        <v>19</v>
      </c>
      <c r="M215" s="222" t="s">
        <v>23</v>
      </c>
      <c r="N215" s="222"/>
      <c r="O215" s="222" t="s">
        <v>26</v>
      </c>
      <c r="P215" s="220" t="s">
        <v>49</v>
      </c>
      <c r="Q215" s="220"/>
      <c r="R215" s="220" t="s">
        <v>235</v>
      </c>
      <c r="S215" s="220" t="s">
        <v>62</v>
      </c>
      <c r="T215" s="222"/>
      <c r="U215" s="222" t="s">
        <v>60</v>
      </c>
      <c r="V215" s="220"/>
      <c r="W215" s="220" t="s">
        <v>57</v>
      </c>
      <c r="X215" s="223">
        <f t="shared" si="38"/>
        <v>11</v>
      </c>
      <c r="Y215" s="219"/>
      <c r="Z215" s="219"/>
      <c r="AA215" s="219"/>
      <c r="AB215" s="219"/>
      <c r="AC215" s="219" t="str" cm="1">
        <f t="array" ref="AC215">_xlfn.TEXTJOIN(", ", TRUE, _xlfn.UNIQUE(_xlfn._xlws.FILTER(G215:W215, COUNTIF(G215:W215, G215:W215)&gt;1, "無")))</f>
        <v>無</v>
      </c>
    </row>
    <row r="216" spans="1:29" s="218" customFormat="1" ht="16.5" customHeight="1">
      <c r="A216" s="219" t="str">
        <f t="shared" si="39"/>
        <v/>
      </c>
      <c r="B216" s="217"/>
      <c r="C216" s="217"/>
      <c r="D216" s="220" t="s">
        <v>14</v>
      </c>
      <c r="E216" s="221" t="s">
        <v>88</v>
      </c>
      <c r="F216" s="218" t="str">
        <f t="shared" si="37"/>
        <v>3+823-24</v>
      </c>
      <c r="G216" s="222" t="s">
        <v>46</v>
      </c>
      <c r="H216" s="222"/>
      <c r="I216" s="222" t="s">
        <v>53</v>
      </c>
      <c r="J216" s="222" t="s">
        <v>30</v>
      </c>
      <c r="K216" s="222"/>
      <c r="L216" s="222" t="s">
        <v>19</v>
      </c>
      <c r="M216" s="222" t="s">
        <v>23</v>
      </c>
      <c r="N216" s="222"/>
      <c r="O216" s="222" t="s">
        <v>26</v>
      </c>
      <c r="P216" s="220" t="s">
        <v>49</v>
      </c>
      <c r="Q216" s="220"/>
      <c r="R216" s="220" t="s">
        <v>235</v>
      </c>
      <c r="S216" s="220" t="s">
        <v>62</v>
      </c>
      <c r="T216" s="222"/>
      <c r="U216" s="222" t="s">
        <v>60</v>
      </c>
      <c r="V216" s="220"/>
      <c r="W216" s="220" t="s">
        <v>57</v>
      </c>
      <c r="X216" s="223">
        <f t="shared" si="38"/>
        <v>11</v>
      </c>
      <c r="Y216" s="219"/>
      <c r="Z216" s="219"/>
      <c r="AA216" s="219"/>
      <c r="AB216" s="219"/>
      <c r="AC216" s="219" t="str" cm="1">
        <f t="array" ref="AC216">_xlfn.TEXTJOIN(", ", TRUE, _xlfn.UNIQUE(_xlfn._xlws.FILTER(G216:W216, COUNTIF(G216:W216, G216:W216)&gt;1, "無")))</f>
        <v>無</v>
      </c>
    </row>
    <row r="217" spans="1:29" s="218" customFormat="1" ht="16.5" customHeight="1">
      <c r="A217" s="219" t="str">
        <f t="shared" si="39"/>
        <v/>
      </c>
      <c r="B217" s="217"/>
      <c r="C217" s="217"/>
      <c r="D217" s="220" t="s">
        <v>14</v>
      </c>
      <c r="E217" s="221" t="s">
        <v>89</v>
      </c>
      <c r="F217" s="218" t="str">
        <f t="shared" si="37"/>
        <v>3+800-01</v>
      </c>
      <c r="G217" s="222" t="s">
        <v>46</v>
      </c>
      <c r="H217" s="222"/>
      <c r="I217" s="222" t="s">
        <v>19</v>
      </c>
      <c r="J217" s="222" t="s">
        <v>23</v>
      </c>
      <c r="K217" s="222"/>
      <c r="L217" s="222" t="s">
        <v>230</v>
      </c>
      <c r="M217" s="222" t="s">
        <v>238</v>
      </c>
      <c r="N217" s="222"/>
      <c r="O217" s="222" t="s">
        <v>34</v>
      </c>
      <c r="P217" s="220" t="s">
        <v>53</v>
      </c>
      <c r="Q217" s="220"/>
      <c r="R217" s="220" t="s">
        <v>239</v>
      </c>
      <c r="S217" s="222" t="s">
        <v>241</v>
      </c>
      <c r="T217" s="222"/>
      <c r="U217" s="220" t="s">
        <v>232</v>
      </c>
      <c r="V217" s="220"/>
      <c r="W217" s="220" t="s">
        <v>57</v>
      </c>
      <c r="X217" s="223">
        <f t="shared" si="38"/>
        <v>11</v>
      </c>
      <c r="Y217" s="219"/>
      <c r="Z217" s="219"/>
      <c r="AA217" s="219"/>
      <c r="AB217" s="219"/>
      <c r="AC217" s="219" t="str" cm="1">
        <f t="array" ref="AC217">_xlfn.TEXTJOIN(", ", TRUE, _xlfn.UNIQUE(_xlfn._xlws.FILTER(G217:W217, COUNTIF(G217:W217, G217:W217)&gt;1, "無")))</f>
        <v>無</v>
      </c>
    </row>
    <row r="218" spans="1:29" s="218" customFormat="1" ht="16.5" customHeight="1">
      <c r="A218" s="219" t="str">
        <f t="shared" si="39"/>
        <v/>
      </c>
      <c r="B218" s="217"/>
      <c r="C218" s="217"/>
      <c r="D218" s="220" t="s">
        <v>14</v>
      </c>
      <c r="E218" s="221" t="s">
        <v>90</v>
      </c>
      <c r="F218" s="218" t="str">
        <f t="shared" si="37"/>
        <v>3+801-02</v>
      </c>
      <c r="G218" s="222" t="s">
        <v>46</v>
      </c>
      <c r="H218" s="222"/>
      <c r="I218" s="222" t="s">
        <v>19</v>
      </c>
      <c r="J218" s="222" t="s">
        <v>23</v>
      </c>
      <c r="K218" s="222"/>
      <c r="L218" s="222" t="s">
        <v>230</v>
      </c>
      <c r="M218" s="222" t="s">
        <v>238</v>
      </c>
      <c r="N218" s="222"/>
      <c r="O218" s="222" t="s">
        <v>34</v>
      </c>
      <c r="P218" s="220" t="s">
        <v>53</v>
      </c>
      <c r="Q218" s="220"/>
      <c r="R218" s="220" t="s">
        <v>239</v>
      </c>
      <c r="S218" s="222" t="s">
        <v>241</v>
      </c>
      <c r="T218" s="222"/>
      <c r="U218" s="220" t="s">
        <v>232</v>
      </c>
      <c r="V218" s="220"/>
      <c r="W218" s="220" t="s">
        <v>57</v>
      </c>
      <c r="X218" s="223">
        <f t="shared" si="38"/>
        <v>11</v>
      </c>
      <c r="Y218" s="219"/>
      <c r="Z218" s="219"/>
      <c r="AA218" s="219"/>
      <c r="AB218" s="219"/>
      <c r="AC218" s="219" t="str" cm="1">
        <f t="array" ref="AC218">_xlfn.TEXTJOIN(", ", TRUE, _xlfn.UNIQUE(_xlfn._xlws.FILTER(G218:W218, COUNTIF(G218:W218, G218:W218)&gt;1, "無")))</f>
        <v>無</v>
      </c>
    </row>
    <row r="219" spans="1:29" s="218" customFormat="1" ht="16.5" customHeight="1">
      <c r="A219" s="219" t="str">
        <f t="shared" si="39"/>
        <v/>
      </c>
      <c r="B219" s="217"/>
      <c r="C219" s="217"/>
      <c r="D219" s="220" t="s">
        <v>14</v>
      </c>
      <c r="E219" s="221" t="s">
        <v>91</v>
      </c>
      <c r="F219" s="218" t="str">
        <f t="shared" si="37"/>
        <v>3+802-03</v>
      </c>
      <c r="G219" s="222" t="s">
        <v>46</v>
      </c>
      <c r="H219" s="222"/>
      <c r="I219" s="222" t="s">
        <v>19</v>
      </c>
      <c r="J219" s="222" t="s">
        <v>23</v>
      </c>
      <c r="K219" s="222"/>
      <c r="L219" s="222" t="s">
        <v>34</v>
      </c>
      <c r="M219" s="222" t="s">
        <v>49</v>
      </c>
      <c r="N219" s="222"/>
      <c r="O219" s="222" t="s">
        <v>26</v>
      </c>
      <c r="P219" s="220" t="s">
        <v>53</v>
      </c>
      <c r="Q219" s="220"/>
      <c r="R219" s="220" t="s">
        <v>30</v>
      </c>
      <c r="S219" s="222" t="s">
        <v>62</v>
      </c>
      <c r="T219" s="222"/>
      <c r="U219" s="220" t="s">
        <v>232</v>
      </c>
      <c r="V219" s="220"/>
      <c r="W219" s="220" t="s">
        <v>57</v>
      </c>
      <c r="X219" s="223">
        <f t="shared" si="38"/>
        <v>11</v>
      </c>
      <c r="Y219" s="219"/>
      <c r="Z219" s="219"/>
      <c r="AA219" s="219"/>
      <c r="AB219" s="219"/>
      <c r="AC219" s="219" t="str" cm="1">
        <f t="array" ref="AC219">_xlfn.TEXTJOIN(", ", TRUE, _xlfn.UNIQUE(_xlfn._xlws.FILTER(G219:W219, COUNTIF(G219:W219, G219:W219)&gt;1, "無")))</f>
        <v>無</v>
      </c>
    </row>
    <row r="220" spans="1:29" s="218" customFormat="1" ht="16.5" customHeight="1">
      <c r="A220" s="219" t="str">
        <f t="shared" si="39"/>
        <v/>
      </c>
      <c r="B220" s="217"/>
      <c r="C220" s="217"/>
      <c r="D220" s="220" t="s">
        <v>14</v>
      </c>
      <c r="E220" s="221" t="s">
        <v>92</v>
      </c>
      <c r="F220" s="218" t="str">
        <f t="shared" si="37"/>
        <v>3+803-04</v>
      </c>
      <c r="G220" s="222" t="s">
        <v>46</v>
      </c>
      <c r="H220" s="222"/>
      <c r="I220" s="222" t="s">
        <v>19</v>
      </c>
      <c r="J220" s="222" t="s">
        <v>23</v>
      </c>
      <c r="K220" s="222"/>
      <c r="L220" s="222" t="s">
        <v>34</v>
      </c>
      <c r="M220" s="222" t="s">
        <v>49</v>
      </c>
      <c r="N220" s="222"/>
      <c r="O220" s="222" t="s">
        <v>26</v>
      </c>
      <c r="P220" s="220" t="s">
        <v>53</v>
      </c>
      <c r="Q220" s="220"/>
      <c r="R220" s="220" t="s">
        <v>30</v>
      </c>
      <c r="S220" s="222" t="s">
        <v>62</v>
      </c>
      <c r="T220" s="222"/>
      <c r="U220" s="220" t="s">
        <v>232</v>
      </c>
      <c r="V220" s="220"/>
      <c r="W220" s="220" t="s">
        <v>57</v>
      </c>
      <c r="X220" s="223">
        <f t="shared" si="38"/>
        <v>11</v>
      </c>
      <c r="Y220" s="219"/>
      <c r="Z220" s="219"/>
      <c r="AA220" s="219"/>
      <c r="AB220" s="219"/>
      <c r="AC220" s="219" t="str" cm="1">
        <f t="array" ref="AC220">_xlfn.TEXTJOIN(", ", TRUE, _xlfn.UNIQUE(_xlfn._xlws.FILTER(G220:W220, COUNTIF(G220:W220, G220:W220)&gt;1, "無")))</f>
        <v>無</v>
      </c>
    </row>
    <row r="221" spans="1:29" s="218" customFormat="1" ht="16.5" customHeight="1">
      <c r="A221" s="219" t="str">
        <f t="shared" si="39"/>
        <v/>
      </c>
      <c r="B221" s="217"/>
      <c r="C221" s="217"/>
      <c r="D221" s="220" t="s">
        <v>14</v>
      </c>
      <c r="E221" s="221" t="s">
        <v>93</v>
      </c>
      <c r="F221" s="218" t="str">
        <f t="shared" si="37"/>
        <v>3+804-05</v>
      </c>
      <c r="G221" s="222" t="s">
        <v>46</v>
      </c>
      <c r="H221" s="222"/>
      <c r="I221" s="222" t="s">
        <v>30</v>
      </c>
      <c r="J221" s="222" t="s">
        <v>34</v>
      </c>
      <c r="K221" s="222"/>
      <c r="L221" s="222" t="s">
        <v>49</v>
      </c>
      <c r="M221" s="222" t="s">
        <v>53</v>
      </c>
      <c r="N221" s="222"/>
      <c r="O221" s="222" t="s">
        <v>19</v>
      </c>
      <c r="P221" s="220" t="s">
        <v>23</v>
      </c>
      <c r="Q221" s="220"/>
      <c r="R221" s="220" t="s">
        <v>26</v>
      </c>
      <c r="S221" s="222" t="s">
        <v>62</v>
      </c>
      <c r="T221" s="222"/>
      <c r="U221" s="220" t="s">
        <v>232</v>
      </c>
      <c r="V221" s="220"/>
      <c r="W221" s="220" t="s">
        <v>231</v>
      </c>
      <c r="X221" s="223">
        <f t="shared" si="38"/>
        <v>11</v>
      </c>
      <c r="Y221" s="219"/>
      <c r="Z221" s="219"/>
      <c r="AA221" s="219"/>
      <c r="AB221" s="219"/>
      <c r="AC221" s="219" t="str" cm="1">
        <f t="array" ref="AC221">_xlfn.TEXTJOIN(", ", TRUE, _xlfn.UNIQUE(_xlfn._xlws.FILTER(G221:W221, COUNTIF(G221:W221, G221:W221)&gt;1, "無")))</f>
        <v>無</v>
      </c>
    </row>
    <row r="222" spans="1:29" s="218" customFormat="1" ht="16.5" customHeight="1">
      <c r="A222" s="219" t="str">
        <f t="shared" si="39"/>
        <v/>
      </c>
      <c r="B222" s="217"/>
      <c r="C222" s="217"/>
      <c r="D222" s="220" t="s">
        <v>14</v>
      </c>
      <c r="E222" s="221" t="s">
        <v>94</v>
      </c>
      <c r="F222" s="218" t="str">
        <f t="shared" si="37"/>
        <v>3+805-06</v>
      </c>
      <c r="G222" s="222" t="s">
        <v>46</v>
      </c>
      <c r="H222" s="222"/>
      <c r="I222" s="222" t="s">
        <v>30</v>
      </c>
      <c r="J222" s="222" t="s">
        <v>34</v>
      </c>
      <c r="K222" s="222"/>
      <c r="L222" s="222" t="s">
        <v>49</v>
      </c>
      <c r="M222" s="222" t="s">
        <v>53</v>
      </c>
      <c r="N222" s="222"/>
      <c r="O222" s="222" t="s">
        <v>19</v>
      </c>
      <c r="P222" s="220" t="s">
        <v>23</v>
      </c>
      <c r="Q222" s="220"/>
      <c r="R222" s="220" t="s">
        <v>26</v>
      </c>
      <c r="S222" s="222" t="s">
        <v>62</v>
      </c>
      <c r="T222" s="222"/>
      <c r="U222" s="220" t="s">
        <v>232</v>
      </c>
      <c r="V222" s="220"/>
      <c r="W222" s="220" t="s">
        <v>231</v>
      </c>
      <c r="X222" s="223">
        <f t="shared" si="38"/>
        <v>11</v>
      </c>
      <c r="Y222" s="219"/>
      <c r="Z222" s="219"/>
      <c r="AA222" s="219"/>
      <c r="AB222" s="219"/>
      <c r="AC222" s="219" t="str" cm="1">
        <f t="array" ref="AC222">_xlfn.TEXTJOIN(", ", TRUE, _xlfn.UNIQUE(_xlfn._xlws.FILTER(G222:W222, COUNTIF(G222:W222, G222:W222)&gt;1, "無")))</f>
        <v>無</v>
      </c>
    </row>
    <row r="223" spans="1:29" s="218" customFormat="1" ht="16.5" customHeight="1">
      <c r="A223" s="219" t="str">
        <f t="shared" si="39"/>
        <v>G,L</v>
      </c>
      <c r="B223" s="217" t="s">
        <v>26</v>
      </c>
      <c r="C223" s="217" t="s">
        <v>232</v>
      </c>
      <c r="D223" s="220" t="s">
        <v>14</v>
      </c>
      <c r="E223" s="221" t="s">
        <v>95</v>
      </c>
      <c r="F223" s="218" t="str">
        <f t="shared" si="37"/>
        <v>3+806-07</v>
      </c>
      <c r="G223" s="222" t="s">
        <v>46</v>
      </c>
      <c r="H223" s="222"/>
      <c r="I223" s="222" t="s">
        <v>30</v>
      </c>
      <c r="J223" s="222" t="s">
        <v>34</v>
      </c>
      <c r="K223" s="222"/>
      <c r="L223" s="222" t="s">
        <v>53</v>
      </c>
      <c r="M223" s="222" t="s">
        <v>23</v>
      </c>
      <c r="N223" s="222"/>
      <c r="O223" s="222" t="s">
        <v>49</v>
      </c>
      <c r="P223" s="220" t="s">
        <v>19</v>
      </c>
      <c r="Q223" s="220"/>
      <c r="R223" s="220" t="s">
        <v>62</v>
      </c>
      <c r="S223" s="222"/>
      <c r="T223" s="222"/>
      <c r="U223" s="220"/>
      <c r="V223" s="220"/>
      <c r="W223" s="220" t="s">
        <v>57</v>
      </c>
      <c r="X223" s="223">
        <f t="shared" si="38"/>
        <v>11</v>
      </c>
      <c r="Y223" s="219"/>
      <c r="Z223" s="219"/>
      <c r="AA223" s="219"/>
      <c r="AB223" s="219"/>
      <c r="AC223" s="219" t="str" cm="1">
        <f t="array" ref="AC223">_xlfn.TEXTJOIN(", ", TRUE, _xlfn.UNIQUE(_xlfn._xlws.FILTER(G223:W223, COUNTIF(G223:W223, G223:W223)&gt;1, "無")))</f>
        <v>無</v>
      </c>
    </row>
    <row r="224" spans="1:29" s="218" customFormat="1" ht="16.5" customHeight="1">
      <c r="A224" s="219" t="str">
        <f t="shared" si="39"/>
        <v>G,L</v>
      </c>
      <c r="B224" s="217" t="s">
        <v>26</v>
      </c>
      <c r="C224" s="217" t="s">
        <v>232</v>
      </c>
      <c r="D224" s="220" t="s">
        <v>14</v>
      </c>
      <c r="E224" s="221" t="s">
        <v>96</v>
      </c>
      <c r="F224" s="218" t="str">
        <f t="shared" si="37"/>
        <v>3+807-08</v>
      </c>
      <c r="G224" s="222" t="s">
        <v>46</v>
      </c>
      <c r="H224" s="222"/>
      <c r="I224" s="222" t="s">
        <v>30</v>
      </c>
      <c r="J224" s="222" t="s">
        <v>34</v>
      </c>
      <c r="K224" s="222"/>
      <c r="L224" s="222" t="s">
        <v>53</v>
      </c>
      <c r="M224" s="222" t="s">
        <v>23</v>
      </c>
      <c r="N224" s="222"/>
      <c r="O224" s="222" t="s">
        <v>49</v>
      </c>
      <c r="P224" s="220" t="s">
        <v>19</v>
      </c>
      <c r="Q224" s="220"/>
      <c r="R224" s="220" t="s">
        <v>62</v>
      </c>
      <c r="S224" s="222"/>
      <c r="T224" s="222"/>
      <c r="U224" s="220"/>
      <c r="V224" s="220"/>
      <c r="W224" s="220" t="s">
        <v>57</v>
      </c>
      <c r="X224" s="223">
        <f t="shared" si="38"/>
        <v>11</v>
      </c>
      <c r="Y224" s="219"/>
      <c r="Z224" s="219"/>
      <c r="AA224" s="219"/>
      <c r="AB224" s="219"/>
      <c r="AC224" s="219" t="str" cm="1">
        <f t="array" ref="AC224">_xlfn.TEXTJOIN(", ", TRUE, _xlfn.UNIQUE(_xlfn._xlws.FILTER(G224:W224, COUNTIF(G224:W224, G224:W224)&gt;1, "無")))</f>
        <v>無</v>
      </c>
    </row>
    <row r="225" spans="1:29" s="218" customFormat="1" ht="16.5" customHeight="1">
      <c r="A225" s="219"/>
      <c r="B225" s="217"/>
      <c r="C225" s="217"/>
      <c r="G225" s="219"/>
      <c r="H225" s="219"/>
      <c r="I225" s="219"/>
      <c r="J225" s="224"/>
      <c r="L225" s="223"/>
      <c r="M225" s="223"/>
      <c r="N225" s="223"/>
      <c r="O225" s="223"/>
      <c r="P225" s="223"/>
      <c r="Q225" s="223"/>
      <c r="R225" s="223"/>
      <c r="S225" s="223"/>
      <c r="T225" s="223"/>
      <c r="U225" s="223"/>
      <c r="V225" s="223"/>
      <c r="W225" s="223"/>
      <c r="X225" s="223"/>
      <c r="Y225" s="219"/>
      <c r="Z225" s="219"/>
      <c r="AA225" s="219"/>
      <c r="AB225" s="219"/>
      <c r="AC225" s="219"/>
    </row>
    <row r="226" spans="1:29" s="218" customFormat="1" ht="16.5" customHeight="1">
      <c r="A226" s="219"/>
      <c r="B226" s="217"/>
      <c r="C226" s="217"/>
      <c r="G226" s="219"/>
      <c r="H226" s="219"/>
      <c r="I226" s="219"/>
      <c r="J226" s="224"/>
      <c r="L226" s="223"/>
      <c r="M226" s="223"/>
      <c r="N226" s="223"/>
      <c r="O226" s="223"/>
      <c r="P226" s="223"/>
      <c r="Q226" s="223"/>
      <c r="R226" s="223"/>
      <c r="S226" s="223"/>
      <c r="T226" s="223"/>
      <c r="U226" s="223"/>
      <c r="V226" s="223"/>
      <c r="W226" s="223"/>
      <c r="X226" s="223"/>
      <c r="Y226" s="219"/>
      <c r="Z226" s="219"/>
      <c r="AA226" s="219"/>
      <c r="AB226" s="219"/>
      <c r="AC226" s="219"/>
    </row>
    <row r="227" spans="1:29" s="218" customFormat="1" ht="16.5" customHeight="1">
      <c r="A227" s="217" t="s">
        <v>15</v>
      </c>
      <c r="B227" s="217" t="s">
        <v>68</v>
      </c>
      <c r="C227" s="217" t="s">
        <v>69</v>
      </c>
      <c r="G227" s="219"/>
      <c r="H227" s="219"/>
      <c r="I227" s="219"/>
      <c r="J227" s="224"/>
      <c r="L227" s="223"/>
      <c r="M227" s="223"/>
      <c r="N227" s="223"/>
      <c r="O227" s="223"/>
      <c r="P227" s="223"/>
      <c r="Q227" s="223"/>
      <c r="R227" s="223"/>
      <c r="S227" s="223"/>
      <c r="T227" s="223"/>
      <c r="U227" s="223"/>
      <c r="V227" s="223"/>
      <c r="W227" s="223"/>
      <c r="X227" s="223"/>
      <c r="Y227" s="219"/>
      <c r="Z227" s="219"/>
      <c r="AA227" s="219"/>
      <c r="AB227" s="219"/>
      <c r="AC227" s="219"/>
    </row>
    <row r="228" spans="1:29" s="218" customFormat="1" ht="16.5" customHeight="1">
      <c r="A228" s="219" t="str">
        <f>_xlfn.TEXTJOIN(",",TRUE,B228:C228)</f>
        <v>H,K</v>
      </c>
      <c r="B228" s="217" t="s">
        <v>46</v>
      </c>
      <c r="C228" s="217" t="s">
        <v>231</v>
      </c>
      <c r="D228" s="220" t="s">
        <v>15</v>
      </c>
      <c r="E228" s="221" t="s">
        <v>70</v>
      </c>
      <c r="F228" s="218" t="str">
        <f t="shared" ref="F228:F251" si="43">$D228&amp;$E228</f>
        <v>2+908-09</v>
      </c>
      <c r="G228" s="222" t="s">
        <v>19</v>
      </c>
      <c r="H228" s="222"/>
      <c r="I228" s="222" t="s">
        <v>53</v>
      </c>
      <c r="J228" s="222" t="s">
        <v>42</v>
      </c>
      <c r="K228" s="222"/>
      <c r="L228" s="222" t="s">
        <v>30</v>
      </c>
      <c r="M228" s="222" t="s">
        <v>34</v>
      </c>
      <c r="N228" s="222"/>
      <c r="O228" s="222" t="s">
        <v>26</v>
      </c>
      <c r="P228" s="220" t="s">
        <v>49</v>
      </c>
      <c r="Q228" s="222"/>
      <c r="R228" s="222" t="s">
        <v>23</v>
      </c>
      <c r="S228" s="220"/>
      <c r="T228" s="220"/>
      <c r="U228" s="220"/>
      <c r="V228" s="220"/>
      <c r="W228" s="220" t="s">
        <v>232</v>
      </c>
      <c r="X228" s="223">
        <f t="shared" ref="X228:X251" si="44">COUNTA(B228:C228,G228:W228)</f>
        <v>11</v>
      </c>
      <c r="Y228" s="223"/>
      <c r="Z228" s="219" t="s">
        <v>71</v>
      </c>
      <c r="AA228" s="219" t="s">
        <v>72</v>
      </c>
      <c r="AB228" s="219" t="s">
        <v>73</v>
      </c>
      <c r="AC228" s="219" t="str" cm="1">
        <f t="array" ref="AC228">_xlfn.TEXTJOIN(", ", TRUE, _xlfn.UNIQUE(_xlfn._xlws.FILTER(G228:W228, COUNTIF(G228:W228, G228:W228)&gt;1, "無")))</f>
        <v>無</v>
      </c>
    </row>
    <row r="229" spans="1:29" s="218" customFormat="1" ht="16.5" customHeight="1">
      <c r="A229" s="219" t="str">
        <f t="shared" ref="A229:A251" si="45">_xlfn.TEXTJOIN(",",TRUE,B229:C229)</f>
        <v>H,K</v>
      </c>
      <c r="B229" s="217" t="s">
        <v>46</v>
      </c>
      <c r="C229" s="217" t="s">
        <v>231</v>
      </c>
      <c r="D229" s="220" t="s">
        <v>15</v>
      </c>
      <c r="E229" s="221" t="s">
        <v>74</v>
      </c>
      <c r="F229" s="218" t="str">
        <f t="shared" si="43"/>
        <v>2+909-10</v>
      </c>
      <c r="G229" s="222" t="s">
        <v>19</v>
      </c>
      <c r="H229" s="222"/>
      <c r="I229" s="222" t="s">
        <v>53</v>
      </c>
      <c r="J229" s="222" t="s">
        <v>42</v>
      </c>
      <c r="K229" s="222"/>
      <c r="L229" s="222" t="s">
        <v>30</v>
      </c>
      <c r="M229" s="222" t="s">
        <v>34</v>
      </c>
      <c r="N229" s="222"/>
      <c r="O229" s="222" t="s">
        <v>26</v>
      </c>
      <c r="P229" s="220" t="s">
        <v>49</v>
      </c>
      <c r="Q229" s="222"/>
      <c r="R229" s="222" t="s">
        <v>23</v>
      </c>
      <c r="S229" s="220"/>
      <c r="T229" s="220"/>
      <c r="U229" s="220"/>
      <c r="V229" s="220"/>
      <c r="W229" s="220" t="s">
        <v>232</v>
      </c>
      <c r="X229" s="223">
        <f t="shared" si="44"/>
        <v>11</v>
      </c>
      <c r="Y229" s="223" t="s">
        <v>19</v>
      </c>
      <c r="Z229" s="219">
        <f t="shared" ref="Z229:Z239" si="46">COUNTIF($I$228:$J$251,Y229)</f>
        <v>6</v>
      </c>
      <c r="AA229" s="219">
        <f t="shared" ref="AA229:AA239" si="47">COUNTIF($L$228:$M$251,Y229)</f>
        <v>6</v>
      </c>
      <c r="AB229" s="219">
        <f t="shared" ref="AB229:AB239" si="48">COUNTIF($B$228:$C$251,Y229)</f>
        <v>2</v>
      </c>
      <c r="AC229" s="219" t="str" cm="1">
        <f t="array" ref="AC229">_xlfn.TEXTJOIN(", ", TRUE, _xlfn.UNIQUE(_xlfn._xlws.FILTER(G229:W229, COUNTIF(G229:W229, G229:W229)&gt;1, "無")))</f>
        <v>無</v>
      </c>
    </row>
    <row r="230" spans="1:29" s="218" customFormat="1" ht="16.5" customHeight="1">
      <c r="A230" s="219" t="str">
        <f t="shared" si="45"/>
        <v>I</v>
      </c>
      <c r="B230" s="217" t="s">
        <v>49</v>
      </c>
      <c r="C230" s="217"/>
      <c r="D230" s="220" t="s">
        <v>15</v>
      </c>
      <c r="E230" s="221" t="s">
        <v>75</v>
      </c>
      <c r="F230" s="218" t="str">
        <f t="shared" si="43"/>
        <v>2+910-11</v>
      </c>
      <c r="G230" s="222" t="s">
        <v>23</v>
      </c>
      <c r="H230" s="222"/>
      <c r="I230" s="222" t="s">
        <v>46</v>
      </c>
      <c r="J230" s="222" t="s">
        <v>235</v>
      </c>
      <c r="K230" s="222"/>
      <c r="L230" s="222" t="s">
        <v>237</v>
      </c>
      <c r="M230" s="222" t="s">
        <v>53</v>
      </c>
      <c r="N230" s="222"/>
      <c r="O230" s="222" t="s">
        <v>30</v>
      </c>
      <c r="P230" s="220" t="s">
        <v>42</v>
      </c>
      <c r="Q230" s="222"/>
      <c r="R230" s="222" t="s">
        <v>26</v>
      </c>
      <c r="S230" s="220"/>
      <c r="T230" s="220"/>
      <c r="U230" s="220" t="s">
        <v>60</v>
      </c>
      <c r="V230" s="220"/>
      <c r="W230" s="220" t="s">
        <v>57</v>
      </c>
      <c r="X230" s="223">
        <f t="shared" si="44"/>
        <v>11</v>
      </c>
      <c r="Y230" s="223" t="s">
        <v>23</v>
      </c>
      <c r="Z230" s="219">
        <f t="shared" si="46"/>
        <v>6</v>
      </c>
      <c r="AA230" s="219">
        <f t="shared" si="47"/>
        <v>4</v>
      </c>
      <c r="AB230" s="219">
        <f t="shared" si="48"/>
        <v>2</v>
      </c>
      <c r="AC230" s="219" t="str" cm="1">
        <f t="array" ref="AC230">_xlfn.TEXTJOIN(", ", TRUE, _xlfn.UNIQUE(_xlfn._xlws.FILTER(G230:W230, COUNTIF(G230:W230, G230:W230)&gt;1, "無")))</f>
        <v>無</v>
      </c>
    </row>
    <row r="231" spans="1:29" s="218" customFormat="1" ht="16.5" customHeight="1">
      <c r="A231" s="219" t="str">
        <f t="shared" si="45"/>
        <v>I</v>
      </c>
      <c r="B231" s="217" t="s">
        <v>49</v>
      </c>
      <c r="C231" s="217"/>
      <c r="D231" s="220" t="s">
        <v>15</v>
      </c>
      <c r="E231" s="221" t="s">
        <v>76</v>
      </c>
      <c r="F231" s="218" t="str">
        <f t="shared" si="43"/>
        <v>2+911-12</v>
      </c>
      <c r="G231" s="222" t="s">
        <v>23</v>
      </c>
      <c r="H231" s="222"/>
      <c r="I231" s="222" t="s">
        <v>46</v>
      </c>
      <c r="J231" s="222" t="s">
        <v>235</v>
      </c>
      <c r="K231" s="222"/>
      <c r="L231" s="222" t="s">
        <v>237</v>
      </c>
      <c r="M231" s="222" t="s">
        <v>53</v>
      </c>
      <c r="N231" s="222"/>
      <c r="O231" s="222" t="s">
        <v>30</v>
      </c>
      <c r="P231" s="220" t="s">
        <v>42</v>
      </c>
      <c r="Q231" s="222"/>
      <c r="R231" s="222" t="s">
        <v>26</v>
      </c>
      <c r="S231" s="220"/>
      <c r="T231" s="220"/>
      <c r="U231" s="220" t="s">
        <v>60</v>
      </c>
      <c r="V231" s="220"/>
      <c r="W231" s="220" t="s">
        <v>57</v>
      </c>
      <c r="X231" s="223">
        <f t="shared" si="44"/>
        <v>11</v>
      </c>
      <c r="Y231" s="223" t="s">
        <v>30</v>
      </c>
      <c r="Z231" s="219">
        <f t="shared" si="46"/>
        <v>6</v>
      </c>
      <c r="AA231" s="219">
        <f t="shared" si="47"/>
        <v>4</v>
      </c>
      <c r="AB231" s="219">
        <f t="shared" si="48"/>
        <v>2</v>
      </c>
      <c r="AC231" s="219" t="str" cm="1">
        <f t="array" ref="AC231">_xlfn.TEXTJOIN(", ", TRUE, _xlfn.UNIQUE(_xlfn._xlws.FILTER(G231:W231, COUNTIF(G231:W231, G231:W231)&gt;1, "無")))</f>
        <v>無</v>
      </c>
    </row>
    <row r="232" spans="1:29" s="218" customFormat="1" ht="16.5" customHeight="1">
      <c r="A232" s="219" t="str">
        <f t="shared" si="45"/>
        <v>F</v>
      </c>
      <c r="B232" s="217" t="s">
        <v>42</v>
      </c>
      <c r="C232" s="217"/>
      <c r="D232" s="220" t="s">
        <v>15</v>
      </c>
      <c r="E232" s="221" t="s">
        <v>77</v>
      </c>
      <c r="F232" s="218" t="str">
        <f t="shared" si="43"/>
        <v>2+912-13</v>
      </c>
      <c r="G232" s="222" t="s">
        <v>26</v>
      </c>
      <c r="H232" s="222"/>
      <c r="I232" s="222" t="s">
        <v>49</v>
      </c>
      <c r="J232" s="222" t="s">
        <v>53</v>
      </c>
      <c r="K232" s="222"/>
      <c r="L232" s="222" t="s">
        <v>46</v>
      </c>
      <c r="M232" s="222" t="s">
        <v>34</v>
      </c>
      <c r="N232" s="222"/>
      <c r="O232" s="222" t="s">
        <v>23</v>
      </c>
      <c r="P232" s="220" t="s">
        <v>19</v>
      </c>
      <c r="Q232" s="222"/>
      <c r="R232" s="222" t="s">
        <v>30</v>
      </c>
      <c r="S232" s="220"/>
      <c r="T232" s="220"/>
      <c r="U232" s="220" t="s">
        <v>60</v>
      </c>
      <c r="V232" s="220"/>
      <c r="W232" s="220" t="s">
        <v>57</v>
      </c>
      <c r="X232" s="223">
        <f t="shared" si="44"/>
        <v>11</v>
      </c>
      <c r="Y232" s="223" t="s">
        <v>34</v>
      </c>
      <c r="Z232" s="219">
        <f t="shared" si="46"/>
        <v>6</v>
      </c>
      <c r="AA232" s="219">
        <f t="shared" si="47"/>
        <v>4</v>
      </c>
      <c r="AB232" s="219">
        <f t="shared" si="48"/>
        <v>2</v>
      </c>
      <c r="AC232" s="219" t="str" cm="1">
        <f t="array" ref="AC232">_xlfn.TEXTJOIN(", ", TRUE, _xlfn.UNIQUE(_xlfn._xlws.FILTER(G232:W232, COUNTIF(G232:W232, G232:W232)&gt;1, "無")))</f>
        <v>無</v>
      </c>
    </row>
    <row r="233" spans="1:29" s="218" customFormat="1" ht="16.5" customHeight="1">
      <c r="A233" s="219" t="str">
        <f t="shared" si="45"/>
        <v>F</v>
      </c>
      <c r="B233" s="217" t="s">
        <v>42</v>
      </c>
      <c r="C233" s="217"/>
      <c r="D233" s="220" t="s">
        <v>15</v>
      </c>
      <c r="E233" s="221" t="s">
        <v>78</v>
      </c>
      <c r="F233" s="218" t="str">
        <f t="shared" si="43"/>
        <v>2+913-14</v>
      </c>
      <c r="G233" s="222" t="s">
        <v>26</v>
      </c>
      <c r="H233" s="222"/>
      <c r="I233" s="222" t="s">
        <v>49</v>
      </c>
      <c r="J233" s="222" t="s">
        <v>53</v>
      </c>
      <c r="K233" s="222"/>
      <c r="L233" s="222" t="s">
        <v>46</v>
      </c>
      <c r="M233" s="222" t="s">
        <v>34</v>
      </c>
      <c r="N233" s="222"/>
      <c r="O233" s="222" t="s">
        <v>23</v>
      </c>
      <c r="P233" s="220" t="s">
        <v>19</v>
      </c>
      <c r="Q233" s="222"/>
      <c r="R233" s="222" t="s">
        <v>30</v>
      </c>
      <c r="S233" s="220"/>
      <c r="T233" s="220"/>
      <c r="U233" s="220" t="s">
        <v>60</v>
      </c>
      <c r="V233" s="220"/>
      <c r="W233" s="220" t="s">
        <v>57</v>
      </c>
      <c r="X233" s="223">
        <f t="shared" si="44"/>
        <v>11</v>
      </c>
      <c r="Y233" s="223" t="s">
        <v>42</v>
      </c>
      <c r="Z233" s="219">
        <f t="shared" si="46"/>
        <v>6</v>
      </c>
      <c r="AA233" s="219">
        <f t="shared" si="47"/>
        <v>6</v>
      </c>
      <c r="AB233" s="219">
        <f t="shared" si="48"/>
        <v>2</v>
      </c>
      <c r="AC233" s="219" t="str" cm="1">
        <f t="array" ref="AC233">_xlfn.TEXTJOIN(", ", TRUE, _xlfn.UNIQUE(_xlfn._xlws.FILTER(G233:W233, COUNTIF(G233:W233, G233:W233)&gt;1, "無")))</f>
        <v>無</v>
      </c>
    </row>
    <row r="234" spans="1:29" s="218" customFormat="1" ht="16.5" customHeight="1">
      <c r="A234" s="219" t="str">
        <f t="shared" si="45"/>
        <v/>
      </c>
      <c r="B234" s="217"/>
      <c r="C234" s="217"/>
      <c r="D234" s="220" t="s">
        <v>15</v>
      </c>
      <c r="E234" s="221" t="s">
        <v>79</v>
      </c>
      <c r="F234" s="218" t="str">
        <f t="shared" si="43"/>
        <v>2+914-15</v>
      </c>
      <c r="G234" s="222" t="s">
        <v>30</v>
      </c>
      <c r="H234" s="222"/>
      <c r="I234" s="222" t="s">
        <v>26</v>
      </c>
      <c r="J234" s="222" t="s">
        <v>23</v>
      </c>
      <c r="K234" s="222"/>
      <c r="L234" s="222" t="s">
        <v>42</v>
      </c>
      <c r="M234" s="222" t="s">
        <v>46</v>
      </c>
      <c r="N234" s="222"/>
      <c r="O234" s="222" t="s">
        <v>53</v>
      </c>
      <c r="P234" s="220" t="s">
        <v>49</v>
      </c>
      <c r="Q234" s="222"/>
      <c r="R234" s="222" t="s">
        <v>19</v>
      </c>
      <c r="S234" s="220" t="s">
        <v>34</v>
      </c>
      <c r="T234" s="220"/>
      <c r="U234" s="220" t="s">
        <v>60</v>
      </c>
      <c r="V234" s="220"/>
      <c r="W234" s="220" t="s">
        <v>57</v>
      </c>
      <c r="X234" s="223">
        <f t="shared" si="44"/>
        <v>11</v>
      </c>
      <c r="Y234" s="223" t="s">
        <v>26</v>
      </c>
      <c r="Z234" s="219">
        <f t="shared" si="46"/>
        <v>4</v>
      </c>
      <c r="AA234" s="219">
        <f t="shared" si="47"/>
        <v>6</v>
      </c>
      <c r="AB234" s="219">
        <f t="shared" si="48"/>
        <v>2</v>
      </c>
      <c r="AC234" s="219" t="str" cm="1">
        <f t="array" ref="AC234">_xlfn.TEXTJOIN(", ", TRUE, _xlfn.UNIQUE(_xlfn._xlws.FILTER(G234:W234, COUNTIF(G234:W234, G234:W234)&gt;1, "無")))</f>
        <v>無</v>
      </c>
    </row>
    <row r="235" spans="1:29" s="218" customFormat="1" ht="16.5" customHeight="1">
      <c r="A235" s="219" t="str">
        <f t="shared" si="45"/>
        <v/>
      </c>
      <c r="B235" s="217"/>
      <c r="C235" s="217"/>
      <c r="D235" s="220" t="s">
        <v>15</v>
      </c>
      <c r="E235" s="221" t="s">
        <v>80</v>
      </c>
      <c r="F235" s="218" t="str">
        <f t="shared" si="43"/>
        <v>2+915-16</v>
      </c>
      <c r="G235" s="222" t="s">
        <v>30</v>
      </c>
      <c r="H235" s="222"/>
      <c r="I235" s="222" t="s">
        <v>26</v>
      </c>
      <c r="J235" s="222" t="s">
        <v>23</v>
      </c>
      <c r="K235" s="222"/>
      <c r="L235" s="222" t="s">
        <v>42</v>
      </c>
      <c r="M235" s="222" t="s">
        <v>46</v>
      </c>
      <c r="N235" s="222"/>
      <c r="O235" s="222" t="s">
        <v>53</v>
      </c>
      <c r="P235" s="220" t="s">
        <v>49</v>
      </c>
      <c r="Q235" s="222"/>
      <c r="R235" s="222" t="s">
        <v>19</v>
      </c>
      <c r="S235" s="220" t="s">
        <v>34</v>
      </c>
      <c r="T235" s="220"/>
      <c r="U235" s="220" t="s">
        <v>60</v>
      </c>
      <c r="V235" s="220"/>
      <c r="W235" s="220" t="s">
        <v>57</v>
      </c>
      <c r="X235" s="223">
        <f t="shared" si="44"/>
        <v>11</v>
      </c>
      <c r="Y235" s="223" t="s">
        <v>46</v>
      </c>
      <c r="Z235" s="219">
        <f t="shared" si="46"/>
        <v>4</v>
      </c>
      <c r="AA235" s="219">
        <f t="shared" si="47"/>
        <v>6</v>
      </c>
      <c r="AB235" s="219">
        <f t="shared" si="48"/>
        <v>2</v>
      </c>
      <c r="AC235" s="219" t="str" cm="1">
        <f t="array" ref="AC235">_xlfn.TEXTJOIN(", ", TRUE, _xlfn.UNIQUE(_xlfn._xlws.FILTER(G235:W235, COUNTIF(G235:W235, G235:W235)&gt;1, "無")))</f>
        <v>無</v>
      </c>
    </row>
    <row r="236" spans="1:29" s="218" customFormat="1" ht="16.5" customHeight="1">
      <c r="A236" s="219" t="str">
        <f t="shared" si="45"/>
        <v>A</v>
      </c>
      <c r="B236" s="217" t="s">
        <v>19</v>
      </c>
      <c r="C236" s="217"/>
      <c r="D236" s="220" t="s">
        <v>15</v>
      </c>
      <c r="E236" s="221" t="s">
        <v>81</v>
      </c>
      <c r="F236" s="218" t="str">
        <f t="shared" si="43"/>
        <v>2+916-17</v>
      </c>
      <c r="G236" s="222" t="s">
        <v>34</v>
      </c>
      <c r="H236" s="222"/>
      <c r="I236" s="222" t="s">
        <v>42</v>
      </c>
      <c r="J236" s="222" t="s">
        <v>26</v>
      </c>
      <c r="K236" s="222"/>
      <c r="L236" s="222" t="s">
        <v>23</v>
      </c>
      <c r="M236" s="222" t="s">
        <v>46</v>
      </c>
      <c r="N236" s="222"/>
      <c r="O236" s="222" t="s">
        <v>49</v>
      </c>
      <c r="P236" s="220" t="s">
        <v>53</v>
      </c>
      <c r="Q236" s="222"/>
      <c r="R236" s="222" t="s">
        <v>30</v>
      </c>
      <c r="S236" s="220"/>
      <c r="T236" s="220"/>
      <c r="U236" s="220" t="s">
        <v>60</v>
      </c>
      <c r="V236" s="220"/>
      <c r="W236" s="220" t="s">
        <v>57</v>
      </c>
      <c r="X236" s="223">
        <f t="shared" si="44"/>
        <v>11</v>
      </c>
      <c r="Y236" s="223" t="s">
        <v>49</v>
      </c>
      <c r="Z236" s="219">
        <f t="shared" si="46"/>
        <v>4</v>
      </c>
      <c r="AA236" s="219">
        <f t="shared" si="47"/>
        <v>6</v>
      </c>
      <c r="AB236" s="219">
        <f t="shared" si="48"/>
        <v>2</v>
      </c>
      <c r="AC236" s="219" t="str" cm="1">
        <f t="array" ref="AC236">_xlfn.TEXTJOIN(", ", TRUE, _xlfn.UNIQUE(_xlfn._xlws.FILTER(G236:W236, COUNTIF(G236:W236, G236:W236)&gt;1, "無")))</f>
        <v>無</v>
      </c>
    </row>
    <row r="237" spans="1:29" s="218" customFormat="1" ht="16.5" customHeight="1">
      <c r="A237" s="219" t="str">
        <f t="shared" si="45"/>
        <v>A</v>
      </c>
      <c r="B237" s="217" t="s">
        <v>19</v>
      </c>
      <c r="C237" s="217"/>
      <c r="D237" s="220" t="s">
        <v>15</v>
      </c>
      <c r="E237" s="221" t="s">
        <v>82</v>
      </c>
      <c r="F237" s="218" t="str">
        <f t="shared" si="43"/>
        <v>2+917-18</v>
      </c>
      <c r="G237" s="222" t="s">
        <v>34</v>
      </c>
      <c r="H237" s="222"/>
      <c r="I237" s="222" t="s">
        <v>42</v>
      </c>
      <c r="J237" s="222" t="s">
        <v>26</v>
      </c>
      <c r="K237" s="222"/>
      <c r="L237" s="222" t="s">
        <v>23</v>
      </c>
      <c r="M237" s="222" t="s">
        <v>46</v>
      </c>
      <c r="N237" s="222"/>
      <c r="O237" s="222" t="s">
        <v>49</v>
      </c>
      <c r="P237" s="220" t="s">
        <v>53</v>
      </c>
      <c r="Q237" s="222"/>
      <c r="R237" s="222" t="s">
        <v>30</v>
      </c>
      <c r="S237" s="220"/>
      <c r="T237" s="220"/>
      <c r="U237" s="220" t="s">
        <v>60</v>
      </c>
      <c r="V237" s="220"/>
      <c r="W237" s="220" t="s">
        <v>57</v>
      </c>
      <c r="X237" s="223">
        <f t="shared" si="44"/>
        <v>11</v>
      </c>
      <c r="Y237" s="223" t="s">
        <v>53</v>
      </c>
      <c r="Z237" s="219">
        <f t="shared" si="46"/>
        <v>6</v>
      </c>
      <c r="AA237" s="219">
        <f t="shared" si="47"/>
        <v>6</v>
      </c>
      <c r="AB237" s="219">
        <f t="shared" si="48"/>
        <v>2</v>
      </c>
      <c r="AC237" s="219" t="str" cm="1">
        <f t="array" ref="AC237">_xlfn.TEXTJOIN(", ", TRUE, _xlfn.UNIQUE(_xlfn._xlws.FILTER(G237:W237, COUNTIF(G237:W237, G237:W237)&gt;1, "無")))</f>
        <v>無</v>
      </c>
    </row>
    <row r="238" spans="1:29" s="218" customFormat="1" ht="16.5" customHeight="1">
      <c r="A238" s="219" t="str">
        <f t="shared" si="45"/>
        <v>C,J</v>
      </c>
      <c r="B238" s="217" t="s">
        <v>30</v>
      </c>
      <c r="C238" s="217" t="s">
        <v>242</v>
      </c>
      <c r="D238" s="220" t="s">
        <v>15</v>
      </c>
      <c r="E238" s="221" t="s">
        <v>83</v>
      </c>
      <c r="F238" s="218" t="str">
        <f t="shared" si="43"/>
        <v>2+918-19</v>
      </c>
      <c r="G238" s="222" t="s">
        <v>60</v>
      </c>
      <c r="H238" s="222"/>
      <c r="I238" s="222" t="s">
        <v>237</v>
      </c>
      <c r="J238" s="222" t="s">
        <v>46</v>
      </c>
      <c r="K238" s="222"/>
      <c r="L238" s="222" t="s">
        <v>26</v>
      </c>
      <c r="M238" s="222" t="s">
        <v>49</v>
      </c>
      <c r="N238" s="222"/>
      <c r="O238" s="222" t="s">
        <v>235</v>
      </c>
      <c r="P238" s="220" t="s">
        <v>233</v>
      </c>
      <c r="Q238" s="222"/>
      <c r="R238" s="222" t="s">
        <v>234</v>
      </c>
      <c r="S238" s="220"/>
      <c r="T238" s="220"/>
      <c r="U238" s="220"/>
      <c r="V238" s="220"/>
      <c r="W238" s="220" t="s">
        <v>57</v>
      </c>
      <c r="X238" s="223">
        <f t="shared" si="44"/>
        <v>11</v>
      </c>
      <c r="Y238" s="219" t="s">
        <v>57</v>
      </c>
      <c r="Z238" s="219">
        <f t="shared" si="46"/>
        <v>0</v>
      </c>
      <c r="AA238" s="219">
        <f t="shared" si="47"/>
        <v>0</v>
      </c>
      <c r="AB238" s="219">
        <f t="shared" si="48"/>
        <v>2</v>
      </c>
      <c r="AC238" s="219" t="str" cm="1">
        <f t="array" ref="AC238">_xlfn.TEXTJOIN(", ", TRUE, _xlfn.UNIQUE(_xlfn._xlws.FILTER(G238:W238, COUNTIF(G238:W238, G238:W238)&gt;1, "無")))</f>
        <v>無</v>
      </c>
    </row>
    <row r="239" spans="1:29" s="218" customFormat="1" ht="16.5" customHeight="1">
      <c r="A239" s="219" t="str">
        <f t="shared" si="45"/>
        <v>C,J</v>
      </c>
      <c r="B239" s="217" t="s">
        <v>30</v>
      </c>
      <c r="C239" s="217" t="s">
        <v>242</v>
      </c>
      <c r="D239" s="220" t="s">
        <v>15</v>
      </c>
      <c r="E239" s="221" t="s">
        <v>84</v>
      </c>
      <c r="F239" s="218" t="str">
        <f t="shared" si="43"/>
        <v>2+919-20</v>
      </c>
      <c r="G239" s="222" t="s">
        <v>60</v>
      </c>
      <c r="H239" s="222"/>
      <c r="I239" s="222" t="s">
        <v>237</v>
      </c>
      <c r="J239" s="222" t="s">
        <v>46</v>
      </c>
      <c r="K239" s="222"/>
      <c r="L239" s="222" t="s">
        <v>26</v>
      </c>
      <c r="M239" s="222" t="s">
        <v>49</v>
      </c>
      <c r="N239" s="222"/>
      <c r="O239" s="222" t="s">
        <v>235</v>
      </c>
      <c r="P239" s="220" t="s">
        <v>233</v>
      </c>
      <c r="Q239" s="222"/>
      <c r="R239" s="222" t="s">
        <v>234</v>
      </c>
      <c r="S239" s="220"/>
      <c r="T239" s="220"/>
      <c r="U239" s="220"/>
      <c r="V239" s="220"/>
      <c r="W239" s="220" t="s">
        <v>57</v>
      </c>
      <c r="X239" s="223">
        <f t="shared" si="44"/>
        <v>11</v>
      </c>
      <c r="Y239" s="219" t="s">
        <v>60</v>
      </c>
      <c r="Z239" s="219">
        <f t="shared" si="46"/>
        <v>0</v>
      </c>
      <c r="AA239" s="219">
        <f t="shared" si="47"/>
        <v>0</v>
      </c>
      <c r="AB239" s="219">
        <f t="shared" si="48"/>
        <v>2</v>
      </c>
      <c r="AC239" s="219" t="str" cm="1">
        <f t="array" ref="AC239">_xlfn.TEXTJOIN(", ", TRUE, _xlfn.UNIQUE(_xlfn._xlws.FILTER(G239:W239, COUNTIF(G239:W239, G239:W239)&gt;1, "無")))</f>
        <v>無</v>
      </c>
    </row>
    <row r="240" spans="1:29" s="218" customFormat="1" ht="16.5" customHeight="1">
      <c r="A240" s="219" t="str">
        <f t="shared" si="45"/>
        <v>B,D</v>
      </c>
      <c r="B240" s="217" t="s">
        <v>23</v>
      </c>
      <c r="C240" s="217" t="s">
        <v>235</v>
      </c>
      <c r="D240" s="220" t="s">
        <v>15</v>
      </c>
      <c r="E240" s="221" t="s">
        <v>85</v>
      </c>
      <c r="F240" s="218" t="str">
        <f t="shared" si="43"/>
        <v>2+920-21</v>
      </c>
      <c r="G240" s="222" t="s">
        <v>42</v>
      </c>
      <c r="H240" s="222"/>
      <c r="I240" s="222" t="s">
        <v>53</v>
      </c>
      <c r="J240" s="222" t="s">
        <v>49</v>
      </c>
      <c r="K240" s="222"/>
      <c r="L240" s="222" t="s">
        <v>30</v>
      </c>
      <c r="M240" s="222" t="s">
        <v>19</v>
      </c>
      <c r="N240" s="222"/>
      <c r="O240" s="222" t="s">
        <v>26</v>
      </c>
      <c r="P240" s="220" t="s">
        <v>236</v>
      </c>
      <c r="Q240" s="222"/>
      <c r="R240" s="222"/>
      <c r="S240" s="220"/>
      <c r="T240" s="220"/>
      <c r="U240" s="220" t="s">
        <v>60</v>
      </c>
      <c r="V240" s="220"/>
      <c r="W240" s="220" t="s">
        <v>57</v>
      </c>
      <c r="X240" s="223">
        <f t="shared" si="44"/>
        <v>11</v>
      </c>
      <c r="AC240" s="219" t="str" cm="1">
        <f t="array" ref="AC240">_xlfn.TEXTJOIN(", ", TRUE, _xlfn.UNIQUE(_xlfn._xlws.FILTER(G240:W240, COUNTIF(G240:W240, G240:W240)&gt;1, "無")))</f>
        <v>無</v>
      </c>
    </row>
    <row r="241" spans="1:29" s="218" customFormat="1" ht="16.5" customHeight="1">
      <c r="A241" s="219" t="str">
        <f t="shared" si="45"/>
        <v>B,D</v>
      </c>
      <c r="B241" s="217" t="s">
        <v>23</v>
      </c>
      <c r="C241" s="217" t="s">
        <v>235</v>
      </c>
      <c r="D241" s="220" t="s">
        <v>15</v>
      </c>
      <c r="E241" s="221" t="s">
        <v>86</v>
      </c>
      <c r="F241" s="218" t="str">
        <f t="shared" si="43"/>
        <v>2+921-22</v>
      </c>
      <c r="G241" s="222" t="s">
        <v>42</v>
      </c>
      <c r="H241" s="222"/>
      <c r="I241" s="222" t="s">
        <v>53</v>
      </c>
      <c r="J241" s="222" t="s">
        <v>49</v>
      </c>
      <c r="K241" s="222"/>
      <c r="L241" s="222" t="s">
        <v>30</v>
      </c>
      <c r="M241" s="222" t="s">
        <v>19</v>
      </c>
      <c r="N241" s="222"/>
      <c r="O241" s="222" t="s">
        <v>26</v>
      </c>
      <c r="P241" s="220" t="s">
        <v>236</v>
      </c>
      <c r="Q241" s="222"/>
      <c r="R241" s="222"/>
      <c r="S241" s="220"/>
      <c r="T241" s="220"/>
      <c r="U241" s="220" t="s">
        <v>60</v>
      </c>
      <c r="V241" s="220"/>
      <c r="W241" s="220" t="s">
        <v>57</v>
      </c>
      <c r="X241" s="223">
        <f t="shared" si="44"/>
        <v>11</v>
      </c>
      <c r="AC241" s="219" t="str" cm="1">
        <f t="array" ref="AC241">_xlfn.TEXTJOIN(", ", TRUE, _xlfn.UNIQUE(_xlfn._xlws.FILTER(G241:W241, COUNTIF(G241:W241, G241:W241)&gt;1, "無")))</f>
        <v>無</v>
      </c>
    </row>
    <row r="242" spans="1:29" s="218" customFormat="1" ht="16.5" customHeight="1">
      <c r="A242" s="219" t="str">
        <f t="shared" si="45"/>
        <v/>
      </c>
      <c r="B242" s="217"/>
      <c r="C242" s="217"/>
      <c r="D242" s="220" t="s">
        <v>15</v>
      </c>
      <c r="E242" s="221" t="s">
        <v>87</v>
      </c>
      <c r="F242" s="218" t="str">
        <f t="shared" si="43"/>
        <v>2+922-23</v>
      </c>
      <c r="G242" s="222" t="s">
        <v>46</v>
      </c>
      <c r="H242" s="222"/>
      <c r="I242" s="222" t="s">
        <v>42</v>
      </c>
      <c r="J242" s="222" t="s">
        <v>30</v>
      </c>
      <c r="K242" s="222"/>
      <c r="L242" s="222" t="s">
        <v>19</v>
      </c>
      <c r="M242" s="222" t="s">
        <v>23</v>
      </c>
      <c r="N242" s="222"/>
      <c r="O242" s="222" t="s">
        <v>26</v>
      </c>
      <c r="P242" s="220" t="s">
        <v>49</v>
      </c>
      <c r="Q242" s="222"/>
      <c r="R242" s="222" t="s">
        <v>235</v>
      </c>
      <c r="S242" s="220" t="s">
        <v>242</v>
      </c>
      <c r="T242" s="220"/>
      <c r="U242" s="220" t="s">
        <v>232</v>
      </c>
      <c r="V242" s="220"/>
      <c r="W242" s="220" t="s">
        <v>57</v>
      </c>
      <c r="X242" s="223">
        <f t="shared" si="44"/>
        <v>11</v>
      </c>
      <c r="AC242" s="219" t="str" cm="1">
        <f t="array" ref="AC242">_xlfn.TEXTJOIN(", ", TRUE, _xlfn.UNIQUE(_xlfn._xlws.FILTER(G242:W242, COUNTIF(G242:W242, G242:W242)&gt;1, "無")))</f>
        <v>無</v>
      </c>
    </row>
    <row r="243" spans="1:29" s="218" customFormat="1" ht="16.5" customHeight="1">
      <c r="A243" s="219" t="str">
        <f t="shared" si="45"/>
        <v/>
      </c>
      <c r="B243" s="217"/>
      <c r="C243" s="217"/>
      <c r="D243" s="220" t="s">
        <v>15</v>
      </c>
      <c r="E243" s="221" t="s">
        <v>88</v>
      </c>
      <c r="F243" s="218" t="str">
        <f t="shared" si="43"/>
        <v>2+923-24</v>
      </c>
      <c r="G243" s="222" t="s">
        <v>46</v>
      </c>
      <c r="H243" s="222"/>
      <c r="I243" s="222" t="s">
        <v>42</v>
      </c>
      <c r="J243" s="222" t="s">
        <v>30</v>
      </c>
      <c r="K243" s="222"/>
      <c r="L243" s="222" t="s">
        <v>19</v>
      </c>
      <c r="M243" s="222" t="s">
        <v>23</v>
      </c>
      <c r="N243" s="222"/>
      <c r="O243" s="222" t="s">
        <v>26</v>
      </c>
      <c r="P243" s="220" t="s">
        <v>49</v>
      </c>
      <c r="Q243" s="222"/>
      <c r="R243" s="222" t="s">
        <v>235</v>
      </c>
      <c r="S243" s="220" t="s">
        <v>242</v>
      </c>
      <c r="T243" s="220"/>
      <c r="U243" s="220" t="s">
        <v>232</v>
      </c>
      <c r="V243" s="220"/>
      <c r="W243" s="220" t="s">
        <v>57</v>
      </c>
      <c r="X243" s="223">
        <f t="shared" si="44"/>
        <v>11</v>
      </c>
      <c r="AC243" s="219" t="str" cm="1">
        <f t="array" ref="AC243">_xlfn.TEXTJOIN(", ", TRUE, _xlfn.UNIQUE(_xlfn._xlws.FILTER(G243:W243, COUNTIF(G243:W243, G243:W243)&gt;1, "無")))</f>
        <v>無</v>
      </c>
    </row>
    <row r="244" spans="1:29" s="218" customFormat="1" ht="16.5" customHeight="1">
      <c r="A244" s="219" t="str">
        <f t="shared" si="45"/>
        <v/>
      </c>
      <c r="B244" s="217"/>
      <c r="C244" s="217"/>
      <c r="D244" s="220" t="s">
        <v>15</v>
      </c>
      <c r="E244" s="221" t="s">
        <v>89</v>
      </c>
      <c r="F244" s="218" t="str">
        <f t="shared" si="43"/>
        <v>2+900-01</v>
      </c>
      <c r="G244" s="222" t="s">
        <v>46</v>
      </c>
      <c r="H244" s="222"/>
      <c r="I244" s="222" t="s">
        <v>19</v>
      </c>
      <c r="J244" s="222" t="s">
        <v>23</v>
      </c>
      <c r="K244" s="222"/>
      <c r="L244" s="222" t="s">
        <v>26</v>
      </c>
      <c r="M244" s="222" t="s">
        <v>49</v>
      </c>
      <c r="N244" s="222"/>
      <c r="O244" s="222" t="s">
        <v>42</v>
      </c>
      <c r="P244" s="220" t="s">
        <v>30</v>
      </c>
      <c r="Q244" s="222"/>
      <c r="R244" s="222" t="s">
        <v>34</v>
      </c>
      <c r="S244" s="220" t="s">
        <v>242</v>
      </c>
      <c r="T244" s="220"/>
      <c r="U244" s="220" t="s">
        <v>232</v>
      </c>
      <c r="V244" s="220"/>
      <c r="W244" s="220" t="s">
        <v>57</v>
      </c>
      <c r="X244" s="223">
        <f t="shared" si="44"/>
        <v>11</v>
      </c>
      <c r="AC244" s="219" t="str" cm="1">
        <f t="array" ref="AC244">_xlfn.TEXTJOIN(", ", TRUE, _xlfn.UNIQUE(_xlfn._xlws.FILTER(G244:W244, COUNTIF(G244:W244, G244:W244)&gt;1, "無")))</f>
        <v>無</v>
      </c>
    </row>
    <row r="245" spans="1:29" s="218" customFormat="1" ht="16.5" customHeight="1">
      <c r="A245" s="219" t="str">
        <f t="shared" si="45"/>
        <v/>
      </c>
      <c r="B245" s="217"/>
      <c r="C245" s="217"/>
      <c r="D245" s="220" t="s">
        <v>15</v>
      </c>
      <c r="E245" s="221" t="s">
        <v>90</v>
      </c>
      <c r="F245" s="218" t="str">
        <f t="shared" si="43"/>
        <v>2+901-02</v>
      </c>
      <c r="G245" s="222" t="s">
        <v>46</v>
      </c>
      <c r="H245" s="222"/>
      <c r="I245" s="222" t="s">
        <v>19</v>
      </c>
      <c r="J245" s="222" t="s">
        <v>23</v>
      </c>
      <c r="K245" s="222"/>
      <c r="L245" s="222" t="s">
        <v>26</v>
      </c>
      <c r="M245" s="222" t="s">
        <v>49</v>
      </c>
      <c r="N245" s="222"/>
      <c r="O245" s="222" t="s">
        <v>42</v>
      </c>
      <c r="P245" s="220" t="s">
        <v>30</v>
      </c>
      <c r="Q245" s="222"/>
      <c r="R245" s="222" t="s">
        <v>34</v>
      </c>
      <c r="S245" s="220" t="s">
        <v>242</v>
      </c>
      <c r="T245" s="220"/>
      <c r="U245" s="220" t="s">
        <v>232</v>
      </c>
      <c r="V245" s="220"/>
      <c r="W245" s="220" t="s">
        <v>57</v>
      </c>
      <c r="X245" s="223">
        <f t="shared" si="44"/>
        <v>11</v>
      </c>
      <c r="AC245" s="219" t="str" cm="1">
        <f t="array" ref="AC245">_xlfn.TEXTJOIN(", ", TRUE, _xlfn.UNIQUE(_xlfn._xlws.FILTER(G245:W245, COUNTIF(G245:W245, G245:W245)&gt;1, "無")))</f>
        <v>無</v>
      </c>
    </row>
    <row r="246" spans="1:29" s="218" customFormat="1" ht="16.5" customHeight="1">
      <c r="A246" s="219" t="str">
        <f t="shared" si="45"/>
        <v/>
      </c>
      <c r="B246" s="217"/>
      <c r="C246" s="217"/>
      <c r="D246" s="220" t="s">
        <v>15</v>
      </c>
      <c r="E246" s="221" t="s">
        <v>91</v>
      </c>
      <c r="F246" s="218" t="str">
        <f t="shared" si="43"/>
        <v>2+902-03</v>
      </c>
      <c r="G246" s="222" t="s">
        <v>46</v>
      </c>
      <c r="H246" s="222"/>
      <c r="I246" s="222" t="s">
        <v>19</v>
      </c>
      <c r="J246" s="222" t="s">
        <v>23</v>
      </c>
      <c r="K246" s="222"/>
      <c r="L246" s="222" t="s">
        <v>49</v>
      </c>
      <c r="M246" s="222" t="s">
        <v>26</v>
      </c>
      <c r="N246" s="222"/>
      <c r="O246" s="222" t="s">
        <v>34</v>
      </c>
      <c r="P246" s="220" t="s">
        <v>42</v>
      </c>
      <c r="Q246" s="222"/>
      <c r="R246" s="222" t="s">
        <v>30</v>
      </c>
      <c r="S246" s="220" t="s">
        <v>53</v>
      </c>
      <c r="T246" s="220"/>
      <c r="U246" s="220" t="s">
        <v>232</v>
      </c>
      <c r="V246" s="220"/>
      <c r="W246" s="220" t="s">
        <v>57</v>
      </c>
      <c r="X246" s="223">
        <f t="shared" si="44"/>
        <v>11</v>
      </c>
      <c r="Y246" s="223"/>
      <c r="Z246" s="219"/>
      <c r="AA246" s="219"/>
      <c r="AB246" s="219"/>
      <c r="AC246" s="219" t="str" cm="1">
        <f t="array" ref="AC246">_xlfn.TEXTJOIN(", ", TRUE, _xlfn.UNIQUE(_xlfn._xlws.FILTER(G246:W246, COUNTIF(G246:W246, G246:W246)&gt;1, "無")))</f>
        <v>無</v>
      </c>
    </row>
    <row r="247" spans="1:29" s="218" customFormat="1" ht="16.5" customHeight="1">
      <c r="A247" s="219" t="str">
        <f t="shared" si="45"/>
        <v/>
      </c>
      <c r="B247" s="217"/>
      <c r="C247" s="217"/>
      <c r="D247" s="220" t="s">
        <v>15</v>
      </c>
      <c r="E247" s="221" t="s">
        <v>92</v>
      </c>
      <c r="F247" s="218" t="str">
        <f t="shared" si="43"/>
        <v>2+903-04</v>
      </c>
      <c r="G247" s="222" t="s">
        <v>46</v>
      </c>
      <c r="H247" s="222"/>
      <c r="I247" s="222" t="s">
        <v>19</v>
      </c>
      <c r="J247" s="222" t="s">
        <v>23</v>
      </c>
      <c r="K247" s="222"/>
      <c r="L247" s="222" t="s">
        <v>49</v>
      </c>
      <c r="M247" s="222" t="s">
        <v>26</v>
      </c>
      <c r="N247" s="222"/>
      <c r="O247" s="222" t="s">
        <v>34</v>
      </c>
      <c r="P247" s="220" t="s">
        <v>42</v>
      </c>
      <c r="Q247" s="222"/>
      <c r="R247" s="222" t="s">
        <v>30</v>
      </c>
      <c r="S247" s="220" t="s">
        <v>53</v>
      </c>
      <c r="T247" s="220"/>
      <c r="U247" s="220" t="s">
        <v>232</v>
      </c>
      <c r="V247" s="220"/>
      <c r="W247" s="220" t="s">
        <v>57</v>
      </c>
      <c r="X247" s="223">
        <f t="shared" si="44"/>
        <v>11</v>
      </c>
      <c r="Y247" s="223"/>
      <c r="Z247" s="219"/>
      <c r="AA247" s="219"/>
      <c r="AB247" s="219"/>
      <c r="AC247" s="219" t="str" cm="1">
        <f t="array" ref="AC247">_xlfn.TEXTJOIN(", ", TRUE, _xlfn.UNIQUE(_xlfn._xlws.FILTER(G247:W247, COUNTIF(G247:W247, G247:W247)&gt;1, "無")))</f>
        <v>無</v>
      </c>
    </row>
    <row r="248" spans="1:29" s="218" customFormat="1" ht="16.5" customHeight="1">
      <c r="A248" s="219" t="str">
        <f t="shared" si="45"/>
        <v/>
      </c>
      <c r="B248" s="217"/>
      <c r="C248" s="217"/>
      <c r="D248" s="220" t="s">
        <v>15</v>
      </c>
      <c r="E248" s="221" t="s">
        <v>93</v>
      </c>
      <c r="F248" s="218" t="str">
        <f t="shared" si="43"/>
        <v>2+904-05</v>
      </c>
      <c r="G248" s="222" t="s">
        <v>46</v>
      </c>
      <c r="H248" s="222"/>
      <c r="I248" s="222" t="s">
        <v>30</v>
      </c>
      <c r="J248" s="222" t="s">
        <v>34</v>
      </c>
      <c r="K248" s="222"/>
      <c r="L248" s="222" t="s">
        <v>53</v>
      </c>
      <c r="M248" s="222" t="s">
        <v>42</v>
      </c>
      <c r="N248" s="222"/>
      <c r="O248" s="222" t="s">
        <v>49</v>
      </c>
      <c r="P248" s="220" t="s">
        <v>19</v>
      </c>
      <c r="Q248" s="222"/>
      <c r="R248" s="222" t="s">
        <v>23</v>
      </c>
      <c r="S248" s="220" t="s">
        <v>26</v>
      </c>
      <c r="T248" s="220"/>
      <c r="U248" s="220" t="s">
        <v>232</v>
      </c>
      <c r="V248" s="220"/>
      <c r="W248" s="220" t="s">
        <v>231</v>
      </c>
      <c r="X248" s="223">
        <f t="shared" si="44"/>
        <v>11</v>
      </c>
      <c r="Y248" s="223"/>
      <c r="Z248" s="219"/>
      <c r="AA248" s="219"/>
      <c r="AB248" s="219"/>
      <c r="AC248" s="219" t="str" cm="1">
        <f t="array" ref="AC248">_xlfn.TEXTJOIN(", ", TRUE, _xlfn.UNIQUE(_xlfn._xlws.FILTER(G248:W248, COUNTIF(G248:W248, G248:W248)&gt;1, "無")))</f>
        <v>無</v>
      </c>
    </row>
    <row r="249" spans="1:29" s="218" customFormat="1" ht="16.5" customHeight="1">
      <c r="A249" s="219" t="str">
        <f t="shared" si="45"/>
        <v/>
      </c>
      <c r="B249" s="217"/>
      <c r="C249" s="217"/>
      <c r="D249" s="220" t="s">
        <v>15</v>
      </c>
      <c r="E249" s="221" t="s">
        <v>94</v>
      </c>
      <c r="F249" s="218" t="str">
        <f t="shared" si="43"/>
        <v>2+905-06</v>
      </c>
      <c r="G249" s="222" t="s">
        <v>46</v>
      </c>
      <c r="H249" s="222"/>
      <c r="I249" s="222" t="s">
        <v>30</v>
      </c>
      <c r="J249" s="222" t="s">
        <v>34</v>
      </c>
      <c r="K249" s="222"/>
      <c r="L249" s="222" t="s">
        <v>53</v>
      </c>
      <c r="M249" s="222" t="s">
        <v>42</v>
      </c>
      <c r="N249" s="222"/>
      <c r="O249" s="222" t="s">
        <v>49</v>
      </c>
      <c r="P249" s="220" t="s">
        <v>19</v>
      </c>
      <c r="Q249" s="222"/>
      <c r="R249" s="222" t="s">
        <v>23</v>
      </c>
      <c r="S249" s="220" t="s">
        <v>26</v>
      </c>
      <c r="T249" s="220"/>
      <c r="U249" s="220" t="s">
        <v>232</v>
      </c>
      <c r="V249" s="220"/>
      <c r="W249" s="220" t="s">
        <v>231</v>
      </c>
      <c r="X249" s="223">
        <f t="shared" si="44"/>
        <v>11</v>
      </c>
      <c r="Y249" s="223"/>
      <c r="Z249" s="219"/>
      <c r="AA249" s="219"/>
      <c r="AB249" s="219"/>
      <c r="AC249" s="219" t="str" cm="1">
        <f t="array" ref="AC249">_xlfn.TEXTJOIN(", ", TRUE, _xlfn.UNIQUE(_xlfn._xlws.FILTER(G249:W249, COUNTIF(G249:W249, G249:W249)&gt;1, "無")))</f>
        <v>無</v>
      </c>
    </row>
    <row r="250" spans="1:29" s="218" customFormat="1" ht="16.5" customHeight="1">
      <c r="A250" s="219" t="str">
        <f t="shared" si="45"/>
        <v>G,L</v>
      </c>
      <c r="B250" s="217" t="s">
        <v>26</v>
      </c>
      <c r="C250" s="217" t="s">
        <v>232</v>
      </c>
      <c r="D250" s="220" t="s">
        <v>15</v>
      </c>
      <c r="E250" s="221" t="s">
        <v>95</v>
      </c>
      <c r="F250" s="218" t="str">
        <f t="shared" si="43"/>
        <v>2+906-07</v>
      </c>
      <c r="G250" s="222" t="s">
        <v>46</v>
      </c>
      <c r="H250" s="222"/>
      <c r="I250" s="222" t="s">
        <v>30</v>
      </c>
      <c r="J250" s="222" t="s">
        <v>34</v>
      </c>
      <c r="K250" s="222"/>
      <c r="L250" s="222" t="s">
        <v>42</v>
      </c>
      <c r="M250" s="222" t="s">
        <v>53</v>
      </c>
      <c r="N250" s="222"/>
      <c r="O250" s="222" t="s">
        <v>23</v>
      </c>
      <c r="P250" s="220" t="s">
        <v>19</v>
      </c>
      <c r="Q250" s="222"/>
      <c r="R250" s="222" t="s">
        <v>49</v>
      </c>
      <c r="S250" s="220"/>
      <c r="T250" s="220"/>
      <c r="U250" s="220"/>
      <c r="V250" s="220"/>
      <c r="W250" s="220" t="s">
        <v>57</v>
      </c>
      <c r="X250" s="223">
        <f t="shared" si="44"/>
        <v>11</v>
      </c>
      <c r="Y250" s="223"/>
      <c r="Z250" s="219"/>
      <c r="AA250" s="219"/>
      <c r="AB250" s="219"/>
      <c r="AC250" s="219" t="str" cm="1">
        <f t="array" ref="AC250">_xlfn.TEXTJOIN(", ", TRUE, _xlfn.UNIQUE(_xlfn._xlws.FILTER(G250:W250, COUNTIF(G250:W250, G250:W250)&gt;1, "無")))</f>
        <v>無</v>
      </c>
    </row>
    <row r="251" spans="1:29" s="218" customFormat="1" ht="16.5" customHeight="1">
      <c r="A251" s="219" t="str">
        <f t="shared" si="45"/>
        <v>G,L</v>
      </c>
      <c r="B251" s="217" t="s">
        <v>26</v>
      </c>
      <c r="C251" s="217" t="s">
        <v>232</v>
      </c>
      <c r="D251" s="220" t="s">
        <v>15</v>
      </c>
      <c r="E251" s="221" t="s">
        <v>96</v>
      </c>
      <c r="F251" s="218" t="str">
        <f t="shared" si="43"/>
        <v>2+907-08</v>
      </c>
      <c r="G251" s="222" t="s">
        <v>46</v>
      </c>
      <c r="H251" s="222"/>
      <c r="I251" s="222" t="s">
        <v>30</v>
      </c>
      <c r="J251" s="222" t="s">
        <v>34</v>
      </c>
      <c r="K251" s="222"/>
      <c r="L251" s="222" t="s">
        <v>42</v>
      </c>
      <c r="M251" s="222" t="s">
        <v>53</v>
      </c>
      <c r="N251" s="222"/>
      <c r="O251" s="222" t="s">
        <v>23</v>
      </c>
      <c r="P251" s="220" t="s">
        <v>19</v>
      </c>
      <c r="Q251" s="222"/>
      <c r="R251" s="222" t="s">
        <v>49</v>
      </c>
      <c r="S251" s="220"/>
      <c r="T251" s="220"/>
      <c r="U251" s="220"/>
      <c r="V251" s="220"/>
      <c r="W251" s="220" t="s">
        <v>57</v>
      </c>
      <c r="X251" s="223">
        <f t="shared" si="44"/>
        <v>11</v>
      </c>
      <c r="Y251" s="223"/>
      <c r="Z251" s="219"/>
      <c r="AA251" s="219"/>
      <c r="AB251" s="219"/>
      <c r="AC251" s="219" t="str" cm="1">
        <f t="array" ref="AC251">_xlfn.TEXTJOIN(", ", TRUE, _xlfn.UNIQUE(_xlfn._xlws.FILTER(G251:W251, COUNTIF(G251:W251, G251:W251)&gt;1, "無")))</f>
        <v>無</v>
      </c>
    </row>
    <row r="252" spans="1:29" s="218" customFormat="1" ht="16.5" customHeight="1">
      <c r="A252" s="219"/>
      <c r="B252" s="217"/>
      <c r="C252" s="217"/>
      <c r="G252" s="219"/>
      <c r="H252" s="219"/>
      <c r="I252" s="219"/>
      <c r="J252" s="224"/>
      <c r="L252" s="223"/>
      <c r="M252" s="223"/>
      <c r="N252" s="223"/>
      <c r="O252" s="223"/>
      <c r="P252" s="223"/>
      <c r="Q252" s="223"/>
      <c r="R252" s="223"/>
      <c r="S252" s="223"/>
      <c r="T252" s="223"/>
      <c r="U252" s="223"/>
      <c r="V252" s="223"/>
      <c r="W252" s="223"/>
      <c r="X252" s="223"/>
      <c r="Y252" s="219"/>
      <c r="Z252" s="223"/>
      <c r="AA252" s="219"/>
      <c r="AB252" s="219"/>
      <c r="AC252" s="219"/>
    </row>
    <row r="253" spans="1:29" s="218" customFormat="1" ht="16.5" customHeight="1">
      <c r="A253" s="219"/>
      <c r="B253" s="217"/>
      <c r="C253" s="217"/>
      <c r="G253" s="219"/>
      <c r="H253" s="219"/>
      <c r="I253" s="219"/>
      <c r="J253" s="224"/>
      <c r="L253" s="223"/>
      <c r="M253" s="223"/>
      <c r="N253" s="223"/>
      <c r="O253" s="223"/>
      <c r="P253" s="223"/>
      <c r="Q253" s="223"/>
      <c r="R253" s="223"/>
      <c r="S253" s="223"/>
      <c r="T253" s="223"/>
      <c r="U253" s="223"/>
      <c r="V253" s="223"/>
      <c r="W253" s="223"/>
      <c r="X253" s="223"/>
      <c r="Y253" s="219"/>
      <c r="Z253" s="223"/>
      <c r="AA253" s="219"/>
      <c r="AB253" s="219"/>
      <c r="AC253" s="219"/>
    </row>
    <row r="254" spans="1:29" s="218" customFormat="1" ht="16.5" customHeight="1">
      <c r="A254" s="219" t="s">
        <v>16</v>
      </c>
      <c r="B254" s="217" t="s">
        <v>68</v>
      </c>
      <c r="C254" s="217" t="s">
        <v>69</v>
      </c>
      <c r="F254" s="219"/>
      <c r="G254" s="219"/>
      <c r="H254" s="219"/>
      <c r="X254" s="223"/>
      <c r="AC254" s="219"/>
    </row>
    <row r="255" spans="1:29" s="218" customFormat="1" ht="16.5" customHeight="1">
      <c r="A255" s="219" t="str">
        <f>_xlfn.TEXTJOIN(",",TRUE,B255:C255)</f>
        <v>H</v>
      </c>
      <c r="B255" s="217" t="s">
        <v>46</v>
      </c>
      <c r="C255" s="217"/>
      <c r="D255" s="220" t="s">
        <v>16</v>
      </c>
      <c r="E255" s="221" t="s">
        <v>70</v>
      </c>
      <c r="F255" s="218" t="str">
        <f t="shared" ref="F255:F278" si="49">$D255&amp;$E255</f>
        <v>1+1008-09</v>
      </c>
      <c r="G255" s="222" t="s">
        <v>19</v>
      </c>
      <c r="H255" s="222"/>
      <c r="I255" s="222" t="s">
        <v>38</v>
      </c>
      <c r="J255" s="222" t="s">
        <v>42</v>
      </c>
      <c r="K255" s="222"/>
      <c r="L255" s="222" t="s">
        <v>239</v>
      </c>
      <c r="M255" s="222" t="s">
        <v>238</v>
      </c>
      <c r="N255" s="222"/>
      <c r="O255" s="222" t="s">
        <v>235</v>
      </c>
      <c r="P255" s="220" t="s">
        <v>49</v>
      </c>
      <c r="Q255" s="220"/>
      <c r="R255" s="220" t="s">
        <v>242</v>
      </c>
      <c r="S255" s="222" t="s">
        <v>23</v>
      </c>
      <c r="T255" s="222"/>
      <c r="U255" s="220"/>
      <c r="V255" s="220"/>
      <c r="W255" s="220" t="s">
        <v>57</v>
      </c>
      <c r="X255" s="223">
        <f t="shared" ref="X255:X278" si="50">COUNTA(B255:C255,G255:W255)</f>
        <v>11</v>
      </c>
      <c r="Y255" s="223"/>
      <c r="Z255" s="219" t="s">
        <v>71</v>
      </c>
      <c r="AA255" s="219" t="s">
        <v>72</v>
      </c>
      <c r="AB255" s="219" t="s">
        <v>73</v>
      </c>
      <c r="AC255" s="219" t="str" cm="1">
        <f t="array" ref="AC255">_xlfn.TEXTJOIN(", ", TRUE, _xlfn.UNIQUE(_xlfn._xlws.FILTER(G255:W255, COUNTIF(G255:W255, G255:W255)&gt;1, "無")))</f>
        <v>無</v>
      </c>
    </row>
    <row r="256" spans="1:29" s="218" customFormat="1" ht="16.5" customHeight="1">
      <c r="A256" s="219" t="str">
        <f t="shared" ref="A256:A278" si="51">_xlfn.TEXTJOIN(",",TRUE,B256:C256)</f>
        <v>H</v>
      </c>
      <c r="B256" s="217" t="s">
        <v>46</v>
      </c>
      <c r="C256" s="217"/>
      <c r="D256" s="220" t="s">
        <v>16</v>
      </c>
      <c r="E256" s="221" t="s">
        <v>74</v>
      </c>
      <c r="F256" s="218" t="str">
        <f t="shared" si="49"/>
        <v>1+1009-10</v>
      </c>
      <c r="G256" s="222" t="s">
        <v>19</v>
      </c>
      <c r="H256" s="222"/>
      <c r="I256" s="222" t="s">
        <v>38</v>
      </c>
      <c r="J256" s="222" t="s">
        <v>42</v>
      </c>
      <c r="K256" s="222"/>
      <c r="L256" s="222" t="s">
        <v>239</v>
      </c>
      <c r="M256" s="222" t="s">
        <v>238</v>
      </c>
      <c r="N256" s="222"/>
      <c r="O256" s="222" t="s">
        <v>235</v>
      </c>
      <c r="P256" s="220" t="s">
        <v>49</v>
      </c>
      <c r="Q256" s="220"/>
      <c r="R256" s="220" t="s">
        <v>242</v>
      </c>
      <c r="S256" s="222" t="s">
        <v>23</v>
      </c>
      <c r="T256" s="222"/>
      <c r="U256" s="220"/>
      <c r="V256" s="220"/>
      <c r="W256" s="220" t="s">
        <v>57</v>
      </c>
      <c r="X256" s="223">
        <f t="shared" si="50"/>
        <v>11</v>
      </c>
      <c r="Y256" s="223" t="s">
        <v>19</v>
      </c>
      <c r="Z256" s="219">
        <f t="shared" ref="Z256:Z266" si="52">COUNTIF($I$255:$J$278,Y256)</f>
        <v>4</v>
      </c>
      <c r="AA256" s="219">
        <f t="shared" ref="AA256:AA266" si="53">COUNTIF($L$255:$M$278,Y256)</f>
        <v>6</v>
      </c>
      <c r="AB256" s="219">
        <f t="shared" ref="AB256:AB266" si="54">COUNTIF($B$255:$C$278,Y256)</f>
        <v>2</v>
      </c>
      <c r="AC256" s="219" t="str" cm="1">
        <f t="array" ref="AC256">_xlfn.TEXTJOIN(", ", TRUE, _xlfn.UNIQUE(_xlfn._xlws.FILTER(G256:W256, COUNTIF(G256:W256, G256:W256)&gt;1, "無")))</f>
        <v>無</v>
      </c>
    </row>
    <row r="257" spans="1:29" s="218" customFormat="1" ht="16.5" customHeight="1">
      <c r="A257" s="219" t="str">
        <f t="shared" si="51"/>
        <v>J</v>
      </c>
      <c r="B257" s="217" t="s">
        <v>53</v>
      </c>
      <c r="C257" s="217"/>
      <c r="D257" s="220" t="s">
        <v>16</v>
      </c>
      <c r="E257" s="221" t="s">
        <v>75</v>
      </c>
      <c r="F257" s="218" t="str">
        <f t="shared" si="49"/>
        <v>1+1010-11</v>
      </c>
      <c r="G257" s="222" t="s">
        <v>23</v>
      </c>
      <c r="H257" s="222"/>
      <c r="I257" s="222" t="s">
        <v>38</v>
      </c>
      <c r="J257" s="222" t="s">
        <v>46</v>
      </c>
      <c r="K257" s="222"/>
      <c r="L257" s="222" t="s">
        <v>19</v>
      </c>
      <c r="M257" s="222" t="s">
        <v>239</v>
      </c>
      <c r="N257" s="222"/>
      <c r="O257" s="222" t="s">
        <v>42</v>
      </c>
      <c r="P257" s="220" t="s">
        <v>49</v>
      </c>
      <c r="Q257" s="220"/>
      <c r="R257" s="220" t="s">
        <v>235</v>
      </c>
      <c r="S257" s="222" t="s">
        <v>238</v>
      </c>
      <c r="T257" s="222"/>
      <c r="U257" s="220"/>
      <c r="V257" s="220"/>
      <c r="W257" s="220" t="s">
        <v>57</v>
      </c>
      <c r="X257" s="223">
        <f t="shared" si="50"/>
        <v>11</v>
      </c>
      <c r="Y257" s="223" t="s">
        <v>23</v>
      </c>
      <c r="Z257" s="219">
        <f t="shared" si="52"/>
        <v>4</v>
      </c>
      <c r="AA257" s="219">
        <f t="shared" si="53"/>
        <v>6</v>
      </c>
      <c r="AB257" s="219">
        <f t="shared" si="54"/>
        <v>2</v>
      </c>
      <c r="AC257" s="219" t="str" cm="1">
        <f t="array" ref="AC257">_xlfn.TEXTJOIN(", ", TRUE, _xlfn.UNIQUE(_xlfn._xlws.FILTER(G257:W257, COUNTIF(G257:W257, G257:W257)&gt;1, "無")))</f>
        <v>無</v>
      </c>
    </row>
    <row r="258" spans="1:29" s="218" customFormat="1" ht="16.5" customHeight="1">
      <c r="A258" s="219" t="str">
        <f t="shared" si="51"/>
        <v>J</v>
      </c>
      <c r="B258" s="217" t="s">
        <v>53</v>
      </c>
      <c r="C258" s="217"/>
      <c r="D258" s="220" t="s">
        <v>16</v>
      </c>
      <c r="E258" s="221" t="s">
        <v>76</v>
      </c>
      <c r="F258" s="218" t="str">
        <f t="shared" si="49"/>
        <v>1+1011-12</v>
      </c>
      <c r="G258" s="222" t="s">
        <v>23</v>
      </c>
      <c r="H258" s="222"/>
      <c r="I258" s="222" t="s">
        <v>38</v>
      </c>
      <c r="J258" s="222" t="s">
        <v>46</v>
      </c>
      <c r="K258" s="222"/>
      <c r="L258" s="222" t="s">
        <v>19</v>
      </c>
      <c r="M258" s="222" t="s">
        <v>239</v>
      </c>
      <c r="N258" s="222"/>
      <c r="O258" s="222" t="s">
        <v>42</v>
      </c>
      <c r="P258" s="220" t="s">
        <v>49</v>
      </c>
      <c r="Q258" s="220"/>
      <c r="R258" s="220" t="s">
        <v>235</v>
      </c>
      <c r="S258" s="222" t="s">
        <v>238</v>
      </c>
      <c r="T258" s="222"/>
      <c r="U258" s="220"/>
      <c r="V258" s="220"/>
      <c r="W258" s="220" t="s">
        <v>57</v>
      </c>
      <c r="X258" s="223">
        <f t="shared" si="50"/>
        <v>11</v>
      </c>
      <c r="Y258" s="223" t="s">
        <v>30</v>
      </c>
      <c r="Z258" s="219">
        <f t="shared" si="52"/>
        <v>4</v>
      </c>
      <c r="AA258" s="219">
        <f t="shared" si="53"/>
        <v>6</v>
      </c>
      <c r="AB258" s="219">
        <f t="shared" si="54"/>
        <v>2</v>
      </c>
      <c r="AC258" s="219" t="str" cm="1">
        <f t="array" ref="AC258">_xlfn.TEXTJOIN(", ", TRUE, _xlfn.UNIQUE(_xlfn._xlws.FILTER(G258:W258, COUNTIF(G258:W258, G258:W258)&gt;1, "無")))</f>
        <v>無</v>
      </c>
    </row>
    <row r="259" spans="1:29" s="218" customFormat="1" ht="16.5" customHeight="1">
      <c r="A259" s="219" t="str">
        <f t="shared" si="51"/>
        <v>D,K</v>
      </c>
      <c r="B259" s="217" t="s">
        <v>34</v>
      </c>
      <c r="C259" s="217" t="s">
        <v>231</v>
      </c>
      <c r="D259" s="220" t="s">
        <v>16</v>
      </c>
      <c r="E259" s="221" t="s">
        <v>77</v>
      </c>
      <c r="F259" s="218" t="str">
        <f t="shared" si="49"/>
        <v>1+1012-13</v>
      </c>
      <c r="G259" s="222" t="s">
        <v>26</v>
      </c>
      <c r="H259" s="222"/>
      <c r="I259" s="222" t="s">
        <v>53</v>
      </c>
      <c r="J259" s="222" t="s">
        <v>49</v>
      </c>
      <c r="K259" s="222"/>
      <c r="L259" s="222" t="s">
        <v>23</v>
      </c>
      <c r="M259" s="222" t="s">
        <v>19</v>
      </c>
      <c r="N259" s="222"/>
      <c r="O259" s="222" t="s">
        <v>38</v>
      </c>
      <c r="P259" s="220" t="s">
        <v>42</v>
      </c>
      <c r="Q259" s="220"/>
      <c r="R259" s="220" t="s">
        <v>46</v>
      </c>
      <c r="S259" s="222"/>
      <c r="T259" s="222"/>
      <c r="U259" s="220"/>
      <c r="V259" s="220"/>
      <c r="W259" s="220" t="s">
        <v>239</v>
      </c>
      <c r="X259" s="223">
        <f t="shared" si="50"/>
        <v>11</v>
      </c>
      <c r="Y259" s="223" t="s">
        <v>34</v>
      </c>
      <c r="Z259" s="219">
        <f t="shared" si="52"/>
        <v>4</v>
      </c>
      <c r="AA259" s="219">
        <f t="shared" si="53"/>
        <v>6</v>
      </c>
      <c r="AB259" s="219">
        <f t="shared" si="54"/>
        <v>2</v>
      </c>
      <c r="AC259" s="219" t="str" cm="1">
        <f t="array" ref="AC259">_xlfn.TEXTJOIN(", ", TRUE, _xlfn.UNIQUE(_xlfn._xlws.FILTER(G259:W259, COUNTIF(G259:W259, G259:W259)&gt;1, "無")))</f>
        <v>無</v>
      </c>
    </row>
    <row r="260" spans="1:29" s="218" customFormat="1" ht="16.5" customHeight="1">
      <c r="A260" s="219" t="str">
        <f t="shared" si="51"/>
        <v>D,K</v>
      </c>
      <c r="B260" s="217" t="s">
        <v>34</v>
      </c>
      <c r="C260" s="217" t="s">
        <v>231</v>
      </c>
      <c r="D260" s="220" t="s">
        <v>16</v>
      </c>
      <c r="E260" s="221" t="s">
        <v>78</v>
      </c>
      <c r="F260" s="218" t="str">
        <f t="shared" si="49"/>
        <v>1+1013-14</v>
      </c>
      <c r="G260" s="222" t="s">
        <v>26</v>
      </c>
      <c r="H260" s="222"/>
      <c r="I260" s="222" t="s">
        <v>53</v>
      </c>
      <c r="J260" s="222" t="s">
        <v>49</v>
      </c>
      <c r="K260" s="222"/>
      <c r="L260" s="222" t="s">
        <v>23</v>
      </c>
      <c r="M260" s="222" t="s">
        <v>19</v>
      </c>
      <c r="N260" s="222"/>
      <c r="O260" s="222" t="s">
        <v>38</v>
      </c>
      <c r="P260" s="220" t="s">
        <v>42</v>
      </c>
      <c r="Q260" s="220"/>
      <c r="R260" s="220" t="s">
        <v>46</v>
      </c>
      <c r="S260" s="222"/>
      <c r="T260" s="222"/>
      <c r="U260" s="220"/>
      <c r="V260" s="220"/>
      <c r="W260" s="220" t="s">
        <v>239</v>
      </c>
      <c r="X260" s="223">
        <f t="shared" si="50"/>
        <v>11</v>
      </c>
      <c r="Y260" s="223" t="s">
        <v>38</v>
      </c>
      <c r="Z260" s="219">
        <f t="shared" si="52"/>
        <v>6</v>
      </c>
      <c r="AA260" s="219">
        <f t="shared" si="53"/>
        <v>4</v>
      </c>
      <c r="AB260" s="219">
        <f t="shared" si="54"/>
        <v>2</v>
      </c>
      <c r="AC260" s="219" t="str" cm="1">
        <f t="array" ref="AC260">_xlfn.TEXTJOIN(", ", TRUE, _xlfn.UNIQUE(_xlfn._xlws.FILTER(G260:W260, COUNTIF(G260:W260, G260:W260)&gt;1, "無")))</f>
        <v>無</v>
      </c>
    </row>
    <row r="261" spans="1:29" s="218" customFormat="1" ht="16.5" customHeight="1">
      <c r="A261" s="219" t="str">
        <f t="shared" si="51"/>
        <v/>
      </c>
      <c r="B261" s="217"/>
      <c r="C261" s="217"/>
      <c r="D261" s="220" t="s">
        <v>16</v>
      </c>
      <c r="E261" s="221" t="s">
        <v>79</v>
      </c>
      <c r="F261" s="218" t="str">
        <f t="shared" si="49"/>
        <v>1+1014-15</v>
      </c>
      <c r="G261" s="222" t="s">
        <v>30</v>
      </c>
      <c r="H261" s="222"/>
      <c r="I261" s="222" t="s">
        <v>234</v>
      </c>
      <c r="J261" s="222" t="s">
        <v>26</v>
      </c>
      <c r="K261" s="222"/>
      <c r="L261" s="222" t="s">
        <v>46</v>
      </c>
      <c r="M261" s="222" t="s">
        <v>240</v>
      </c>
      <c r="N261" s="222"/>
      <c r="O261" s="222" t="s">
        <v>19</v>
      </c>
      <c r="P261" s="220" t="s">
        <v>233</v>
      </c>
      <c r="Q261" s="220"/>
      <c r="R261" s="220" t="s">
        <v>242</v>
      </c>
      <c r="S261" s="222" t="s">
        <v>49</v>
      </c>
      <c r="T261" s="222"/>
      <c r="U261" s="220" t="s">
        <v>235</v>
      </c>
      <c r="V261" s="220"/>
      <c r="W261" s="220" t="s">
        <v>57</v>
      </c>
      <c r="X261" s="223">
        <f t="shared" si="50"/>
        <v>11</v>
      </c>
      <c r="Y261" s="223" t="s">
        <v>42</v>
      </c>
      <c r="Z261" s="219">
        <f t="shared" si="52"/>
        <v>6</v>
      </c>
      <c r="AA261" s="219">
        <f t="shared" si="53"/>
        <v>4</v>
      </c>
      <c r="AB261" s="219">
        <f t="shared" si="54"/>
        <v>2</v>
      </c>
      <c r="AC261" s="219" t="str" cm="1">
        <f t="array" ref="AC261">_xlfn.TEXTJOIN(", ", TRUE, _xlfn.UNIQUE(_xlfn._xlws.FILTER(G261:W261, COUNTIF(G261:W261, G261:W261)&gt;1, "無")))</f>
        <v>無</v>
      </c>
    </row>
    <row r="262" spans="1:29" s="218" customFormat="1" ht="16.5" customHeight="1">
      <c r="A262" s="219" t="str">
        <f t="shared" si="51"/>
        <v/>
      </c>
      <c r="B262" s="217"/>
      <c r="C262" s="217"/>
      <c r="D262" s="220" t="s">
        <v>16</v>
      </c>
      <c r="E262" s="221" t="s">
        <v>80</v>
      </c>
      <c r="F262" s="218" t="str">
        <f t="shared" si="49"/>
        <v>1+1015-16</v>
      </c>
      <c r="G262" s="222" t="s">
        <v>30</v>
      </c>
      <c r="H262" s="222"/>
      <c r="I262" s="222" t="s">
        <v>234</v>
      </c>
      <c r="J262" s="222" t="s">
        <v>26</v>
      </c>
      <c r="K262" s="222"/>
      <c r="L262" s="222" t="s">
        <v>46</v>
      </c>
      <c r="M262" s="222" t="s">
        <v>240</v>
      </c>
      <c r="N262" s="222"/>
      <c r="O262" s="222" t="s">
        <v>19</v>
      </c>
      <c r="P262" s="220" t="s">
        <v>233</v>
      </c>
      <c r="Q262" s="220"/>
      <c r="R262" s="220" t="s">
        <v>242</v>
      </c>
      <c r="S262" s="222" t="s">
        <v>49</v>
      </c>
      <c r="T262" s="222"/>
      <c r="U262" s="220" t="s">
        <v>235</v>
      </c>
      <c r="V262" s="220"/>
      <c r="W262" s="220" t="s">
        <v>57</v>
      </c>
      <c r="X262" s="223">
        <f t="shared" si="50"/>
        <v>11</v>
      </c>
      <c r="Y262" s="223" t="s">
        <v>26</v>
      </c>
      <c r="Z262" s="219">
        <f t="shared" si="52"/>
        <v>4</v>
      </c>
      <c r="AA262" s="219">
        <f t="shared" si="53"/>
        <v>4</v>
      </c>
      <c r="AB262" s="219">
        <f t="shared" si="54"/>
        <v>2</v>
      </c>
      <c r="AC262" s="219" t="str" cm="1">
        <f t="array" ref="AC262">_xlfn.TEXTJOIN(", ", TRUE, _xlfn.UNIQUE(_xlfn._xlws.FILTER(G262:W262, COUNTIF(G262:W262, G262:W262)&gt;1, "無")))</f>
        <v>無</v>
      </c>
    </row>
    <row r="263" spans="1:29" s="218" customFormat="1" ht="16.5" customHeight="1">
      <c r="A263" s="219" t="str">
        <f t="shared" si="51"/>
        <v>I</v>
      </c>
      <c r="B263" s="217" t="s">
        <v>49</v>
      </c>
      <c r="C263" s="217"/>
      <c r="D263" s="220" t="s">
        <v>16</v>
      </c>
      <c r="E263" s="221" t="s">
        <v>81</v>
      </c>
      <c r="F263" s="218" t="str">
        <f t="shared" si="49"/>
        <v>1+1016-17</v>
      </c>
      <c r="G263" s="222" t="s">
        <v>34</v>
      </c>
      <c r="H263" s="222"/>
      <c r="I263" s="222" t="s">
        <v>242</v>
      </c>
      <c r="J263" s="222" t="s">
        <v>46</v>
      </c>
      <c r="K263" s="222"/>
      <c r="L263" s="222" t="s">
        <v>30</v>
      </c>
      <c r="M263" s="222" t="s">
        <v>26</v>
      </c>
      <c r="N263" s="222"/>
      <c r="O263" s="222" t="s">
        <v>237</v>
      </c>
      <c r="P263" s="220" t="s">
        <v>234</v>
      </c>
      <c r="Q263" s="220"/>
      <c r="R263" s="220" t="s">
        <v>23</v>
      </c>
      <c r="S263" s="222" t="s">
        <v>38</v>
      </c>
      <c r="T263" s="222"/>
      <c r="U263" s="220"/>
      <c r="V263" s="220"/>
      <c r="W263" s="220" t="s">
        <v>57</v>
      </c>
      <c r="X263" s="223">
        <f t="shared" si="50"/>
        <v>11</v>
      </c>
      <c r="Y263" s="223" t="s">
        <v>46</v>
      </c>
      <c r="Z263" s="219">
        <f t="shared" si="52"/>
        <v>4</v>
      </c>
      <c r="AA263" s="219">
        <f t="shared" si="53"/>
        <v>4</v>
      </c>
      <c r="AB263" s="219">
        <f t="shared" si="54"/>
        <v>2</v>
      </c>
      <c r="AC263" s="219" t="str" cm="1">
        <f t="array" ref="AC263">_xlfn.TEXTJOIN(", ", TRUE, _xlfn.UNIQUE(_xlfn._xlws.FILTER(G263:W263, COUNTIF(G263:W263, G263:W263)&gt;1, "無")))</f>
        <v>無</v>
      </c>
    </row>
    <row r="264" spans="1:29" s="218" customFormat="1" ht="16.5" customHeight="1">
      <c r="A264" s="219" t="str">
        <f t="shared" si="51"/>
        <v>I</v>
      </c>
      <c r="B264" s="217" t="s">
        <v>49</v>
      </c>
      <c r="C264" s="217"/>
      <c r="D264" s="220" t="s">
        <v>16</v>
      </c>
      <c r="E264" s="221" t="s">
        <v>82</v>
      </c>
      <c r="F264" s="218" t="str">
        <f t="shared" si="49"/>
        <v>1+1017-18</v>
      </c>
      <c r="G264" s="222" t="s">
        <v>34</v>
      </c>
      <c r="H264" s="222"/>
      <c r="I264" s="222" t="s">
        <v>242</v>
      </c>
      <c r="J264" s="222" t="s">
        <v>46</v>
      </c>
      <c r="K264" s="222"/>
      <c r="L264" s="222" t="s">
        <v>30</v>
      </c>
      <c r="M264" s="222" t="s">
        <v>26</v>
      </c>
      <c r="N264" s="222"/>
      <c r="O264" s="222" t="s">
        <v>237</v>
      </c>
      <c r="P264" s="220" t="s">
        <v>234</v>
      </c>
      <c r="Q264" s="220"/>
      <c r="R264" s="220" t="s">
        <v>23</v>
      </c>
      <c r="S264" s="222" t="s">
        <v>38</v>
      </c>
      <c r="T264" s="222"/>
      <c r="U264" s="220"/>
      <c r="V264" s="220"/>
      <c r="W264" s="220" t="s">
        <v>57</v>
      </c>
      <c r="X264" s="223">
        <f t="shared" si="50"/>
        <v>11</v>
      </c>
      <c r="Y264" s="223" t="s">
        <v>49</v>
      </c>
      <c r="Z264" s="219">
        <f t="shared" si="52"/>
        <v>6</v>
      </c>
      <c r="AA264" s="219">
        <f t="shared" si="53"/>
        <v>4</v>
      </c>
      <c r="AB264" s="219">
        <f t="shared" si="54"/>
        <v>2</v>
      </c>
      <c r="AC264" s="219" t="str" cm="1">
        <f t="array" ref="AC264">_xlfn.TEXTJOIN(", ", TRUE, _xlfn.UNIQUE(_xlfn._xlws.FILTER(G264:W264, COUNTIF(G264:W264, G264:W264)&gt;1, "無")))</f>
        <v>無</v>
      </c>
    </row>
    <row r="265" spans="1:29" s="218" customFormat="1" ht="16.5" customHeight="1">
      <c r="A265" s="219" t="str">
        <f t="shared" si="51"/>
        <v>B,F</v>
      </c>
      <c r="B265" s="217" t="s">
        <v>23</v>
      </c>
      <c r="C265" s="217" t="s">
        <v>234</v>
      </c>
      <c r="D265" s="220" t="s">
        <v>16</v>
      </c>
      <c r="E265" s="221" t="s">
        <v>83</v>
      </c>
      <c r="F265" s="218" t="str">
        <f t="shared" si="49"/>
        <v>1+1018-19</v>
      </c>
      <c r="G265" s="222" t="s">
        <v>38</v>
      </c>
      <c r="H265" s="222"/>
      <c r="I265" s="222" t="s">
        <v>49</v>
      </c>
      <c r="J265" s="222" t="s">
        <v>26</v>
      </c>
      <c r="K265" s="222"/>
      <c r="L265" s="222" t="s">
        <v>34</v>
      </c>
      <c r="M265" s="222" t="s">
        <v>46</v>
      </c>
      <c r="N265" s="222"/>
      <c r="O265" s="222" t="s">
        <v>242</v>
      </c>
      <c r="P265" s="220" t="s">
        <v>237</v>
      </c>
      <c r="Q265" s="220"/>
      <c r="R265" s="220" t="s">
        <v>30</v>
      </c>
      <c r="S265" s="222"/>
      <c r="T265" s="222"/>
      <c r="U265" s="220"/>
      <c r="V265" s="220"/>
      <c r="W265" s="220" t="s">
        <v>57</v>
      </c>
      <c r="X265" s="223">
        <f t="shared" si="50"/>
        <v>11</v>
      </c>
      <c r="Y265" s="223" t="s">
        <v>53</v>
      </c>
      <c r="Z265" s="219">
        <f t="shared" si="52"/>
        <v>6</v>
      </c>
      <c r="AA265" s="219">
        <f t="shared" si="53"/>
        <v>4</v>
      </c>
      <c r="AB265" s="219">
        <f t="shared" si="54"/>
        <v>2</v>
      </c>
      <c r="AC265" s="219" t="str" cm="1">
        <f t="array" ref="AC265">_xlfn.TEXTJOIN(", ", TRUE, _xlfn.UNIQUE(_xlfn._xlws.FILTER(G265:W265, COUNTIF(G265:W265, G265:W265)&gt;1, "無")))</f>
        <v>無</v>
      </c>
    </row>
    <row r="266" spans="1:29" s="218" customFormat="1" ht="16.5" customHeight="1">
      <c r="A266" s="219" t="str">
        <f t="shared" si="51"/>
        <v>B,F</v>
      </c>
      <c r="B266" s="217" t="s">
        <v>23</v>
      </c>
      <c r="C266" s="217" t="s">
        <v>234</v>
      </c>
      <c r="D266" s="220" t="s">
        <v>16</v>
      </c>
      <c r="E266" s="221" t="s">
        <v>84</v>
      </c>
      <c r="F266" s="218" t="str">
        <f t="shared" si="49"/>
        <v>1+1019-20</v>
      </c>
      <c r="G266" s="222" t="s">
        <v>38</v>
      </c>
      <c r="H266" s="222"/>
      <c r="I266" s="222" t="s">
        <v>49</v>
      </c>
      <c r="J266" s="222" t="s">
        <v>26</v>
      </c>
      <c r="K266" s="222"/>
      <c r="L266" s="222" t="s">
        <v>34</v>
      </c>
      <c r="M266" s="222" t="s">
        <v>46</v>
      </c>
      <c r="N266" s="222"/>
      <c r="O266" s="222" t="s">
        <v>242</v>
      </c>
      <c r="P266" s="220" t="s">
        <v>237</v>
      </c>
      <c r="Q266" s="220"/>
      <c r="R266" s="220" t="s">
        <v>30</v>
      </c>
      <c r="S266" s="222"/>
      <c r="T266" s="222"/>
      <c r="U266" s="220"/>
      <c r="V266" s="220"/>
      <c r="W266" s="220" t="s">
        <v>57</v>
      </c>
      <c r="X266" s="223">
        <f t="shared" si="50"/>
        <v>11</v>
      </c>
      <c r="Y266" s="223" t="s">
        <v>57</v>
      </c>
      <c r="Z266" s="219">
        <f t="shared" si="52"/>
        <v>0</v>
      </c>
      <c r="AA266" s="219">
        <f t="shared" si="53"/>
        <v>0</v>
      </c>
      <c r="AB266" s="219">
        <f t="shared" si="54"/>
        <v>2</v>
      </c>
      <c r="AC266" s="219" t="str" cm="1">
        <f t="array" ref="AC266">_xlfn.TEXTJOIN(", ", TRUE, _xlfn.UNIQUE(_xlfn._xlws.FILTER(G266:W266, COUNTIF(G266:W266, G266:W266)&gt;1, "無")))</f>
        <v>無</v>
      </c>
    </row>
    <row r="267" spans="1:29" s="218" customFormat="1" ht="16.5" customHeight="1">
      <c r="A267" s="219" t="str">
        <f t="shared" si="51"/>
        <v>C,A</v>
      </c>
      <c r="B267" s="217" t="s">
        <v>30</v>
      </c>
      <c r="C267" s="217" t="s">
        <v>237</v>
      </c>
      <c r="D267" s="220" t="s">
        <v>16</v>
      </c>
      <c r="E267" s="221" t="s">
        <v>85</v>
      </c>
      <c r="F267" s="218" t="str">
        <f t="shared" si="49"/>
        <v>1+1020-21</v>
      </c>
      <c r="G267" s="222" t="s">
        <v>42</v>
      </c>
      <c r="H267" s="222"/>
      <c r="I267" s="222" t="s">
        <v>49</v>
      </c>
      <c r="J267" s="222" t="s">
        <v>38</v>
      </c>
      <c r="K267" s="222"/>
      <c r="L267" s="222" t="s">
        <v>235</v>
      </c>
      <c r="M267" s="222" t="s">
        <v>233</v>
      </c>
      <c r="N267" s="222"/>
      <c r="O267" s="222" t="s">
        <v>238</v>
      </c>
      <c r="P267" s="220" t="s">
        <v>242</v>
      </c>
      <c r="Q267" s="220"/>
      <c r="R267" s="220" t="s">
        <v>236</v>
      </c>
      <c r="S267" s="222"/>
      <c r="T267" s="222"/>
      <c r="U267" s="220"/>
      <c r="V267" s="220"/>
      <c r="W267" s="220" t="s">
        <v>57</v>
      </c>
      <c r="X267" s="223">
        <f t="shared" si="50"/>
        <v>11</v>
      </c>
      <c r="AB267" s="219"/>
      <c r="AC267" s="219" t="str" cm="1">
        <f t="array" ref="AC267">_xlfn.TEXTJOIN(", ", TRUE, _xlfn.UNIQUE(_xlfn._xlws.FILTER(G267:W267, COUNTIF(G267:W267, G267:W267)&gt;1, "無")))</f>
        <v>無</v>
      </c>
    </row>
    <row r="268" spans="1:29" s="218" customFormat="1" ht="16.5" customHeight="1">
      <c r="A268" s="219" t="str">
        <f t="shared" si="51"/>
        <v>C,A</v>
      </c>
      <c r="B268" s="217" t="s">
        <v>30</v>
      </c>
      <c r="C268" s="217" t="s">
        <v>237</v>
      </c>
      <c r="D268" s="220" t="s">
        <v>16</v>
      </c>
      <c r="E268" s="221" t="s">
        <v>86</v>
      </c>
      <c r="F268" s="218" t="str">
        <f t="shared" si="49"/>
        <v>1+1021-22</v>
      </c>
      <c r="G268" s="222" t="s">
        <v>42</v>
      </c>
      <c r="H268" s="222"/>
      <c r="I268" s="222" t="s">
        <v>49</v>
      </c>
      <c r="J268" s="222" t="s">
        <v>38</v>
      </c>
      <c r="K268" s="222"/>
      <c r="L268" s="222" t="s">
        <v>235</v>
      </c>
      <c r="M268" s="222" t="s">
        <v>233</v>
      </c>
      <c r="N268" s="222"/>
      <c r="O268" s="222" t="s">
        <v>238</v>
      </c>
      <c r="P268" s="220" t="s">
        <v>242</v>
      </c>
      <c r="Q268" s="220"/>
      <c r="R268" s="220" t="s">
        <v>236</v>
      </c>
      <c r="S268" s="222"/>
      <c r="T268" s="222"/>
      <c r="U268" s="220"/>
      <c r="V268" s="220"/>
      <c r="W268" s="220" t="s">
        <v>57</v>
      </c>
      <c r="X268" s="223">
        <f t="shared" si="50"/>
        <v>11</v>
      </c>
      <c r="AC268" s="219" t="str" cm="1">
        <f t="array" ref="AC268">_xlfn.TEXTJOIN(", ", TRUE, _xlfn.UNIQUE(_xlfn._xlws.FILTER(G268:W268, COUNTIF(G268:W268, G268:W268)&gt;1, "無")))</f>
        <v>無</v>
      </c>
    </row>
    <row r="269" spans="1:29" s="218" customFormat="1" ht="16.5" customHeight="1">
      <c r="A269" s="219" t="str">
        <f t="shared" si="51"/>
        <v/>
      </c>
      <c r="B269" s="217"/>
      <c r="C269" s="217"/>
      <c r="D269" s="220" t="s">
        <v>16</v>
      </c>
      <c r="E269" s="221" t="s">
        <v>87</v>
      </c>
      <c r="F269" s="218" t="str">
        <f t="shared" si="49"/>
        <v>1+1022-23</v>
      </c>
      <c r="G269" s="222" t="s">
        <v>46</v>
      </c>
      <c r="H269" s="222"/>
      <c r="I269" s="222" t="s">
        <v>42</v>
      </c>
      <c r="J269" s="222" t="s">
        <v>53</v>
      </c>
      <c r="K269" s="222"/>
      <c r="L269" s="222" t="s">
        <v>235</v>
      </c>
      <c r="M269" s="222" t="s">
        <v>23</v>
      </c>
      <c r="N269" s="222"/>
      <c r="O269" s="222" t="s">
        <v>239</v>
      </c>
      <c r="P269" s="220" t="s">
        <v>49</v>
      </c>
      <c r="Q269" s="220"/>
      <c r="R269" s="220" t="s">
        <v>26</v>
      </c>
      <c r="S269" s="222" t="s">
        <v>38</v>
      </c>
      <c r="T269" s="222"/>
      <c r="U269" s="220" t="s">
        <v>237</v>
      </c>
      <c r="V269" s="220"/>
      <c r="W269" s="220" t="s">
        <v>57</v>
      </c>
      <c r="X269" s="223">
        <f t="shared" si="50"/>
        <v>11</v>
      </c>
      <c r="AC269" s="219" t="str" cm="1">
        <f t="array" ref="AC269">_xlfn.TEXTJOIN(", ", TRUE, _xlfn.UNIQUE(_xlfn._xlws.FILTER(G269:W269, COUNTIF(G269:W269, G269:W269)&gt;1, "無")))</f>
        <v>無</v>
      </c>
    </row>
    <row r="270" spans="1:29" s="218" customFormat="1" ht="16.5" customHeight="1">
      <c r="A270" s="219" t="str">
        <f t="shared" si="51"/>
        <v/>
      </c>
      <c r="B270" s="217"/>
      <c r="C270" s="217"/>
      <c r="D270" s="220" t="s">
        <v>16</v>
      </c>
      <c r="E270" s="221" t="s">
        <v>88</v>
      </c>
      <c r="F270" s="218" t="str">
        <f t="shared" si="49"/>
        <v>1+1023-24</v>
      </c>
      <c r="G270" s="222" t="s">
        <v>46</v>
      </c>
      <c r="H270" s="222"/>
      <c r="I270" s="222" t="s">
        <v>42</v>
      </c>
      <c r="J270" s="222" t="s">
        <v>53</v>
      </c>
      <c r="K270" s="222"/>
      <c r="L270" s="222" t="s">
        <v>235</v>
      </c>
      <c r="M270" s="222" t="s">
        <v>23</v>
      </c>
      <c r="N270" s="222"/>
      <c r="O270" s="222" t="s">
        <v>239</v>
      </c>
      <c r="P270" s="220" t="s">
        <v>49</v>
      </c>
      <c r="Q270" s="220"/>
      <c r="R270" s="220" t="s">
        <v>26</v>
      </c>
      <c r="S270" s="222" t="s">
        <v>38</v>
      </c>
      <c r="T270" s="222"/>
      <c r="U270" s="220" t="s">
        <v>237</v>
      </c>
      <c r="V270" s="220"/>
      <c r="W270" s="220" t="s">
        <v>57</v>
      </c>
      <c r="X270" s="223">
        <f t="shared" si="50"/>
        <v>11</v>
      </c>
      <c r="AC270" s="219" t="str" cm="1">
        <f t="array" ref="AC270">_xlfn.TEXTJOIN(", ", TRUE, _xlfn.UNIQUE(_xlfn._xlws.FILTER(G270:W270, COUNTIF(G270:W270, G270:W270)&gt;1, "無")))</f>
        <v>無</v>
      </c>
    </row>
    <row r="271" spans="1:29" s="218" customFormat="1" ht="16.5" customHeight="1">
      <c r="A271" s="219" t="str">
        <f t="shared" si="51"/>
        <v/>
      </c>
      <c r="B271" s="217"/>
      <c r="C271" s="217"/>
      <c r="D271" s="220" t="s">
        <v>16</v>
      </c>
      <c r="E271" s="221" t="s">
        <v>89</v>
      </c>
      <c r="F271" s="218" t="str">
        <f t="shared" si="49"/>
        <v>1+1000-01</v>
      </c>
      <c r="G271" s="222" t="s">
        <v>46</v>
      </c>
      <c r="H271" s="222"/>
      <c r="I271" s="222" t="s">
        <v>19</v>
      </c>
      <c r="J271" s="222" t="s">
        <v>23</v>
      </c>
      <c r="K271" s="222"/>
      <c r="L271" s="222" t="s">
        <v>49</v>
      </c>
      <c r="M271" s="222" t="s">
        <v>53</v>
      </c>
      <c r="N271" s="222"/>
      <c r="O271" s="222" t="s">
        <v>30</v>
      </c>
      <c r="P271" s="220" t="s">
        <v>26</v>
      </c>
      <c r="Q271" s="220"/>
      <c r="R271" s="220" t="s">
        <v>34</v>
      </c>
      <c r="S271" s="222" t="s">
        <v>42</v>
      </c>
      <c r="T271" s="222"/>
      <c r="U271" s="220" t="s">
        <v>240</v>
      </c>
      <c r="V271" s="220"/>
      <c r="W271" s="220" t="s">
        <v>57</v>
      </c>
      <c r="X271" s="223">
        <f t="shared" si="50"/>
        <v>11</v>
      </c>
      <c r="AC271" s="219" t="str" cm="1">
        <f t="array" ref="AC271">_xlfn.TEXTJOIN(", ", TRUE, _xlfn.UNIQUE(_xlfn._xlws.FILTER(G271:W271, COUNTIF(G271:W271, G271:W271)&gt;1, "無")))</f>
        <v>無</v>
      </c>
    </row>
    <row r="272" spans="1:29" s="218" customFormat="1" ht="16.5" customHeight="1">
      <c r="A272" s="219" t="str">
        <f t="shared" si="51"/>
        <v/>
      </c>
      <c r="B272" s="217"/>
      <c r="C272" s="217"/>
      <c r="D272" s="220" t="s">
        <v>16</v>
      </c>
      <c r="E272" s="221" t="s">
        <v>90</v>
      </c>
      <c r="F272" s="218" t="str">
        <f t="shared" si="49"/>
        <v>1+1001-02</v>
      </c>
      <c r="G272" s="222" t="s">
        <v>46</v>
      </c>
      <c r="H272" s="222"/>
      <c r="I272" s="222" t="s">
        <v>19</v>
      </c>
      <c r="J272" s="222" t="s">
        <v>23</v>
      </c>
      <c r="K272" s="222"/>
      <c r="L272" s="222" t="s">
        <v>49</v>
      </c>
      <c r="M272" s="222" t="s">
        <v>53</v>
      </c>
      <c r="N272" s="222"/>
      <c r="O272" s="222" t="s">
        <v>30</v>
      </c>
      <c r="P272" s="220" t="s">
        <v>26</v>
      </c>
      <c r="Q272" s="220"/>
      <c r="R272" s="220" t="s">
        <v>34</v>
      </c>
      <c r="S272" s="222" t="s">
        <v>42</v>
      </c>
      <c r="T272" s="222"/>
      <c r="U272" s="220" t="s">
        <v>240</v>
      </c>
      <c r="V272" s="220"/>
      <c r="W272" s="220" t="s">
        <v>57</v>
      </c>
      <c r="X272" s="223">
        <f t="shared" si="50"/>
        <v>11</v>
      </c>
      <c r="AC272" s="219" t="str" cm="1">
        <f t="array" ref="AC272">_xlfn.TEXTJOIN(", ", TRUE, _xlfn.UNIQUE(_xlfn._xlws.FILTER(G272:W272, COUNTIF(G272:W272, G272:W272)&gt;1, "無")))</f>
        <v>無</v>
      </c>
    </row>
    <row r="273" spans="1:29" s="218" customFormat="1" ht="16.5" customHeight="1">
      <c r="A273" s="219" t="str">
        <f t="shared" si="51"/>
        <v/>
      </c>
      <c r="B273" s="217"/>
      <c r="C273" s="217"/>
      <c r="D273" s="220" t="s">
        <v>16</v>
      </c>
      <c r="E273" s="221" t="s">
        <v>91</v>
      </c>
      <c r="F273" s="218" t="str">
        <f t="shared" si="49"/>
        <v>1+1002-03</v>
      </c>
      <c r="G273" s="222" t="s">
        <v>46</v>
      </c>
      <c r="H273" s="222"/>
      <c r="I273" s="222" t="s">
        <v>19</v>
      </c>
      <c r="J273" s="222" t="s">
        <v>23</v>
      </c>
      <c r="K273" s="222"/>
      <c r="L273" s="222" t="s">
        <v>53</v>
      </c>
      <c r="M273" s="222" t="s">
        <v>49</v>
      </c>
      <c r="N273" s="222"/>
      <c r="O273" s="222" t="s">
        <v>34</v>
      </c>
      <c r="P273" s="220" t="s">
        <v>30</v>
      </c>
      <c r="Q273" s="220"/>
      <c r="R273" s="220" t="s">
        <v>26</v>
      </c>
      <c r="S273" s="222" t="s">
        <v>38</v>
      </c>
      <c r="T273" s="222"/>
      <c r="U273" s="220" t="s">
        <v>234</v>
      </c>
      <c r="V273" s="220"/>
      <c r="W273" s="220" t="s">
        <v>57</v>
      </c>
      <c r="X273" s="223">
        <f t="shared" si="50"/>
        <v>11</v>
      </c>
      <c r="AC273" s="219" t="str" cm="1">
        <f t="array" ref="AC273">_xlfn.TEXTJOIN(", ", TRUE, _xlfn.UNIQUE(_xlfn._xlws.FILTER(G273:W273, COUNTIF(G273:W273, G273:W273)&gt;1, "無")))</f>
        <v>無</v>
      </c>
    </row>
    <row r="274" spans="1:29" s="218" customFormat="1" ht="16.5" customHeight="1">
      <c r="A274" s="219" t="str">
        <f t="shared" si="51"/>
        <v/>
      </c>
      <c r="B274" s="217"/>
      <c r="C274" s="217"/>
      <c r="D274" s="220" t="s">
        <v>16</v>
      </c>
      <c r="E274" s="221" t="s">
        <v>92</v>
      </c>
      <c r="F274" s="218" t="str">
        <f t="shared" si="49"/>
        <v>1+1003-04</v>
      </c>
      <c r="G274" s="222" t="s">
        <v>46</v>
      </c>
      <c r="H274" s="222"/>
      <c r="I274" s="222" t="s">
        <v>19</v>
      </c>
      <c r="J274" s="222" t="s">
        <v>23</v>
      </c>
      <c r="K274" s="222"/>
      <c r="L274" s="222" t="s">
        <v>53</v>
      </c>
      <c r="M274" s="222" t="s">
        <v>49</v>
      </c>
      <c r="N274" s="222"/>
      <c r="O274" s="222" t="s">
        <v>34</v>
      </c>
      <c r="P274" s="220" t="s">
        <v>30</v>
      </c>
      <c r="Q274" s="220"/>
      <c r="R274" s="220" t="s">
        <v>26</v>
      </c>
      <c r="S274" s="222" t="s">
        <v>38</v>
      </c>
      <c r="T274" s="222"/>
      <c r="U274" s="220" t="s">
        <v>234</v>
      </c>
      <c r="V274" s="220"/>
      <c r="W274" s="220" t="s">
        <v>57</v>
      </c>
      <c r="X274" s="223">
        <f t="shared" si="50"/>
        <v>11</v>
      </c>
      <c r="AC274" s="219" t="str" cm="1">
        <f t="array" ref="AC274">_xlfn.TEXTJOIN(", ", TRUE, _xlfn.UNIQUE(_xlfn._xlws.FILTER(G274:W274, COUNTIF(G274:W274, G274:W274)&gt;1, "無")))</f>
        <v>無</v>
      </c>
    </row>
    <row r="275" spans="1:29" s="218" customFormat="1" ht="16.5" customHeight="1">
      <c r="A275" s="219" t="str">
        <f t="shared" si="51"/>
        <v/>
      </c>
      <c r="B275" s="217"/>
      <c r="C275" s="217"/>
      <c r="D275" s="220" t="s">
        <v>16</v>
      </c>
      <c r="E275" s="221" t="s">
        <v>93</v>
      </c>
      <c r="F275" s="218" t="str">
        <f t="shared" si="49"/>
        <v>1+1004-05</v>
      </c>
      <c r="G275" s="222" t="s">
        <v>46</v>
      </c>
      <c r="H275" s="222"/>
      <c r="I275" s="222" t="s">
        <v>30</v>
      </c>
      <c r="J275" s="222" t="s">
        <v>34</v>
      </c>
      <c r="K275" s="222"/>
      <c r="L275" s="222" t="s">
        <v>38</v>
      </c>
      <c r="M275" s="222" t="s">
        <v>42</v>
      </c>
      <c r="N275" s="222"/>
      <c r="O275" s="222" t="s">
        <v>23</v>
      </c>
      <c r="P275" s="220" t="s">
        <v>49</v>
      </c>
      <c r="Q275" s="220"/>
      <c r="R275" s="220" t="s">
        <v>19</v>
      </c>
      <c r="S275" s="222" t="s">
        <v>26</v>
      </c>
      <c r="T275" s="222"/>
      <c r="U275" s="220" t="s">
        <v>53</v>
      </c>
      <c r="V275" s="220"/>
      <c r="W275" s="220" t="s">
        <v>231</v>
      </c>
      <c r="X275" s="223">
        <f t="shared" si="50"/>
        <v>11</v>
      </c>
      <c r="AC275" s="219" t="str" cm="1">
        <f t="array" ref="AC275">_xlfn.TEXTJOIN(", ", TRUE, _xlfn.UNIQUE(_xlfn._xlws.FILTER(G275:W275, COUNTIF(G275:W275, G275:W275)&gt;1, "無")))</f>
        <v>無</v>
      </c>
    </row>
    <row r="276" spans="1:29" s="218" customFormat="1" ht="16.5" customHeight="1">
      <c r="A276" s="219" t="str">
        <f t="shared" si="51"/>
        <v/>
      </c>
      <c r="B276" s="217"/>
      <c r="C276" s="217"/>
      <c r="D276" s="220" t="s">
        <v>16</v>
      </c>
      <c r="E276" s="221" t="s">
        <v>94</v>
      </c>
      <c r="F276" s="218" t="str">
        <f t="shared" si="49"/>
        <v>1+1005-06</v>
      </c>
      <c r="G276" s="222" t="s">
        <v>46</v>
      </c>
      <c r="H276" s="222"/>
      <c r="I276" s="222" t="s">
        <v>30</v>
      </c>
      <c r="J276" s="222" t="s">
        <v>34</v>
      </c>
      <c r="K276" s="222"/>
      <c r="L276" s="222" t="s">
        <v>38</v>
      </c>
      <c r="M276" s="222" t="s">
        <v>42</v>
      </c>
      <c r="N276" s="222"/>
      <c r="O276" s="222" t="s">
        <v>23</v>
      </c>
      <c r="P276" s="220" t="s">
        <v>49</v>
      </c>
      <c r="Q276" s="220"/>
      <c r="R276" s="220" t="s">
        <v>19</v>
      </c>
      <c r="S276" s="222" t="s">
        <v>26</v>
      </c>
      <c r="T276" s="222"/>
      <c r="U276" s="220" t="s">
        <v>53</v>
      </c>
      <c r="V276" s="220"/>
      <c r="W276" s="220" t="s">
        <v>231</v>
      </c>
      <c r="X276" s="223">
        <f t="shared" si="50"/>
        <v>11</v>
      </c>
      <c r="AC276" s="219" t="str" cm="1">
        <f t="array" ref="AC276">_xlfn.TEXTJOIN(", ", TRUE, _xlfn.UNIQUE(_xlfn._xlws.FILTER(G276:W276, COUNTIF(G276:W276, G276:W276)&gt;1, "無")))</f>
        <v>無</v>
      </c>
    </row>
    <row r="277" spans="1:29" s="218" customFormat="1" ht="16.5" customHeight="1">
      <c r="A277" s="219" t="str">
        <f t="shared" si="51"/>
        <v>G,E</v>
      </c>
      <c r="B277" s="217" t="s">
        <v>26</v>
      </c>
      <c r="C277" s="217" t="s">
        <v>240</v>
      </c>
      <c r="D277" s="220" t="s">
        <v>16</v>
      </c>
      <c r="E277" s="221" t="s">
        <v>95</v>
      </c>
      <c r="F277" s="218" t="str">
        <f t="shared" si="49"/>
        <v>1+1006-07</v>
      </c>
      <c r="G277" s="222" t="s">
        <v>46</v>
      </c>
      <c r="H277" s="222"/>
      <c r="I277" s="222" t="s">
        <v>30</v>
      </c>
      <c r="J277" s="222" t="s">
        <v>34</v>
      </c>
      <c r="K277" s="222"/>
      <c r="L277" s="222" t="s">
        <v>42</v>
      </c>
      <c r="M277" s="222" t="s">
        <v>237</v>
      </c>
      <c r="N277" s="222"/>
      <c r="O277" s="222" t="s">
        <v>233</v>
      </c>
      <c r="P277" s="220" t="s">
        <v>230</v>
      </c>
      <c r="Q277" s="220"/>
      <c r="R277" s="220" t="s">
        <v>242</v>
      </c>
      <c r="S277" s="222"/>
      <c r="T277" s="222"/>
      <c r="U277" s="220"/>
      <c r="V277" s="220"/>
      <c r="W277" s="220" t="s">
        <v>57</v>
      </c>
      <c r="X277" s="223">
        <f t="shared" si="50"/>
        <v>11</v>
      </c>
      <c r="AC277" s="219" t="str" cm="1">
        <f t="array" ref="AC277">_xlfn.TEXTJOIN(", ", TRUE, _xlfn.UNIQUE(_xlfn._xlws.FILTER(G277:W277, COUNTIF(G277:W277, G277:W277)&gt;1, "無")))</f>
        <v>無</v>
      </c>
    </row>
    <row r="278" spans="1:29" s="218" customFormat="1" ht="16.5" customHeight="1">
      <c r="A278" s="219" t="str">
        <f t="shared" si="51"/>
        <v>G,E</v>
      </c>
      <c r="B278" s="217" t="s">
        <v>26</v>
      </c>
      <c r="C278" s="217" t="s">
        <v>240</v>
      </c>
      <c r="D278" s="220" t="s">
        <v>16</v>
      </c>
      <c r="E278" s="221" t="s">
        <v>96</v>
      </c>
      <c r="F278" s="218" t="str">
        <f t="shared" si="49"/>
        <v>1+1007-08</v>
      </c>
      <c r="G278" s="222" t="s">
        <v>46</v>
      </c>
      <c r="H278" s="222"/>
      <c r="I278" s="222" t="s">
        <v>30</v>
      </c>
      <c r="J278" s="222" t="s">
        <v>34</v>
      </c>
      <c r="K278" s="222"/>
      <c r="L278" s="222" t="s">
        <v>42</v>
      </c>
      <c r="M278" s="222" t="s">
        <v>237</v>
      </c>
      <c r="N278" s="222"/>
      <c r="O278" s="222" t="s">
        <v>233</v>
      </c>
      <c r="P278" s="220" t="s">
        <v>230</v>
      </c>
      <c r="Q278" s="220"/>
      <c r="R278" s="220" t="s">
        <v>242</v>
      </c>
      <c r="S278" s="222"/>
      <c r="T278" s="222"/>
      <c r="U278" s="220"/>
      <c r="V278" s="220"/>
      <c r="W278" s="220" t="s">
        <v>57</v>
      </c>
      <c r="X278" s="223">
        <f t="shared" si="50"/>
        <v>11</v>
      </c>
      <c r="AC278" s="219" t="str" cm="1">
        <f t="array" ref="AC278">_xlfn.TEXTJOIN(", ", TRUE, _xlfn.UNIQUE(_xlfn._xlws.FILTER(G278:W278, COUNTIF(G278:W278, G278:W278)&gt;1, "無")))</f>
        <v>無</v>
      </c>
    </row>
    <row r="279" spans="1:29" s="218" customFormat="1" ht="16.5" customHeight="1">
      <c r="A279" s="219"/>
      <c r="B279" s="217"/>
      <c r="C279" s="217"/>
      <c r="F279" s="219"/>
      <c r="G279" s="219"/>
      <c r="H279" s="219"/>
      <c r="X279" s="223"/>
      <c r="AC279" s="219"/>
    </row>
    <row r="280" spans="1:29" s="218" customFormat="1" ht="16.5" customHeight="1">
      <c r="A280" s="219"/>
      <c r="B280" s="217"/>
      <c r="C280" s="217"/>
      <c r="F280" s="219"/>
      <c r="G280" s="219"/>
      <c r="H280" s="219"/>
      <c r="X280" s="223"/>
      <c r="AC280" s="219"/>
    </row>
    <row r="281" spans="1:29" s="218" customFormat="1" ht="16.5" customHeight="1">
      <c r="A281" s="219" t="s">
        <v>244</v>
      </c>
      <c r="B281" s="217" t="s">
        <v>68</v>
      </c>
      <c r="C281" s="217" t="s">
        <v>69</v>
      </c>
      <c r="F281" s="219"/>
      <c r="G281" s="219"/>
      <c r="H281" s="219"/>
      <c r="X281" s="223"/>
      <c r="AC281" s="219"/>
    </row>
    <row r="282" spans="1:29" s="218" customFormat="1" ht="16.5" customHeight="1">
      <c r="A282" s="219" t="str">
        <f>_xlfn.TEXTJOIN(",",TRUE,B282:C282)</f>
        <v>H,K</v>
      </c>
      <c r="B282" s="217" t="s">
        <v>46</v>
      </c>
      <c r="C282" s="217" t="s">
        <v>231</v>
      </c>
      <c r="D282" s="220" t="s">
        <v>244</v>
      </c>
      <c r="E282" s="221" t="s">
        <v>70</v>
      </c>
      <c r="F282" s="218" t="str">
        <f t="shared" ref="F282:F305" si="55">$D282&amp;$E282</f>
        <v>2+1008-09</v>
      </c>
      <c r="G282" s="222" t="s">
        <v>19</v>
      </c>
      <c r="H282" s="222"/>
      <c r="I282" s="222" t="s">
        <v>38</v>
      </c>
      <c r="J282" s="222" t="s">
        <v>42</v>
      </c>
      <c r="K282" s="222"/>
      <c r="L282" s="222" t="s">
        <v>239</v>
      </c>
      <c r="M282" s="222" t="s">
        <v>238</v>
      </c>
      <c r="N282" s="222"/>
      <c r="O282" s="222" t="s">
        <v>235</v>
      </c>
      <c r="P282" s="220" t="s">
        <v>49</v>
      </c>
      <c r="Q282" s="220"/>
      <c r="R282" s="220" t="s">
        <v>242</v>
      </c>
      <c r="S282" s="222" t="s">
        <v>23</v>
      </c>
      <c r="T282" s="222"/>
      <c r="U282" s="220"/>
      <c r="V282" s="220"/>
      <c r="W282" s="220" t="s">
        <v>232</v>
      </c>
      <c r="X282" s="223">
        <f t="shared" ref="X282:X305" si="56">COUNTA(B282:C282,G282:W282)</f>
        <v>12</v>
      </c>
      <c r="Y282" s="223"/>
      <c r="Z282" s="219" t="s">
        <v>71</v>
      </c>
      <c r="AA282" s="219" t="s">
        <v>72</v>
      </c>
      <c r="AB282" s="219" t="s">
        <v>73</v>
      </c>
      <c r="AC282" s="219" t="str" cm="1">
        <f t="array" ref="AC282">_xlfn.TEXTJOIN(", ", TRUE, _xlfn.UNIQUE(_xlfn._xlws.FILTER(G282:W282, COUNTIF(G282:W282, G282:W282)&gt;1, "無")))</f>
        <v>無</v>
      </c>
    </row>
    <row r="283" spans="1:29" s="218" customFormat="1" ht="16.5" customHeight="1">
      <c r="A283" s="219" t="str">
        <f t="shared" ref="A283:A305" si="57">_xlfn.TEXTJOIN(",",TRUE,B283:C283)</f>
        <v>H,K</v>
      </c>
      <c r="B283" s="217" t="s">
        <v>46</v>
      </c>
      <c r="C283" s="217" t="s">
        <v>231</v>
      </c>
      <c r="D283" s="220" t="s">
        <v>244</v>
      </c>
      <c r="E283" s="221" t="s">
        <v>74</v>
      </c>
      <c r="F283" s="218" t="str">
        <f t="shared" si="55"/>
        <v>2+1009-10</v>
      </c>
      <c r="G283" s="222" t="s">
        <v>19</v>
      </c>
      <c r="H283" s="222"/>
      <c r="I283" s="222" t="s">
        <v>38</v>
      </c>
      <c r="J283" s="222" t="s">
        <v>42</v>
      </c>
      <c r="K283" s="222"/>
      <c r="L283" s="222" t="s">
        <v>239</v>
      </c>
      <c r="M283" s="222" t="s">
        <v>238</v>
      </c>
      <c r="N283" s="222"/>
      <c r="O283" s="222" t="s">
        <v>235</v>
      </c>
      <c r="P283" s="220" t="s">
        <v>49</v>
      </c>
      <c r="Q283" s="220"/>
      <c r="R283" s="220" t="s">
        <v>242</v>
      </c>
      <c r="S283" s="222" t="s">
        <v>23</v>
      </c>
      <c r="T283" s="222"/>
      <c r="U283" s="220"/>
      <c r="V283" s="220"/>
      <c r="W283" s="220" t="s">
        <v>232</v>
      </c>
      <c r="X283" s="223">
        <f t="shared" si="56"/>
        <v>12</v>
      </c>
      <c r="Y283" s="223" t="s">
        <v>19</v>
      </c>
      <c r="Z283" s="219">
        <f>COUNTIF($I$282:$J$305,Y283)</f>
        <v>4</v>
      </c>
      <c r="AA283" s="219">
        <f>COUNTIF($L$282:$M$305,Y283)</f>
        <v>6</v>
      </c>
      <c r="AB283" s="219">
        <f>COUNTIF($B$282:$C$305,Y283)</f>
        <v>2</v>
      </c>
      <c r="AC283" s="219" t="str" cm="1">
        <f t="array" ref="AC283">_xlfn.TEXTJOIN(", ", TRUE, _xlfn.UNIQUE(_xlfn._xlws.FILTER(G283:W283, COUNTIF(G283:W283, G283:W283)&gt;1, "無")))</f>
        <v>無</v>
      </c>
    </row>
    <row r="284" spans="1:29" s="218" customFormat="1" ht="16.5" customHeight="1">
      <c r="A284" s="219" t="str">
        <f t="shared" si="57"/>
        <v>J</v>
      </c>
      <c r="B284" s="217" t="s">
        <v>53</v>
      </c>
      <c r="C284" s="217"/>
      <c r="D284" s="220" t="s">
        <v>244</v>
      </c>
      <c r="E284" s="221" t="s">
        <v>75</v>
      </c>
      <c r="F284" s="218" t="str">
        <f t="shared" si="55"/>
        <v>2+1010-11</v>
      </c>
      <c r="G284" s="222" t="s">
        <v>23</v>
      </c>
      <c r="H284" s="222"/>
      <c r="I284" s="222" t="s">
        <v>38</v>
      </c>
      <c r="J284" s="222" t="s">
        <v>46</v>
      </c>
      <c r="K284" s="222"/>
      <c r="L284" s="222" t="s">
        <v>19</v>
      </c>
      <c r="M284" s="222" t="s">
        <v>239</v>
      </c>
      <c r="N284" s="222"/>
      <c r="O284" s="222" t="s">
        <v>42</v>
      </c>
      <c r="P284" s="220" t="s">
        <v>49</v>
      </c>
      <c r="Q284" s="220"/>
      <c r="R284" s="220" t="s">
        <v>235</v>
      </c>
      <c r="S284" s="222" t="s">
        <v>238</v>
      </c>
      <c r="T284" s="222"/>
      <c r="U284" s="220"/>
      <c r="V284" s="220" t="s">
        <v>232</v>
      </c>
      <c r="W284" s="220" t="s">
        <v>57</v>
      </c>
      <c r="X284" s="223">
        <f t="shared" si="56"/>
        <v>12</v>
      </c>
      <c r="Y284" s="223" t="s">
        <v>23</v>
      </c>
      <c r="Z284" s="219">
        <f t="shared" ref="Z284:Z294" si="58">COUNTIF($I$282:$J$305,Y284)</f>
        <v>4</v>
      </c>
      <c r="AA284" s="219">
        <f t="shared" ref="AA284:AA294" si="59">COUNTIF($L$282:$M$305,Y284)</f>
        <v>6</v>
      </c>
      <c r="AB284" s="219">
        <f t="shared" ref="AB284:AB294" si="60">COUNTIF($B$282:$C$305,Y284)</f>
        <v>2</v>
      </c>
      <c r="AC284" s="219" t="str" cm="1">
        <f t="array" ref="AC284">_xlfn.TEXTJOIN(", ", TRUE, _xlfn.UNIQUE(_xlfn._xlws.FILTER(G284:W284, COUNTIF(G284:W284, G284:W284)&gt;1, "無")))</f>
        <v>無</v>
      </c>
    </row>
    <row r="285" spans="1:29" s="218" customFormat="1" ht="16.5" customHeight="1">
      <c r="A285" s="219" t="str">
        <f t="shared" si="57"/>
        <v>J</v>
      </c>
      <c r="B285" s="217" t="s">
        <v>53</v>
      </c>
      <c r="C285" s="217"/>
      <c r="D285" s="220" t="s">
        <v>244</v>
      </c>
      <c r="E285" s="221" t="s">
        <v>76</v>
      </c>
      <c r="F285" s="218" t="str">
        <f t="shared" si="55"/>
        <v>2+1011-12</v>
      </c>
      <c r="G285" s="222" t="s">
        <v>23</v>
      </c>
      <c r="H285" s="222"/>
      <c r="I285" s="222" t="s">
        <v>38</v>
      </c>
      <c r="J285" s="222" t="s">
        <v>46</v>
      </c>
      <c r="K285" s="222"/>
      <c r="L285" s="222" t="s">
        <v>19</v>
      </c>
      <c r="M285" s="222" t="s">
        <v>239</v>
      </c>
      <c r="N285" s="222"/>
      <c r="O285" s="222" t="s">
        <v>42</v>
      </c>
      <c r="P285" s="220" t="s">
        <v>49</v>
      </c>
      <c r="Q285" s="220"/>
      <c r="R285" s="220" t="s">
        <v>235</v>
      </c>
      <c r="S285" s="222" t="s">
        <v>238</v>
      </c>
      <c r="T285" s="222"/>
      <c r="U285" s="220"/>
      <c r="V285" s="220" t="s">
        <v>232</v>
      </c>
      <c r="W285" s="220" t="s">
        <v>57</v>
      </c>
      <c r="X285" s="223">
        <f t="shared" si="56"/>
        <v>12</v>
      </c>
      <c r="Y285" s="223" t="s">
        <v>30</v>
      </c>
      <c r="Z285" s="219">
        <f t="shared" si="58"/>
        <v>4</v>
      </c>
      <c r="AA285" s="219">
        <f t="shared" si="59"/>
        <v>6</v>
      </c>
      <c r="AB285" s="219">
        <f t="shared" si="60"/>
        <v>2</v>
      </c>
      <c r="AC285" s="219" t="str" cm="1">
        <f t="array" ref="AC285">_xlfn.TEXTJOIN(", ", TRUE, _xlfn.UNIQUE(_xlfn._xlws.FILTER(G285:W285, COUNTIF(G285:W285, G285:W285)&gt;1, "無")))</f>
        <v>無</v>
      </c>
    </row>
    <row r="286" spans="1:29" s="218" customFormat="1" ht="16.5" customHeight="1">
      <c r="A286" s="219" t="str">
        <f t="shared" si="57"/>
        <v>D,L</v>
      </c>
      <c r="B286" s="217" t="s">
        <v>34</v>
      </c>
      <c r="C286" s="217" t="s">
        <v>232</v>
      </c>
      <c r="D286" s="220" t="s">
        <v>244</v>
      </c>
      <c r="E286" s="221" t="s">
        <v>77</v>
      </c>
      <c r="F286" s="218" t="str">
        <f t="shared" si="55"/>
        <v>2+1012-13</v>
      </c>
      <c r="G286" s="222" t="s">
        <v>26</v>
      </c>
      <c r="H286" s="222"/>
      <c r="I286" s="222" t="s">
        <v>53</v>
      </c>
      <c r="J286" s="222" t="s">
        <v>49</v>
      </c>
      <c r="K286" s="222"/>
      <c r="L286" s="222" t="s">
        <v>23</v>
      </c>
      <c r="M286" s="222" t="s">
        <v>19</v>
      </c>
      <c r="N286" s="222"/>
      <c r="O286" s="222" t="s">
        <v>38</v>
      </c>
      <c r="P286" s="220" t="s">
        <v>42</v>
      </c>
      <c r="Q286" s="220"/>
      <c r="R286" s="220" t="s">
        <v>46</v>
      </c>
      <c r="S286" s="222" t="s">
        <v>239</v>
      </c>
      <c r="T286" s="222"/>
      <c r="U286" s="220"/>
      <c r="V286" s="220"/>
      <c r="W286" s="220" t="s">
        <v>231</v>
      </c>
      <c r="X286" s="223">
        <f t="shared" si="56"/>
        <v>12</v>
      </c>
      <c r="Y286" s="223" t="s">
        <v>34</v>
      </c>
      <c r="Z286" s="219">
        <f t="shared" si="58"/>
        <v>4</v>
      </c>
      <c r="AA286" s="219">
        <f t="shared" si="59"/>
        <v>6</v>
      </c>
      <c r="AB286" s="219">
        <f t="shared" si="60"/>
        <v>2</v>
      </c>
      <c r="AC286" s="219" t="str" cm="1">
        <f t="array" ref="AC286">_xlfn.TEXTJOIN(", ", TRUE, _xlfn.UNIQUE(_xlfn._xlws.FILTER(G286:W286, COUNTIF(G286:W286, G286:W286)&gt;1, "無")))</f>
        <v>無</v>
      </c>
    </row>
    <row r="287" spans="1:29" s="218" customFormat="1" ht="16.5" customHeight="1">
      <c r="A287" s="219" t="str">
        <f t="shared" si="57"/>
        <v>D,L</v>
      </c>
      <c r="B287" s="217" t="s">
        <v>34</v>
      </c>
      <c r="C287" s="217" t="s">
        <v>232</v>
      </c>
      <c r="D287" s="220" t="s">
        <v>244</v>
      </c>
      <c r="E287" s="221" t="s">
        <v>78</v>
      </c>
      <c r="F287" s="218" t="str">
        <f t="shared" si="55"/>
        <v>2+1013-14</v>
      </c>
      <c r="G287" s="222" t="s">
        <v>26</v>
      </c>
      <c r="H287" s="222"/>
      <c r="I287" s="222" t="s">
        <v>53</v>
      </c>
      <c r="J287" s="222" t="s">
        <v>49</v>
      </c>
      <c r="K287" s="222"/>
      <c r="L287" s="222" t="s">
        <v>23</v>
      </c>
      <c r="M287" s="222" t="s">
        <v>19</v>
      </c>
      <c r="N287" s="222"/>
      <c r="O287" s="222" t="s">
        <v>38</v>
      </c>
      <c r="P287" s="220" t="s">
        <v>42</v>
      </c>
      <c r="Q287" s="220"/>
      <c r="R287" s="220" t="s">
        <v>46</v>
      </c>
      <c r="S287" s="222" t="s">
        <v>239</v>
      </c>
      <c r="T287" s="222"/>
      <c r="U287" s="220"/>
      <c r="V287" s="220"/>
      <c r="W287" s="220" t="s">
        <v>231</v>
      </c>
      <c r="X287" s="223">
        <f t="shared" si="56"/>
        <v>12</v>
      </c>
      <c r="Y287" s="223" t="s">
        <v>38</v>
      </c>
      <c r="Z287" s="219">
        <f t="shared" si="58"/>
        <v>6</v>
      </c>
      <c r="AA287" s="219">
        <f t="shared" si="59"/>
        <v>4</v>
      </c>
      <c r="AB287" s="219">
        <f t="shared" si="60"/>
        <v>2</v>
      </c>
      <c r="AC287" s="219" t="str" cm="1">
        <f t="array" ref="AC287">_xlfn.TEXTJOIN(", ", TRUE, _xlfn.UNIQUE(_xlfn._xlws.FILTER(G287:W287, COUNTIF(G287:W287, G287:W287)&gt;1, "無")))</f>
        <v>無</v>
      </c>
    </row>
    <row r="288" spans="1:29" s="218" customFormat="1" ht="16.5" customHeight="1">
      <c r="A288" s="219" t="str">
        <f t="shared" si="57"/>
        <v/>
      </c>
      <c r="B288" s="217"/>
      <c r="C288" s="217"/>
      <c r="D288" s="220" t="s">
        <v>244</v>
      </c>
      <c r="E288" s="221" t="s">
        <v>79</v>
      </c>
      <c r="F288" s="218" t="str">
        <f t="shared" si="55"/>
        <v>2+1014-15</v>
      </c>
      <c r="G288" s="222" t="s">
        <v>30</v>
      </c>
      <c r="H288" s="222"/>
      <c r="I288" s="222" t="s">
        <v>234</v>
      </c>
      <c r="J288" s="222" t="s">
        <v>26</v>
      </c>
      <c r="K288" s="222"/>
      <c r="L288" s="222" t="s">
        <v>46</v>
      </c>
      <c r="M288" s="222" t="s">
        <v>240</v>
      </c>
      <c r="N288" s="222"/>
      <c r="O288" s="222" t="s">
        <v>19</v>
      </c>
      <c r="P288" s="220" t="s">
        <v>233</v>
      </c>
      <c r="Q288" s="220"/>
      <c r="R288" s="220" t="s">
        <v>242</v>
      </c>
      <c r="S288" s="222" t="s">
        <v>49</v>
      </c>
      <c r="T288" s="222"/>
      <c r="U288" s="220" t="s">
        <v>235</v>
      </c>
      <c r="V288" s="220" t="s">
        <v>232</v>
      </c>
      <c r="W288" s="220" t="s">
        <v>57</v>
      </c>
      <c r="X288" s="223">
        <f t="shared" si="56"/>
        <v>12</v>
      </c>
      <c r="Y288" s="223" t="s">
        <v>42</v>
      </c>
      <c r="Z288" s="219">
        <f t="shared" si="58"/>
        <v>6</v>
      </c>
      <c r="AA288" s="219">
        <f t="shared" si="59"/>
        <v>4</v>
      </c>
      <c r="AB288" s="219">
        <f t="shared" si="60"/>
        <v>2</v>
      </c>
      <c r="AC288" s="219" t="str" cm="1">
        <f t="array" ref="AC288">_xlfn.TEXTJOIN(", ", TRUE, _xlfn.UNIQUE(_xlfn._xlws.FILTER(G288:W288, COUNTIF(G288:W288, G288:W288)&gt;1, "無")))</f>
        <v>無</v>
      </c>
    </row>
    <row r="289" spans="1:29" s="218" customFormat="1" ht="16.5" customHeight="1">
      <c r="A289" s="219" t="str">
        <f t="shared" si="57"/>
        <v/>
      </c>
      <c r="B289" s="217"/>
      <c r="C289" s="217"/>
      <c r="D289" s="220" t="s">
        <v>244</v>
      </c>
      <c r="E289" s="221" t="s">
        <v>80</v>
      </c>
      <c r="F289" s="218" t="str">
        <f t="shared" si="55"/>
        <v>2+1015-16</v>
      </c>
      <c r="G289" s="222" t="s">
        <v>30</v>
      </c>
      <c r="H289" s="222"/>
      <c r="I289" s="222" t="s">
        <v>234</v>
      </c>
      <c r="J289" s="222" t="s">
        <v>26</v>
      </c>
      <c r="K289" s="222"/>
      <c r="L289" s="222" t="s">
        <v>46</v>
      </c>
      <c r="M289" s="222" t="s">
        <v>240</v>
      </c>
      <c r="N289" s="222"/>
      <c r="O289" s="222" t="s">
        <v>19</v>
      </c>
      <c r="P289" s="220" t="s">
        <v>233</v>
      </c>
      <c r="Q289" s="220"/>
      <c r="R289" s="220" t="s">
        <v>242</v>
      </c>
      <c r="S289" s="222" t="s">
        <v>49</v>
      </c>
      <c r="T289" s="222"/>
      <c r="U289" s="220" t="s">
        <v>235</v>
      </c>
      <c r="V289" s="220" t="s">
        <v>232</v>
      </c>
      <c r="W289" s="220" t="s">
        <v>57</v>
      </c>
      <c r="X289" s="223">
        <f t="shared" si="56"/>
        <v>12</v>
      </c>
      <c r="Y289" s="223" t="s">
        <v>26</v>
      </c>
      <c r="Z289" s="219">
        <f t="shared" si="58"/>
        <v>4</v>
      </c>
      <c r="AA289" s="219">
        <f t="shared" si="59"/>
        <v>4</v>
      </c>
      <c r="AB289" s="219">
        <f t="shared" si="60"/>
        <v>2</v>
      </c>
      <c r="AC289" s="219" t="str" cm="1">
        <f t="array" ref="AC289">_xlfn.TEXTJOIN(", ", TRUE, _xlfn.UNIQUE(_xlfn._xlws.FILTER(G289:W289, COUNTIF(G289:W289, G289:W289)&gt;1, "無")))</f>
        <v>無</v>
      </c>
    </row>
    <row r="290" spans="1:29" s="218" customFormat="1" ht="16.5" customHeight="1">
      <c r="A290" s="219" t="str">
        <f t="shared" si="57"/>
        <v>I</v>
      </c>
      <c r="B290" s="217" t="s">
        <v>49</v>
      </c>
      <c r="C290" s="217"/>
      <c r="D290" s="220" t="s">
        <v>244</v>
      </c>
      <c r="E290" s="221" t="s">
        <v>81</v>
      </c>
      <c r="F290" s="218" t="str">
        <f t="shared" si="55"/>
        <v>2+1016-17</v>
      </c>
      <c r="G290" s="222" t="s">
        <v>34</v>
      </c>
      <c r="H290" s="222"/>
      <c r="I290" s="222" t="s">
        <v>242</v>
      </c>
      <c r="J290" s="222" t="s">
        <v>46</v>
      </c>
      <c r="K290" s="222"/>
      <c r="L290" s="222" t="s">
        <v>30</v>
      </c>
      <c r="M290" s="222" t="s">
        <v>26</v>
      </c>
      <c r="N290" s="222"/>
      <c r="O290" s="222" t="s">
        <v>237</v>
      </c>
      <c r="P290" s="220" t="s">
        <v>240</v>
      </c>
      <c r="Q290" s="220"/>
      <c r="R290" s="220" t="s">
        <v>23</v>
      </c>
      <c r="S290" s="222" t="s">
        <v>234</v>
      </c>
      <c r="T290" s="222"/>
      <c r="U290" s="220"/>
      <c r="V290" s="220" t="s">
        <v>232</v>
      </c>
      <c r="W290" s="220" t="s">
        <v>57</v>
      </c>
      <c r="X290" s="223">
        <f t="shared" si="56"/>
        <v>12</v>
      </c>
      <c r="Y290" s="223" t="s">
        <v>46</v>
      </c>
      <c r="Z290" s="219">
        <f t="shared" si="58"/>
        <v>4</v>
      </c>
      <c r="AA290" s="219">
        <f t="shared" si="59"/>
        <v>4</v>
      </c>
      <c r="AB290" s="219">
        <f t="shared" si="60"/>
        <v>2</v>
      </c>
      <c r="AC290" s="219" t="str" cm="1">
        <f t="array" ref="AC290">_xlfn.TEXTJOIN(", ", TRUE, _xlfn.UNIQUE(_xlfn._xlws.FILTER(G290:W290, COUNTIF(G290:W290, G290:W290)&gt;1, "無")))</f>
        <v>無</v>
      </c>
    </row>
    <row r="291" spans="1:29" s="218" customFormat="1" ht="16.5" customHeight="1">
      <c r="A291" s="219" t="str">
        <f t="shared" si="57"/>
        <v>I</v>
      </c>
      <c r="B291" s="217" t="s">
        <v>49</v>
      </c>
      <c r="C291" s="217"/>
      <c r="D291" s="220" t="s">
        <v>244</v>
      </c>
      <c r="E291" s="221" t="s">
        <v>82</v>
      </c>
      <c r="F291" s="218" t="str">
        <f t="shared" si="55"/>
        <v>2+1017-18</v>
      </c>
      <c r="G291" s="222" t="s">
        <v>34</v>
      </c>
      <c r="H291" s="222"/>
      <c r="I291" s="222" t="s">
        <v>242</v>
      </c>
      <c r="J291" s="222" t="s">
        <v>46</v>
      </c>
      <c r="K291" s="222"/>
      <c r="L291" s="222" t="s">
        <v>30</v>
      </c>
      <c r="M291" s="222" t="s">
        <v>26</v>
      </c>
      <c r="N291" s="222"/>
      <c r="O291" s="222" t="s">
        <v>237</v>
      </c>
      <c r="P291" s="220" t="s">
        <v>240</v>
      </c>
      <c r="Q291" s="220"/>
      <c r="R291" s="220" t="s">
        <v>23</v>
      </c>
      <c r="S291" s="222" t="s">
        <v>234</v>
      </c>
      <c r="T291" s="222"/>
      <c r="U291" s="220"/>
      <c r="V291" s="220" t="s">
        <v>232</v>
      </c>
      <c r="W291" s="220" t="s">
        <v>57</v>
      </c>
      <c r="X291" s="223">
        <f t="shared" si="56"/>
        <v>12</v>
      </c>
      <c r="Y291" s="223" t="s">
        <v>49</v>
      </c>
      <c r="Z291" s="219">
        <f t="shared" si="58"/>
        <v>6</v>
      </c>
      <c r="AA291" s="219">
        <f t="shared" si="59"/>
        <v>4</v>
      </c>
      <c r="AB291" s="219">
        <f t="shared" si="60"/>
        <v>2</v>
      </c>
      <c r="AC291" s="219" t="str" cm="1">
        <f t="array" ref="AC291">_xlfn.TEXTJOIN(", ", TRUE, _xlfn.UNIQUE(_xlfn._xlws.FILTER(G291:W291, COUNTIF(G291:W291, G291:W291)&gt;1, "無")))</f>
        <v>無</v>
      </c>
    </row>
    <row r="292" spans="1:29" s="218" customFormat="1" ht="16.5" customHeight="1">
      <c r="A292" s="219" t="str">
        <f t="shared" si="57"/>
        <v>B,F</v>
      </c>
      <c r="B292" s="217" t="s">
        <v>23</v>
      </c>
      <c r="C292" s="217" t="s">
        <v>234</v>
      </c>
      <c r="D292" s="220" t="s">
        <v>244</v>
      </c>
      <c r="E292" s="221" t="s">
        <v>83</v>
      </c>
      <c r="F292" s="218" t="str">
        <f t="shared" si="55"/>
        <v>2+1018-19</v>
      </c>
      <c r="G292" s="222" t="s">
        <v>232</v>
      </c>
      <c r="H292" s="222"/>
      <c r="I292" s="222" t="s">
        <v>49</v>
      </c>
      <c r="J292" s="222" t="s">
        <v>26</v>
      </c>
      <c r="K292" s="222"/>
      <c r="L292" s="222" t="s">
        <v>34</v>
      </c>
      <c r="M292" s="222" t="s">
        <v>46</v>
      </c>
      <c r="N292" s="222"/>
      <c r="O292" s="222" t="s">
        <v>242</v>
      </c>
      <c r="P292" s="220" t="s">
        <v>240</v>
      </c>
      <c r="Q292" s="220"/>
      <c r="R292" s="220" t="s">
        <v>30</v>
      </c>
      <c r="S292" s="222" t="s">
        <v>237</v>
      </c>
      <c r="T292" s="222"/>
      <c r="U292" s="220"/>
      <c r="V292" s="220"/>
      <c r="W292" s="220" t="s">
        <v>57</v>
      </c>
      <c r="X292" s="223">
        <f t="shared" si="56"/>
        <v>12</v>
      </c>
      <c r="Y292" s="223" t="s">
        <v>53</v>
      </c>
      <c r="Z292" s="219">
        <f t="shared" si="58"/>
        <v>6</v>
      </c>
      <c r="AA292" s="219">
        <f t="shared" si="59"/>
        <v>4</v>
      </c>
      <c r="AB292" s="219">
        <f t="shared" si="60"/>
        <v>2</v>
      </c>
      <c r="AC292" s="219" t="str" cm="1">
        <f t="array" ref="AC292">_xlfn.TEXTJOIN(", ", TRUE, _xlfn.UNIQUE(_xlfn._xlws.FILTER(G292:W292, COUNTIF(G292:W292, G292:W292)&gt;1, "無")))</f>
        <v>無</v>
      </c>
    </row>
    <row r="293" spans="1:29" s="218" customFormat="1" ht="16.5" customHeight="1">
      <c r="A293" s="219" t="str">
        <f t="shared" si="57"/>
        <v>B,F</v>
      </c>
      <c r="B293" s="217" t="s">
        <v>23</v>
      </c>
      <c r="C293" s="217" t="s">
        <v>234</v>
      </c>
      <c r="D293" s="220" t="s">
        <v>244</v>
      </c>
      <c r="E293" s="221" t="s">
        <v>84</v>
      </c>
      <c r="F293" s="218" t="str">
        <f t="shared" si="55"/>
        <v>2+1019-20</v>
      </c>
      <c r="G293" s="222" t="s">
        <v>232</v>
      </c>
      <c r="H293" s="222"/>
      <c r="I293" s="222" t="s">
        <v>49</v>
      </c>
      <c r="J293" s="222" t="s">
        <v>26</v>
      </c>
      <c r="K293" s="222"/>
      <c r="L293" s="222" t="s">
        <v>34</v>
      </c>
      <c r="M293" s="222" t="s">
        <v>46</v>
      </c>
      <c r="N293" s="222"/>
      <c r="O293" s="222" t="s">
        <v>242</v>
      </c>
      <c r="P293" s="220" t="s">
        <v>240</v>
      </c>
      <c r="Q293" s="220"/>
      <c r="R293" s="220" t="s">
        <v>30</v>
      </c>
      <c r="S293" s="222" t="s">
        <v>237</v>
      </c>
      <c r="T293" s="222"/>
      <c r="U293" s="220"/>
      <c r="V293" s="220"/>
      <c r="W293" s="220" t="s">
        <v>57</v>
      </c>
      <c r="X293" s="223">
        <f t="shared" si="56"/>
        <v>12</v>
      </c>
      <c r="Y293" s="223" t="s">
        <v>57</v>
      </c>
      <c r="Z293" s="219">
        <f t="shared" si="58"/>
        <v>0</v>
      </c>
      <c r="AA293" s="219">
        <f t="shared" si="59"/>
        <v>0</v>
      </c>
      <c r="AB293" s="219">
        <f t="shared" si="60"/>
        <v>2</v>
      </c>
      <c r="AC293" s="219" t="str" cm="1">
        <f t="array" ref="AC293">_xlfn.TEXTJOIN(", ", TRUE, _xlfn.UNIQUE(_xlfn._xlws.FILTER(G293:W293, COUNTIF(G293:W293, G293:W293)&gt;1, "無")))</f>
        <v>無</v>
      </c>
    </row>
    <row r="294" spans="1:29" s="218" customFormat="1" ht="16.5" customHeight="1">
      <c r="A294" s="219" t="str">
        <f t="shared" si="57"/>
        <v>C,A</v>
      </c>
      <c r="B294" s="217" t="s">
        <v>30</v>
      </c>
      <c r="C294" s="217" t="s">
        <v>237</v>
      </c>
      <c r="D294" s="220" t="s">
        <v>244</v>
      </c>
      <c r="E294" s="221" t="s">
        <v>85</v>
      </c>
      <c r="F294" s="218" t="str">
        <f t="shared" si="55"/>
        <v>2+1020-21</v>
      </c>
      <c r="G294" s="222" t="s">
        <v>42</v>
      </c>
      <c r="H294" s="222"/>
      <c r="I294" s="222" t="s">
        <v>49</v>
      </c>
      <c r="J294" s="222" t="s">
        <v>38</v>
      </c>
      <c r="K294" s="222"/>
      <c r="L294" s="222" t="s">
        <v>235</v>
      </c>
      <c r="M294" s="222" t="s">
        <v>233</v>
      </c>
      <c r="N294" s="222"/>
      <c r="O294" s="222" t="s">
        <v>238</v>
      </c>
      <c r="P294" s="220" t="s">
        <v>242</v>
      </c>
      <c r="Q294" s="220"/>
      <c r="R294" s="220" t="s">
        <v>236</v>
      </c>
      <c r="S294" s="222"/>
      <c r="T294" s="222"/>
      <c r="U294" s="220"/>
      <c r="V294" s="220" t="s">
        <v>232</v>
      </c>
      <c r="W294" s="220" t="s">
        <v>57</v>
      </c>
      <c r="X294" s="223">
        <f t="shared" si="56"/>
        <v>12</v>
      </c>
      <c r="Y294" s="219" t="s">
        <v>232</v>
      </c>
      <c r="Z294" s="219">
        <f t="shared" si="58"/>
        <v>0</v>
      </c>
      <c r="AA294" s="219">
        <f t="shared" si="59"/>
        <v>0</v>
      </c>
      <c r="AB294" s="219">
        <f t="shared" si="60"/>
        <v>2</v>
      </c>
      <c r="AC294" s="219" t="str" cm="1">
        <f t="array" ref="AC294">_xlfn.TEXTJOIN(", ", TRUE, _xlfn.UNIQUE(_xlfn._xlws.FILTER(G294:W294, COUNTIF(G294:W294, G294:W294)&gt;1, "無")))</f>
        <v>無</v>
      </c>
    </row>
    <row r="295" spans="1:29" s="218" customFormat="1" ht="16.5" customHeight="1">
      <c r="A295" s="219" t="str">
        <f t="shared" si="57"/>
        <v>C,A</v>
      </c>
      <c r="B295" s="217" t="s">
        <v>30</v>
      </c>
      <c r="C295" s="217" t="s">
        <v>237</v>
      </c>
      <c r="D295" s="220" t="s">
        <v>244</v>
      </c>
      <c r="E295" s="221" t="s">
        <v>86</v>
      </c>
      <c r="F295" s="218" t="str">
        <f t="shared" si="55"/>
        <v>2+1021-22</v>
      </c>
      <c r="G295" s="222" t="s">
        <v>42</v>
      </c>
      <c r="H295" s="222"/>
      <c r="I295" s="222" t="s">
        <v>49</v>
      </c>
      <c r="J295" s="222" t="s">
        <v>38</v>
      </c>
      <c r="K295" s="222"/>
      <c r="L295" s="222" t="s">
        <v>235</v>
      </c>
      <c r="M295" s="222" t="s">
        <v>233</v>
      </c>
      <c r="N295" s="222"/>
      <c r="O295" s="222" t="s">
        <v>238</v>
      </c>
      <c r="P295" s="220" t="s">
        <v>242</v>
      </c>
      <c r="Q295" s="220"/>
      <c r="R295" s="220" t="s">
        <v>236</v>
      </c>
      <c r="S295" s="222"/>
      <c r="T295" s="222"/>
      <c r="U295" s="220"/>
      <c r="V295" s="220" t="s">
        <v>232</v>
      </c>
      <c r="W295" s="220" t="s">
        <v>57</v>
      </c>
      <c r="X295" s="223">
        <f t="shared" si="56"/>
        <v>12</v>
      </c>
      <c r="AC295" s="219" t="str" cm="1">
        <f t="array" ref="AC295">_xlfn.TEXTJOIN(", ", TRUE, _xlfn.UNIQUE(_xlfn._xlws.FILTER(G295:W295, COUNTIF(G295:W295, G295:W295)&gt;1, "無")))</f>
        <v>無</v>
      </c>
    </row>
    <row r="296" spans="1:29" s="218" customFormat="1" ht="16.5" customHeight="1">
      <c r="A296" s="219" t="str">
        <f t="shared" si="57"/>
        <v/>
      </c>
      <c r="B296" s="217"/>
      <c r="C296" s="217"/>
      <c r="D296" s="220" t="s">
        <v>244</v>
      </c>
      <c r="E296" s="221" t="s">
        <v>87</v>
      </c>
      <c r="F296" s="218" t="str">
        <f t="shared" si="55"/>
        <v>2+1022-23</v>
      </c>
      <c r="G296" s="222" t="s">
        <v>46</v>
      </c>
      <c r="H296" s="222"/>
      <c r="I296" s="222" t="s">
        <v>42</v>
      </c>
      <c r="J296" s="222" t="s">
        <v>53</v>
      </c>
      <c r="K296" s="222"/>
      <c r="L296" s="222" t="s">
        <v>235</v>
      </c>
      <c r="M296" s="222" t="s">
        <v>23</v>
      </c>
      <c r="N296" s="222"/>
      <c r="O296" s="222" t="s">
        <v>239</v>
      </c>
      <c r="P296" s="220" t="s">
        <v>49</v>
      </c>
      <c r="Q296" s="220"/>
      <c r="R296" s="220" t="s">
        <v>26</v>
      </c>
      <c r="S296" s="222" t="s">
        <v>38</v>
      </c>
      <c r="T296" s="222"/>
      <c r="U296" s="220" t="s">
        <v>237</v>
      </c>
      <c r="V296" s="220" t="s">
        <v>232</v>
      </c>
      <c r="W296" s="220" t="s">
        <v>57</v>
      </c>
      <c r="X296" s="223">
        <f t="shared" si="56"/>
        <v>12</v>
      </c>
      <c r="AC296" s="219" t="str" cm="1">
        <f t="array" ref="AC296">_xlfn.TEXTJOIN(", ", TRUE, _xlfn.UNIQUE(_xlfn._xlws.FILTER(G296:W296, COUNTIF(G296:W296, G296:W296)&gt;1, "無")))</f>
        <v>無</v>
      </c>
    </row>
    <row r="297" spans="1:29" s="218" customFormat="1" ht="16.5" customHeight="1">
      <c r="A297" s="219" t="str">
        <f t="shared" si="57"/>
        <v/>
      </c>
      <c r="B297" s="217"/>
      <c r="C297" s="217"/>
      <c r="D297" s="220" t="s">
        <v>244</v>
      </c>
      <c r="E297" s="221" t="s">
        <v>88</v>
      </c>
      <c r="F297" s="218" t="str">
        <f t="shared" si="55"/>
        <v>2+1023-24</v>
      </c>
      <c r="G297" s="222" t="s">
        <v>46</v>
      </c>
      <c r="H297" s="222"/>
      <c r="I297" s="222" t="s">
        <v>42</v>
      </c>
      <c r="J297" s="222" t="s">
        <v>53</v>
      </c>
      <c r="K297" s="222"/>
      <c r="L297" s="222" t="s">
        <v>235</v>
      </c>
      <c r="M297" s="222" t="s">
        <v>23</v>
      </c>
      <c r="N297" s="222"/>
      <c r="O297" s="222" t="s">
        <v>239</v>
      </c>
      <c r="P297" s="220" t="s">
        <v>49</v>
      </c>
      <c r="Q297" s="220"/>
      <c r="R297" s="220" t="s">
        <v>26</v>
      </c>
      <c r="S297" s="222" t="s">
        <v>38</v>
      </c>
      <c r="T297" s="222"/>
      <c r="U297" s="220" t="s">
        <v>237</v>
      </c>
      <c r="V297" s="220" t="s">
        <v>232</v>
      </c>
      <c r="W297" s="220" t="s">
        <v>57</v>
      </c>
      <c r="X297" s="223">
        <f t="shared" si="56"/>
        <v>12</v>
      </c>
      <c r="AC297" s="219" t="str" cm="1">
        <f t="array" ref="AC297">_xlfn.TEXTJOIN(", ", TRUE, _xlfn.UNIQUE(_xlfn._xlws.FILTER(G297:W297, COUNTIF(G297:W297, G297:W297)&gt;1, "無")))</f>
        <v>無</v>
      </c>
    </row>
    <row r="298" spans="1:29" s="218" customFormat="1" ht="16.5" customHeight="1">
      <c r="A298" s="219" t="str">
        <f t="shared" si="57"/>
        <v/>
      </c>
      <c r="B298" s="217"/>
      <c r="C298" s="217"/>
      <c r="D298" s="220" t="s">
        <v>244</v>
      </c>
      <c r="E298" s="221" t="s">
        <v>89</v>
      </c>
      <c r="F298" s="218" t="str">
        <f t="shared" si="55"/>
        <v>2+1000-01</v>
      </c>
      <c r="G298" s="222" t="s">
        <v>46</v>
      </c>
      <c r="H298" s="222"/>
      <c r="I298" s="222" t="s">
        <v>19</v>
      </c>
      <c r="J298" s="222" t="s">
        <v>23</v>
      </c>
      <c r="K298" s="222"/>
      <c r="L298" s="222" t="s">
        <v>49</v>
      </c>
      <c r="M298" s="222" t="s">
        <v>240</v>
      </c>
      <c r="N298" s="222"/>
      <c r="O298" s="222" t="s">
        <v>30</v>
      </c>
      <c r="P298" s="220" t="s">
        <v>26</v>
      </c>
      <c r="Q298" s="220"/>
      <c r="R298" s="220" t="s">
        <v>34</v>
      </c>
      <c r="S298" s="222" t="s">
        <v>42</v>
      </c>
      <c r="T298" s="222"/>
      <c r="U298" s="220" t="s">
        <v>242</v>
      </c>
      <c r="V298" s="220" t="s">
        <v>232</v>
      </c>
      <c r="W298" s="220" t="s">
        <v>57</v>
      </c>
      <c r="X298" s="223">
        <f t="shared" si="56"/>
        <v>12</v>
      </c>
      <c r="AC298" s="219" t="str" cm="1">
        <f t="array" ref="AC298">_xlfn.TEXTJOIN(", ", TRUE, _xlfn.UNIQUE(_xlfn._xlws.FILTER(G298:W298, COUNTIF(G298:W298, G298:W298)&gt;1, "無")))</f>
        <v>無</v>
      </c>
    </row>
    <row r="299" spans="1:29" s="218" customFormat="1" ht="16.5" customHeight="1">
      <c r="A299" s="219" t="str">
        <f t="shared" si="57"/>
        <v/>
      </c>
      <c r="B299" s="217"/>
      <c r="C299" s="217"/>
      <c r="D299" s="220" t="s">
        <v>244</v>
      </c>
      <c r="E299" s="221" t="s">
        <v>90</v>
      </c>
      <c r="F299" s="218" t="str">
        <f t="shared" si="55"/>
        <v>2+1001-02</v>
      </c>
      <c r="G299" s="222" t="s">
        <v>46</v>
      </c>
      <c r="H299" s="222"/>
      <c r="I299" s="222" t="s">
        <v>19</v>
      </c>
      <c r="J299" s="222" t="s">
        <v>23</v>
      </c>
      <c r="K299" s="222"/>
      <c r="L299" s="222" t="s">
        <v>49</v>
      </c>
      <c r="M299" s="222" t="s">
        <v>240</v>
      </c>
      <c r="N299" s="222"/>
      <c r="O299" s="222" t="s">
        <v>30</v>
      </c>
      <c r="P299" s="220" t="s">
        <v>26</v>
      </c>
      <c r="Q299" s="220"/>
      <c r="R299" s="220" t="s">
        <v>34</v>
      </c>
      <c r="S299" s="222" t="s">
        <v>42</v>
      </c>
      <c r="T299" s="222"/>
      <c r="U299" s="220" t="s">
        <v>242</v>
      </c>
      <c r="V299" s="220" t="s">
        <v>232</v>
      </c>
      <c r="W299" s="220" t="s">
        <v>57</v>
      </c>
      <c r="X299" s="223">
        <f t="shared" si="56"/>
        <v>12</v>
      </c>
      <c r="AC299" s="219" t="str" cm="1">
        <f t="array" ref="AC299">_xlfn.TEXTJOIN(", ", TRUE, _xlfn.UNIQUE(_xlfn._xlws.FILTER(G299:W299, COUNTIF(G299:W299, G299:W299)&gt;1, "無")))</f>
        <v>無</v>
      </c>
    </row>
    <row r="300" spans="1:29" s="218" customFormat="1" ht="16.5" customHeight="1">
      <c r="A300" s="219" t="str">
        <f t="shared" si="57"/>
        <v/>
      </c>
      <c r="B300" s="217"/>
      <c r="C300" s="217"/>
      <c r="D300" s="220" t="s">
        <v>244</v>
      </c>
      <c r="E300" s="221" t="s">
        <v>91</v>
      </c>
      <c r="F300" s="218" t="str">
        <f t="shared" si="55"/>
        <v>2+1002-03</v>
      </c>
      <c r="G300" s="222" t="s">
        <v>46</v>
      </c>
      <c r="H300" s="222"/>
      <c r="I300" s="222" t="s">
        <v>19</v>
      </c>
      <c r="J300" s="222" t="s">
        <v>23</v>
      </c>
      <c r="K300" s="222"/>
      <c r="L300" s="222" t="s">
        <v>53</v>
      </c>
      <c r="M300" s="222" t="s">
        <v>49</v>
      </c>
      <c r="N300" s="222"/>
      <c r="O300" s="222" t="s">
        <v>34</v>
      </c>
      <c r="P300" s="220" t="s">
        <v>30</v>
      </c>
      <c r="Q300" s="220"/>
      <c r="R300" s="220" t="s">
        <v>26</v>
      </c>
      <c r="S300" s="222" t="s">
        <v>38</v>
      </c>
      <c r="T300" s="222"/>
      <c r="U300" s="220" t="s">
        <v>234</v>
      </c>
      <c r="V300" s="220" t="s">
        <v>232</v>
      </c>
      <c r="W300" s="220" t="s">
        <v>57</v>
      </c>
      <c r="X300" s="223">
        <f t="shared" si="56"/>
        <v>12</v>
      </c>
      <c r="AC300" s="219" t="str" cm="1">
        <f t="array" ref="AC300">_xlfn.TEXTJOIN(", ", TRUE, _xlfn.UNIQUE(_xlfn._xlws.FILTER(G300:W300, COUNTIF(G300:W300, G300:W300)&gt;1, "無")))</f>
        <v>無</v>
      </c>
    </row>
    <row r="301" spans="1:29" s="218" customFormat="1" ht="16.5" customHeight="1">
      <c r="A301" s="219" t="str">
        <f t="shared" si="57"/>
        <v/>
      </c>
      <c r="B301" s="217"/>
      <c r="C301" s="217"/>
      <c r="D301" s="220" t="s">
        <v>244</v>
      </c>
      <c r="E301" s="221" t="s">
        <v>92</v>
      </c>
      <c r="F301" s="218" t="str">
        <f t="shared" si="55"/>
        <v>2+1003-04</v>
      </c>
      <c r="G301" s="222" t="s">
        <v>46</v>
      </c>
      <c r="H301" s="222"/>
      <c r="I301" s="222" t="s">
        <v>19</v>
      </c>
      <c r="J301" s="222" t="s">
        <v>23</v>
      </c>
      <c r="K301" s="222"/>
      <c r="L301" s="222" t="s">
        <v>53</v>
      </c>
      <c r="M301" s="222" t="s">
        <v>49</v>
      </c>
      <c r="N301" s="222"/>
      <c r="O301" s="222" t="s">
        <v>34</v>
      </c>
      <c r="P301" s="220" t="s">
        <v>30</v>
      </c>
      <c r="Q301" s="220"/>
      <c r="R301" s="220" t="s">
        <v>26</v>
      </c>
      <c r="S301" s="222" t="s">
        <v>38</v>
      </c>
      <c r="T301" s="222"/>
      <c r="U301" s="220" t="s">
        <v>234</v>
      </c>
      <c r="V301" s="220" t="s">
        <v>232</v>
      </c>
      <c r="W301" s="220" t="s">
        <v>57</v>
      </c>
      <c r="X301" s="223">
        <f t="shared" si="56"/>
        <v>12</v>
      </c>
      <c r="AC301" s="219" t="str" cm="1">
        <f t="array" ref="AC301">_xlfn.TEXTJOIN(", ", TRUE, _xlfn.UNIQUE(_xlfn._xlws.FILTER(G301:W301, COUNTIF(G301:W301, G301:W301)&gt;1, "無")))</f>
        <v>無</v>
      </c>
    </row>
    <row r="302" spans="1:29" s="218" customFormat="1" ht="16.5" customHeight="1">
      <c r="A302" s="219" t="str">
        <f t="shared" si="57"/>
        <v/>
      </c>
      <c r="B302" s="217"/>
      <c r="C302" s="217"/>
      <c r="D302" s="220" t="s">
        <v>244</v>
      </c>
      <c r="E302" s="221" t="s">
        <v>93</v>
      </c>
      <c r="F302" s="218" t="str">
        <f t="shared" si="55"/>
        <v>2+1004-05</v>
      </c>
      <c r="G302" s="222" t="s">
        <v>46</v>
      </c>
      <c r="H302" s="222"/>
      <c r="I302" s="222" t="s">
        <v>30</v>
      </c>
      <c r="J302" s="222" t="s">
        <v>34</v>
      </c>
      <c r="K302" s="222"/>
      <c r="L302" s="222" t="s">
        <v>242</v>
      </c>
      <c r="M302" s="222" t="s">
        <v>42</v>
      </c>
      <c r="N302" s="222"/>
      <c r="O302" s="222" t="s">
        <v>23</v>
      </c>
      <c r="P302" s="220" t="s">
        <v>49</v>
      </c>
      <c r="Q302" s="220"/>
      <c r="R302" s="220" t="s">
        <v>19</v>
      </c>
      <c r="S302" s="222" t="s">
        <v>26</v>
      </c>
      <c r="T302" s="222"/>
      <c r="U302" s="220" t="s">
        <v>240</v>
      </c>
      <c r="V302" s="220" t="s">
        <v>232</v>
      </c>
      <c r="W302" s="220" t="s">
        <v>231</v>
      </c>
      <c r="X302" s="223">
        <f t="shared" si="56"/>
        <v>12</v>
      </c>
      <c r="AC302" s="219" t="str" cm="1">
        <f t="array" ref="AC302">_xlfn.TEXTJOIN(", ", TRUE, _xlfn.UNIQUE(_xlfn._xlws.FILTER(G302:W302, COUNTIF(G302:W302, G302:W302)&gt;1, "無")))</f>
        <v>無</v>
      </c>
    </row>
    <row r="303" spans="1:29" s="218" customFormat="1" ht="16.5" customHeight="1">
      <c r="A303" s="219" t="str">
        <f t="shared" si="57"/>
        <v/>
      </c>
      <c r="B303" s="217"/>
      <c r="C303" s="217"/>
      <c r="D303" s="220" t="s">
        <v>244</v>
      </c>
      <c r="E303" s="221" t="s">
        <v>94</v>
      </c>
      <c r="F303" s="218" t="str">
        <f t="shared" si="55"/>
        <v>2+1005-06</v>
      </c>
      <c r="G303" s="222" t="s">
        <v>46</v>
      </c>
      <c r="H303" s="222"/>
      <c r="I303" s="222" t="s">
        <v>30</v>
      </c>
      <c r="J303" s="222" t="s">
        <v>34</v>
      </c>
      <c r="K303" s="222"/>
      <c r="L303" s="222" t="s">
        <v>242</v>
      </c>
      <c r="M303" s="222" t="s">
        <v>42</v>
      </c>
      <c r="N303" s="222"/>
      <c r="O303" s="222" t="s">
        <v>23</v>
      </c>
      <c r="P303" s="220" t="s">
        <v>49</v>
      </c>
      <c r="Q303" s="220"/>
      <c r="R303" s="220" t="s">
        <v>19</v>
      </c>
      <c r="S303" s="222" t="s">
        <v>26</v>
      </c>
      <c r="T303" s="222"/>
      <c r="U303" s="220" t="s">
        <v>240</v>
      </c>
      <c r="V303" s="220" t="s">
        <v>232</v>
      </c>
      <c r="W303" s="220" t="s">
        <v>231</v>
      </c>
      <c r="X303" s="223">
        <f t="shared" si="56"/>
        <v>12</v>
      </c>
      <c r="AC303" s="219" t="str" cm="1">
        <f t="array" ref="AC303">_xlfn.TEXTJOIN(", ", TRUE, _xlfn.UNIQUE(_xlfn._xlws.FILTER(G303:W303, COUNTIF(G303:W303, G303:W303)&gt;1, "無")))</f>
        <v>無</v>
      </c>
    </row>
    <row r="304" spans="1:29" s="218" customFormat="1" ht="16.5" customHeight="1">
      <c r="A304" s="219" t="str">
        <f t="shared" si="57"/>
        <v>G,E</v>
      </c>
      <c r="B304" s="217" t="s">
        <v>26</v>
      </c>
      <c r="C304" s="217" t="s">
        <v>240</v>
      </c>
      <c r="D304" s="220" t="s">
        <v>244</v>
      </c>
      <c r="E304" s="221" t="s">
        <v>95</v>
      </c>
      <c r="F304" s="218" t="str">
        <f t="shared" si="55"/>
        <v>2+1006-07</v>
      </c>
      <c r="G304" s="222" t="s">
        <v>46</v>
      </c>
      <c r="H304" s="222"/>
      <c r="I304" s="222" t="s">
        <v>30</v>
      </c>
      <c r="J304" s="222" t="s">
        <v>34</v>
      </c>
      <c r="K304" s="222"/>
      <c r="L304" s="222" t="s">
        <v>42</v>
      </c>
      <c r="M304" s="222" t="s">
        <v>237</v>
      </c>
      <c r="N304" s="222"/>
      <c r="O304" s="222" t="s">
        <v>233</v>
      </c>
      <c r="P304" s="220" t="s">
        <v>230</v>
      </c>
      <c r="Q304" s="220"/>
      <c r="R304" s="220" t="s">
        <v>242</v>
      </c>
      <c r="S304" s="222"/>
      <c r="T304" s="222"/>
      <c r="U304" s="220"/>
      <c r="V304" s="222" t="s">
        <v>232</v>
      </c>
      <c r="W304" s="220" t="s">
        <v>57</v>
      </c>
      <c r="X304" s="223">
        <f t="shared" si="56"/>
        <v>12</v>
      </c>
      <c r="AC304" s="219" t="str" cm="1">
        <f t="array" ref="AC304">_xlfn.TEXTJOIN(", ", TRUE, _xlfn.UNIQUE(_xlfn._xlws.FILTER(G304:W304, COUNTIF(G304:W304, G304:W304)&gt;1, "無")))</f>
        <v>無</v>
      </c>
    </row>
    <row r="305" spans="1:29" s="218" customFormat="1" ht="16.5" customHeight="1">
      <c r="A305" s="219" t="str">
        <f t="shared" si="57"/>
        <v>G,E</v>
      </c>
      <c r="B305" s="217" t="s">
        <v>26</v>
      </c>
      <c r="C305" s="217" t="s">
        <v>240</v>
      </c>
      <c r="D305" s="220" t="s">
        <v>244</v>
      </c>
      <c r="E305" s="221" t="s">
        <v>96</v>
      </c>
      <c r="F305" s="218" t="str">
        <f t="shared" si="55"/>
        <v>2+1007-08</v>
      </c>
      <c r="G305" s="222" t="s">
        <v>46</v>
      </c>
      <c r="H305" s="222"/>
      <c r="I305" s="222" t="s">
        <v>30</v>
      </c>
      <c r="J305" s="222" t="s">
        <v>34</v>
      </c>
      <c r="K305" s="222"/>
      <c r="L305" s="222" t="s">
        <v>42</v>
      </c>
      <c r="M305" s="222" t="s">
        <v>237</v>
      </c>
      <c r="N305" s="222"/>
      <c r="O305" s="222" t="s">
        <v>233</v>
      </c>
      <c r="P305" s="220" t="s">
        <v>230</v>
      </c>
      <c r="Q305" s="220"/>
      <c r="R305" s="220" t="s">
        <v>242</v>
      </c>
      <c r="S305" s="222"/>
      <c r="T305" s="222"/>
      <c r="U305" s="220"/>
      <c r="V305" s="222" t="s">
        <v>232</v>
      </c>
      <c r="W305" s="220" t="s">
        <v>57</v>
      </c>
      <c r="X305" s="223">
        <f t="shared" si="56"/>
        <v>12</v>
      </c>
      <c r="AC305" s="219" t="str" cm="1">
        <f t="array" ref="AC305">_xlfn.TEXTJOIN(", ", TRUE, _xlfn.UNIQUE(_xlfn._xlws.FILTER(G305:W305, COUNTIF(G305:W305, G305:W305)&gt;1, "無")))</f>
        <v>無</v>
      </c>
    </row>
    <row r="306" spans="1:29" s="218" customFormat="1" ht="16.5" customHeight="1">
      <c r="A306" s="219"/>
      <c r="B306" s="217"/>
      <c r="C306" s="217"/>
      <c r="F306" s="219"/>
      <c r="G306" s="219"/>
      <c r="H306" s="219"/>
      <c r="AC306" s="219"/>
    </row>
    <row r="307" spans="1:29" s="218" customFormat="1" ht="16.5" customHeight="1">
      <c r="A307" s="219"/>
      <c r="B307" s="217"/>
      <c r="C307" s="217"/>
      <c r="F307" s="219"/>
      <c r="G307" s="219"/>
      <c r="H307" s="219"/>
      <c r="AC307" s="219"/>
    </row>
    <row r="308" spans="1:29" s="218" customFormat="1" ht="16.5" customHeight="1">
      <c r="A308" s="219" t="s">
        <v>310</v>
      </c>
      <c r="B308" s="217" t="s">
        <v>68</v>
      </c>
      <c r="C308" s="217" t="s">
        <v>69</v>
      </c>
      <c r="F308" s="219"/>
      <c r="G308" s="219"/>
      <c r="H308" s="219"/>
      <c r="X308" s="223"/>
      <c r="AC308" s="219"/>
    </row>
    <row r="309" spans="1:29" s="218" customFormat="1" ht="16.5" customHeight="1">
      <c r="A309" s="219" t="str">
        <f>_xlfn.TEXTJOIN(",",TRUE,B309:C309)</f>
        <v>H</v>
      </c>
      <c r="B309" s="217" t="s">
        <v>46</v>
      </c>
      <c r="C309" s="217"/>
      <c r="D309" s="220" t="s">
        <v>310</v>
      </c>
      <c r="E309" s="221" t="s">
        <v>70</v>
      </c>
      <c r="F309" s="218" t="str">
        <f t="shared" ref="F309:F332" si="61">$D309&amp;$E309</f>
        <v>2+608-09</v>
      </c>
      <c r="G309" s="222" t="s">
        <v>19</v>
      </c>
      <c r="H309" s="222"/>
      <c r="I309" s="222" t="s">
        <v>238</v>
      </c>
      <c r="J309" s="222" t="s">
        <v>239</v>
      </c>
      <c r="K309" s="222"/>
      <c r="L309" s="222" t="s">
        <v>235</v>
      </c>
      <c r="M309" s="222" t="s">
        <v>233</v>
      </c>
      <c r="N309" s="222"/>
      <c r="O309" s="222" t="s">
        <v>232</v>
      </c>
      <c r="P309" s="220"/>
      <c r="Q309" s="220"/>
      <c r="R309" s="220"/>
      <c r="S309" s="222"/>
      <c r="T309" s="222"/>
      <c r="U309" s="220"/>
      <c r="V309" s="220"/>
      <c r="W309" s="220" t="s">
        <v>231</v>
      </c>
      <c r="X309" s="223">
        <f t="shared" ref="X309:X332" si="62">COUNTA(B309:C309,G309:W309)</f>
        <v>8</v>
      </c>
      <c r="Y309" s="223"/>
      <c r="Z309" s="219" t="s">
        <v>71</v>
      </c>
      <c r="AA309" s="219" t="s">
        <v>72</v>
      </c>
      <c r="AB309" s="219" t="s">
        <v>73</v>
      </c>
      <c r="AC309" s="219" t="str" cm="1">
        <f t="array" ref="AC309">_xlfn.TEXTJOIN(", ", TRUE, _xlfn.UNIQUE(_xlfn._xlws.FILTER(G309:W309, COUNTIF(G309:W309, G309:W309)&gt;1, "無")))</f>
        <v>無</v>
      </c>
    </row>
    <row r="310" spans="1:29" s="218" customFormat="1" ht="16.5" customHeight="1">
      <c r="A310" s="219" t="str">
        <f t="shared" ref="A310:A332" si="63">_xlfn.TEXTJOIN(",",TRUE,B310:C310)</f>
        <v>H</v>
      </c>
      <c r="B310" s="217" t="s">
        <v>46</v>
      </c>
      <c r="C310" s="217"/>
      <c r="D310" s="220" t="s">
        <v>310</v>
      </c>
      <c r="E310" s="221" t="s">
        <v>74</v>
      </c>
      <c r="F310" s="218" t="str">
        <f t="shared" si="61"/>
        <v>2+609-10</v>
      </c>
      <c r="G310" s="222" t="s">
        <v>19</v>
      </c>
      <c r="H310" s="222"/>
      <c r="I310" s="222" t="s">
        <v>238</v>
      </c>
      <c r="J310" s="222" t="s">
        <v>239</v>
      </c>
      <c r="K310" s="222"/>
      <c r="L310" s="222" t="s">
        <v>235</v>
      </c>
      <c r="M310" s="222" t="s">
        <v>233</v>
      </c>
      <c r="N310" s="222"/>
      <c r="O310" s="222" t="s">
        <v>232</v>
      </c>
      <c r="P310" s="220"/>
      <c r="Q310" s="220"/>
      <c r="R310" s="220"/>
      <c r="S310" s="222"/>
      <c r="T310" s="222"/>
      <c r="U310" s="220"/>
      <c r="V310" s="220"/>
      <c r="W310" s="220" t="s">
        <v>231</v>
      </c>
      <c r="X310" s="223">
        <f t="shared" si="62"/>
        <v>8</v>
      </c>
      <c r="Y310" s="223" t="s">
        <v>19</v>
      </c>
      <c r="Z310" s="219">
        <f>COUNTIF($I$309:$J$332,Y310)</f>
        <v>8</v>
      </c>
      <c r="AA310" s="219">
        <f>COUNTIF($L$309:$M$332,Y310)</f>
        <v>9</v>
      </c>
      <c r="AB310" s="219">
        <f>COUNTIF($B$309:$C$332,Y310)</f>
        <v>2</v>
      </c>
      <c r="AC310" s="219" t="str" cm="1">
        <f t="array" ref="AC310">_xlfn.TEXTJOIN(", ", TRUE, _xlfn.UNIQUE(_xlfn._xlws.FILTER(G310:W310, COUNTIF(G310:W310, G310:W310)&gt;1, "無")))</f>
        <v>無</v>
      </c>
    </row>
    <row r="311" spans="1:29" s="218" customFormat="1" ht="16.5" customHeight="1">
      <c r="A311" s="219" t="str">
        <f t="shared" si="63"/>
        <v>K</v>
      </c>
      <c r="B311" s="217" t="s">
        <v>231</v>
      </c>
      <c r="C311" s="217"/>
      <c r="D311" s="220" t="s">
        <v>310</v>
      </c>
      <c r="E311" s="221" t="s">
        <v>75</v>
      </c>
      <c r="F311" s="218" t="str">
        <f t="shared" si="61"/>
        <v>2+610-11</v>
      </c>
      <c r="G311" s="222" t="s">
        <v>23</v>
      </c>
      <c r="H311" s="222"/>
      <c r="I311" s="222" t="s">
        <v>237</v>
      </c>
      <c r="J311" s="222" t="s">
        <v>236</v>
      </c>
      <c r="K311" s="222"/>
      <c r="L311" s="222" t="s">
        <v>239</v>
      </c>
      <c r="M311" s="222" t="s">
        <v>235</v>
      </c>
      <c r="N311" s="222"/>
      <c r="O311" s="222" t="s">
        <v>238</v>
      </c>
      <c r="P311" s="220"/>
      <c r="Q311" s="220"/>
      <c r="R311" s="220"/>
      <c r="S311" s="222"/>
      <c r="T311" s="222"/>
      <c r="U311" s="220"/>
      <c r="V311" s="220"/>
      <c r="W311" s="220" t="s">
        <v>232</v>
      </c>
      <c r="X311" s="223">
        <f t="shared" si="62"/>
        <v>8</v>
      </c>
      <c r="Y311" s="223" t="s">
        <v>23</v>
      </c>
      <c r="Z311" s="219">
        <f t="shared" ref="Z311:Z317" si="64">COUNTIF($I$309:$J$332,Y311)</f>
        <v>8</v>
      </c>
      <c r="AA311" s="219">
        <f t="shared" ref="AA311:AA317" si="65">COUNTIF($L$309:$M$332,Y311)</f>
        <v>9</v>
      </c>
      <c r="AB311" s="219">
        <f t="shared" ref="AB311:AB317" si="66">COUNTIF($B$309:$C$332,Y311)</f>
        <v>2</v>
      </c>
      <c r="AC311" s="219" t="str" cm="1">
        <f t="array" ref="AC311">_xlfn.TEXTJOIN(", ", TRUE, _xlfn.UNIQUE(_xlfn._xlws.FILTER(G311:W311, COUNTIF(G311:W311, G311:W311)&gt;1, "無")))</f>
        <v>無</v>
      </c>
    </row>
    <row r="312" spans="1:29" s="218" customFormat="1" ht="16.5" customHeight="1">
      <c r="A312" s="219" t="str">
        <f t="shared" si="63"/>
        <v>K</v>
      </c>
      <c r="B312" s="217" t="s">
        <v>231</v>
      </c>
      <c r="C312" s="217"/>
      <c r="D312" s="220" t="s">
        <v>310</v>
      </c>
      <c r="E312" s="221" t="s">
        <v>76</v>
      </c>
      <c r="F312" s="218" t="str">
        <f t="shared" si="61"/>
        <v>2+611-12</v>
      </c>
      <c r="G312" s="222" t="s">
        <v>23</v>
      </c>
      <c r="H312" s="222"/>
      <c r="I312" s="222" t="s">
        <v>237</v>
      </c>
      <c r="J312" s="222" t="s">
        <v>236</v>
      </c>
      <c r="K312" s="222"/>
      <c r="L312" s="222" t="s">
        <v>239</v>
      </c>
      <c r="M312" s="222" t="s">
        <v>235</v>
      </c>
      <c r="N312" s="222"/>
      <c r="O312" s="222" t="s">
        <v>238</v>
      </c>
      <c r="P312" s="220"/>
      <c r="Q312" s="220"/>
      <c r="R312" s="220"/>
      <c r="S312" s="222"/>
      <c r="T312" s="222"/>
      <c r="U312" s="220"/>
      <c r="V312" s="220"/>
      <c r="W312" s="220" t="s">
        <v>232</v>
      </c>
      <c r="X312" s="223">
        <f t="shared" si="62"/>
        <v>8</v>
      </c>
      <c r="Y312" s="223" t="s">
        <v>30</v>
      </c>
      <c r="Z312" s="219">
        <f t="shared" si="64"/>
        <v>8</v>
      </c>
      <c r="AA312" s="219">
        <f t="shared" si="65"/>
        <v>10</v>
      </c>
      <c r="AB312" s="219">
        <f t="shared" si="66"/>
        <v>2</v>
      </c>
      <c r="AC312" s="219" t="str" cm="1">
        <f t="array" ref="AC312">_xlfn.TEXTJOIN(", ", TRUE, _xlfn.UNIQUE(_xlfn._xlws.FILTER(G312:W312, COUNTIF(G312:W312, G312:W312)&gt;1, "無")))</f>
        <v>無</v>
      </c>
    </row>
    <row r="313" spans="1:29" s="218" customFormat="1" ht="16.5" customHeight="1">
      <c r="A313" s="219" t="str">
        <f t="shared" si="63"/>
        <v>C</v>
      </c>
      <c r="B313" s="217" t="s">
        <v>239</v>
      </c>
      <c r="C313" s="217"/>
      <c r="D313" s="220" t="s">
        <v>310</v>
      </c>
      <c r="E313" s="221" t="s">
        <v>77</v>
      </c>
      <c r="F313" s="218" t="str">
        <f t="shared" si="61"/>
        <v>2+612-13</v>
      </c>
      <c r="G313" s="222" t="s">
        <v>26</v>
      </c>
      <c r="H313" s="222"/>
      <c r="I313" s="222" t="s">
        <v>233</v>
      </c>
      <c r="J313" s="222" t="s">
        <v>236</v>
      </c>
      <c r="K313" s="222"/>
      <c r="L313" s="222" t="s">
        <v>237</v>
      </c>
      <c r="M313" s="222" t="s">
        <v>239</v>
      </c>
      <c r="N313" s="222"/>
      <c r="O313" s="222" t="s">
        <v>232</v>
      </c>
      <c r="P313" s="220"/>
      <c r="Q313" s="220"/>
      <c r="R313" s="220"/>
      <c r="S313" s="222"/>
      <c r="T313" s="222"/>
      <c r="U313" s="220"/>
      <c r="V313" s="220"/>
      <c r="W313" s="220" t="s">
        <v>231</v>
      </c>
      <c r="X313" s="223">
        <f t="shared" si="62"/>
        <v>8</v>
      </c>
      <c r="Y313" s="223" t="s">
        <v>34</v>
      </c>
      <c r="Z313" s="219">
        <f t="shared" si="64"/>
        <v>8</v>
      </c>
      <c r="AA313" s="219">
        <f t="shared" si="65"/>
        <v>10</v>
      </c>
      <c r="AB313" s="219">
        <f t="shared" si="66"/>
        <v>2</v>
      </c>
      <c r="AC313" s="219" t="str" cm="1">
        <f t="array" ref="AC313">_xlfn.TEXTJOIN(", ", TRUE, _xlfn.UNIQUE(_xlfn._xlws.FILTER(G313:W313, COUNTIF(G313:W313, G313:W313)&gt;1, "無")))</f>
        <v>無</v>
      </c>
    </row>
    <row r="314" spans="1:29" s="218" customFormat="1" ht="16.5" customHeight="1">
      <c r="A314" s="219" t="str">
        <f t="shared" si="63"/>
        <v>C</v>
      </c>
      <c r="B314" s="217" t="s">
        <v>239</v>
      </c>
      <c r="C314" s="217"/>
      <c r="D314" s="220" t="s">
        <v>310</v>
      </c>
      <c r="E314" s="221" t="s">
        <v>78</v>
      </c>
      <c r="F314" s="218" t="str">
        <f t="shared" si="61"/>
        <v>2+613-14</v>
      </c>
      <c r="G314" s="222" t="s">
        <v>26</v>
      </c>
      <c r="H314" s="222"/>
      <c r="I314" s="222" t="s">
        <v>233</v>
      </c>
      <c r="J314" s="222" t="s">
        <v>236</v>
      </c>
      <c r="K314" s="222"/>
      <c r="L314" s="222" t="s">
        <v>237</v>
      </c>
      <c r="M314" s="222" t="s">
        <v>239</v>
      </c>
      <c r="N314" s="222"/>
      <c r="O314" s="222" t="s">
        <v>232</v>
      </c>
      <c r="P314" s="220"/>
      <c r="Q314" s="220"/>
      <c r="R314" s="220"/>
      <c r="S314" s="222"/>
      <c r="T314" s="222"/>
      <c r="U314" s="220"/>
      <c r="V314" s="220"/>
      <c r="W314" s="220" t="s">
        <v>231</v>
      </c>
      <c r="X314" s="223">
        <f t="shared" si="62"/>
        <v>8</v>
      </c>
      <c r="Y314" s="223" t="s">
        <v>26</v>
      </c>
      <c r="Z314" s="219">
        <f t="shared" si="64"/>
        <v>8</v>
      </c>
      <c r="AA314" s="219">
        <f t="shared" si="65"/>
        <v>8</v>
      </c>
      <c r="AB314" s="219">
        <f t="shared" si="66"/>
        <v>2</v>
      </c>
      <c r="AC314" s="219" t="str" cm="1">
        <f t="array" ref="AC314">_xlfn.TEXTJOIN(", ", TRUE, _xlfn.UNIQUE(_xlfn._xlws.FILTER(G314:W314, COUNTIF(G314:W314, G314:W314)&gt;1, "無")))</f>
        <v>無</v>
      </c>
    </row>
    <row r="315" spans="1:29" s="218" customFormat="1" ht="16.5" customHeight="1">
      <c r="A315" s="219" t="str">
        <f t="shared" si="63"/>
        <v>D</v>
      </c>
      <c r="B315" s="217" t="s">
        <v>235</v>
      </c>
      <c r="C315" s="217"/>
      <c r="D315" s="220" t="s">
        <v>310</v>
      </c>
      <c r="E315" s="221" t="s">
        <v>79</v>
      </c>
      <c r="F315" s="218" t="str">
        <f t="shared" si="61"/>
        <v>2+614-15</v>
      </c>
      <c r="G315" s="222" t="s">
        <v>30</v>
      </c>
      <c r="H315" s="222"/>
      <c r="I315" s="222" t="s">
        <v>238</v>
      </c>
      <c r="J315" s="222" t="s">
        <v>233</v>
      </c>
      <c r="K315" s="222"/>
      <c r="L315" s="222" t="s">
        <v>236</v>
      </c>
      <c r="M315" s="222" t="s">
        <v>237</v>
      </c>
      <c r="N315" s="222"/>
      <c r="O315" s="222" t="s">
        <v>232</v>
      </c>
      <c r="P315" s="220"/>
      <c r="Q315" s="220"/>
      <c r="R315" s="220"/>
      <c r="S315" s="222"/>
      <c r="T315" s="222"/>
      <c r="U315" s="220"/>
      <c r="V315" s="220"/>
      <c r="W315" s="220" t="s">
        <v>57</v>
      </c>
      <c r="X315" s="223">
        <f t="shared" si="62"/>
        <v>8</v>
      </c>
      <c r="Y315" s="223" t="s">
        <v>46</v>
      </c>
      <c r="Z315" s="219">
        <f t="shared" si="64"/>
        <v>8</v>
      </c>
      <c r="AA315" s="219">
        <f t="shared" si="65"/>
        <v>2</v>
      </c>
      <c r="AB315" s="219">
        <f t="shared" si="66"/>
        <v>2</v>
      </c>
      <c r="AC315" s="219" t="str" cm="1">
        <f t="array" ref="AC315">_xlfn.TEXTJOIN(", ", TRUE, _xlfn.UNIQUE(_xlfn._xlws.FILTER(G315:W315, COUNTIF(G315:W315, G315:W315)&gt;1, "無")))</f>
        <v>無</v>
      </c>
    </row>
    <row r="316" spans="1:29" s="218" customFormat="1" ht="16.5" customHeight="1">
      <c r="A316" s="219" t="str">
        <f t="shared" si="63"/>
        <v>D</v>
      </c>
      <c r="B316" s="217" t="s">
        <v>235</v>
      </c>
      <c r="C316" s="217"/>
      <c r="D316" s="220" t="s">
        <v>310</v>
      </c>
      <c r="E316" s="221" t="s">
        <v>80</v>
      </c>
      <c r="F316" s="218" t="str">
        <f t="shared" si="61"/>
        <v>2+615-16</v>
      </c>
      <c r="G316" s="222" t="s">
        <v>30</v>
      </c>
      <c r="H316" s="222"/>
      <c r="I316" s="222" t="s">
        <v>238</v>
      </c>
      <c r="J316" s="222" t="s">
        <v>233</v>
      </c>
      <c r="K316" s="222"/>
      <c r="L316" s="222" t="s">
        <v>236</v>
      </c>
      <c r="M316" s="222" t="s">
        <v>237</v>
      </c>
      <c r="N316" s="222"/>
      <c r="O316" s="222" t="s">
        <v>232</v>
      </c>
      <c r="P316" s="220"/>
      <c r="Q316" s="220"/>
      <c r="R316" s="220"/>
      <c r="S316" s="222"/>
      <c r="T316" s="222"/>
      <c r="U316" s="220"/>
      <c r="V316" s="220"/>
      <c r="W316" s="220" t="s">
        <v>57</v>
      </c>
      <c r="X316" s="223">
        <f t="shared" si="62"/>
        <v>8</v>
      </c>
      <c r="Y316" s="223" t="s">
        <v>57</v>
      </c>
      <c r="Z316" s="219">
        <f t="shared" si="64"/>
        <v>0</v>
      </c>
      <c r="AA316" s="219">
        <f t="shared" si="65"/>
        <v>0</v>
      </c>
      <c r="AB316" s="219">
        <f t="shared" si="66"/>
        <v>2</v>
      </c>
      <c r="AC316" s="219" t="str" cm="1">
        <f t="array" ref="AC316">_xlfn.TEXTJOIN(", ", TRUE, _xlfn.UNIQUE(_xlfn._xlws.FILTER(G316:W316, COUNTIF(G316:W316, G316:W316)&gt;1, "無")))</f>
        <v>無</v>
      </c>
    </row>
    <row r="317" spans="1:29" s="218" customFormat="1" ht="16.5" customHeight="1">
      <c r="A317" s="219" t="str">
        <f t="shared" si="63"/>
        <v>L</v>
      </c>
      <c r="B317" s="217" t="s">
        <v>232</v>
      </c>
      <c r="C317" s="217"/>
      <c r="D317" s="220" t="s">
        <v>310</v>
      </c>
      <c r="E317" s="221" t="s">
        <v>81</v>
      </c>
      <c r="F317" s="218" t="str">
        <f t="shared" si="61"/>
        <v>2+616-17</v>
      </c>
      <c r="G317" s="222" t="s">
        <v>34</v>
      </c>
      <c r="H317" s="222"/>
      <c r="I317" s="222" t="s">
        <v>236</v>
      </c>
      <c r="J317" s="222" t="s">
        <v>238</v>
      </c>
      <c r="K317" s="222"/>
      <c r="L317" s="222" t="s">
        <v>239</v>
      </c>
      <c r="M317" s="222" t="s">
        <v>233</v>
      </c>
      <c r="N317" s="222"/>
      <c r="O317" s="222" t="s">
        <v>237</v>
      </c>
      <c r="P317" s="220"/>
      <c r="Q317" s="220"/>
      <c r="R317" s="220"/>
      <c r="S317" s="222"/>
      <c r="T317" s="222"/>
      <c r="U317" s="220"/>
      <c r="V317" s="220"/>
      <c r="W317" s="220" t="s">
        <v>57</v>
      </c>
      <c r="X317" s="223">
        <f t="shared" si="62"/>
        <v>8</v>
      </c>
      <c r="Y317" s="219" t="s">
        <v>232</v>
      </c>
      <c r="Z317" s="219">
        <f t="shared" si="64"/>
        <v>0</v>
      </c>
      <c r="AA317" s="219">
        <f t="shared" si="65"/>
        <v>0</v>
      </c>
      <c r="AB317" s="219">
        <f t="shared" si="66"/>
        <v>2</v>
      </c>
      <c r="AC317" s="219" t="str" cm="1">
        <f t="array" ref="AC317">_xlfn.TEXTJOIN(", ", TRUE, _xlfn.UNIQUE(_xlfn._xlws.FILTER(G317:W317, COUNTIF(G317:W317, G317:W317)&gt;1, "無")))</f>
        <v>無</v>
      </c>
    </row>
    <row r="318" spans="1:29" s="218" customFormat="1" ht="16.5" customHeight="1">
      <c r="A318" s="219" t="str">
        <f t="shared" si="63"/>
        <v>L</v>
      </c>
      <c r="B318" s="217" t="s">
        <v>232</v>
      </c>
      <c r="C318" s="217"/>
      <c r="D318" s="220" t="s">
        <v>310</v>
      </c>
      <c r="E318" s="221" t="s">
        <v>82</v>
      </c>
      <c r="F318" s="218" t="str">
        <f t="shared" si="61"/>
        <v>2+617-18</v>
      </c>
      <c r="G318" s="222" t="s">
        <v>34</v>
      </c>
      <c r="H318" s="222"/>
      <c r="I318" s="222" t="s">
        <v>236</v>
      </c>
      <c r="J318" s="222" t="s">
        <v>238</v>
      </c>
      <c r="K318" s="222"/>
      <c r="L318" s="222" t="s">
        <v>239</v>
      </c>
      <c r="M318" s="222" t="s">
        <v>233</v>
      </c>
      <c r="N318" s="222"/>
      <c r="O318" s="222" t="s">
        <v>237</v>
      </c>
      <c r="P318" s="220"/>
      <c r="Q318" s="220"/>
      <c r="R318" s="220"/>
      <c r="S318" s="222"/>
      <c r="T318" s="222"/>
      <c r="U318" s="220"/>
      <c r="V318" s="220"/>
      <c r="W318" s="220" t="s">
        <v>57</v>
      </c>
      <c r="X318" s="223">
        <f t="shared" si="62"/>
        <v>8</v>
      </c>
      <c r="Y318" s="223"/>
      <c r="Z318" s="219"/>
      <c r="AA318" s="219"/>
      <c r="AB318" s="219"/>
      <c r="AC318" s="219" t="str" cm="1">
        <f t="array" ref="AC318">_xlfn.TEXTJOIN(", ", TRUE, _xlfn.UNIQUE(_xlfn._xlws.FILTER(G318:W318, COUNTIF(G318:W318, G318:W318)&gt;1, "無")))</f>
        <v>無</v>
      </c>
    </row>
    <row r="319" spans="1:29" s="218" customFormat="1" ht="16.5" customHeight="1">
      <c r="A319" s="219" t="str">
        <f t="shared" si="63"/>
        <v>A</v>
      </c>
      <c r="B319" s="217" t="s">
        <v>237</v>
      </c>
      <c r="C319" s="217"/>
      <c r="D319" s="220" t="s">
        <v>310</v>
      </c>
      <c r="E319" s="221" t="s">
        <v>83</v>
      </c>
      <c r="F319" s="218" t="str">
        <f t="shared" si="61"/>
        <v>2+618-19</v>
      </c>
      <c r="G319" s="222" t="s">
        <v>232</v>
      </c>
      <c r="H319" s="222"/>
      <c r="I319" s="222" t="s">
        <v>236</v>
      </c>
      <c r="J319" s="222" t="s">
        <v>239</v>
      </c>
      <c r="K319" s="222"/>
      <c r="L319" s="222" t="s">
        <v>235</v>
      </c>
      <c r="M319" s="222" t="s">
        <v>238</v>
      </c>
      <c r="N319" s="222"/>
      <c r="O319" s="222" t="s">
        <v>233</v>
      </c>
      <c r="P319" s="220"/>
      <c r="Q319" s="220"/>
      <c r="R319" s="220"/>
      <c r="S319" s="222"/>
      <c r="T319" s="222"/>
      <c r="U319" s="220"/>
      <c r="V319" s="220"/>
      <c r="W319" s="220" t="s">
        <v>57</v>
      </c>
      <c r="X319" s="223">
        <f t="shared" si="62"/>
        <v>8</v>
      </c>
      <c r="Y319" s="223"/>
      <c r="Z319" s="219"/>
      <c r="AA319" s="219"/>
      <c r="AB319" s="219"/>
      <c r="AC319" s="219" t="str" cm="1">
        <f t="array" ref="AC319">_xlfn.TEXTJOIN(", ", TRUE, _xlfn.UNIQUE(_xlfn._xlws.FILTER(G319:W319, COUNTIF(G319:W319, G319:W319)&gt;1, "無")))</f>
        <v>無</v>
      </c>
    </row>
    <row r="320" spans="1:29" s="218" customFormat="1" ht="16.5" customHeight="1">
      <c r="A320" s="219" t="str">
        <f t="shared" si="63"/>
        <v>A</v>
      </c>
      <c r="B320" s="217" t="s">
        <v>237</v>
      </c>
      <c r="C320" s="217"/>
      <c r="D320" s="220" t="s">
        <v>310</v>
      </c>
      <c r="E320" s="221" t="s">
        <v>84</v>
      </c>
      <c r="F320" s="218" t="str">
        <f t="shared" si="61"/>
        <v>2+619-20</v>
      </c>
      <c r="G320" s="222" t="s">
        <v>232</v>
      </c>
      <c r="H320" s="222"/>
      <c r="I320" s="222" t="s">
        <v>236</v>
      </c>
      <c r="J320" s="222" t="s">
        <v>239</v>
      </c>
      <c r="K320" s="222"/>
      <c r="L320" s="222" t="s">
        <v>235</v>
      </c>
      <c r="M320" s="222" t="s">
        <v>238</v>
      </c>
      <c r="N320" s="222"/>
      <c r="O320" s="222" t="s">
        <v>233</v>
      </c>
      <c r="P320" s="220"/>
      <c r="Q320" s="220"/>
      <c r="R320" s="220"/>
      <c r="S320" s="222"/>
      <c r="T320" s="222"/>
      <c r="U320" s="220"/>
      <c r="V320" s="220"/>
      <c r="W320" s="220" t="s">
        <v>57</v>
      </c>
      <c r="X320" s="223">
        <f t="shared" si="62"/>
        <v>8</v>
      </c>
      <c r="Y320" s="223"/>
      <c r="Z320" s="219"/>
      <c r="AA320" s="219"/>
      <c r="AB320" s="219"/>
      <c r="AC320" s="219" t="str" cm="1">
        <f t="array" ref="AC320">_xlfn.TEXTJOIN(", ", TRUE, _xlfn.UNIQUE(_xlfn._xlws.FILTER(G320:W320, COUNTIF(G320:W320, G320:W320)&gt;1, "無")))</f>
        <v>無</v>
      </c>
    </row>
    <row r="321" spans="1:29" s="218" customFormat="1" ht="16.5" customHeight="1">
      <c r="A321" s="219" t="str">
        <f t="shared" si="63"/>
        <v>B</v>
      </c>
      <c r="B321" s="217" t="s">
        <v>233</v>
      </c>
      <c r="C321" s="217"/>
      <c r="D321" s="220" t="s">
        <v>310</v>
      </c>
      <c r="E321" s="221" t="s">
        <v>85</v>
      </c>
      <c r="F321" s="218" t="str">
        <f t="shared" si="61"/>
        <v>2+620-21</v>
      </c>
      <c r="G321" s="222" t="s">
        <v>232</v>
      </c>
      <c r="H321" s="222"/>
      <c r="I321" s="222" t="s">
        <v>237</v>
      </c>
      <c r="J321" s="222" t="s">
        <v>235</v>
      </c>
      <c r="K321" s="222"/>
      <c r="L321" s="222" t="s">
        <v>238</v>
      </c>
      <c r="M321" s="222" t="s">
        <v>239</v>
      </c>
      <c r="N321" s="222"/>
      <c r="O321" s="222" t="s">
        <v>236</v>
      </c>
      <c r="P321" s="220"/>
      <c r="Q321" s="220"/>
      <c r="R321" s="220"/>
      <c r="S321" s="222"/>
      <c r="T321" s="222"/>
      <c r="U321" s="220"/>
      <c r="V321" s="220"/>
      <c r="W321" s="220" t="s">
        <v>57</v>
      </c>
      <c r="X321" s="223">
        <f t="shared" si="62"/>
        <v>8</v>
      </c>
      <c r="Y321" s="219"/>
      <c r="Z321" s="219"/>
      <c r="AA321" s="219"/>
      <c r="AB321" s="219"/>
      <c r="AC321" s="219" t="str" cm="1">
        <f t="array" ref="AC321">_xlfn.TEXTJOIN(", ", TRUE, _xlfn.UNIQUE(_xlfn._xlws.FILTER(G321:W321, COUNTIF(G321:W321, G321:W321)&gt;1, "無")))</f>
        <v>無</v>
      </c>
    </row>
    <row r="322" spans="1:29" s="218" customFormat="1" ht="16.5" customHeight="1">
      <c r="A322" s="219" t="str">
        <f t="shared" si="63"/>
        <v>B</v>
      </c>
      <c r="B322" s="217" t="s">
        <v>233</v>
      </c>
      <c r="C322" s="217"/>
      <c r="D322" s="220" t="s">
        <v>310</v>
      </c>
      <c r="E322" s="221" t="s">
        <v>86</v>
      </c>
      <c r="F322" s="218" t="str">
        <f t="shared" si="61"/>
        <v>2+621-22</v>
      </c>
      <c r="G322" s="222" t="s">
        <v>232</v>
      </c>
      <c r="H322" s="222"/>
      <c r="I322" s="222" t="s">
        <v>237</v>
      </c>
      <c r="J322" s="222" t="s">
        <v>235</v>
      </c>
      <c r="K322" s="222"/>
      <c r="L322" s="222" t="s">
        <v>238</v>
      </c>
      <c r="M322" s="222" t="s">
        <v>239</v>
      </c>
      <c r="N322" s="222"/>
      <c r="O322" s="222" t="s">
        <v>236</v>
      </c>
      <c r="P322" s="220"/>
      <c r="Q322" s="220"/>
      <c r="R322" s="220"/>
      <c r="S322" s="222"/>
      <c r="T322" s="222"/>
      <c r="U322" s="220"/>
      <c r="V322" s="220"/>
      <c r="W322" s="220" t="s">
        <v>57</v>
      </c>
      <c r="X322" s="223">
        <f t="shared" si="62"/>
        <v>8</v>
      </c>
      <c r="AC322" s="219" t="str" cm="1">
        <f t="array" ref="AC322">_xlfn.TEXTJOIN(", ", TRUE, _xlfn.UNIQUE(_xlfn._xlws.FILTER(G322:W322, COUNTIF(G322:W322, G322:W322)&gt;1, "無")))</f>
        <v>無</v>
      </c>
    </row>
    <row r="323" spans="1:29" s="218" customFormat="1" ht="16.5" customHeight="1">
      <c r="A323" s="219" t="str">
        <f t="shared" si="63"/>
        <v/>
      </c>
      <c r="B323" s="217"/>
      <c r="C323" s="217"/>
      <c r="D323" s="220" t="s">
        <v>310</v>
      </c>
      <c r="E323" s="221" t="s">
        <v>87</v>
      </c>
      <c r="F323" s="218" t="str">
        <f t="shared" si="61"/>
        <v>2+622-23</v>
      </c>
      <c r="G323" s="222" t="s">
        <v>46</v>
      </c>
      <c r="H323" s="222"/>
      <c r="I323" s="222" t="s">
        <v>235</v>
      </c>
      <c r="J323" s="222" t="s">
        <v>238</v>
      </c>
      <c r="K323" s="222"/>
      <c r="L323" s="222" t="s">
        <v>239</v>
      </c>
      <c r="M323" s="222" t="s">
        <v>237</v>
      </c>
      <c r="N323" s="222"/>
      <c r="O323" s="222" t="s">
        <v>233</v>
      </c>
      <c r="P323" s="222" t="s">
        <v>232</v>
      </c>
      <c r="Q323" s="220"/>
      <c r="R323" s="220"/>
      <c r="S323" s="222"/>
      <c r="T323" s="222"/>
      <c r="U323" s="220"/>
      <c r="V323" s="220"/>
      <c r="W323" s="220" t="s">
        <v>57</v>
      </c>
      <c r="X323" s="223">
        <f t="shared" si="62"/>
        <v>8</v>
      </c>
      <c r="AC323" s="219" t="str" cm="1">
        <f t="array" ref="AC323">_xlfn.TEXTJOIN(", ", TRUE, _xlfn.UNIQUE(_xlfn._xlws.FILTER(G323:W323, COUNTIF(G323:W323, G323:W323)&gt;1, "無")))</f>
        <v>無</v>
      </c>
    </row>
    <row r="324" spans="1:29" s="218" customFormat="1" ht="16.5" customHeight="1">
      <c r="A324" s="219" t="str">
        <f t="shared" si="63"/>
        <v/>
      </c>
      <c r="B324" s="217"/>
      <c r="C324" s="217"/>
      <c r="D324" s="220" t="s">
        <v>310</v>
      </c>
      <c r="E324" s="221" t="s">
        <v>88</v>
      </c>
      <c r="F324" s="218" t="str">
        <f t="shared" si="61"/>
        <v>2+623-24</v>
      </c>
      <c r="G324" s="222" t="s">
        <v>46</v>
      </c>
      <c r="H324" s="222"/>
      <c r="I324" s="222" t="s">
        <v>235</v>
      </c>
      <c r="J324" s="222" t="s">
        <v>238</v>
      </c>
      <c r="K324" s="222"/>
      <c r="L324" s="222" t="s">
        <v>239</v>
      </c>
      <c r="M324" s="222" t="s">
        <v>233</v>
      </c>
      <c r="N324" s="222"/>
      <c r="O324" s="222" t="s">
        <v>237</v>
      </c>
      <c r="P324" s="222" t="s">
        <v>232</v>
      </c>
      <c r="Q324" s="220"/>
      <c r="R324" s="220"/>
      <c r="S324" s="222"/>
      <c r="T324" s="222"/>
      <c r="U324" s="220"/>
      <c r="V324" s="220"/>
      <c r="W324" s="220" t="s">
        <v>57</v>
      </c>
      <c r="X324" s="223">
        <f t="shared" si="62"/>
        <v>8</v>
      </c>
      <c r="AC324" s="219" t="str" cm="1">
        <f t="array" ref="AC324">_xlfn.TEXTJOIN(", ", TRUE, _xlfn.UNIQUE(_xlfn._xlws.FILTER(G324:W324, COUNTIF(G324:W324, G324:W324)&gt;1, "無")))</f>
        <v>無</v>
      </c>
    </row>
    <row r="325" spans="1:29" s="218" customFormat="1" ht="16.5" customHeight="1">
      <c r="A325" s="219" t="str">
        <f t="shared" si="63"/>
        <v/>
      </c>
      <c r="B325" s="217"/>
      <c r="C325" s="217"/>
      <c r="D325" s="220" t="s">
        <v>310</v>
      </c>
      <c r="E325" s="221" t="s">
        <v>89</v>
      </c>
      <c r="F325" s="218" t="str">
        <f t="shared" si="61"/>
        <v>2+600-01</v>
      </c>
      <c r="G325" s="222" t="s">
        <v>46</v>
      </c>
      <c r="H325" s="222"/>
      <c r="I325" s="222" t="s">
        <v>19</v>
      </c>
      <c r="J325" s="222" t="s">
        <v>23</v>
      </c>
      <c r="K325" s="222"/>
      <c r="L325" s="222" t="s">
        <v>238</v>
      </c>
      <c r="M325" s="222" t="s">
        <v>235</v>
      </c>
      <c r="N325" s="222"/>
      <c r="O325" s="222" t="s">
        <v>239</v>
      </c>
      <c r="P325" s="222" t="s">
        <v>232</v>
      </c>
      <c r="Q325" s="220"/>
      <c r="R325" s="220"/>
      <c r="S325" s="222"/>
      <c r="T325" s="222"/>
      <c r="U325" s="220"/>
      <c r="V325" s="220"/>
      <c r="W325" s="220" t="s">
        <v>57</v>
      </c>
      <c r="X325" s="223">
        <f t="shared" si="62"/>
        <v>8</v>
      </c>
      <c r="AC325" s="219" t="str" cm="1">
        <f t="array" ref="AC325">_xlfn.TEXTJOIN(", ", TRUE, _xlfn.UNIQUE(_xlfn._xlws.FILTER(G325:W325, COUNTIF(G325:W325, G325:W325)&gt;1, "無")))</f>
        <v>無</v>
      </c>
    </row>
    <row r="326" spans="1:29" s="218" customFormat="1" ht="16.5" customHeight="1">
      <c r="A326" s="219" t="str">
        <f t="shared" si="63"/>
        <v/>
      </c>
      <c r="B326" s="217"/>
      <c r="C326" s="217"/>
      <c r="D326" s="220" t="s">
        <v>310</v>
      </c>
      <c r="E326" s="221" t="s">
        <v>90</v>
      </c>
      <c r="F326" s="218" t="str">
        <f t="shared" si="61"/>
        <v>2+601-02</v>
      </c>
      <c r="G326" s="222" t="s">
        <v>46</v>
      </c>
      <c r="H326" s="222"/>
      <c r="I326" s="222" t="s">
        <v>19</v>
      </c>
      <c r="J326" s="222" t="s">
        <v>23</v>
      </c>
      <c r="K326" s="222"/>
      <c r="L326" s="222" t="s">
        <v>238</v>
      </c>
      <c r="M326" s="222" t="s">
        <v>235</v>
      </c>
      <c r="N326" s="222"/>
      <c r="O326" s="222" t="s">
        <v>239</v>
      </c>
      <c r="P326" s="222" t="s">
        <v>232</v>
      </c>
      <c r="Q326" s="220"/>
      <c r="R326" s="220"/>
      <c r="S326" s="222"/>
      <c r="T326" s="222"/>
      <c r="U326" s="220"/>
      <c r="V326" s="220"/>
      <c r="W326" s="220" t="s">
        <v>57</v>
      </c>
      <c r="X326" s="223">
        <f t="shared" si="62"/>
        <v>8</v>
      </c>
      <c r="AC326" s="219" t="str" cm="1">
        <f t="array" ref="AC326">_xlfn.TEXTJOIN(", ", TRUE, _xlfn.UNIQUE(_xlfn._xlws.FILTER(G326:W326, COUNTIF(G326:W326, G326:W326)&gt;1, "無")))</f>
        <v>無</v>
      </c>
    </row>
    <row r="327" spans="1:29" s="218" customFormat="1" ht="16.5" customHeight="1">
      <c r="A327" s="219" t="str">
        <f t="shared" si="63"/>
        <v/>
      </c>
      <c r="B327" s="217"/>
      <c r="C327" s="217"/>
      <c r="D327" s="220" t="s">
        <v>310</v>
      </c>
      <c r="E327" s="221" t="s">
        <v>91</v>
      </c>
      <c r="F327" s="218" t="str">
        <f t="shared" si="61"/>
        <v>2+602-03</v>
      </c>
      <c r="G327" s="222" t="s">
        <v>46</v>
      </c>
      <c r="H327" s="222"/>
      <c r="I327" s="222" t="s">
        <v>19</v>
      </c>
      <c r="J327" s="222" t="s">
        <v>23</v>
      </c>
      <c r="K327" s="222"/>
      <c r="L327" s="222" t="s">
        <v>235</v>
      </c>
      <c r="M327" s="222" t="s">
        <v>238</v>
      </c>
      <c r="N327" s="222"/>
      <c r="O327" s="222" t="s">
        <v>239</v>
      </c>
      <c r="P327" s="222" t="s">
        <v>232</v>
      </c>
      <c r="Q327" s="220"/>
      <c r="R327" s="220"/>
      <c r="S327" s="222"/>
      <c r="T327" s="222"/>
      <c r="U327" s="220"/>
      <c r="V327" s="220"/>
      <c r="W327" s="220" t="s">
        <v>57</v>
      </c>
      <c r="X327" s="223">
        <f t="shared" si="62"/>
        <v>8</v>
      </c>
      <c r="AC327" s="219" t="str" cm="1">
        <f t="array" ref="AC327">_xlfn.TEXTJOIN(", ", TRUE, _xlfn.UNIQUE(_xlfn._xlws.FILTER(G327:W327, COUNTIF(G327:W327, G327:W327)&gt;1, "無")))</f>
        <v>無</v>
      </c>
    </row>
    <row r="328" spans="1:29" s="218" customFormat="1" ht="16.5" customHeight="1">
      <c r="A328" s="219" t="str">
        <f t="shared" si="63"/>
        <v/>
      </c>
      <c r="B328" s="217"/>
      <c r="C328" s="217"/>
      <c r="D328" s="220" t="s">
        <v>310</v>
      </c>
      <c r="E328" s="221" t="s">
        <v>92</v>
      </c>
      <c r="F328" s="218" t="str">
        <f t="shared" si="61"/>
        <v>2+603-04</v>
      </c>
      <c r="G328" s="222" t="s">
        <v>46</v>
      </c>
      <c r="H328" s="222"/>
      <c r="I328" s="222" t="s">
        <v>19</v>
      </c>
      <c r="J328" s="222" t="s">
        <v>23</v>
      </c>
      <c r="K328" s="222"/>
      <c r="L328" s="222" t="s">
        <v>235</v>
      </c>
      <c r="M328" s="222" t="s">
        <v>238</v>
      </c>
      <c r="N328" s="222"/>
      <c r="O328" s="222" t="s">
        <v>239</v>
      </c>
      <c r="P328" s="222" t="s">
        <v>232</v>
      </c>
      <c r="Q328" s="220"/>
      <c r="R328" s="220"/>
      <c r="S328" s="222"/>
      <c r="T328" s="222"/>
      <c r="U328" s="220"/>
      <c r="V328" s="220"/>
      <c r="W328" s="220" t="s">
        <v>57</v>
      </c>
      <c r="X328" s="223">
        <f t="shared" si="62"/>
        <v>8</v>
      </c>
      <c r="AC328" s="219" t="str" cm="1">
        <f t="array" ref="AC328">_xlfn.TEXTJOIN(", ", TRUE, _xlfn.UNIQUE(_xlfn._xlws.FILTER(G328:W328, COUNTIF(G328:W328, G328:W328)&gt;1, "無")))</f>
        <v>無</v>
      </c>
    </row>
    <row r="329" spans="1:29" s="218" customFormat="1" ht="16.5" customHeight="1">
      <c r="A329" s="219" t="str">
        <f t="shared" si="63"/>
        <v/>
      </c>
      <c r="B329" s="217"/>
      <c r="C329" s="217"/>
      <c r="D329" s="220" t="s">
        <v>310</v>
      </c>
      <c r="E329" s="221" t="s">
        <v>93</v>
      </c>
      <c r="F329" s="218" t="str">
        <f t="shared" si="61"/>
        <v>2+604-05</v>
      </c>
      <c r="G329" s="222" t="s">
        <v>46</v>
      </c>
      <c r="H329" s="222"/>
      <c r="I329" s="222" t="s">
        <v>30</v>
      </c>
      <c r="J329" s="222" t="s">
        <v>34</v>
      </c>
      <c r="K329" s="222"/>
      <c r="L329" s="222" t="s">
        <v>237</v>
      </c>
      <c r="M329" s="222" t="s">
        <v>233</v>
      </c>
      <c r="N329" s="222"/>
      <c r="O329" s="222" t="s">
        <v>238</v>
      </c>
      <c r="P329" s="220" t="s">
        <v>232</v>
      </c>
      <c r="Q329" s="220"/>
      <c r="R329" s="220"/>
      <c r="S329" s="222"/>
      <c r="T329" s="222"/>
      <c r="U329" s="220"/>
      <c r="V329" s="220"/>
      <c r="W329" s="220" t="s">
        <v>231</v>
      </c>
      <c r="X329" s="223">
        <f t="shared" si="62"/>
        <v>8</v>
      </c>
      <c r="AC329" s="219" t="str" cm="1">
        <f t="array" ref="AC329">_xlfn.TEXTJOIN(", ", TRUE, _xlfn.UNIQUE(_xlfn._xlws.FILTER(G329:W329, COUNTIF(G329:W329, G329:W329)&gt;1, "無")))</f>
        <v>無</v>
      </c>
    </row>
    <row r="330" spans="1:29" s="218" customFormat="1" ht="16.5" customHeight="1">
      <c r="A330" s="219" t="str">
        <f t="shared" si="63"/>
        <v/>
      </c>
      <c r="B330" s="217"/>
      <c r="C330" s="217"/>
      <c r="D330" s="220" t="s">
        <v>310</v>
      </c>
      <c r="E330" s="221" t="s">
        <v>94</v>
      </c>
      <c r="F330" s="218" t="str">
        <f t="shared" si="61"/>
        <v>2+605-06</v>
      </c>
      <c r="G330" s="222" t="s">
        <v>46</v>
      </c>
      <c r="H330" s="222"/>
      <c r="I330" s="222" t="s">
        <v>30</v>
      </c>
      <c r="J330" s="222" t="s">
        <v>34</v>
      </c>
      <c r="K330" s="222"/>
      <c r="L330" s="222" t="s">
        <v>237</v>
      </c>
      <c r="M330" s="222" t="s">
        <v>233</v>
      </c>
      <c r="N330" s="222"/>
      <c r="O330" s="222" t="s">
        <v>238</v>
      </c>
      <c r="P330" s="220" t="s">
        <v>232</v>
      </c>
      <c r="Q330" s="220"/>
      <c r="R330" s="220"/>
      <c r="S330" s="222"/>
      <c r="T330" s="222"/>
      <c r="U330" s="220"/>
      <c r="V330" s="220"/>
      <c r="W330" s="220" t="s">
        <v>231</v>
      </c>
      <c r="X330" s="223">
        <f t="shared" si="62"/>
        <v>8</v>
      </c>
      <c r="AC330" s="219" t="str" cm="1">
        <f t="array" ref="AC330">_xlfn.TEXTJOIN(", ", TRUE, _xlfn.UNIQUE(_xlfn._xlws.FILTER(G330:W330, COUNTIF(G330:W330, G330:W330)&gt;1, "無")))</f>
        <v>無</v>
      </c>
    </row>
    <row r="331" spans="1:29" s="218" customFormat="1" ht="16.5" customHeight="1">
      <c r="A331" s="219" t="str">
        <f t="shared" si="63"/>
        <v>G</v>
      </c>
      <c r="B331" s="217" t="s">
        <v>26</v>
      </c>
      <c r="C331" s="217"/>
      <c r="D331" s="220" t="s">
        <v>310</v>
      </c>
      <c r="E331" s="221" t="s">
        <v>95</v>
      </c>
      <c r="F331" s="218" t="str">
        <f t="shared" si="61"/>
        <v>2+606-07</v>
      </c>
      <c r="G331" s="222" t="s">
        <v>46</v>
      </c>
      <c r="H331" s="222"/>
      <c r="I331" s="222" t="s">
        <v>30</v>
      </c>
      <c r="J331" s="222" t="s">
        <v>34</v>
      </c>
      <c r="K331" s="222"/>
      <c r="L331" s="222" t="s">
        <v>233</v>
      </c>
      <c r="M331" s="222" t="s">
        <v>237</v>
      </c>
      <c r="N331" s="222"/>
      <c r="O331" s="222" t="s">
        <v>232</v>
      </c>
      <c r="P331" s="220"/>
      <c r="Q331" s="220"/>
      <c r="R331" s="220"/>
      <c r="S331" s="222"/>
      <c r="T331" s="222"/>
      <c r="U331" s="220"/>
      <c r="V331" s="222"/>
      <c r="W331" s="220" t="s">
        <v>57</v>
      </c>
      <c r="X331" s="223">
        <f t="shared" si="62"/>
        <v>8</v>
      </c>
      <c r="AC331" s="219" t="str" cm="1">
        <f t="array" ref="AC331">_xlfn.TEXTJOIN(", ", TRUE, _xlfn.UNIQUE(_xlfn._xlws.FILTER(G331:W331, COUNTIF(G331:W331, G331:W331)&gt;1, "無")))</f>
        <v>無</v>
      </c>
    </row>
    <row r="332" spans="1:29" s="218" customFormat="1" ht="16.5" customHeight="1">
      <c r="A332" s="219" t="str">
        <f t="shared" si="63"/>
        <v>G</v>
      </c>
      <c r="B332" s="217" t="s">
        <v>26</v>
      </c>
      <c r="C332" s="217"/>
      <c r="D332" s="220" t="s">
        <v>310</v>
      </c>
      <c r="E332" s="221" t="s">
        <v>96</v>
      </c>
      <c r="F332" s="218" t="str">
        <f t="shared" si="61"/>
        <v>2+607-08</v>
      </c>
      <c r="G332" s="222" t="s">
        <v>46</v>
      </c>
      <c r="H332" s="222"/>
      <c r="I332" s="222" t="s">
        <v>30</v>
      </c>
      <c r="J332" s="222" t="s">
        <v>34</v>
      </c>
      <c r="K332" s="222"/>
      <c r="L332" s="222" t="s">
        <v>233</v>
      </c>
      <c r="M332" s="222" t="s">
        <v>237</v>
      </c>
      <c r="N332" s="222"/>
      <c r="O332" s="222" t="s">
        <v>232</v>
      </c>
      <c r="P332" s="220"/>
      <c r="Q332" s="220"/>
      <c r="R332" s="220"/>
      <c r="S332" s="222"/>
      <c r="T332" s="222"/>
      <c r="U332" s="220"/>
      <c r="V332" s="222"/>
      <c r="W332" s="220" t="s">
        <v>57</v>
      </c>
      <c r="X332" s="223">
        <f t="shared" si="62"/>
        <v>8</v>
      </c>
      <c r="AC332" s="219" t="str" cm="1">
        <f t="array" ref="AC332">_xlfn.TEXTJOIN(", ", TRUE, _xlfn.UNIQUE(_xlfn._xlws.FILTER(G332:W332, COUNTIF(G332:W332, G332:W332)&gt;1, "無")))</f>
        <v>無</v>
      </c>
    </row>
    <row r="333" spans="1:29" ht="16.5" customHeight="1">
      <c r="A333" s="17"/>
      <c r="B333" s="65"/>
      <c r="C333" s="65"/>
      <c r="F333" s="17"/>
      <c r="G333" s="17"/>
      <c r="H333" s="17"/>
    </row>
    <row r="334" spans="1:29" ht="16.5" customHeight="1">
      <c r="A334" s="17"/>
      <c r="B334" s="65"/>
      <c r="C334" s="65"/>
      <c r="F334" s="17"/>
      <c r="G334" s="17"/>
      <c r="H334" s="17"/>
    </row>
    <row r="335" spans="1:29" ht="16.5" customHeight="1">
      <c r="A335" s="17"/>
      <c r="B335" s="65"/>
      <c r="C335" s="65"/>
      <c r="F335" s="17"/>
      <c r="G335" s="17"/>
      <c r="H335" s="17"/>
    </row>
    <row r="336" spans="1:29" ht="16.5" customHeight="1">
      <c r="A336" s="17"/>
      <c r="B336" s="65"/>
      <c r="C336" s="65"/>
      <c r="F336" s="17"/>
      <c r="G336" s="17"/>
      <c r="H336" s="17"/>
    </row>
    <row r="337" spans="1:8" ht="16.5" customHeight="1">
      <c r="A337" s="17"/>
      <c r="B337" s="65"/>
      <c r="C337" s="65"/>
      <c r="F337" s="17"/>
      <c r="G337" s="17"/>
      <c r="H337" s="17"/>
    </row>
    <row r="338" spans="1:8" ht="16.5" customHeight="1">
      <c r="A338" s="17"/>
      <c r="B338" s="65"/>
      <c r="C338" s="65"/>
      <c r="F338" s="17"/>
      <c r="G338" s="17"/>
      <c r="H338" s="17"/>
    </row>
    <row r="339" spans="1:8" ht="16.5" customHeight="1">
      <c r="A339" s="17"/>
      <c r="B339" s="65"/>
      <c r="C339" s="65"/>
      <c r="F339" s="17"/>
      <c r="G339" s="17"/>
      <c r="H339" s="17"/>
    </row>
    <row r="340" spans="1:8" ht="16.5" customHeight="1">
      <c r="A340" s="17"/>
      <c r="B340" s="65"/>
      <c r="C340" s="65"/>
      <c r="F340" s="17"/>
      <c r="G340" s="17"/>
      <c r="H340" s="17"/>
    </row>
    <row r="341" spans="1:8" ht="16.5" customHeight="1">
      <c r="A341" s="17"/>
      <c r="B341" s="65"/>
      <c r="C341" s="65"/>
      <c r="F341" s="17"/>
      <c r="G341" s="17"/>
      <c r="H341" s="17"/>
    </row>
    <row r="342" spans="1:8" ht="16.5" customHeight="1">
      <c r="A342" s="17"/>
      <c r="B342" s="65"/>
      <c r="C342" s="65"/>
      <c r="F342" s="17"/>
      <c r="G342" s="17"/>
      <c r="H342" s="17"/>
    </row>
    <row r="343" spans="1:8" ht="16.5" customHeight="1">
      <c r="A343" s="17"/>
      <c r="B343" s="65"/>
      <c r="C343" s="65"/>
      <c r="F343" s="17"/>
      <c r="G343" s="17"/>
      <c r="H343" s="17"/>
    </row>
    <row r="344" spans="1:8" ht="16.5" customHeight="1">
      <c r="A344" s="17"/>
      <c r="B344" s="65"/>
      <c r="C344" s="65"/>
      <c r="F344" s="17"/>
      <c r="G344" s="17"/>
      <c r="H344" s="17"/>
    </row>
    <row r="345" spans="1:8" ht="16.5" customHeight="1">
      <c r="A345" s="17"/>
      <c r="B345" s="65"/>
      <c r="C345" s="65"/>
      <c r="F345" s="17"/>
      <c r="G345" s="17"/>
      <c r="H345" s="17"/>
    </row>
    <row r="346" spans="1:8" ht="16.5" customHeight="1">
      <c r="A346" s="17"/>
      <c r="B346" s="65"/>
      <c r="C346" s="65"/>
      <c r="F346" s="17"/>
      <c r="G346" s="17"/>
      <c r="H346" s="17"/>
    </row>
    <row r="347" spans="1:8" ht="16.5" customHeight="1">
      <c r="A347" s="17"/>
      <c r="B347" s="65"/>
      <c r="C347" s="65"/>
      <c r="F347" s="17"/>
      <c r="G347" s="17"/>
      <c r="H347" s="17"/>
    </row>
    <row r="348" spans="1:8" ht="16.5" customHeight="1">
      <c r="A348" s="17"/>
      <c r="B348" s="65"/>
      <c r="C348" s="65"/>
      <c r="F348" s="17"/>
      <c r="G348" s="17"/>
      <c r="H348" s="17"/>
    </row>
    <row r="349" spans="1:8" ht="16.5" customHeight="1">
      <c r="A349" s="17"/>
      <c r="B349" s="65"/>
      <c r="C349" s="65"/>
      <c r="F349" s="17"/>
      <c r="G349" s="17"/>
      <c r="H349" s="17"/>
    </row>
    <row r="350" spans="1:8" ht="16.5" customHeight="1">
      <c r="A350" s="17"/>
      <c r="B350" s="65"/>
      <c r="C350" s="65"/>
      <c r="F350" s="17"/>
      <c r="G350" s="17"/>
      <c r="H350" s="17"/>
    </row>
    <row r="351" spans="1:8" ht="16.5" customHeight="1">
      <c r="A351" s="17"/>
      <c r="B351" s="65"/>
      <c r="C351" s="65"/>
      <c r="F351" s="17"/>
      <c r="G351" s="17"/>
      <c r="H351" s="17"/>
    </row>
    <row r="352" spans="1:8" ht="16.5" customHeight="1">
      <c r="A352" s="17"/>
      <c r="B352" s="65"/>
      <c r="C352" s="65"/>
      <c r="F352" s="17"/>
      <c r="G352" s="17"/>
      <c r="H352" s="17"/>
    </row>
    <row r="353" spans="1:8" ht="16.5" customHeight="1">
      <c r="A353" s="17"/>
      <c r="B353" s="65"/>
      <c r="C353" s="65"/>
      <c r="F353" s="17"/>
      <c r="G353" s="17"/>
      <c r="H353" s="17"/>
    </row>
    <row r="354" spans="1:8" ht="16.5" customHeight="1">
      <c r="A354" s="17"/>
      <c r="B354" s="65"/>
      <c r="C354" s="65"/>
      <c r="F354" s="17"/>
      <c r="G354" s="17"/>
      <c r="H354" s="17"/>
    </row>
    <row r="355" spans="1:8" ht="16.5" customHeight="1">
      <c r="A355" s="17"/>
      <c r="B355" s="65"/>
      <c r="C355" s="65"/>
      <c r="F355" s="17"/>
      <c r="G355" s="17"/>
      <c r="H355" s="17"/>
    </row>
    <row r="356" spans="1:8" ht="16.5" customHeight="1">
      <c r="A356" s="17"/>
      <c r="B356" s="65"/>
      <c r="C356" s="65"/>
      <c r="F356" s="17"/>
      <c r="G356" s="17"/>
      <c r="H356" s="17"/>
    </row>
    <row r="357" spans="1:8" ht="16.5" customHeight="1">
      <c r="A357" s="17"/>
      <c r="B357" s="65"/>
      <c r="C357" s="65"/>
      <c r="F357" s="17"/>
      <c r="G357" s="17"/>
      <c r="H357" s="17"/>
    </row>
    <row r="358" spans="1:8" ht="16.5" customHeight="1">
      <c r="A358" s="17"/>
      <c r="B358" s="65"/>
      <c r="C358" s="65"/>
      <c r="F358" s="17"/>
      <c r="G358" s="17"/>
      <c r="H358" s="17"/>
    </row>
    <row r="359" spans="1:8" ht="16.5" customHeight="1">
      <c r="A359" s="17"/>
      <c r="B359" s="65"/>
      <c r="C359" s="65"/>
      <c r="F359" s="17"/>
      <c r="G359" s="17"/>
      <c r="H359" s="17"/>
    </row>
    <row r="360" spans="1:8" ht="16.5" customHeight="1">
      <c r="A360" s="17"/>
      <c r="B360" s="65"/>
      <c r="C360" s="65"/>
      <c r="F360" s="17"/>
      <c r="G360" s="17"/>
      <c r="H360" s="17"/>
    </row>
    <row r="361" spans="1:8" ht="16.5" customHeight="1">
      <c r="A361" s="17"/>
      <c r="B361" s="65"/>
      <c r="C361" s="65"/>
      <c r="F361" s="17"/>
      <c r="G361" s="17"/>
      <c r="H361" s="17"/>
    </row>
    <row r="362" spans="1:8" ht="16.5" customHeight="1">
      <c r="A362" s="17"/>
      <c r="B362" s="65"/>
      <c r="C362" s="65"/>
      <c r="F362" s="17"/>
      <c r="G362" s="17"/>
      <c r="H362" s="17"/>
    </row>
    <row r="363" spans="1:8" ht="16.5" customHeight="1">
      <c r="A363" s="17"/>
      <c r="B363" s="65"/>
      <c r="C363" s="65"/>
      <c r="F363" s="17"/>
      <c r="G363" s="17"/>
      <c r="H363" s="17"/>
    </row>
    <row r="364" spans="1:8" ht="16.5" customHeight="1">
      <c r="A364" s="17"/>
      <c r="B364" s="65"/>
      <c r="C364" s="65"/>
      <c r="F364" s="17"/>
      <c r="G364" s="17"/>
      <c r="H364" s="17"/>
    </row>
    <row r="365" spans="1:8" ht="16.5" customHeight="1">
      <c r="A365" s="17"/>
      <c r="B365" s="65"/>
      <c r="C365" s="65"/>
      <c r="F365" s="17"/>
      <c r="G365" s="17"/>
      <c r="H365" s="17"/>
    </row>
    <row r="366" spans="1:8" ht="16.5" customHeight="1">
      <c r="A366" s="17"/>
      <c r="B366" s="65"/>
      <c r="C366" s="65"/>
      <c r="F366" s="17"/>
      <c r="G366" s="17"/>
      <c r="H366" s="17"/>
    </row>
    <row r="367" spans="1:8" ht="16.5" customHeight="1">
      <c r="A367" s="17"/>
      <c r="B367" s="65"/>
      <c r="C367" s="65"/>
      <c r="F367" s="17"/>
      <c r="G367" s="17"/>
      <c r="H367" s="17"/>
    </row>
    <row r="368" spans="1:8" ht="16.5" customHeight="1">
      <c r="A368" s="17"/>
      <c r="B368" s="65"/>
      <c r="C368" s="65"/>
      <c r="F368" s="17"/>
      <c r="G368" s="17"/>
      <c r="H368" s="17"/>
    </row>
    <row r="369" spans="1:8" ht="16.5" customHeight="1">
      <c r="A369" s="17"/>
      <c r="B369" s="65"/>
      <c r="C369" s="65"/>
      <c r="F369" s="17"/>
      <c r="G369" s="17"/>
      <c r="H369" s="17"/>
    </row>
    <row r="370" spans="1:8" ht="16.5" customHeight="1">
      <c r="A370" s="17"/>
      <c r="B370" s="65"/>
      <c r="C370" s="65"/>
      <c r="F370" s="17"/>
      <c r="G370" s="17"/>
      <c r="H370" s="17"/>
    </row>
    <row r="371" spans="1:8" ht="16.5" customHeight="1">
      <c r="A371" s="17"/>
      <c r="B371" s="65"/>
      <c r="C371" s="65"/>
      <c r="F371" s="17"/>
      <c r="G371" s="17"/>
      <c r="H371" s="17"/>
    </row>
    <row r="372" spans="1:8" ht="16.5" customHeight="1">
      <c r="A372" s="17"/>
      <c r="B372" s="65"/>
      <c r="C372" s="65"/>
      <c r="F372" s="17"/>
      <c r="G372" s="17"/>
      <c r="H372" s="17"/>
    </row>
    <row r="373" spans="1:8" ht="16.5" customHeight="1">
      <c r="A373" s="17"/>
      <c r="B373" s="65"/>
      <c r="C373" s="65"/>
      <c r="F373" s="17"/>
      <c r="G373" s="17"/>
      <c r="H373" s="17"/>
    </row>
    <row r="374" spans="1:8" ht="16.5" customHeight="1">
      <c r="A374" s="17"/>
      <c r="B374" s="65"/>
      <c r="C374" s="65"/>
      <c r="F374" s="17"/>
      <c r="G374" s="17"/>
      <c r="H374" s="17"/>
    </row>
    <row r="375" spans="1:8" ht="16.5" customHeight="1">
      <c r="A375" s="17"/>
      <c r="B375" s="65"/>
      <c r="C375" s="65"/>
      <c r="F375" s="17"/>
      <c r="G375" s="17"/>
      <c r="H375" s="17"/>
    </row>
    <row r="376" spans="1:8" ht="16.5" customHeight="1">
      <c r="A376" s="17"/>
      <c r="B376" s="65"/>
      <c r="C376" s="65"/>
      <c r="F376" s="17"/>
      <c r="G376" s="17"/>
      <c r="H376" s="17"/>
    </row>
    <row r="377" spans="1:8" ht="16.5" customHeight="1">
      <c r="A377" s="17"/>
      <c r="B377" s="65"/>
      <c r="C377" s="65"/>
      <c r="F377" s="17"/>
      <c r="G377" s="17"/>
      <c r="H377" s="17"/>
    </row>
    <row r="378" spans="1:8" ht="16.5" customHeight="1">
      <c r="A378" s="17"/>
      <c r="B378" s="65"/>
      <c r="C378" s="65"/>
      <c r="F378" s="17"/>
      <c r="G378" s="17"/>
      <c r="H378" s="17"/>
    </row>
    <row r="379" spans="1:8" ht="16.5" customHeight="1">
      <c r="A379" s="17"/>
      <c r="B379" s="65"/>
      <c r="C379" s="65"/>
      <c r="F379" s="17"/>
      <c r="G379" s="17"/>
      <c r="H379" s="17"/>
    </row>
    <row r="380" spans="1:8" ht="16.5" customHeight="1">
      <c r="A380" s="17"/>
      <c r="B380" s="65"/>
      <c r="C380" s="65"/>
      <c r="F380" s="17"/>
      <c r="G380" s="17"/>
      <c r="H380" s="17"/>
    </row>
    <row r="381" spans="1:8" ht="16.5" customHeight="1">
      <c r="A381" s="17"/>
      <c r="B381" s="65"/>
      <c r="C381" s="65"/>
      <c r="F381" s="17"/>
      <c r="G381" s="17"/>
      <c r="H381" s="17"/>
    </row>
    <row r="382" spans="1:8" ht="16.5" customHeight="1">
      <c r="A382" s="17"/>
      <c r="B382" s="65"/>
      <c r="C382" s="65"/>
      <c r="F382" s="17"/>
      <c r="G382" s="17"/>
      <c r="H382" s="17"/>
    </row>
    <row r="383" spans="1:8" ht="16.5" customHeight="1">
      <c r="A383" s="17"/>
      <c r="B383" s="65"/>
      <c r="C383" s="65"/>
      <c r="F383" s="17"/>
      <c r="G383" s="17"/>
      <c r="H383" s="17"/>
    </row>
    <row r="384" spans="1:8" ht="16.5" customHeight="1">
      <c r="A384" s="17"/>
      <c r="B384" s="65"/>
      <c r="C384" s="65"/>
      <c r="F384" s="17"/>
      <c r="G384" s="17"/>
      <c r="H384" s="17"/>
    </row>
    <row r="385" spans="1:8" ht="16.5" customHeight="1">
      <c r="A385" s="17"/>
      <c r="B385" s="65"/>
      <c r="C385" s="65"/>
      <c r="F385" s="17"/>
      <c r="G385" s="17"/>
      <c r="H385" s="17"/>
    </row>
    <row r="386" spans="1:8" ht="16.5" customHeight="1">
      <c r="A386" s="17"/>
      <c r="B386" s="65"/>
      <c r="C386" s="65"/>
      <c r="F386" s="17"/>
      <c r="G386" s="17"/>
      <c r="H386" s="17"/>
    </row>
    <row r="387" spans="1:8" ht="16.5" customHeight="1">
      <c r="A387" s="17"/>
      <c r="B387" s="65"/>
      <c r="C387" s="65"/>
      <c r="F387" s="17"/>
      <c r="G387" s="17"/>
      <c r="H387" s="17"/>
    </row>
    <row r="388" spans="1:8" ht="16.5" customHeight="1">
      <c r="A388" s="17"/>
      <c r="B388" s="65"/>
      <c r="C388" s="65"/>
      <c r="F388" s="17"/>
      <c r="G388" s="17"/>
      <c r="H388" s="17"/>
    </row>
    <row r="389" spans="1:8" ht="16.5" customHeight="1">
      <c r="A389" s="17"/>
      <c r="B389" s="65"/>
      <c r="C389" s="65"/>
      <c r="F389" s="17"/>
      <c r="G389" s="17"/>
      <c r="H389" s="17"/>
    </row>
    <row r="390" spans="1:8" ht="16.5" customHeight="1">
      <c r="A390" s="17"/>
      <c r="B390" s="65"/>
      <c r="C390" s="65"/>
      <c r="F390" s="17"/>
      <c r="G390" s="17"/>
      <c r="H390" s="17"/>
    </row>
    <row r="391" spans="1:8" ht="16.5" customHeight="1">
      <c r="A391" s="17"/>
      <c r="B391" s="65"/>
      <c r="C391" s="65"/>
      <c r="F391" s="17"/>
      <c r="G391" s="17"/>
      <c r="H391" s="17"/>
    </row>
    <row r="392" spans="1:8" ht="16.5" customHeight="1">
      <c r="A392" s="17"/>
      <c r="B392" s="65"/>
      <c r="C392" s="65"/>
      <c r="F392" s="17"/>
      <c r="G392" s="17"/>
      <c r="H392" s="17"/>
    </row>
    <row r="393" spans="1:8" ht="16.5" customHeight="1">
      <c r="A393" s="17"/>
      <c r="B393" s="65"/>
      <c r="C393" s="65"/>
      <c r="F393" s="17"/>
      <c r="G393" s="17"/>
      <c r="H393" s="17"/>
    </row>
    <row r="394" spans="1:8" ht="16.5" customHeight="1">
      <c r="A394" s="17"/>
      <c r="B394" s="65"/>
      <c r="C394" s="65"/>
      <c r="F394" s="17"/>
      <c r="G394" s="17"/>
      <c r="H394" s="17"/>
    </row>
    <row r="395" spans="1:8" ht="16.5" customHeight="1">
      <c r="A395" s="17"/>
      <c r="B395" s="65"/>
      <c r="C395" s="65"/>
      <c r="F395" s="17"/>
      <c r="G395" s="17"/>
      <c r="H395" s="17"/>
    </row>
    <row r="396" spans="1:8" ht="16.5" customHeight="1">
      <c r="A396" s="17"/>
      <c r="B396" s="65"/>
      <c r="C396" s="65"/>
      <c r="F396" s="17"/>
      <c r="G396" s="17"/>
      <c r="H396" s="17"/>
    </row>
    <row r="397" spans="1:8" ht="16.5" customHeight="1">
      <c r="A397" s="17"/>
      <c r="B397" s="65"/>
      <c r="C397" s="65"/>
      <c r="F397" s="17"/>
      <c r="G397" s="17"/>
      <c r="H397" s="17"/>
    </row>
    <row r="398" spans="1:8" ht="16.5" customHeight="1">
      <c r="A398" s="17"/>
      <c r="B398" s="65"/>
      <c r="C398" s="65"/>
      <c r="F398" s="17"/>
      <c r="G398" s="17"/>
      <c r="H398" s="17"/>
    </row>
    <row r="399" spans="1:8" ht="16.5" customHeight="1">
      <c r="A399" s="17"/>
      <c r="B399" s="65"/>
      <c r="C399" s="65"/>
      <c r="F399" s="17"/>
      <c r="G399" s="17"/>
      <c r="H399" s="17"/>
    </row>
    <row r="400" spans="1:8" ht="16.5" customHeight="1">
      <c r="A400" s="17"/>
      <c r="B400" s="65"/>
      <c r="C400" s="65"/>
      <c r="F400" s="17"/>
      <c r="G400" s="17"/>
      <c r="H400" s="17"/>
    </row>
    <row r="401" spans="1:8" ht="16.5" customHeight="1">
      <c r="A401" s="17"/>
      <c r="B401" s="65"/>
      <c r="C401" s="65"/>
      <c r="F401" s="17"/>
      <c r="G401" s="17"/>
      <c r="H401" s="17"/>
    </row>
    <row r="402" spans="1:8" ht="16.5" customHeight="1">
      <c r="A402" s="17"/>
      <c r="B402" s="65"/>
      <c r="C402" s="65"/>
      <c r="F402" s="17"/>
      <c r="G402" s="17"/>
      <c r="H402" s="17"/>
    </row>
    <row r="403" spans="1:8" ht="16.5" customHeight="1">
      <c r="A403" s="17"/>
      <c r="B403" s="65"/>
      <c r="C403" s="65"/>
      <c r="F403" s="17"/>
      <c r="G403" s="17"/>
      <c r="H403" s="17"/>
    </row>
    <row r="404" spans="1:8" ht="16.5" customHeight="1">
      <c r="A404" s="17"/>
      <c r="B404" s="65"/>
      <c r="C404" s="65"/>
      <c r="F404" s="17"/>
      <c r="G404" s="17"/>
      <c r="H404" s="17"/>
    </row>
    <row r="405" spans="1:8" ht="16.5" customHeight="1">
      <c r="A405" s="17"/>
      <c r="B405" s="65"/>
      <c r="C405" s="65"/>
      <c r="F405" s="17"/>
      <c r="G405" s="17"/>
      <c r="H405" s="17"/>
    </row>
    <row r="406" spans="1:8" ht="16.5" customHeight="1">
      <c r="A406" s="17"/>
      <c r="B406" s="65"/>
      <c r="C406" s="65"/>
      <c r="F406" s="17"/>
      <c r="G406" s="17"/>
      <c r="H406" s="17"/>
    </row>
    <row r="407" spans="1:8" ht="16.5" customHeight="1">
      <c r="A407" s="17"/>
      <c r="B407" s="65"/>
      <c r="C407" s="65"/>
      <c r="F407" s="17"/>
      <c r="G407" s="17"/>
      <c r="H407" s="17"/>
    </row>
    <row r="408" spans="1:8" ht="16.5" customHeight="1">
      <c r="A408" s="17"/>
      <c r="B408" s="65"/>
      <c r="C408" s="65"/>
      <c r="F408" s="17"/>
      <c r="G408" s="17"/>
      <c r="H408" s="17"/>
    </row>
    <row r="409" spans="1:8" ht="16.5" customHeight="1">
      <c r="A409" s="17"/>
      <c r="B409" s="65"/>
      <c r="C409" s="65"/>
      <c r="F409" s="17"/>
      <c r="G409" s="17"/>
      <c r="H409" s="17"/>
    </row>
    <row r="410" spans="1:8" ht="16.5" customHeight="1">
      <c r="A410" s="17"/>
      <c r="B410" s="65"/>
      <c r="C410" s="65"/>
      <c r="F410" s="17"/>
      <c r="G410" s="17"/>
      <c r="H410" s="17"/>
    </row>
    <row r="411" spans="1:8" ht="16.5" customHeight="1">
      <c r="A411" s="17"/>
      <c r="B411" s="65"/>
      <c r="C411" s="65"/>
      <c r="F411" s="17"/>
      <c r="G411" s="17"/>
      <c r="H411" s="17"/>
    </row>
    <row r="412" spans="1:8" ht="16.5" customHeight="1">
      <c r="A412" s="17"/>
      <c r="B412" s="65"/>
      <c r="C412" s="65"/>
      <c r="F412" s="17"/>
      <c r="G412" s="17"/>
      <c r="H412" s="17"/>
    </row>
    <row r="413" spans="1:8" ht="16.5" customHeight="1">
      <c r="A413" s="17"/>
      <c r="B413" s="65"/>
      <c r="C413" s="65"/>
      <c r="F413" s="17"/>
      <c r="G413" s="17"/>
      <c r="H413" s="17"/>
    </row>
    <row r="414" spans="1:8" ht="16.5" customHeight="1">
      <c r="A414" s="17"/>
      <c r="B414" s="65"/>
      <c r="C414" s="65"/>
      <c r="F414" s="17"/>
      <c r="G414" s="17"/>
      <c r="H414" s="17"/>
    </row>
    <row r="415" spans="1:8" ht="16.5" customHeight="1">
      <c r="A415" s="17"/>
      <c r="B415" s="65"/>
      <c r="C415" s="65"/>
      <c r="F415" s="17"/>
      <c r="G415" s="17"/>
      <c r="H415" s="17"/>
    </row>
    <row r="416" spans="1:8" ht="16.5" customHeight="1">
      <c r="A416" s="17"/>
      <c r="B416" s="65"/>
      <c r="C416" s="65"/>
      <c r="F416" s="17"/>
      <c r="G416" s="17"/>
      <c r="H416" s="17"/>
    </row>
    <row r="417" spans="1:8" ht="16.5" customHeight="1">
      <c r="A417" s="17"/>
      <c r="B417" s="65"/>
      <c r="C417" s="65"/>
      <c r="F417" s="17"/>
      <c r="G417" s="17"/>
      <c r="H417" s="17"/>
    </row>
    <row r="418" spans="1:8" ht="16.5" customHeight="1">
      <c r="A418" s="17"/>
      <c r="B418" s="65"/>
      <c r="C418" s="65"/>
      <c r="F418" s="17"/>
      <c r="G418" s="17"/>
      <c r="H418" s="17"/>
    </row>
    <row r="419" spans="1:8" ht="16.5" customHeight="1">
      <c r="A419" s="17"/>
      <c r="B419" s="65"/>
      <c r="C419" s="65"/>
      <c r="F419" s="17"/>
      <c r="G419" s="17"/>
      <c r="H419" s="17"/>
    </row>
    <row r="420" spans="1:8" ht="16.5" customHeight="1">
      <c r="A420" s="17"/>
      <c r="B420" s="65"/>
      <c r="C420" s="65"/>
      <c r="F420" s="17"/>
      <c r="G420" s="17"/>
      <c r="H420" s="17"/>
    </row>
    <row r="421" spans="1:8" ht="16.5" customHeight="1">
      <c r="A421" s="17"/>
      <c r="B421" s="65"/>
      <c r="C421" s="65"/>
      <c r="F421" s="17"/>
      <c r="G421" s="17"/>
      <c r="H421" s="17"/>
    </row>
    <row r="422" spans="1:8" ht="16.5" customHeight="1">
      <c r="A422" s="17"/>
      <c r="B422" s="65"/>
      <c r="C422" s="65"/>
      <c r="F422" s="17"/>
      <c r="G422" s="17"/>
      <c r="H422" s="17"/>
    </row>
    <row r="423" spans="1:8" ht="16.5" customHeight="1">
      <c r="A423" s="17"/>
      <c r="B423" s="65"/>
      <c r="C423" s="65"/>
      <c r="F423" s="17"/>
      <c r="G423" s="17"/>
      <c r="H423" s="17"/>
    </row>
    <row r="424" spans="1:8" ht="16.5" customHeight="1">
      <c r="A424" s="17"/>
      <c r="B424" s="65"/>
      <c r="C424" s="65"/>
      <c r="F424" s="17"/>
      <c r="G424" s="17"/>
      <c r="H424" s="17"/>
    </row>
    <row r="425" spans="1:8" ht="16.5" customHeight="1">
      <c r="A425" s="17"/>
      <c r="B425" s="65"/>
      <c r="C425" s="65"/>
      <c r="F425" s="17"/>
      <c r="G425" s="17"/>
      <c r="H425" s="17"/>
    </row>
    <row r="426" spans="1:8" ht="16.5" customHeight="1">
      <c r="A426" s="17"/>
      <c r="B426" s="65"/>
      <c r="C426" s="65"/>
      <c r="F426" s="17"/>
      <c r="G426" s="17"/>
      <c r="H426" s="17"/>
    </row>
    <row r="427" spans="1:8" ht="16.5" customHeight="1">
      <c r="A427" s="17"/>
      <c r="B427" s="65"/>
      <c r="C427" s="65"/>
      <c r="F427" s="17"/>
      <c r="G427" s="17"/>
      <c r="H427" s="17"/>
    </row>
    <row r="428" spans="1:8" ht="16.5" customHeight="1">
      <c r="A428" s="17"/>
      <c r="B428" s="65"/>
      <c r="C428" s="65"/>
      <c r="F428" s="17"/>
      <c r="G428" s="17"/>
      <c r="H428" s="17"/>
    </row>
    <row r="429" spans="1:8" ht="16.5" customHeight="1">
      <c r="A429" s="17"/>
      <c r="B429" s="65"/>
      <c r="C429" s="65"/>
      <c r="F429" s="17"/>
      <c r="G429" s="17"/>
      <c r="H429" s="17"/>
    </row>
    <row r="430" spans="1:8" ht="16.5" customHeight="1">
      <c r="A430" s="17"/>
      <c r="B430" s="65"/>
      <c r="C430" s="65"/>
      <c r="F430" s="17"/>
      <c r="G430" s="17"/>
      <c r="H430" s="17"/>
    </row>
    <row r="431" spans="1:8" ht="16.5" customHeight="1">
      <c r="A431" s="17"/>
      <c r="B431" s="65"/>
      <c r="C431" s="65"/>
      <c r="F431" s="17"/>
      <c r="G431" s="17"/>
      <c r="H431" s="17"/>
    </row>
    <row r="432" spans="1:8" ht="16.5" customHeight="1">
      <c r="A432" s="17"/>
      <c r="B432" s="65"/>
      <c r="C432" s="65"/>
      <c r="F432" s="17"/>
      <c r="G432" s="17"/>
      <c r="H432" s="17"/>
    </row>
    <row r="433" spans="1:8" ht="16.5" customHeight="1">
      <c r="A433" s="17"/>
      <c r="B433" s="65"/>
      <c r="C433" s="65"/>
      <c r="F433" s="17"/>
      <c r="G433" s="17"/>
      <c r="H433" s="17"/>
    </row>
    <row r="434" spans="1:8" ht="16.5" customHeight="1">
      <c r="A434" s="17"/>
      <c r="B434" s="65"/>
      <c r="C434" s="65"/>
      <c r="F434" s="17"/>
      <c r="G434" s="17"/>
      <c r="H434" s="17"/>
    </row>
    <row r="435" spans="1:8" ht="16.5" customHeight="1">
      <c r="A435" s="17"/>
      <c r="B435" s="65"/>
      <c r="C435" s="65"/>
      <c r="F435" s="17"/>
      <c r="G435" s="17"/>
      <c r="H435" s="17"/>
    </row>
    <row r="436" spans="1:8" ht="16.5" customHeight="1">
      <c r="A436" s="17"/>
      <c r="B436" s="65"/>
      <c r="C436" s="65"/>
      <c r="F436" s="17"/>
      <c r="G436" s="17"/>
      <c r="H436" s="17"/>
    </row>
    <row r="437" spans="1:8" ht="16.5" customHeight="1">
      <c r="A437" s="17"/>
      <c r="B437" s="65"/>
      <c r="C437" s="65"/>
      <c r="F437" s="17"/>
      <c r="G437" s="17"/>
      <c r="H437" s="17"/>
    </row>
    <row r="438" spans="1:8" ht="16.5" customHeight="1">
      <c r="A438" s="17"/>
      <c r="B438" s="65"/>
      <c r="C438" s="65"/>
      <c r="F438" s="17"/>
      <c r="G438" s="17"/>
      <c r="H438" s="17"/>
    </row>
    <row r="439" spans="1:8" ht="16.5" customHeight="1">
      <c r="A439" s="17"/>
      <c r="B439" s="65"/>
      <c r="C439" s="65"/>
      <c r="F439" s="17"/>
      <c r="G439" s="17"/>
      <c r="H439" s="17"/>
    </row>
    <row r="440" spans="1:8" ht="16.5" customHeight="1">
      <c r="A440" s="17"/>
      <c r="B440" s="65"/>
      <c r="C440" s="65"/>
      <c r="F440" s="17"/>
      <c r="G440" s="17"/>
      <c r="H440" s="17"/>
    </row>
    <row r="441" spans="1:8" ht="16.5" customHeight="1">
      <c r="A441" s="17"/>
      <c r="B441" s="65"/>
      <c r="C441" s="65"/>
      <c r="F441" s="17"/>
      <c r="G441" s="17"/>
      <c r="H441" s="17"/>
    </row>
    <row r="442" spans="1:8" ht="16.5" customHeight="1">
      <c r="A442" s="17"/>
      <c r="B442" s="65"/>
      <c r="C442" s="65"/>
      <c r="F442" s="17"/>
      <c r="G442" s="17"/>
      <c r="H442" s="17"/>
    </row>
    <row r="443" spans="1:8" ht="16.5" customHeight="1">
      <c r="A443" s="17"/>
      <c r="B443" s="65"/>
      <c r="C443" s="65"/>
      <c r="F443" s="17"/>
      <c r="G443" s="17"/>
      <c r="H443" s="17"/>
    </row>
    <row r="444" spans="1:8" ht="16.5" customHeight="1">
      <c r="A444" s="17"/>
      <c r="B444" s="65"/>
      <c r="C444" s="65"/>
      <c r="F444" s="17"/>
      <c r="G444" s="17"/>
      <c r="H444" s="17"/>
    </row>
    <row r="445" spans="1:8" ht="16.5" customHeight="1">
      <c r="A445" s="17"/>
      <c r="B445" s="65"/>
      <c r="C445" s="65"/>
      <c r="F445" s="17"/>
      <c r="G445" s="17"/>
      <c r="H445" s="17"/>
    </row>
    <row r="446" spans="1:8" ht="16.5" customHeight="1">
      <c r="A446" s="17"/>
      <c r="B446" s="65"/>
      <c r="C446" s="65"/>
      <c r="F446" s="17"/>
      <c r="G446" s="17"/>
      <c r="H446" s="17"/>
    </row>
    <row r="447" spans="1:8" ht="16.5" customHeight="1">
      <c r="A447" s="17"/>
      <c r="B447" s="65"/>
      <c r="C447" s="65"/>
      <c r="F447" s="17"/>
      <c r="G447" s="17"/>
      <c r="H447" s="17"/>
    </row>
    <row r="448" spans="1:8" ht="16.5" customHeight="1">
      <c r="A448" s="17"/>
      <c r="B448" s="65"/>
      <c r="C448" s="65"/>
      <c r="F448" s="17"/>
      <c r="G448" s="17"/>
      <c r="H448" s="17"/>
    </row>
    <row r="449" spans="1:8" ht="16.5" customHeight="1">
      <c r="A449" s="17"/>
      <c r="B449" s="65"/>
      <c r="C449" s="65"/>
      <c r="F449" s="17"/>
      <c r="G449" s="17"/>
      <c r="H449" s="17"/>
    </row>
    <row r="450" spans="1:8" ht="16.5" customHeight="1">
      <c r="A450" s="17"/>
      <c r="B450" s="65"/>
      <c r="C450" s="65"/>
      <c r="F450" s="17"/>
      <c r="G450" s="17"/>
      <c r="H450" s="17"/>
    </row>
    <row r="451" spans="1:8" ht="16.5" customHeight="1">
      <c r="A451" s="17"/>
      <c r="B451" s="65"/>
      <c r="C451" s="65"/>
      <c r="F451" s="17"/>
      <c r="G451" s="17"/>
      <c r="H451" s="17"/>
    </row>
    <row r="452" spans="1:8" ht="16.5" customHeight="1">
      <c r="A452" s="17"/>
      <c r="B452" s="65"/>
      <c r="C452" s="65"/>
      <c r="F452" s="17"/>
      <c r="G452" s="17"/>
      <c r="H452" s="17"/>
    </row>
    <row r="453" spans="1:8" ht="16.5" customHeight="1">
      <c r="A453" s="17"/>
      <c r="B453" s="65"/>
      <c r="C453" s="65"/>
      <c r="F453" s="17"/>
      <c r="G453" s="17"/>
      <c r="H453" s="17"/>
    </row>
    <row r="454" spans="1:8" ht="16.5" customHeight="1">
      <c r="A454" s="17"/>
      <c r="B454" s="65"/>
      <c r="C454" s="65"/>
      <c r="F454" s="17"/>
      <c r="G454" s="17"/>
      <c r="H454" s="17"/>
    </row>
    <row r="455" spans="1:8" ht="16.5" customHeight="1">
      <c r="A455" s="17"/>
      <c r="B455" s="65"/>
      <c r="C455" s="65"/>
      <c r="F455" s="17"/>
      <c r="G455" s="17"/>
      <c r="H455" s="17"/>
    </row>
    <row r="456" spans="1:8" ht="16.5" customHeight="1">
      <c r="A456" s="17"/>
      <c r="B456" s="65"/>
      <c r="C456" s="65"/>
      <c r="F456" s="17"/>
      <c r="G456" s="17"/>
      <c r="H456" s="17"/>
    </row>
    <row r="457" spans="1:8" ht="16.5" customHeight="1">
      <c r="A457" s="17"/>
      <c r="B457" s="65"/>
      <c r="C457" s="65"/>
      <c r="F457" s="17"/>
      <c r="G457" s="17"/>
      <c r="H457" s="17"/>
    </row>
    <row r="458" spans="1:8" ht="16.5" customHeight="1">
      <c r="A458" s="17"/>
      <c r="B458" s="65"/>
      <c r="C458" s="65"/>
      <c r="F458" s="17"/>
      <c r="G458" s="17"/>
      <c r="H458" s="17"/>
    </row>
    <row r="459" spans="1:8" ht="16.5" customHeight="1">
      <c r="A459" s="17"/>
      <c r="B459" s="65"/>
      <c r="C459" s="65"/>
      <c r="F459" s="17"/>
      <c r="G459" s="17"/>
      <c r="H459" s="17"/>
    </row>
    <row r="460" spans="1:8" ht="16.5" customHeight="1">
      <c r="A460" s="17"/>
      <c r="B460" s="65"/>
      <c r="C460" s="65"/>
      <c r="F460" s="17"/>
      <c r="G460" s="17"/>
      <c r="H460" s="17"/>
    </row>
    <row r="461" spans="1:8" ht="16.5" customHeight="1">
      <c r="A461" s="17"/>
      <c r="B461" s="65"/>
      <c r="C461" s="65"/>
      <c r="F461" s="17"/>
      <c r="G461" s="17"/>
      <c r="H461" s="17"/>
    </row>
    <row r="462" spans="1:8" ht="16.5" customHeight="1">
      <c r="A462" s="17"/>
      <c r="B462" s="65"/>
      <c r="C462" s="65"/>
      <c r="F462" s="17"/>
      <c r="G462" s="17"/>
      <c r="H462" s="17"/>
    </row>
    <row r="463" spans="1:8" ht="16.5" customHeight="1">
      <c r="A463" s="17"/>
      <c r="B463" s="65"/>
      <c r="C463" s="65"/>
      <c r="F463" s="17"/>
      <c r="G463" s="17"/>
      <c r="H463" s="17"/>
    </row>
    <row r="464" spans="1:8" ht="16.5" customHeight="1">
      <c r="A464" s="17"/>
      <c r="B464" s="65"/>
      <c r="C464" s="65"/>
      <c r="F464" s="17"/>
      <c r="G464" s="17"/>
      <c r="H464" s="17"/>
    </row>
    <row r="465" spans="1:8" ht="16.5" customHeight="1">
      <c r="A465" s="17"/>
      <c r="B465" s="65"/>
      <c r="C465" s="65"/>
      <c r="F465" s="17"/>
      <c r="G465" s="17"/>
      <c r="H465" s="17"/>
    </row>
    <row r="466" spans="1:8" ht="16.5" customHeight="1">
      <c r="A466" s="17"/>
      <c r="B466" s="65"/>
      <c r="C466" s="65"/>
      <c r="F466" s="17"/>
      <c r="G466" s="17"/>
      <c r="H466" s="17"/>
    </row>
    <row r="467" spans="1:8" ht="16.5" customHeight="1">
      <c r="A467" s="17"/>
      <c r="B467" s="65"/>
      <c r="C467" s="65"/>
      <c r="F467" s="17"/>
      <c r="G467" s="17"/>
      <c r="H467" s="17"/>
    </row>
    <row r="468" spans="1:8" ht="16.5" customHeight="1">
      <c r="A468" s="17"/>
      <c r="B468" s="65"/>
      <c r="C468" s="65"/>
      <c r="F468" s="17"/>
      <c r="G468" s="17"/>
      <c r="H468" s="17"/>
    </row>
    <row r="469" spans="1:8" ht="16.5" customHeight="1">
      <c r="A469" s="17"/>
      <c r="B469" s="65"/>
      <c r="C469" s="65"/>
      <c r="F469" s="17"/>
      <c r="G469" s="17"/>
      <c r="H469" s="17"/>
    </row>
    <row r="470" spans="1:8" ht="16.5" customHeight="1">
      <c r="A470" s="17"/>
      <c r="B470" s="65"/>
      <c r="C470" s="65"/>
      <c r="F470" s="17"/>
      <c r="G470" s="17"/>
      <c r="H470" s="17"/>
    </row>
    <row r="471" spans="1:8" ht="16.5" customHeight="1">
      <c r="A471" s="17"/>
      <c r="B471" s="65"/>
      <c r="C471" s="65"/>
      <c r="F471" s="17"/>
      <c r="G471" s="17"/>
      <c r="H471" s="17"/>
    </row>
    <row r="472" spans="1:8" ht="16.5" customHeight="1">
      <c r="A472" s="17"/>
      <c r="B472" s="65"/>
      <c r="C472" s="65"/>
      <c r="F472" s="17"/>
      <c r="G472" s="17"/>
      <c r="H472" s="17"/>
    </row>
    <row r="473" spans="1:8" ht="16.5" customHeight="1">
      <c r="A473" s="17"/>
      <c r="B473" s="65"/>
      <c r="C473" s="65"/>
      <c r="F473" s="17"/>
      <c r="G473" s="17"/>
      <c r="H473" s="17"/>
    </row>
    <row r="474" spans="1:8" ht="16.5" customHeight="1">
      <c r="A474" s="17"/>
      <c r="B474" s="65"/>
      <c r="C474" s="65"/>
      <c r="F474" s="17"/>
      <c r="G474" s="17"/>
      <c r="H474" s="17"/>
    </row>
    <row r="475" spans="1:8" ht="16.5" customHeight="1">
      <c r="A475" s="17"/>
      <c r="B475" s="65"/>
      <c r="C475" s="65"/>
      <c r="F475" s="17"/>
      <c r="G475" s="17"/>
      <c r="H475" s="17"/>
    </row>
    <row r="476" spans="1:8" ht="16.5" customHeight="1">
      <c r="A476" s="17"/>
      <c r="B476" s="65"/>
      <c r="C476" s="65"/>
      <c r="F476" s="17"/>
      <c r="G476" s="17"/>
      <c r="H476" s="17"/>
    </row>
    <row r="477" spans="1:8" ht="16.5" customHeight="1">
      <c r="A477" s="17"/>
      <c r="B477" s="65"/>
      <c r="C477" s="65"/>
      <c r="F477" s="17"/>
      <c r="G477" s="17"/>
      <c r="H477" s="17"/>
    </row>
    <row r="478" spans="1:8" ht="16.5" customHeight="1">
      <c r="A478" s="17"/>
      <c r="B478" s="65"/>
      <c r="C478" s="65"/>
      <c r="F478" s="17"/>
      <c r="G478" s="17"/>
      <c r="H478" s="17"/>
    </row>
    <row r="479" spans="1:8" ht="16.5" customHeight="1">
      <c r="A479" s="17"/>
      <c r="B479" s="65"/>
      <c r="C479" s="65"/>
      <c r="F479" s="17"/>
      <c r="G479" s="17"/>
      <c r="H479" s="17"/>
    </row>
    <row r="480" spans="1:8" ht="16.5" customHeight="1">
      <c r="A480" s="17"/>
      <c r="B480" s="65"/>
      <c r="C480" s="65"/>
      <c r="F480" s="17"/>
      <c r="G480" s="17"/>
      <c r="H480" s="17"/>
    </row>
    <row r="481" spans="1:8" ht="16.5" customHeight="1">
      <c r="A481" s="17"/>
      <c r="B481" s="65"/>
      <c r="C481" s="65"/>
      <c r="F481" s="17"/>
      <c r="G481" s="17"/>
      <c r="H481" s="17"/>
    </row>
    <row r="482" spans="1:8" ht="16.5" customHeight="1">
      <c r="A482" s="17"/>
      <c r="B482" s="65"/>
      <c r="C482" s="65"/>
      <c r="F482" s="17"/>
      <c r="G482" s="17"/>
      <c r="H482" s="17"/>
    </row>
    <row r="483" spans="1:8" ht="16.5" customHeight="1">
      <c r="A483" s="17"/>
      <c r="B483" s="65"/>
      <c r="C483" s="65"/>
      <c r="F483" s="17"/>
      <c r="G483" s="17"/>
      <c r="H483" s="17"/>
    </row>
    <row r="484" spans="1:8" ht="16.5" customHeight="1">
      <c r="A484" s="17"/>
      <c r="B484" s="65"/>
      <c r="C484" s="65"/>
      <c r="F484" s="17"/>
      <c r="G484" s="17"/>
      <c r="H484" s="17"/>
    </row>
    <row r="485" spans="1:8" ht="16.5" customHeight="1">
      <c r="A485" s="17"/>
      <c r="B485" s="65"/>
      <c r="C485" s="65"/>
      <c r="F485" s="17"/>
      <c r="G485" s="17"/>
      <c r="H485" s="17"/>
    </row>
    <row r="486" spans="1:8" ht="16.5" customHeight="1">
      <c r="A486" s="17"/>
      <c r="B486" s="65"/>
      <c r="C486" s="65"/>
      <c r="F486" s="17"/>
      <c r="G486" s="17"/>
      <c r="H486" s="17"/>
    </row>
    <row r="487" spans="1:8" ht="16.5" customHeight="1">
      <c r="A487" s="17"/>
      <c r="B487" s="65"/>
      <c r="C487" s="65"/>
      <c r="F487" s="17"/>
      <c r="G487" s="17"/>
      <c r="H487" s="17"/>
    </row>
    <row r="488" spans="1:8" ht="16.5" customHeight="1">
      <c r="A488" s="17"/>
      <c r="B488" s="65"/>
      <c r="C488" s="65"/>
      <c r="F488" s="17"/>
      <c r="G488" s="17"/>
      <c r="H488" s="17"/>
    </row>
    <row r="489" spans="1:8" ht="16.5" customHeight="1">
      <c r="A489" s="17"/>
      <c r="B489" s="65"/>
      <c r="C489" s="65"/>
      <c r="F489" s="17"/>
      <c r="G489" s="17"/>
      <c r="H489" s="17"/>
    </row>
    <row r="490" spans="1:8" ht="16.5" customHeight="1">
      <c r="A490" s="17"/>
      <c r="B490" s="65"/>
      <c r="C490" s="65"/>
      <c r="F490" s="17"/>
      <c r="G490" s="17"/>
      <c r="H490" s="17"/>
    </row>
    <row r="491" spans="1:8" ht="16.5" customHeight="1">
      <c r="A491" s="17"/>
      <c r="B491" s="65"/>
      <c r="C491" s="65"/>
      <c r="F491" s="17"/>
      <c r="G491" s="17"/>
      <c r="H491" s="17"/>
    </row>
    <row r="492" spans="1:8" ht="16.5" customHeight="1">
      <c r="A492" s="17"/>
      <c r="B492" s="65"/>
      <c r="C492" s="65"/>
      <c r="F492" s="17"/>
      <c r="G492" s="17"/>
      <c r="H492" s="17"/>
    </row>
    <row r="493" spans="1:8" ht="16.5" customHeight="1">
      <c r="A493" s="17"/>
      <c r="B493" s="65"/>
      <c r="C493" s="65"/>
      <c r="F493" s="17"/>
      <c r="G493" s="17"/>
      <c r="H493" s="17"/>
    </row>
    <row r="494" spans="1:8" ht="16.5" customHeight="1">
      <c r="A494" s="17"/>
      <c r="B494" s="65"/>
      <c r="C494" s="65"/>
      <c r="F494" s="17"/>
      <c r="G494" s="17"/>
      <c r="H494" s="17"/>
    </row>
    <row r="495" spans="1:8" ht="16.5" customHeight="1">
      <c r="A495" s="17"/>
      <c r="B495" s="65"/>
      <c r="C495" s="65"/>
      <c r="F495" s="17"/>
      <c r="G495" s="17"/>
      <c r="H495" s="17"/>
    </row>
    <row r="496" spans="1:8" ht="16.5" customHeight="1">
      <c r="A496" s="17"/>
      <c r="B496" s="65"/>
      <c r="C496" s="65"/>
      <c r="F496" s="17"/>
      <c r="G496" s="17"/>
      <c r="H496" s="17"/>
    </row>
    <row r="497" spans="1:8" ht="16.5" customHeight="1">
      <c r="A497" s="17"/>
      <c r="B497" s="65"/>
      <c r="C497" s="65"/>
      <c r="F497" s="17"/>
      <c r="G497" s="17"/>
      <c r="H497" s="17"/>
    </row>
    <row r="498" spans="1:8" ht="16.5" customHeight="1">
      <c r="A498" s="17"/>
      <c r="B498" s="65"/>
      <c r="C498" s="65"/>
      <c r="F498" s="17"/>
      <c r="G498" s="17"/>
      <c r="H498" s="17"/>
    </row>
    <row r="499" spans="1:8" ht="16.5" customHeight="1">
      <c r="A499" s="17"/>
      <c r="B499" s="65"/>
      <c r="C499" s="65"/>
      <c r="F499" s="17"/>
      <c r="G499" s="17"/>
      <c r="H499" s="17"/>
    </row>
    <row r="500" spans="1:8" ht="16.5" customHeight="1">
      <c r="A500" s="17"/>
      <c r="B500" s="65"/>
      <c r="C500" s="65"/>
      <c r="F500" s="17"/>
      <c r="G500" s="17"/>
      <c r="H500" s="17"/>
    </row>
    <row r="501" spans="1:8" ht="16.5" customHeight="1">
      <c r="A501" s="17"/>
      <c r="B501" s="65"/>
      <c r="C501" s="65"/>
      <c r="F501" s="17"/>
      <c r="G501" s="17"/>
      <c r="H501" s="17"/>
    </row>
    <row r="502" spans="1:8" ht="16.5" customHeight="1">
      <c r="A502" s="17"/>
      <c r="B502" s="65"/>
      <c r="C502" s="65"/>
      <c r="F502" s="17"/>
      <c r="G502" s="17"/>
      <c r="H502" s="17"/>
    </row>
    <row r="503" spans="1:8" ht="16.5" customHeight="1">
      <c r="A503" s="17"/>
      <c r="B503" s="65"/>
      <c r="C503" s="65"/>
      <c r="F503" s="17"/>
      <c r="G503" s="17"/>
      <c r="H503" s="17"/>
    </row>
    <row r="504" spans="1:8" ht="16.5" customHeight="1">
      <c r="A504" s="17"/>
      <c r="B504" s="65"/>
      <c r="C504" s="65"/>
      <c r="F504" s="17"/>
      <c r="G504" s="17"/>
      <c r="H504" s="17"/>
    </row>
    <row r="505" spans="1:8" ht="16.5" customHeight="1">
      <c r="A505" s="17"/>
      <c r="B505" s="65"/>
      <c r="C505" s="65"/>
      <c r="F505" s="17"/>
      <c r="G505" s="17"/>
      <c r="H505" s="17"/>
    </row>
    <row r="506" spans="1:8" ht="16.5" customHeight="1">
      <c r="A506" s="17"/>
      <c r="B506" s="65"/>
      <c r="C506" s="65"/>
      <c r="F506" s="17"/>
      <c r="G506" s="17"/>
      <c r="H506" s="17"/>
    </row>
    <row r="507" spans="1:8" ht="16.5" customHeight="1">
      <c r="A507" s="17"/>
      <c r="B507" s="65"/>
      <c r="C507" s="65"/>
      <c r="F507" s="17"/>
      <c r="G507" s="17"/>
      <c r="H507" s="17"/>
    </row>
    <row r="508" spans="1:8" ht="16.5" customHeight="1">
      <c r="A508" s="17"/>
      <c r="B508" s="65"/>
      <c r="C508" s="65"/>
      <c r="F508" s="17"/>
      <c r="G508" s="17"/>
      <c r="H508" s="17"/>
    </row>
    <row r="509" spans="1:8" ht="16.5" customHeight="1">
      <c r="A509" s="17"/>
      <c r="B509" s="65"/>
      <c r="C509" s="65"/>
      <c r="F509" s="17"/>
      <c r="G509" s="17"/>
      <c r="H509" s="17"/>
    </row>
    <row r="510" spans="1:8" ht="16.5" customHeight="1">
      <c r="A510" s="17"/>
      <c r="B510" s="65"/>
      <c r="C510" s="65"/>
      <c r="F510" s="17"/>
      <c r="G510" s="17"/>
      <c r="H510" s="17"/>
    </row>
    <row r="511" spans="1:8" ht="16.5" customHeight="1">
      <c r="A511" s="17"/>
      <c r="B511" s="65"/>
      <c r="C511" s="65"/>
      <c r="F511" s="17"/>
      <c r="G511" s="17"/>
      <c r="H511" s="17"/>
    </row>
    <row r="512" spans="1:8" ht="16.5" customHeight="1">
      <c r="A512" s="17"/>
      <c r="B512" s="65"/>
      <c r="C512" s="65"/>
      <c r="F512" s="17"/>
      <c r="G512" s="17"/>
      <c r="H512" s="17"/>
    </row>
    <row r="513" spans="1:8" ht="16.5" customHeight="1">
      <c r="A513" s="17"/>
      <c r="B513" s="65"/>
      <c r="C513" s="65"/>
      <c r="F513" s="17"/>
      <c r="G513" s="17"/>
      <c r="H513" s="17"/>
    </row>
    <row r="514" spans="1:8" ht="16.5" customHeight="1">
      <c r="A514" s="17"/>
      <c r="B514" s="65"/>
      <c r="C514" s="65"/>
      <c r="F514" s="17"/>
      <c r="G514" s="17"/>
      <c r="H514" s="17"/>
    </row>
    <row r="515" spans="1:8" ht="16.5" customHeight="1">
      <c r="A515" s="17"/>
      <c r="B515" s="65"/>
      <c r="C515" s="65"/>
      <c r="F515" s="17"/>
      <c r="G515" s="17"/>
      <c r="H515" s="17"/>
    </row>
    <row r="516" spans="1:8" ht="16.5" customHeight="1">
      <c r="A516" s="17"/>
      <c r="B516" s="65"/>
      <c r="C516" s="65"/>
      <c r="F516" s="17"/>
      <c r="G516" s="17"/>
      <c r="H516" s="17"/>
    </row>
    <row r="517" spans="1:8" ht="16.5" customHeight="1">
      <c r="A517" s="17"/>
      <c r="B517" s="65"/>
      <c r="C517" s="65"/>
      <c r="F517" s="17"/>
      <c r="G517" s="17"/>
      <c r="H517" s="17"/>
    </row>
    <row r="518" spans="1:8" ht="16.5" customHeight="1">
      <c r="A518" s="17"/>
      <c r="B518" s="65"/>
      <c r="C518" s="65"/>
      <c r="F518" s="17"/>
      <c r="G518" s="17"/>
      <c r="H518" s="17"/>
    </row>
    <row r="519" spans="1:8" ht="16.5" customHeight="1">
      <c r="A519" s="17"/>
      <c r="B519" s="65"/>
      <c r="C519" s="65"/>
      <c r="F519" s="17"/>
      <c r="G519" s="17"/>
      <c r="H519" s="17"/>
    </row>
    <row r="520" spans="1:8" ht="16.5" customHeight="1">
      <c r="A520" s="17"/>
      <c r="B520" s="65"/>
      <c r="C520" s="65"/>
      <c r="F520" s="17"/>
      <c r="G520" s="17"/>
      <c r="H520" s="17"/>
    </row>
    <row r="521" spans="1:8" ht="16.5" customHeight="1">
      <c r="A521" s="17"/>
      <c r="B521" s="65"/>
      <c r="C521" s="65"/>
      <c r="F521" s="17"/>
      <c r="G521" s="17"/>
      <c r="H521" s="17"/>
    </row>
    <row r="522" spans="1:8" ht="16.5" customHeight="1">
      <c r="A522" s="17"/>
      <c r="B522" s="65"/>
      <c r="C522" s="65"/>
      <c r="F522" s="17"/>
      <c r="G522" s="17"/>
      <c r="H522" s="17"/>
    </row>
    <row r="523" spans="1:8" ht="16.5" customHeight="1">
      <c r="A523" s="17"/>
      <c r="B523" s="65"/>
      <c r="C523" s="65"/>
      <c r="F523" s="17"/>
      <c r="G523" s="17"/>
      <c r="H523" s="17"/>
    </row>
    <row r="524" spans="1:8" ht="16.5" customHeight="1">
      <c r="A524" s="17"/>
      <c r="B524" s="65"/>
      <c r="C524" s="65"/>
      <c r="F524" s="17"/>
      <c r="G524" s="17"/>
      <c r="H524" s="17"/>
    </row>
    <row r="525" spans="1:8" ht="16.5" customHeight="1">
      <c r="A525" s="17"/>
      <c r="B525" s="65"/>
      <c r="C525" s="65"/>
      <c r="F525" s="17"/>
      <c r="G525" s="17"/>
      <c r="H525" s="17"/>
    </row>
    <row r="526" spans="1:8" ht="16.5" customHeight="1">
      <c r="A526" s="17"/>
      <c r="B526" s="65"/>
      <c r="C526" s="65"/>
      <c r="F526" s="17"/>
      <c r="G526" s="17"/>
      <c r="H526" s="17"/>
    </row>
    <row r="527" spans="1:8" ht="16.5" customHeight="1">
      <c r="A527" s="17"/>
      <c r="B527" s="65"/>
      <c r="C527" s="65"/>
      <c r="F527" s="17"/>
      <c r="G527" s="17"/>
      <c r="H527" s="17"/>
    </row>
    <row r="528" spans="1:8" ht="16.5" customHeight="1">
      <c r="A528" s="17"/>
      <c r="B528" s="65"/>
      <c r="C528" s="65"/>
      <c r="F528" s="17"/>
      <c r="G528" s="17"/>
      <c r="H528" s="17"/>
    </row>
    <row r="529" spans="1:8" ht="16.5" customHeight="1">
      <c r="A529" s="17"/>
      <c r="B529" s="65"/>
      <c r="C529" s="65"/>
      <c r="F529" s="17"/>
      <c r="G529" s="17"/>
      <c r="H529" s="17"/>
    </row>
    <row r="530" spans="1:8" ht="16.5" customHeight="1">
      <c r="A530" s="17"/>
      <c r="B530" s="65"/>
      <c r="C530" s="65"/>
      <c r="F530" s="17"/>
      <c r="G530" s="17"/>
      <c r="H530" s="17"/>
    </row>
    <row r="531" spans="1:8" ht="16.5" customHeight="1">
      <c r="A531" s="17"/>
      <c r="B531" s="65"/>
      <c r="C531" s="65"/>
      <c r="F531" s="17"/>
      <c r="G531" s="17"/>
      <c r="H531" s="17"/>
    </row>
    <row r="532" spans="1:8" ht="16.5" customHeight="1">
      <c r="A532" s="17"/>
      <c r="B532" s="65"/>
      <c r="C532" s="65"/>
      <c r="F532" s="17"/>
      <c r="G532" s="17"/>
      <c r="H532" s="17"/>
    </row>
    <row r="533" spans="1:8" ht="16.5" customHeight="1">
      <c r="A533" s="17"/>
      <c r="B533" s="65"/>
      <c r="C533" s="65"/>
      <c r="F533" s="17"/>
      <c r="G533" s="17"/>
      <c r="H533" s="17"/>
    </row>
    <row r="534" spans="1:8" ht="16.5" customHeight="1">
      <c r="A534" s="17"/>
      <c r="B534" s="65"/>
      <c r="C534" s="65"/>
      <c r="F534" s="17"/>
      <c r="G534" s="17"/>
      <c r="H534" s="17"/>
    </row>
    <row r="535" spans="1:8" ht="16.5" customHeight="1">
      <c r="A535" s="17"/>
      <c r="B535" s="65"/>
      <c r="C535" s="65"/>
      <c r="F535" s="17"/>
      <c r="G535" s="17"/>
      <c r="H535" s="17"/>
    </row>
    <row r="536" spans="1:8" ht="16.5" customHeight="1">
      <c r="A536" s="17"/>
      <c r="B536" s="65"/>
      <c r="C536" s="65"/>
      <c r="F536" s="17"/>
      <c r="G536" s="17"/>
      <c r="H536" s="17"/>
    </row>
    <row r="537" spans="1:8" ht="16.5" customHeight="1">
      <c r="A537" s="17"/>
      <c r="B537" s="65"/>
      <c r="C537" s="65"/>
      <c r="F537" s="17"/>
      <c r="G537" s="17"/>
      <c r="H537" s="17"/>
    </row>
    <row r="538" spans="1:8" ht="16.5" customHeight="1">
      <c r="A538" s="17"/>
      <c r="B538" s="65"/>
      <c r="C538" s="65"/>
      <c r="F538" s="17"/>
      <c r="G538" s="17"/>
      <c r="H538" s="17"/>
    </row>
    <row r="539" spans="1:8" ht="16.5" customHeight="1">
      <c r="A539" s="17"/>
      <c r="B539" s="65"/>
      <c r="C539" s="65"/>
      <c r="F539" s="17"/>
      <c r="G539" s="17"/>
      <c r="H539" s="17"/>
    </row>
    <row r="540" spans="1:8" ht="16.5" customHeight="1">
      <c r="A540" s="17"/>
      <c r="B540" s="65"/>
      <c r="C540" s="65"/>
      <c r="F540" s="17"/>
      <c r="G540" s="17"/>
      <c r="H540" s="17"/>
    </row>
    <row r="541" spans="1:8" ht="16.5" customHeight="1">
      <c r="A541" s="17"/>
      <c r="B541" s="65"/>
      <c r="C541" s="65"/>
      <c r="F541" s="17"/>
      <c r="G541" s="17"/>
      <c r="H541" s="17"/>
    </row>
    <row r="542" spans="1:8" ht="16.5" customHeight="1">
      <c r="A542" s="17"/>
      <c r="B542" s="65"/>
      <c r="C542" s="65"/>
      <c r="F542" s="17"/>
      <c r="G542" s="17"/>
      <c r="H542" s="17"/>
    </row>
    <row r="543" spans="1:8" ht="16.5" customHeight="1">
      <c r="A543" s="17"/>
      <c r="B543" s="65"/>
      <c r="C543" s="65"/>
      <c r="F543" s="17"/>
      <c r="G543" s="17"/>
      <c r="H543" s="17"/>
    </row>
    <row r="544" spans="1:8" ht="16.5" customHeight="1">
      <c r="A544" s="17"/>
      <c r="B544" s="65"/>
      <c r="C544" s="65"/>
      <c r="F544" s="17"/>
      <c r="G544" s="17"/>
      <c r="H544" s="17"/>
    </row>
    <row r="545" spans="1:8" ht="16.5" customHeight="1">
      <c r="A545" s="17"/>
      <c r="B545" s="65"/>
      <c r="C545" s="65"/>
      <c r="F545" s="17"/>
      <c r="G545" s="17"/>
      <c r="H545" s="17"/>
    </row>
    <row r="546" spans="1:8" ht="16.5" customHeight="1">
      <c r="A546" s="17"/>
      <c r="B546" s="65"/>
      <c r="C546" s="65"/>
      <c r="F546" s="17"/>
      <c r="G546" s="17"/>
      <c r="H546" s="17"/>
    </row>
    <row r="547" spans="1:8" ht="16.5" customHeight="1">
      <c r="A547" s="17"/>
      <c r="B547" s="65"/>
      <c r="C547" s="65"/>
      <c r="F547" s="17"/>
      <c r="G547" s="17"/>
      <c r="H547" s="17"/>
    </row>
    <row r="548" spans="1:8" ht="16.5" customHeight="1">
      <c r="A548" s="17"/>
      <c r="B548" s="65"/>
      <c r="C548" s="65"/>
      <c r="F548" s="17"/>
      <c r="G548" s="17"/>
      <c r="H548" s="17"/>
    </row>
    <row r="549" spans="1:8" ht="16.5" customHeight="1">
      <c r="A549" s="17"/>
      <c r="B549" s="65"/>
      <c r="C549" s="65"/>
      <c r="F549" s="17"/>
      <c r="G549" s="17"/>
      <c r="H549" s="17"/>
    </row>
    <row r="550" spans="1:8" ht="16.5" customHeight="1">
      <c r="A550" s="17"/>
      <c r="B550" s="65"/>
      <c r="C550" s="65"/>
      <c r="F550" s="17"/>
      <c r="G550" s="17"/>
      <c r="H550" s="17"/>
    </row>
    <row r="551" spans="1:8" ht="16.5" customHeight="1">
      <c r="A551" s="17"/>
      <c r="B551" s="65"/>
      <c r="C551" s="65"/>
      <c r="F551" s="17"/>
      <c r="G551" s="17"/>
      <c r="H551" s="17"/>
    </row>
    <row r="552" spans="1:8" ht="16.5" customHeight="1">
      <c r="A552" s="17"/>
      <c r="B552" s="65"/>
      <c r="C552" s="65"/>
      <c r="F552" s="17"/>
      <c r="G552" s="17"/>
      <c r="H552" s="17"/>
    </row>
    <row r="553" spans="1:8" ht="16.5" customHeight="1">
      <c r="A553" s="17"/>
      <c r="B553" s="65"/>
      <c r="C553" s="65"/>
      <c r="F553" s="17"/>
      <c r="G553" s="17"/>
      <c r="H553" s="17"/>
    </row>
    <row r="554" spans="1:8" ht="16.5" customHeight="1">
      <c r="A554" s="17"/>
      <c r="B554" s="65"/>
      <c r="C554" s="65"/>
      <c r="F554" s="17"/>
      <c r="G554" s="17"/>
      <c r="H554" s="17"/>
    </row>
    <row r="555" spans="1:8" ht="16.5" customHeight="1">
      <c r="A555" s="17"/>
      <c r="B555" s="65"/>
      <c r="C555" s="65"/>
      <c r="F555" s="17"/>
      <c r="G555" s="17"/>
      <c r="H555" s="17"/>
    </row>
    <row r="556" spans="1:8" ht="16.5" customHeight="1">
      <c r="A556" s="17"/>
      <c r="B556" s="65"/>
      <c r="C556" s="65"/>
      <c r="F556" s="17"/>
      <c r="G556" s="17"/>
      <c r="H556" s="17"/>
    </row>
    <row r="557" spans="1:8" ht="16.5" customHeight="1">
      <c r="A557" s="17"/>
      <c r="B557" s="65"/>
      <c r="C557" s="65"/>
      <c r="F557" s="17"/>
      <c r="G557" s="17"/>
      <c r="H557" s="17"/>
    </row>
    <row r="558" spans="1:8" ht="16.5" customHeight="1">
      <c r="A558" s="17"/>
      <c r="B558" s="65"/>
      <c r="C558" s="65"/>
      <c r="F558" s="17"/>
      <c r="G558" s="17"/>
      <c r="H558" s="17"/>
    </row>
    <row r="559" spans="1:8" ht="16.5" customHeight="1">
      <c r="A559" s="17"/>
      <c r="B559" s="65"/>
      <c r="C559" s="65"/>
      <c r="F559" s="17"/>
      <c r="G559" s="17"/>
      <c r="H559" s="17"/>
    </row>
    <row r="560" spans="1:8" ht="16.5" customHeight="1">
      <c r="A560" s="17"/>
      <c r="B560" s="65"/>
      <c r="C560" s="65"/>
      <c r="F560" s="17"/>
      <c r="G560" s="17"/>
      <c r="H560" s="17"/>
    </row>
    <row r="561" spans="1:8" ht="16.5" customHeight="1">
      <c r="A561" s="17"/>
      <c r="B561" s="65"/>
      <c r="C561" s="65"/>
      <c r="F561" s="17"/>
      <c r="G561" s="17"/>
      <c r="H561" s="17"/>
    </row>
    <row r="562" spans="1:8" ht="16.5" customHeight="1">
      <c r="A562" s="17"/>
      <c r="B562" s="65"/>
      <c r="C562" s="65"/>
      <c r="F562" s="17"/>
      <c r="G562" s="17"/>
      <c r="H562" s="17"/>
    </row>
    <row r="563" spans="1:8" ht="16.5" customHeight="1">
      <c r="A563" s="17"/>
      <c r="B563" s="65"/>
      <c r="C563" s="65"/>
      <c r="F563" s="17"/>
      <c r="G563" s="17"/>
      <c r="H563" s="17"/>
    </row>
    <row r="564" spans="1:8" ht="16.5" customHeight="1">
      <c r="A564" s="17"/>
      <c r="B564" s="65"/>
      <c r="C564" s="65"/>
      <c r="F564" s="17"/>
      <c r="G564" s="17"/>
      <c r="H564" s="17"/>
    </row>
    <row r="565" spans="1:8" ht="16.5" customHeight="1">
      <c r="A565" s="17"/>
      <c r="B565" s="65"/>
      <c r="C565" s="65"/>
      <c r="F565" s="17"/>
      <c r="G565" s="17"/>
      <c r="H565" s="17"/>
    </row>
    <row r="566" spans="1:8" ht="16.5" customHeight="1">
      <c r="A566" s="17"/>
      <c r="B566" s="65"/>
      <c r="C566" s="65"/>
      <c r="F566" s="17"/>
      <c r="G566" s="17"/>
      <c r="H566" s="17"/>
    </row>
    <row r="567" spans="1:8" ht="16.5" customHeight="1">
      <c r="A567" s="17"/>
      <c r="B567" s="65"/>
      <c r="C567" s="65"/>
      <c r="F567" s="17"/>
      <c r="G567" s="17"/>
      <c r="H567" s="17"/>
    </row>
    <row r="568" spans="1:8" ht="16.5" customHeight="1">
      <c r="A568" s="17"/>
      <c r="B568" s="65"/>
      <c r="C568" s="65"/>
      <c r="F568" s="17"/>
      <c r="G568" s="17"/>
      <c r="H568" s="17"/>
    </row>
    <row r="569" spans="1:8" ht="16.5" customHeight="1">
      <c r="A569" s="17"/>
      <c r="B569" s="65"/>
      <c r="C569" s="65"/>
      <c r="F569" s="17"/>
      <c r="G569" s="17"/>
      <c r="H569" s="17"/>
    </row>
    <row r="570" spans="1:8" ht="16.5" customHeight="1">
      <c r="A570" s="17"/>
      <c r="B570" s="65"/>
      <c r="C570" s="65"/>
      <c r="F570" s="17"/>
      <c r="G570" s="17"/>
      <c r="H570" s="17"/>
    </row>
    <row r="571" spans="1:8" ht="16.5" customHeight="1">
      <c r="A571" s="17"/>
      <c r="B571" s="65"/>
      <c r="C571" s="65"/>
      <c r="F571" s="17"/>
      <c r="G571" s="17"/>
      <c r="H571" s="17"/>
    </row>
    <row r="572" spans="1:8" ht="16.5" customHeight="1">
      <c r="A572" s="17"/>
      <c r="B572" s="65"/>
      <c r="C572" s="65"/>
      <c r="F572" s="17"/>
      <c r="G572" s="17"/>
      <c r="H572" s="17"/>
    </row>
    <row r="573" spans="1:8" ht="16.5" customHeight="1">
      <c r="A573" s="17"/>
      <c r="B573" s="65"/>
      <c r="C573" s="65"/>
      <c r="F573" s="17"/>
      <c r="G573" s="17"/>
      <c r="H573" s="17"/>
    </row>
    <row r="574" spans="1:8" ht="16.5" customHeight="1">
      <c r="A574" s="17"/>
      <c r="B574" s="65"/>
      <c r="C574" s="65"/>
      <c r="F574" s="17"/>
      <c r="G574" s="17"/>
      <c r="H574" s="17"/>
    </row>
    <row r="575" spans="1:8" ht="16.5" customHeight="1">
      <c r="A575" s="17"/>
      <c r="B575" s="65"/>
      <c r="C575" s="65"/>
      <c r="F575" s="17"/>
      <c r="G575" s="17"/>
      <c r="H575" s="17"/>
    </row>
    <row r="576" spans="1:8" ht="16.5" customHeight="1">
      <c r="A576" s="17"/>
      <c r="B576" s="65"/>
      <c r="C576" s="65"/>
      <c r="F576" s="17"/>
      <c r="G576" s="17"/>
      <c r="H576" s="17"/>
    </row>
    <row r="577" spans="1:8" ht="16.5" customHeight="1">
      <c r="A577" s="17"/>
      <c r="B577" s="65"/>
      <c r="C577" s="65"/>
      <c r="F577" s="17"/>
      <c r="G577" s="17"/>
      <c r="H577" s="17"/>
    </row>
    <row r="578" spans="1:8" ht="16.5" customHeight="1">
      <c r="A578" s="17"/>
      <c r="B578" s="65"/>
      <c r="C578" s="65"/>
      <c r="F578" s="17"/>
      <c r="G578" s="17"/>
      <c r="H578" s="17"/>
    </row>
    <row r="579" spans="1:8" ht="16.5" customHeight="1">
      <c r="A579" s="17"/>
      <c r="B579" s="65"/>
      <c r="C579" s="65"/>
      <c r="F579" s="17"/>
      <c r="G579" s="17"/>
      <c r="H579" s="17"/>
    </row>
    <row r="580" spans="1:8" ht="16.5" customHeight="1">
      <c r="A580" s="17"/>
      <c r="B580" s="65"/>
      <c r="C580" s="65"/>
      <c r="F580" s="17"/>
      <c r="G580" s="17"/>
      <c r="H580" s="17"/>
    </row>
    <row r="581" spans="1:8" ht="16.5" customHeight="1">
      <c r="A581" s="17"/>
      <c r="B581" s="65"/>
      <c r="C581" s="65"/>
      <c r="F581" s="17"/>
      <c r="G581" s="17"/>
      <c r="H581" s="17"/>
    </row>
    <row r="582" spans="1:8" ht="16.5" customHeight="1">
      <c r="A582" s="17"/>
      <c r="B582" s="65"/>
      <c r="C582" s="65"/>
      <c r="F582" s="17"/>
      <c r="G582" s="17"/>
      <c r="H582" s="17"/>
    </row>
    <row r="583" spans="1:8" ht="16.5" customHeight="1">
      <c r="A583" s="17"/>
      <c r="B583" s="65"/>
      <c r="C583" s="65"/>
      <c r="F583" s="17"/>
      <c r="G583" s="17"/>
      <c r="H583" s="17"/>
    </row>
    <row r="584" spans="1:8" ht="16.5" customHeight="1">
      <c r="A584" s="17"/>
      <c r="B584" s="65"/>
      <c r="C584" s="65"/>
      <c r="F584" s="17"/>
      <c r="G584" s="17"/>
      <c r="H584" s="17"/>
    </row>
    <row r="585" spans="1:8" ht="16.5" customHeight="1">
      <c r="A585" s="17"/>
      <c r="B585" s="65"/>
      <c r="C585" s="65"/>
      <c r="F585" s="17"/>
      <c r="G585" s="17"/>
      <c r="H585" s="17"/>
    </row>
    <row r="586" spans="1:8" ht="16.5" customHeight="1">
      <c r="A586" s="17"/>
      <c r="B586" s="65"/>
      <c r="C586" s="65"/>
      <c r="F586" s="17"/>
      <c r="G586" s="17"/>
      <c r="H586" s="17"/>
    </row>
    <row r="587" spans="1:8" ht="16.5" customHeight="1">
      <c r="A587" s="17"/>
      <c r="B587" s="65"/>
      <c r="C587" s="65"/>
      <c r="F587" s="17"/>
      <c r="G587" s="17"/>
      <c r="H587" s="17"/>
    </row>
    <row r="588" spans="1:8" ht="16.5" customHeight="1">
      <c r="A588" s="17"/>
      <c r="B588" s="65"/>
      <c r="C588" s="65"/>
      <c r="F588" s="17"/>
      <c r="G588" s="17"/>
      <c r="H588" s="17"/>
    </row>
    <row r="589" spans="1:8" ht="16.5" customHeight="1">
      <c r="A589" s="17"/>
      <c r="B589" s="65"/>
      <c r="C589" s="65"/>
      <c r="F589" s="17"/>
      <c r="G589" s="17"/>
      <c r="H589" s="17"/>
    </row>
    <row r="590" spans="1:8" ht="16.5" customHeight="1">
      <c r="A590" s="17"/>
      <c r="B590" s="65"/>
      <c r="C590" s="65"/>
      <c r="F590" s="17"/>
      <c r="G590" s="17"/>
      <c r="H590" s="17"/>
    </row>
    <row r="591" spans="1:8" ht="16.5" customHeight="1">
      <c r="A591" s="17"/>
      <c r="B591" s="65"/>
      <c r="C591" s="65"/>
      <c r="F591" s="17"/>
      <c r="G591" s="17"/>
      <c r="H591" s="17"/>
    </row>
    <row r="592" spans="1:8" ht="16.5" customHeight="1">
      <c r="A592" s="17"/>
      <c r="B592" s="65"/>
      <c r="C592" s="65"/>
      <c r="F592" s="17"/>
      <c r="G592" s="17"/>
      <c r="H592" s="17"/>
    </row>
    <row r="593" spans="1:8" ht="16.5" customHeight="1">
      <c r="A593" s="17"/>
      <c r="B593" s="65"/>
      <c r="C593" s="65"/>
      <c r="F593" s="17"/>
      <c r="G593" s="17"/>
      <c r="H593" s="17"/>
    </row>
    <row r="594" spans="1:8" ht="16.5" customHeight="1">
      <c r="A594" s="17"/>
      <c r="B594" s="65"/>
      <c r="C594" s="65"/>
      <c r="F594" s="17"/>
      <c r="G594" s="17"/>
      <c r="H594" s="17"/>
    </row>
    <row r="595" spans="1:8" ht="16.5" customHeight="1">
      <c r="A595" s="17"/>
      <c r="B595" s="65"/>
      <c r="C595" s="65"/>
      <c r="F595" s="17"/>
      <c r="G595" s="17"/>
      <c r="H595" s="17"/>
    </row>
    <row r="596" spans="1:8" ht="16.5" customHeight="1">
      <c r="A596" s="17"/>
      <c r="B596" s="65"/>
      <c r="C596" s="65"/>
      <c r="F596" s="17"/>
      <c r="G596" s="17"/>
      <c r="H596" s="17"/>
    </row>
    <row r="597" spans="1:8" ht="16.5" customHeight="1">
      <c r="A597" s="17"/>
      <c r="B597" s="65"/>
      <c r="C597" s="65"/>
      <c r="F597" s="17"/>
      <c r="G597" s="17"/>
      <c r="H597" s="17"/>
    </row>
    <row r="598" spans="1:8" ht="16.5" customHeight="1">
      <c r="A598" s="17"/>
      <c r="B598" s="65"/>
      <c r="C598" s="65"/>
      <c r="F598" s="17"/>
      <c r="G598" s="17"/>
      <c r="H598" s="17"/>
    </row>
    <row r="599" spans="1:8" ht="16.5" customHeight="1">
      <c r="A599" s="17"/>
      <c r="B599" s="65"/>
      <c r="C599" s="65"/>
      <c r="F599" s="17"/>
      <c r="G599" s="17"/>
      <c r="H599" s="17"/>
    </row>
    <row r="600" spans="1:8" ht="16.5" customHeight="1">
      <c r="A600" s="17"/>
      <c r="B600" s="65"/>
      <c r="C600" s="65"/>
      <c r="F600" s="17"/>
      <c r="G600" s="17"/>
      <c r="H600" s="17"/>
    </row>
    <row r="601" spans="1:8" ht="16.5" customHeight="1">
      <c r="A601" s="17"/>
      <c r="B601" s="65"/>
      <c r="C601" s="65"/>
      <c r="F601" s="17"/>
      <c r="G601" s="17"/>
      <c r="H601" s="17"/>
    </row>
    <row r="602" spans="1:8" ht="16.5" customHeight="1">
      <c r="A602" s="17"/>
      <c r="B602" s="65"/>
      <c r="C602" s="65"/>
      <c r="F602" s="17"/>
      <c r="G602" s="17"/>
      <c r="H602" s="17"/>
    </row>
    <row r="603" spans="1:8" ht="16.5" customHeight="1">
      <c r="A603" s="17"/>
      <c r="B603" s="65"/>
      <c r="C603" s="65"/>
      <c r="F603" s="17"/>
      <c r="G603" s="17"/>
      <c r="H603" s="17"/>
    </row>
    <row r="604" spans="1:8" ht="16.5" customHeight="1">
      <c r="A604" s="17"/>
      <c r="B604" s="65"/>
      <c r="C604" s="65"/>
      <c r="F604" s="17"/>
      <c r="G604" s="17"/>
      <c r="H604" s="17"/>
    </row>
    <row r="605" spans="1:8" ht="16.5" customHeight="1">
      <c r="A605" s="17"/>
      <c r="B605" s="65"/>
      <c r="C605" s="65"/>
      <c r="F605" s="17"/>
      <c r="G605" s="17"/>
      <c r="H605" s="17"/>
    </row>
    <row r="606" spans="1:8" ht="16.5" customHeight="1">
      <c r="A606" s="17"/>
      <c r="B606" s="65"/>
      <c r="C606" s="65"/>
      <c r="F606" s="17"/>
      <c r="G606" s="17"/>
      <c r="H606" s="17"/>
    </row>
    <row r="607" spans="1:8" ht="16.5" customHeight="1">
      <c r="A607" s="17"/>
      <c r="B607" s="65"/>
      <c r="C607" s="65"/>
      <c r="F607" s="17"/>
      <c r="G607" s="17"/>
      <c r="H607" s="17"/>
    </row>
    <row r="608" spans="1:8" ht="16.5" customHeight="1">
      <c r="A608" s="17"/>
      <c r="B608" s="65"/>
      <c r="C608" s="65"/>
      <c r="F608" s="17"/>
      <c r="G608" s="17"/>
      <c r="H608" s="17"/>
    </row>
    <row r="609" spans="1:8" ht="16.5" customHeight="1">
      <c r="A609" s="17"/>
      <c r="B609" s="65"/>
      <c r="C609" s="65"/>
      <c r="F609" s="17"/>
      <c r="G609" s="17"/>
      <c r="H609" s="17"/>
    </row>
    <row r="610" spans="1:8" ht="16.5" customHeight="1">
      <c r="A610" s="17"/>
      <c r="B610" s="65"/>
      <c r="C610" s="65"/>
      <c r="F610" s="17"/>
      <c r="G610" s="17"/>
      <c r="H610" s="17"/>
    </row>
    <row r="611" spans="1:8" ht="16.5" customHeight="1">
      <c r="A611" s="17"/>
      <c r="B611" s="65"/>
      <c r="C611" s="65"/>
      <c r="F611" s="17"/>
      <c r="G611" s="17"/>
      <c r="H611" s="17"/>
    </row>
    <row r="612" spans="1:8" ht="16.5" customHeight="1">
      <c r="A612" s="17"/>
      <c r="B612" s="65"/>
      <c r="C612" s="65"/>
      <c r="F612" s="17"/>
      <c r="G612" s="17"/>
      <c r="H612" s="17"/>
    </row>
    <row r="613" spans="1:8" ht="16.5" customHeight="1">
      <c r="A613" s="17"/>
      <c r="B613" s="65"/>
      <c r="C613" s="65"/>
      <c r="F613" s="17"/>
      <c r="G613" s="17"/>
      <c r="H613" s="17"/>
    </row>
    <row r="614" spans="1:8" ht="16.5" customHeight="1">
      <c r="A614" s="17"/>
      <c r="B614" s="65"/>
      <c r="C614" s="65"/>
      <c r="F614" s="17"/>
      <c r="G614" s="17"/>
      <c r="H614" s="17"/>
    </row>
    <row r="615" spans="1:8" ht="16.5" customHeight="1">
      <c r="A615" s="17"/>
      <c r="B615" s="65"/>
      <c r="C615" s="65"/>
      <c r="F615" s="17"/>
      <c r="G615" s="17"/>
      <c r="H615" s="17"/>
    </row>
    <row r="616" spans="1:8" ht="16.5" customHeight="1">
      <c r="A616" s="17"/>
      <c r="B616" s="65"/>
      <c r="C616" s="65"/>
      <c r="F616" s="17"/>
      <c r="G616" s="17"/>
      <c r="H616" s="17"/>
    </row>
    <row r="617" spans="1:8" ht="16.5" customHeight="1">
      <c r="A617" s="17"/>
      <c r="B617" s="65"/>
      <c r="C617" s="65"/>
      <c r="F617" s="17"/>
      <c r="G617" s="17"/>
      <c r="H617" s="17"/>
    </row>
    <row r="618" spans="1:8" ht="16.5" customHeight="1">
      <c r="A618" s="17"/>
      <c r="B618" s="65"/>
      <c r="C618" s="65"/>
      <c r="F618" s="17"/>
      <c r="G618" s="17"/>
      <c r="H618" s="17"/>
    </row>
    <row r="619" spans="1:8" ht="16.5" customHeight="1">
      <c r="A619" s="17"/>
      <c r="B619" s="65"/>
      <c r="C619" s="65"/>
      <c r="F619" s="17"/>
      <c r="G619" s="17"/>
      <c r="H619" s="17"/>
    </row>
    <row r="620" spans="1:8" ht="16.5" customHeight="1">
      <c r="A620" s="17"/>
      <c r="B620" s="65"/>
      <c r="C620" s="65"/>
      <c r="F620" s="17"/>
      <c r="G620" s="17"/>
      <c r="H620" s="17"/>
    </row>
    <row r="621" spans="1:8" ht="16.5" customHeight="1">
      <c r="A621" s="17"/>
      <c r="B621" s="65"/>
      <c r="C621" s="65"/>
      <c r="F621" s="17"/>
      <c r="G621" s="17"/>
      <c r="H621" s="17"/>
    </row>
    <row r="622" spans="1:8" ht="16.5" customHeight="1">
      <c r="A622" s="17"/>
      <c r="B622" s="65"/>
      <c r="C622" s="65"/>
      <c r="F622" s="17"/>
      <c r="G622" s="17"/>
      <c r="H622" s="17"/>
    </row>
    <row r="623" spans="1:8" ht="16.5" customHeight="1">
      <c r="A623" s="17"/>
      <c r="B623" s="65"/>
      <c r="C623" s="65"/>
      <c r="F623" s="17"/>
      <c r="G623" s="17"/>
      <c r="H623" s="17"/>
    </row>
    <row r="624" spans="1:8" ht="16.5" customHeight="1">
      <c r="A624" s="17"/>
      <c r="B624" s="65"/>
      <c r="C624" s="65"/>
      <c r="F624" s="17"/>
      <c r="G624" s="17"/>
      <c r="H624" s="17"/>
    </row>
    <row r="625" spans="1:8" ht="16.5" customHeight="1">
      <c r="A625" s="17"/>
      <c r="B625" s="65"/>
      <c r="C625" s="65"/>
      <c r="F625" s="17"/>
      <c r="G625" s="17"/>
      <c r="H625" s="17"/>
    </row>
    <row r="626" spans="1:8" ht="16.5" customHeight="1">
      <c r="A626" s="17"/>
      <c r="B626" s="65"/>
      <c r="C626" s="65"/>
      <c r="F626" s="17"/>
      <c r="G626" s="17"/>
      <c r="H626" s="17"/>
    </row>
    <row r="627" spans="1:8" ht="16.5" customHeight="1">
      <c r="A627" s="17"/>
      <c r="B627" s="65"/>
      <c r="C627" s="65"/>
      <c r="F627" s="17"/>
      <c r="G627" s="17"/>
      <c r="H627" s="17"/>
    </row>
    <row r="628" spans="1:8" ht="16.5" customHeight="1">
      <c r="A628" s="17"/>
      <c r="B628" s="65"/>
      <c r="C628" s="65"/>
      <c r="F628" s="17"/>
      <c r="G628" s="17"/>
      <c r="H628" s="17"/>
    </row>
    <row r="629" spans="1:8" ht="16.5" customHeight="1">
      <c r="A629" s="17"/>
      <c r="B629" s="65"/>
      <c r="C629" s="65"/>
      <c r="F629" s="17"/>
      <c r="G629" s="17"/>
      <c r="H629" s="17"/>
    </row>
    <row r="630" spans="1:8" ht="16.5" customHeight="1">
      <c r="A630" s="17"/>
      <c r="B630" s="65"/>
      <c r="C630" s="65"/>
      <c r="F630" s="17"/>
      <c r="G630" s="17"/>
      <c r="H630" s="17"/>
    </row>
    <row r="631" spans="1:8" ht="16.5" customHeight="1">
      <c r="A631" s="17"/>
      <c r="B631" s="65"/>
      <c r="C631" s="65"/>
      <c r="F631" s="17"/>
      <c r="G631" s="17"/>
      <c r="H631" s="17"/>
    </row>
    <row r="632" spans="1:8" ht="16.5" customHeight="1">
      <c r="A632" s="17"/>
      <c r="B632" s="65"/>
      <c r="C632" s="65"/>
      <c r="F632" s="17"/>
      <c r="G632" s="17"/>
      <c r="H632" s="17"/>
    </row>
    <row r="633" spans="1:8" ht="16.5" customHeight="1">
      <c r="A633" s="17"/>
      <c r="B633" s="65"/>
      <c r="C633" s="65"/>
      <c r="F633" s="17"/>
      <c r="G633" s="17"/>
      <c r="H633" s="17"/>
    </row>
    <row r="634" spans="1:8" ht="16.5" customHeight="1">
      <c r="A634" s="17"/>
      <c r="B634" s="65"/>
      <c r="C634" s="65"/>
      <c r="F634" s="17"/>
      <c r="G634" s="17"/>
      <c r="H634" s="17"/>
    </row>
    <row r="635" spans="1:8" ht="16.5" customHeight="1">
      <c r="A635" s="17"/>
      <c r="B635" s="65"/>
      <c r="C635" s="65"/>
      <c r="F635" s="17"/>
      <c r="G635" s="17"/>
      <c r="H635" s="17"/>
    </row>
    <row r="636" spans="1:8" ht="16.5" customHeight="1">
      <c r="A636" s="17"/>
      <c r="B636" s="65"/>
      <c r="C636" s="65"/>
      <c r="F636" s="17"/>
      <c r="G636" s="17"/>
      <c r="H636" s="17"/>
    </row>
    <row r="637" spans="1:8" ht="16.5" customHeight="1">
      <c r="A637" s="17"/>
      <c r="B637" s="65"/>
      <c r="C637" s="65"/>
      <c r="F637" s="17"/>
      <c r="G637" s="17"/>
      <c r="H637" s="17"/>
    </row>
    <row r="638" spans="1:8" ht="16.5" customHeight="1">
      <c r="A638" s="17"/>
      <c r="B638" s="65"/>
      <c r="C638" s="65"/>
      <c r="F638" s="17"/>
      <c r="G638" s="17"/>
      <c r="H638" s="17"/>
    </row>
    <row r="639" spans="1:8" ht="16.5" customHeight="1">
      <c r="A639" s="17"/>
      <c r="B639" s="65"/>
      <c r="C639" s="65"/>
      <c r="F639" s="17"/>
      <c r="G639" s="17"/>
      <c r="H639" s="17"/>
    </row>
    <row r="640" spans="1:8" ht="16.5" customHeight="1">
      <c r="A640" s="17"/>
      <c r="B640" s="65"/>
      <c r="C640" s="65"/>
      <c r="F640" s="17"/>
      <c r="G640" s="17"/>
      <c r="H640" s="17"/>
    </row>
    <row r="641" spans="1:8" ht="16.5" customHeight="1">
      <c r="A641" s="17"/>
      <c r="B641" s="65"/>
      <c r="C641" s="65"/>
      <c r="F641" s="17"/>
      <c r="G641" s="17"/>
      <c r="H641" s="17"/>
    </row>
    <row r="642" spans="1:8" ht="16.5" customHeight="1">
      <c r="A642" s="17"/>
      <c r="B642" s="65"/>
      <c r="C642" s="65"/>
      <c r="F642" s="17"/>
      <c r="G642" s="17"/>
      <c r="H642" s="17"/>
    </row>
    <row r="643" spans="1:8" ht="16.5" customHeight="1">
      <c r="A643" s="17"/>
      <c r="B643" s="65"/>
      <c r="C643" s="65"/>
      <c r="F643" s="17"/>
      <c r="G643" s="17"/>
      <c r="H643" s="17"/>
    </row>
    <row r="644" spans="1:8" ht="16.5" customHeight="1">
      <c r="A644" s="17"/>
      <c r="B644" s="65"/>
      <c r="C644" s="65"/>
      <c r="F644" s="17"/>
      <c r="G644" s="17"/>
      <c r="H644" s="17"/>
    </row>
    <row r="645" spans="1:8" ht="16.5" customHeight="1">
      <c r="A645" s="17"/>
      <c r="B645" s="65"/>
      <c r="C645" s="65"/>
      <c r="F645" s="17"/>
      <c r="G645" s="17"/>
      <c r="H645" s="17"/>
    </row>
    <row r="646" spans="1:8" ht="16.5" customHeight="1">
      <c r="A646" s="17"/>
      <c r="B646" s="65"/>
      <c r="C646" s="65"/>
      <c r="F646" s="17"/>
      <c r="G646" s="17"/>
      <c r="H646" s="17"/>
    </row>
    <row r="647" spans="1:8" ht="16.5" customHeight="1">
      <c r="A647" s="17"/>
      <c r="B647" s="65"/>
      <c r="C647" s="65"/>
      <c r="F647" s="17"/>
      <c r="G647" s="17"/>
      <c r="H647" s="17"/>
    </row>
    <row r="648" spans="1:8" ht="16.5" customHeight="1">
      <c r="A648" s="17"/>
      <c r="B648" s="65"/>
      <c r="C648" s="65"/>
      <c r="F648" s="17"/>
      <c r="G648" s="17"/>
      <c r="H648" s="17"/>
    </row>
    <row r="649" spans="1:8" ht="16.5" customHeight="1">
      <c r="A649" s="17"/>
      <c r="B649" s="65"/>
      <c r="C649" s="65"/>
      <c r="F649" s="17"/>
      <c r="G649" s="17"/>
      <c r="H649" s="17"/>
    </row>
    <row r="650" spans="1:8" ht="16.5" customHeight="1">
      <c r="A650" s="17"/>
      <c r="B650" s="65"/>
      <c r="C650" s="65"/>
      <c r="F650" s="17"/>
      <c r="G650" s="17"/>
      <c r="H650" s="17"/>
    </row>
    <row r="651" spans="1:8" ht="16.5" customHeight="1">
      <c r="A651" s="17"/>
      <c r="B651" s="65"/>
      <c r="C651" s="65"/>
      <c r="F651" s="17"/>
      <c r="G651" s="17"/>
      <c r="H651" s="17"/>
    </row>
    <row r="652" spans="1:8" ht="16.5" customHeight="1">
      <c r="A652" s="17"/>
      <c r="B652" s="65"/>
      <c r="C652" s="65"/>
      <c r="F652" s="17"/>
      <c r="G652" s="17"/>
      <c r="H652" s="17"/>
    </row>
    <row r="653" spans="1:8" ht="16.5" customHeight="1">
      <c r="A653" s="17"/>
      <c r="B653" s="65"/>
      <c r="C653" s="65"/>
      <c r="F653" s="17"/>
      <c r="G653" s="17"/>
      <c r="H653" s="17"/>
    </row>
    <row r="654" spans="1:8" ht="16.5" customHeight="1">
      <c r="A654" s="17"/>
      <c r="B654" s="65"/>
      <c r="C654" s="65"/>
      <c r="F654" s="17"/>
      <c r="G654" s="17"/>
      <c r="H654" s="17"/>
    </row>
    <row r="655" spans="1:8" ht="16.5" customHeight="1">
      <c r="A655" s="17"/>
      <c r="B655" s="65"/>
      <c r="C655" s="65"/>
      <c r="F655" s="17"/>
      <c r="G655" s="17"/>
      <c r="H655" s="17"/>
    </row>
    <row r="656" spans="1:8" ht="16.5" customHeight="1">
      <c r="A656" s="17"/>
      <c r="B656" s="65"/>
      <c r="C656" s="65"/>
      <c r="F656" s="17"/>
      <c r="G656" s="17"/>
      <c r="H656" s="17"/>
    </row>
    <row r="657" spans="1:8" ht="16.5" customHeight="1">
      <c r="A657" s="17"/>
      <c r="B657" s="65"/>
      <c r="C657" s="65"/>
      <c r="F657" s="17"/>
      <c r="G657" s="17"/>
      <c r="H657" s="17"/>
    </row>
    <row r="658" spans="1:8" ht="16.5" customHeight="1">
      <c r="A658" s="17"/>
      <c r="B658" s="65"/>
      <c r="C658" s="65"/>
      <c r="F658" s="17"/>
      <c r="G658" s="17"/>
      <c r="H658" s="17"/>
    </row>
    <row r="659" spans="1:8" ht="16.5" customHeight="1">
      <c r="A659" s="17"/>
      <c r="B659" s="65"/>
      <c r="C659" s="65"/>
      <c r="F659" s="17"/>
      <c r="G659" s="17"/>
      <c r="H659" s="17"/>
    </row>
    <row r="660" spans="1:8" ht="16.5" customHeight="1">
      <c r="A660" s="17"/>
      <c r="B660" s="65"/>
      <c r="C660" s="65"/>
      <c r="F660" s="17"/>
      <c r="G660" s="17"/>
      <c r="H660" s="17"/>
    </row>
    <row r="661" spans="1:8" ht="16.5" customHeight="1">
      <c r="A661" s="17"/>
      <c r="B661" s="65"/>
      <c r="C661" s="65"/>
      <c r="F661" s="17"/>
      <c r="G661" s="17"/>
      <c r="H661" s="17"/>
    </row>
    <row r="662" spans="1:8" ht="16.5" customHeight="1">
      <c r="A662" s="17"/>
      <c r="B662" s="65"/>
      <c r="C662" s="65"/>
      <c r="F662" s="17"/>
      <c r="G662" s="17"/>
      <c r="H662" s="17"/>
    </row>
    <row r="663" spans="1:8" ht="16.5" customHeight="1">
      <c r="A663" s="17"/>
      <c r="B663" s="65"/>
      <c r="C663" s="65"/>
      <c r="F663" s="17"/>
      <c r="G663" s="17"/>
      <c r="H663" s="17"/>
    </row>
    <row r="664" spans="1:8" ht="16.5" customHeight="1">
      <c r="A664" s="17"/>
      <c r="B664" s="65"/>
      <c r="C664" s="65"/>
      <c r="F664" s="17"/>
      <c r="G664" s="17"/>
      <c r="H664" s="17"/>
    </row>
    <row r="665" spans="1:8" ht="16.5" customHeight="1">
      <c r="A665" s="17"/>
      <c r="B665" s="65"/>
      <c r="C665" s="65"/>
      <c r="F665" s="17"/>
      <c r="G665" s="17"/>
      <c r="H665" s="17"/>
    </row>
    <row r="666" spans="1:8" ht="16.5" customHeight="1">
      <c r="A666" s="17"/>
      <c r="B666" s="65"/>
      <c r="C666" s="65"/>
      <c r="F666" s="17"/>
      <c r="G666" s="17"/>
      <c r="H666" s="17"/>
    </row>
    <row r="667" spans="1:8" ht="16.5" customHeight="1">
      <c r="A667" s="17"/>
      <c r="B667" s="65"/>
      <c r="C667" s="65"/>
      <c r="F667" s="17"/>
      <c r="G667" s="17"/>
      <c r="H667" s="17"/>
    </row>
    <row r="668" spans="1:8" ht="16.5" customHeight="1">
      <c r="A668" s="17"/>
      <c r="B668" s="65"/>
      <c r="C668" s="65"/>
      <c r="F668" s="17"/>
      <c r="G668" s="17"/>
      <c r="H668" s="17"/>
    </row>
    <row r="669" spans="1:8" ht="16.5" customHeight="1">
      <c r="A669" s="17"/>
      <c r="B669" s="65"/>
      <c r="C669" s="65"/>
      <c r="F669" s="17"/>
      <c r="G669" s="17"/>
      <c r="H669" s="17"/>
    </row>
    <row r="670" spans="1:8" ht="16.5" customHeight="1">
      <c r="A670" s="17"/>
      <c r="B670" s="65"/>
      <c r="C670" s="65"/>
      <c r="F670" s="17"/>
      <c r="G670" s="17"/>
      <c r="H670" s="17"/>
    </row>
    <row r="671" spans="1:8" ht="16.5" customHeight="1">
      <c r="A671" s="17"/>
      <c r="B671" s="65"/>
      <c r="C671" s="65"/>
      <c r="F671" s="17"/>
      <c r="G671" s="17"/>
      <c r="H671" s="17"/>
    </row>
    <row r="672" spans="1:8" ht="16.5" customHeight="1">
      <c r="A672" s="17"/>
      <c r="B672" s="65"/>
      <c r="C672" s="65"/>
      <c r="F672" s="17"/>
      <c r="G672" s="17"/>
      <c r="H672" s="17"/>
    </row>
    <row r="673" spans="1:8" ht="16.5" customHeight="1">
      <c r="A673" s="17"/>
      <c r="B673" s="65"/>
      <c r="C673" s="65"/>
      <c r="F673" s="17"/>
      <c r="G673" s="17"/>
      <c r="H673" s="17"/>
    </row>
    <row r="674" spans="1:8" ht="16.5" customHeight="1">
      <c r="A674" s="17"/>
      <c r="B674" s="65"/>
      <c r="C674" s="65"/>
      <c r="F674" s="17"/>
      <c r="G674" s="17"/>
      <c r="H674" s="17"/>
    </row>
    <row r="675" spans="1:8" ht="16.5" customHeight="1">
      <c r="A675" s="17"/>
      <c r="B675" s="65"/>
      <c r="C675" s="65"/>
      <c r="F675" s="17"/>
      <c r="G675" s="17"/>
      <c r="H675" s="17"/>
    </row>
    <row r="676" spans="1:8" ht="16.5" customHeight="1">
      <c r="A676" s="17"/>
      <c r="B676" s="65"/>
      <c r="C676" s="65"/>
      <c r="F676" s="17"/>
      <c r="G676" s="17"/>
      <c r="H676" s="17"/>
    </row>
    <row r="677" spans="1:8" ht="16.5" customHeight="1">
      <c r="A677" s="17"/>
      <c r="B677" s="65"/>
      <c r="C677" s="65"/>
      <c r="F677" s="17"/>
      <c r="G677" s="17"/>
      <c r="H677" s="17"/>
    </row>
    <row r="678" spans="1:8" ht="16.5" customHeight="1">
      <c r="A678" s="17"/>
      <c r="B678" s="65"/>
      <c r="C678" s="65"/>
      <c r="F678" s="17"/>
      <c r="G678" s="17"/>
      <c r="H678" s="17"/>
    </row>
    <row r="679" spans="1:8" ht="16.5" customHeight="1">
      <c r="A679" s="17"/>
      <c r="B679" s="65"/>
      <c r="C679" s="65"/>
      <c r="F679" s="17"/>
      <c r="G679" s="17"/>
      <c r="H679" s="17"/>
    </row>
    <row r="680" spans="1:8" ht="16.5" customHeight="1">
      <c r="A680" s="17"/>
      <c r="B680" s="65"/>
      <c r="C680" s="65"/>
      <c r="F680" s="17"/>
      <c r="G680" s="17"/>
      <c r="H680" s="17"/>
    </row>
    <row r="681" spans="1:8" ht="16.5" customHeight="1">
      <c r="A681" s="17"/>
      <c r="B681" s="65"/>
      <c r="C681" s="65"/>
      <c r="F681" s="17"/>
      <c r="G681" s="17"/>
      <c r="H681" s="17"/>
    </row>
    <row r="682" spans="1:8" ht="16.5" customHeight="1">
      <c r="A682" s="17"/>
      <c r="B682" s="65"/>
      <c r="C682" s="65"/>
      <c r="F682" s="17"/>
      <c r="G682" s="17"/>
      <c r="H682" s="17"/>
    </row>
    <row r="683" spans="1:8" ht="16.5" customHeight="1">
      <c r="A683" s="17"/>
      <c r="B683" s="65"/>
      <c r="C683" s="65"/>
      <c r="F683" s="17"/>
      <c r="G683" s="17"/>
      <c r="H683" s="17"/>
    </row>
    <row r="684" spans="1:8" ht="16.5" customHeight="1">
      <c r="A684" s="17"/>
      <c r="B684" s="65"/>
      <c r="C684" s="65"/>
      <c r="F684" s="17"/>
      <c r="G684" s="17"/>
      <c r="H684" s="17"/>
    </row>
    <row r="685" spans="1:8" ht="16.5" customHeight="1">
      <c r="A685" s="17"/>
      <c r="B685" s="65"/>
      <c r="C685" s="65"/>
      <c r="F685" s="17"/>
      <c r="G685" s="17"/>
      <c r="H685" s="17"/>
    </row>
    <row r="686" spans="1:8" ht="16.5" customHeight="1">
      <c r="A686" s="17"/>
      <c r="B686" s="65"/>
      <c r="C686" s="65"/>
      <c r="F686" s="17"/>
      <c r="G686" s="17"/>
      <c r="H686" s="17"/>
    </row>
    <row r="687" spans="1:8" ht="16.5" customHeight="1">
      <c r="A687" s="17"/>
      <c r="B687" s="65"/>
      <c r="C687" s="65"/>
      <c r="F687" s="17"/>
      <c r="G687" s="17"/>
      <c r="H687" s="17"/>
    </row>
    <row r="688" spans="1:8" ht="16.5" customHeight="1">
      <c r="A688" s="17"/>
      <c r="B688" s="65"/>
      <c r="C688" s="65"/>
      <c r="F688" s="17"/>
      <c r="G688" s="17"/>
      <c r="H688" s="17"/>
    </row>
    <row r="689" spans="1:8" ht="16.5" customHeight="1">
      <c r="A689" s="17"/>
      <c r="B689" s="65"/>
      <c r="C689" s="65"/>
      <c r="F689" s="17"/>
      <c r="G689" s="17"/>
      <c r="H689" s="17"/>
    </row>
    <row r="690" spans="1:8" ht="16.5" customHeight="1">
      <c r="A690" s="17"/>
      <c r="B690" s="65"/>
      <c r="C690" s="65"/>
      <c r="F690" s="17"/>
      <c r="G690" s="17"/>
      <c r="H690" s="17"/>
    </row>
    <row r="691" spans="1:8" ht="16.5" customHeight="1">
      <c r="A691" s="17"/>
      <c r="B691" s="65"/>
      <c r="C691" s="65"/>
      <c r="F691" s="17"/>
      <c r="G691" s="17"/>
      <c r="H691" s="17"/>
    </row>
    <row r="692" spans="1:8" ht="16.5" customHeight="1">
      <c r="A692" s="17"/>
      <c r="B692" s="65"/>
      <c r="C692" s="65"/>
      <c r="F692" s="17"/>
      <c r="G692" s="17"/>
      <c r="H692" s="17"/>
    </row>
    <row r="693" spans="1:8" ht="16.5" customHeight="1">
      <c r="A693" s="17"/>
      <c r="B693" s="65"/>
      <c r="C693" s="65"/>
      <c r="F693" s="17"/>
      <c r="G693" s="17"/>
      <c r="H693" s="17"/>
    </row>
    <row r="694" spans="1:8" ht="16.5" customHeight="1">
      <c r="A694" s="17"/>
      <c r="B694" s="65"/>
      <c r="C694" s="65"/>
      <c r="F694" s="17"/>
      <c r="G694" s="17"/>
      <c r="H694" s="17"/>
    </row>
    <row r="695" spans="1:8" ht="16.5" customHeight="1">
      <c r="A695" s="17"/>
      <c r="B695" s="65"/>
      <c r="C695" s="65"/>
      <c r="F695" s="17"/>
      <c r="G695" s="17"/>
      <c r="H695" s="17"/>
    </row>
    <row r="696" spans="1:8" ht="16.5" customHeight="1">
      <c r="A696" s="17"/>
      <c r="B696" s="65"/>
      <c r="C696" s="65"/>
      <c r="F696" s="17"/>
      <c r="G696" s="17"/>
      <c r="H696" s="17"/>
    </row>
    <row r="697" spans="1:8" ht="16.5" customHeight="1">
      <c r="A697" s="17"/>
      <c r="B697" s="65"/>
      <c r="C697" s="65"/>
      <c r="F697" s="17"/>
      <c r="G697" s="17"/>
      <c r="H697" s="17"/>
    </row>
    <row r="698" spans="1:8" ht="16.5" customHeight="1">
      <c r="A698" s="17"/>
      <c r="B698" s="65"/>
      <c r="C698" s="65"/>
      <c r="F698" s="17"/>
      <c r="G698" s="17"/>
      <c r="H698" s="17"/>
    </row>
    <row r="699" spans="1:8" ht="16.5" customHeight="1">
      <c r="A699" s="17"/>
      <c r="B699" s="65"/>
      <c r="C699" s="65"/>
      <c r="F699" s="17"/>
      <c r="G699" s="17"/>
      <c r="H699" s="17"/>
    </row>
    <row r="700" spans="1:8" ht="16.5" customHeight="1">
      <c r="A700" s="17"/>
      <c r="B700" s="65"/>
      <c r="C700" s="65"/>
      <c r="F700" s="17"/>
      <c r="G700" s="17"/>
      <c r="H700" s="17"/>
    </row>
    <row r="701" spans="1:8" ht="16.5" customHeight="1">
      <c r="A701" s="17"/>
      <c r="B701" s="65"/>
      <c r="C701" s="65"/>
      <c r="F701" s="17"/>
      <c r="G701" s="17"/>
      <c r="H701" s="17"/>
    </row>
    <row r="702" spans="1:8" ht="16.5" customHeight="1">
      <c r="A702" s="17"/>
      <c r="B702" s="65"/>
      <c r="C702" s="65"/>
      <c r="F702" s="17"/>
      <c r="G702" s="17"/>
      <c r="H702" s="17"/>
    </row>
    <row r="703" spans="1:8" ht="16.5" customHeight="1">
      <c r="A703" s="17"/>
      <c r="B703" s="65"/>
      <c r="C703" s="65"/>
      <c r="F703" s="17"/>
      <c r="G703" s="17"/>
      <c r="H703" s="17"/>
    </row>
    <row r="704" spans="1:8" ht="16.5" customHeight="1">
      <c r="A704" s="17"/>
      <c r="B704" s="65"/>
      <c r="C704" s="65"/>
      <c r="F704" s="17"/>
      <c r="G704" s="17"/>
      <c r="H704" s="17"/>
    </row>
    <row r="705" spans="1:8" ht="16.5" customHeight="1">
      <c r="A705" s="17"/>
      <c r="B705" s="65"/>
      <c r="C705" s="65"/>
      <c r="F705" s="17"/>
      <c r="G705" s="17"/>
      <c r="H705" s="17"/>
    </row>
    <row r="706" spans="1:8" ht="16.5" customHeight="1">
      <c r="A706" s="17"/>
      <c r="B706" s="65"/>
      <c r="C706" s="65"/>
      <c r="F706" s="17"/>
      <c r="G706" s="17"/>
      <c r="H706" s="17"/>
    </row>
    <row r="707" spans="1:8" ht="16.5" customHeight="1">
      <c r="A707" s="17"/>
      <c r="B707" s="65"/>
      <c r="C707" s="65"/>
      <c r="F707" s="17"/>
      <c r="G707" s="17"/>
      <c r="H707" s="17"/>
    </row>
    <row r="708" spans="1:8" ht="16.5" customHeight="1">
      <c r="A708" s="17"/>
      <c r="B708" s="65"/>
      <c r="C708" s="65"/>
      <c r="F708" s="17"/>
      <c r="G708" s="17"/>
      <c r="H708" s="17"/>
    </row>
    <row r="709" spans="1:8" ht="16.5" customHeight="1">
      <c r="A709" s="17"/>
      <c r="B709" s="65"/>
      <c r="C709" s="65"/>
      <c r="F709" s="17"/>
      <c r="G709" s="17"/>
      <c r="H709" s="17"/>
    </row>
    <row r="710" spans="1:8" ht="16.5" customHeight="1">
      <c r="A710" s="17"/>
      <c r="B710" s="65"/>
      <c r="C710" s="65"/>
      <c r="F710" s="17"/>
      <c r="G710" s="17"/>
      <c r="H710" s="17"/>
    </row>
    <row r="711" spans="1:8" ht="16.5" customHeight="1">
      <c r="A711" s="17"/>
      <c r="B711" s="65"/>
      <c r="C711" s="65"/>
      <c r="F711" s="17"/>
      <c r="G711" s="17"/>
      <c r="H711" s="17"/>
    </row>
    <row r="712" spans="1:8" ht="16.5" customHeight="1">
      <c r="A712" s="17"/>
      <c r="B712" s="65"/>
      <c r="C712" s="65"/>
      <c r="F712" s="17"/>
      <c r="G712" s="17"/>
      <c r="H712" s="17"/>
    </row>
    <row r="713" spans="1:8" ht="16.5" customHeight="1">
      <c r="A713" s="17"/>
      <c r="B713" s="65"/>
      <c r="C713" s="65"/>
      <c r="F713" s="17"/>
      <c r="G713" s="17"/>
      <c r="H713" s="17"/>
    </row>
    <row r="714" spans="1:8" ht="16.5" customHeight="1">
      <c r="A714" s="17"/>
      <c r="B714" s="65"/>
      <c r="C714" s="65"/>
      <c r="F714" s="17"/>
      <c r="G714" s="17"/>
      <c r="H714" s="17"/>
    </row>
    <row r="715" spans="1:8" ht="16.5" customHeight="1">
      <c r="A715" s="17"/>
      <c r="B715" s="65"/>
      <c r="C715" s="65"/>
      <c r="F715" s="17"/>
      <c r="G715" s="17"/>
      <c r="H715" s="17"/>
    </row>
    <row r="716" spans="1:8" ht="16.5" customHeight="1">
      <c r="A716" s="17"/>
      <c r="B716" s="65"/>
      <c r="C716" s="65"/>
      <c r="F716" s="17"/>
      <c r="G716" s="17"/>
      <c r="H716" s="17"/>
    </row>
    <row r="717" spans="1:8" ht="16.5" customHeight="1">
      <c r="A717" s="17"/>
      <c r="B717" s="65"/>
      <c r="C717" s="65"/>
      <c r="F717" s="17"/>
      <c r="G717" s="17"/>
      <c r="H717" s="17"/>
    </row>
    <row r="718" spans="1:8" ht="16.5" customHeight="1">
      <c r="A718" s="17"/>
      <c r="B718" s="65"/>
      <c r="C718" s="65"/>
      <c r="F718" s="17"/>
      <c r="G718" s="17"/>
      <c r="H718" s="17"/>
    </row>
    <row r="719" spans="1:8" ht="16.5" customHeight="1">
      <c r="A719" s="17"/>
      <c r="B719" s="65"/>
      <c r="C719" s="65"/>
      <c r="F719" s="17"/>
      <c r="G719" s="17"/>
      <c r="H719" s="17"/>
    </row>
    <row r="720" spans="1:8" ht="16.5" customHeight="1">
      <c r="A720" s="17"/>
      <c r="B720" s="65"/>
      <c r="C720" s="65"/>
      <c r="F720" s="17"/>
      <c r="G720" s="17"/>
      <c r="H720" s="17"/>
    </row>
    <row r="721" spans="1:8" ht="16.5" customHeight="1">
      <c r="A721" s="17"/>
      <c r="B721" s="65"/>
      <c r="C721" s="65"/>
      <c r="F721" s="17"/>
      <c r="G721" s="17"/>
      <c r="H721" s="17"/>
    </row>
    <row r="722" spans="1:8" ht="16.5" customHeight="1">
      <c r="A722" s="17"/>
      <c r="B722" s="65"/>
      <c r="C722" s="65"/>
      <c r="F722" s="17"/>
      <c r="G722" s="17"/>
      <c r="H722" s="17"/>
    </row>
    <row r="723" spans="1:8" ht="16.5" customHeight="1">
      <c r="A723" s="17"/>
      <c r="B723" s="65"/>
      <c r="C723" s="65"/>
      <c r="F723" s="17"/>
      <c r="G723" s="17"/>
      <c r="H723" s="17"/>
    </row>
    <row r="724" spans="1:8" ht="16.5" customHeight="1">
      <c r="A724" s="17"/>
      <c r="B724" s="65"/>
      <c r="C724" s="65"/>
      <c r="F724" s="17"/>
      <c r="G724" s="17"/>
      <c r="H724" s="17"/>
    </row>
    <row r="725" spans="1:8" ht="16.5" customHeight="1">
      <c r="A725" s="17"/>
      <c r="B725" s="65"/>
      <c r="C725" s="65"/>
      <c r="F725" s="17"/>
      <c r="G725" s="17"/>
      <c r="H725" s="17"/>
    </row>
    <row r="726" spans="1:8" ht="16.5" customHeight="1">
      <c r="A726" s="17"/>
      <c r="B726" s="65"/>
      <c r="C726" s="65"/>
      <c r="F726" s="17"/>
      <c r="G726" s="17"/>
      <c r="H726" s="17"/>
    </row>
    <row r="727" spans="1:8" ht="16.5" customHeight="1">
      <c r="A727" s="17"/>
      <c r="B727" s="65"/>
      <c r="C727" s="65"/>
      <c r="F727" s="17"/>
      <c r="G727" s="17"/>
      <c r="H727" s="17"/>
    </row>
    <row r="728" spans="1:8" ht="16.5" customHeight="1">
      <c r="A728" s="17"/>
      <c r="B728" s="65"/>
      <c r="C728" s="65"/>
      <c r="F728" s="17"/>
      <c r="G728" s="17"/>
      <c r="H728" s="17"/>
    </row>
    <row r="729" spans="1:8" ht="16.5" customHeight="1">
      <c r="A729" s="17"/>
      <c r="B729" s="65"/>
      <c r="C729" s="65"/>
      <c r="F729" s="17"/>
      <c r="G729" s="17"/>
      <c r="H729" s="17"/>
    </row>
    <row r="730" spans="1:8" ht="16.5" customHeight="1">
      <c r="A730" s="17"/>
      <c r="B730" s="65"/>
      <c r="C730" s="65"/>
      <c r="F730" s="17"/>
      <c r="G730" s="17"/>
      <c r="H730" s="17"/>
    </row>
    <row r="731" spans="1:8" ht="16.5" customHeight="1">
      <c r="A731" s="17"/>
      <c r="B731" s="65"/>
      <c r="C731" s="65"/>
      <c r="F731" s="17"/>
      <c r="G731" s="17"/>
      <c r="H731" s="17"/>
    </row>
    <row r="732" spans="1:8" ht="16.5" customHeight="1">
      <c r="A732" s="17"/>
      <c r="B732" s="65"/>
      <c r="C732" s="65"/>
      <c r="F732" s="17"/>
      <c r="G732" s="17"/>
      <c r="H732" s="17"/>
    </row>
    <row r="733" spans="1:8" ht="16.5" customHeight="1">
      <c r="A733" s="17"/>
      <c r="B733" s="65"/>
      <c r="C733" s="65"/>
      <c r="F733" s="17"/>
      <c r="G733" s="17"/>
      <c r="H733" s="17"/>
    </row>
    <row r="734" spans="1:8" ht="16.5" customHeight="1">
      <c r="A734" s="17"/>
      <c r="B734" s="65"/>
      <c r="C734" s="65"/>
      <c r="F734" s="17"/>
      <c r="G734" s="17"/>
      <c r="H734" s="17"/>
    </row>
    <row r="735" spans="1:8" ht="16.5" customHeight="1">
      <c r="A735" s="17"/>
      <c r="B735" s="65"/>
      <c r="C735" s="65"/>
      <c r="F735" s="17"/>
      <c r="G735" s="17"/>
      <c r="H735" s="17"/>
    </row>
    <row r="736" spans="1:8" ht="16.5" customHeight="1">
      <c r="A736" s="17"/>
      <c r="B736" s="65"/>
      <c r="C736" s="65"/>
      <c r="F736" s="17"/>
      <c r="G736" s="17"/>
      <c r="H736" s="17"/>
    </row>
    <row r="737" spans="1:8" ht="16.5" customHeight="1">
      <c r="A737" s="17"/>
      <c r="B737" s="65"/>
      <c r="C737" s="65"/>
      <c r="F737" s="17"/>
      <c r="G737" s="17"/>
      <c r="H737" s="17"/>
    </row>
    <row r="738" spans="1:8" ht="16.5" customHeight="1">
      <c r="A738" s="17"/>
      <c r="B738" s="65"/>
      <c r="C738" s="65"/>
      <c r="F738" s="17"/>
      <c r="G738" s="17"/>
      <c r="H738" s="17"/>
    </row>
    <row r="739" spans="1:8" ht="16.5" customHeight="1">
      <c r="A739" s="17"/>
      <c r="B739" s="65"/>
      <c r="C739" s="65"/>
      <c r="F739" s="17"/>
      <c r="G739" s="17"/>
      <c r="H739" s="17"/>
    </row>
    <row r="740" spans="1:8" ht="16.5" customHeight="1">
      <c r="A740" s="17"/>
      <c r="B740" s="65"/>
      <c r="C740" s="65"/>
      <c r="F740" s="17"/>
      <c r="G740" s="17"/>
      <c r="H740" s="17"/>
    </row>
    <row r="741" spans="1:8" ht="16.5" customHeight="1">
      <c r="A741" s="17"/>
      <c r="B741" s="65"/>
      <c r="C741" s="65"/>
      <c r="F741" s="17"/>
      <c r="G741" s="17"/>
      <c r="H741" s="17"/>
    </row>
    <row r="742" spans="1:8" ht="16.5" customHeight="1">
      <c r="A742" s="17"/>
      <c r="B742" s="65"/>
      <c r="C742" s="65"/>
      <c r="F742" s="17"/>
      <c r="G742" s="17"/>
      <c r="H742" s="17"/>
    </row>
    <row r="743" spans="1:8" ht="16.5" customHeight="1">
      <c r="A743" s="17"/>
      <c r="B743" s="65"/>
      <c r="C743" s="65"/>
      <c r="F743" s="17"/>
      <c r="G743" s="17"/>
      <c r="H743" s="17"/>
    </row>
    <row r="744" spans="1:8" ht="16.5" customHeight="1">
      <c r="A744" s="17"/>
      <c r="B744" s="65"/>
      <c r="C744" s="65"/>
      <c r="F744" s="17"/>
      <c r="G744" s="17"/>
      <c r="H744" s="17"/>
    </row>
    <row r="745" spans="1:8" ht="16.5" customHeight="1">
      <c r="A745" s="17"/>
      <c r="B745" s="65"/>
      <c r="C745" s="65"/>
      <c r="F745" s="17"/>
      <c r="G745" s="17"/>
      <c r="H745" s="17"/>
    </row>
    <row r="746" spans="1:8" ht="16.5" customHeight="1">
      <c r="A746" s="17"/>
      <c r="B746" s="65"/>
      <c r="C746" s="65"/>
      <c r="F746" s="17"/>
      <c r="G746" s="17"/>
      <c r="H746" s="17"/>
    </row>
    <row r="747" spans="1:8" ht="16.5" customHeight="1">
      <c r="A747" s="17"/>
      <c r="B747" s="65"/>
      <c r="C747" s="65"/>
      <c r="F747" s="17"/>
      <c r="G747" s="17"/>
      <c r="H747" s="17"/>
    </row>
    <row r="748" spans="1:8" ht="16.5" customHeight="1">
      <c r="A748" s="17"/>
      <c r="B748" s="65"/>
      <c r="C748" s="65"/>
      <c r="F748" s="17"/>
      <c r="G748" s="17"/>
      <c r="H748" s="17"/>
    </row>
    <row r="749" spans="1:8" ht="16.5" customHeight="1">
      <c r="A749" s="17"/>
      <c r="B749" s="65"/>
      <c r="C749" s="65"/>
      <c r="F749" s="17"/>
      <c r="G749" s="17"/>
      <c r="H749" s="17"/>
    </row>
    <row r="750" spans="1:8" ht="16.5" customHeight="1">
      <c r="A750" s="17"/>
      <c r="B750" s="65"/>
      <c r="C750" s="65"/>
      <c r="F750" s="17"/>
      <c r="G750" s="17"/>
      <c r="H750" s="17"/>
    </row>
    <row r="751" spans="1:8" ht="16.5" customHeight="1">
      <c r="A751" s="17"/>
      <c r="B751" s="65"/>
      <c r="C751" s="65"/>
      <c r="F751" s="17"/>
      <c r="G751" s="17"/>
      <c r="H751" s="17"/>
    </row>
    <row r="752" spans="1:8" ht="16.5" customHeight="1">
      <c r="A752" s="17"/>
      <c r="B752" s="65"/>
      <c r="C752" s="65"/>
      <c r="F752" s="17"/>
      <c r="G752" s="17"/>
      <c r="H752" s="17"/>
    </row>
    <row r="753" spans="1:8" ht="16.5" customHeight="1">
      <c r="A753" s="17"/>
      <c r="B753" s="65"/>
      <c r="C753" s="65"/>
      <c r="F753" s="17"/>
      <c r="G753" s="17"/>
      <c r="H753" s="17"/>
    </row>
    <row r="754" spans="1:8" ht="16.5" customHeight="1">
      <c r="A754" s="17"/>
      <c r="B754" s="65"/>
      <c r="C754" s="65"/>
      <c r="F754" s="17"/>
      <c r="G754" s="17"/>
      <c r="H754" s="17"/>
    </row>
    <row r="755" spans="1:8" ht="16.5" customHeight="1">
      <c r="A755" s="17"/>
      <c r="B755" s="65"/>
      <c r="C755" s="65"/>
      <c r="F755" s="17"/>
      <c r="G755" s="17"/>
      <c r="H755" s="17"/>
    </row>
    <row r="756" spans="1:8" ht="16.5" customHeight="1">
      <c r="A756" s="17"/>
      <c r="B756" s="65"/>
      <c r="C756" s="65"/>
      <c r="F756" s="17"/>
      <c r="G756" s="17"/>
      <c r="H756" s="17"/>
    </row>
    <row r="757" spans="1:8" ht="16.5" customHeight="1">
      <c r="A757" s="17"/>
      <c r="B757" s="65"/>
      <c r="C757" s="65"/>
      <c r="F757" s="17"/>
      <c r="G757" s="17"/>
      <c r="H757" s="17"/>
    </row>
    <row r="758" spans="1:8" ht="16.5" customHeight="1">
      <c r="A758" s="17"/>
      <c r="B758" s="65"/>
      <c r="C758" s="65"/>
      <c r="F758" s="17"/>
      <c r="G758" s="17"/>
      <c r="H758" s="17"/>
    </row>
    <row r="759" spans="1:8" ht="16.5" customHeight="1">
      <c r="A759" s="17"/>
      <c r="B759" s="65"/>
      <c r="C759" s="65"/>
      <c r="F759" s="17"/>
      <c r="G759" s="17"/>
      <c r="H759" s="17"/>
    </row>
    <row r="760" spans="1:8" ht="16.5" customHeight="1">
      <c r="A760" s="17"/>
      <c r="B760" s="65"/>
      <c r="C760" s="65"/>
      <c r="F760" s="17"/>
      <c r="G760" s="17"/>
      <c r="H760" s="17"/>
    </row>
    <row r="761" spans="1:8" ht="16.5" customHeight="1">
      <c r="A761" s="17"/>
      <c r="B761" s="65"/>
      <c r="C761" s="65"/>
      <c r="F761" s="17"/>
      <c r="G761" s="17"/>
      <c r="H761" s="17"/>
    </row>
    <row r="762" spans="1:8" ht="16.5" customHeight="1">
      <c r="A762" s="17"/>
      <c r="B762" s="65"/>
      <c r="C762" s="65"/>
      <c r="F762" s="17"/>
      <c r="G762" s="17"/>
      <c r="H762" s="17"/>
    </row>
    <row r="763" spans="1:8" ht="16.5" customHeight="1">
      <c r="A763" s="17"/>
      <c r="B763" s="65"/>
      <c r="C763" s="65"/>
      <c r="F763" s="17"/>
      <c r="G763" s="17"/>
      <c r="H763" s="17"/>
    </row>
    <row r="764" spans="1:8" ht="16.5" customHeight="1">
      <c r="A764" s="17"/>
      <c r="B764" s="65"/>
      <c r="C764" s="65"/>
      <c r="F764" s="17"/>
      <c r="G764" s="17"/>
      <c r="H764" s="17"/>
    </row>
    <row r="765" spans="1:8" ht="16.5" customHeight="1">
      <c r="A765" s="17"/>
      <c r="B765" s="65"/>
      <c r="C765" s="65"/>
      <c r="F765" s="17"/>
      <c r="G765" s="17"/>
      <c r="H765" s="17"/>
    </row>
    <row r="766" spans="1:8" ht="16.5" customHeight="1">
      <c r="A766" s="17"/>
      <c r="B766" s="65"/>
      <c r="C766" s="65"/>
      <c r="F766" s="17"/>
      <c r="G766" s="17"/>
      <c r="H766" s="17"/>
    </row>
    <row r="767" spans="1:8" ht="16.5" customHeight="1">
      <c r="A767" s="17"/>
      <c r="B767" s="65"/>
      <c r="C767" s="65"/>
      <c r="F767" s="17"/>
      <c r="G767" s="17"/>
      <c r="H767" s="17"/>
    </row>
    <row r="768" spans="1:8" ht="16.5" customHeight="1">
      <c r="A768" s="17"/>
      <c r="B768" s="65"/>
      <c r="C768" s="65"/>
      <c r="F768" s="17"/>
      <c r="G768" s="17"/>
      <c r="H768" s="17"/>
    </row>
    <row r="769" spans="1:8" ht="16.5" customHeight="1">
      <c r="A769" s="17"/>
      <c r="B769" s="65"/>
      <c r="C769" s="65"/>
      <c r="F769" s="17"/>
      <c r="G769" s="17"/>
      <c r="H769" s="17"/>
    </row>
    <row r="770" spans="1:8" ht="16.5" customHeight="1">
      <c r="A770" s="17"/>
      <c r="B770" s="65"/>
      <c r="C770" s="65"/>
      <c r="F770" s="17"/>
      <c r="G770" s="17"/>
      <c r="H770" s="17"/>
    </row>
    <row r="771" spans="1:8" ht="16.5" customHeight="1">
      <c r="A771" s="17"/>
      <c r="B771" s="65"/>
      <c r="C771" s="65"/>
      <c r="F771" s="17"/>
      <c r="G771" s="17"/>
      <c r="H771" s="17"/>
    </row>
    <row r="772" spans="1:8" ht="16.5" customHeight="1">
      <c r="A772" s="17"/>
      <c r="B772" s="65"/>
      <c r="C772" s="65"/>
      <c r="F772" s="17"/>
      <c r="G772" s="17"/>
      <c r="H772" s="17"/>
    </row>
    <row r="773" spans="1:8" ht="16.5" customHeight="1">
      <c r="A773" s="17"/>
      <c r="B773" s="65"/>
      <c r="C773" s="65"/>
      <c r="F773" s="17"/>
      <c r="G773" s="17"/>
      <c r="H773" s="17"/>
    </row>
    <row r="774" spans="1:8" ht="16.5" customHeight="1">
      <c r="A774" s="17"/>
      <c r="B774" s="65"/>
      <c r="C774" s="65"/>
      <c r="F774" s="17"/>
      <c r="G774" s="17"/>
      <c r="H774" s="17"/>
    </row>
    <row r="775" spans="1:8" ht="16.5" customHeight="1">
      <c r="A775" s="17"/>
      <c r="B775" s="65"/>
      <c r="C775" s="65"/>
      <c r="F775" s="17"/>
      <c r="G775" s="17"/>
      <c r="H775" s="17"/>
    </row>
    <row r="776" spans="1:8" ht="16.5" customHeight="1">
      <c r="A776" s="17"/>
      <c r="B776" s="65"/>
      <c r="C776" s="65"/>
      <c r="F776" s="17"/>
      <c r="G776" s="17"/>
      <c r="H776" s="17"/>
    </row>
    <row r="777" spans="1:8" ht="16.5" customHeight="1">
      <c r="A777" s="17"/>
      <c r="B777" s="65"/>
      <c r="C777" s="65"/>
      <c r="F777" s="17"/>
      <c r="G777" s="17"/>
      <c r="H777" s="17"/>
    </row>
    <row r="778" spans="1:8" ht="16.5" customHeight="1">
      <c r="A778" s="17"/>
      <c r="B778" s="65"/>
      <c r="C778" s="65"/>
      <c r="F778" s="17"/>
      <c r="G778" s="17"/>
      <c r="H778" s="17"/>
    </row>
    <row r="779" spans="1:8" ht="16.5" customHeight="1">
      <c r="A779" s="17"/>
      <c r="B779" s="65"/>
      <c r="C779" s="65"/>
      <c r="F779" s="17"/>
      <c r="G779" s="17"/>
      <c r="H779" s="17"/>
    </row>
    <row r="780" spans="1:8" ht="16.5" customHeight="1">
      <c r="A780" s="17"/>
      <c r="B780" s="65"/>
      <c r="C780" s="65"/>
      <c r="F780" s="17"/>
      <c r="G780" s="17"/>
      <c r="H780" s="17"/>
    </row>
    <row r="781" spans="1:8" ht="16.5" customHeight="1">
      <c r="A781" s="17"/>
      <c r="B781" s="65"/>
      <c r="C781" s="65"/>
      <c r="F781" s="17"/>
      <c r="G781" s="17"/>
      <c r="H781" s="17"/>
    </row>
    <row r="782" spans="1:8" ht="16.5" customHeight="1">
      <c r="A782" s="17"/>
      <c r="B782" s="65"/>
      <c r="C782" s="65"/>
      <c r="F782" s="17"/>
      <c r="G782" s="17"/>
      <c r="H782" s="17"/>
    </row>
    <row r="783" spans="1:8" ht="16.5" customHeight="1">
      <c r="A783" s="17"/>
      <c r="B783" s="65"/>
      <c r="C783" s="65"/>
      <c r="F783" s="17"/>
      <c r="G783" s="17"/>
      <c r="H783" s="17"/>
    </row>
    <row r="784" spans="1:8" ht="16.5" customHeight="1">
      <c r="A784" s="17"/>
      <c r="B784" s="65"/>
      <c r="C784" s="65"/>
      <c r="F784" s="17"/>
      <c r="G784" s="17"/>
      <c r="H784" s="17"/>
    </row>
    <row r="785" spans="1:8" ht="16.5" customHeight="1">
      <c r="A785" s="17"/>
      <c r="B785" s="65"/>
      <c r="C785" s="65"/>
      <c r="F785" s="17"/>
      <c r="G785" s="17"/>
      <c r="H785" s="17"/>
    </row>
    <row r="786" spans="1:8" ht="16.5" customHeight="1">
      <c r="A786" s="17"/>
      <c r="B786" s="65"/>
      <c r="C786" s="65"/>
      <c r="F786" s="17"/>
      <c r="G786" s="17"/>
      <c r="H786" s="17"/>
    </row>
    <row r="787" spans="1:8" ht="16.5" customHeight="1">
      <c r="A787" s="17"/>
      <c r="B787" s="65"/>
      <c r="C787" s="65"/>
      <c r="F787" s="17"/>
      <c r="G787" s="17"/>
      <c r="H787" s="17"/>
    </row>
    <row r="788" spans="1:8" ht="16.5" customHeight="1">
      <c r="A788" s="17"/>
      <c r="B788" s="65"/>
      <c r="C788" s="65"/>
      <c r="F788" s="17"/>
      <c r="G788" s="17"/>
      <c r="H788" s="17"/>
    </row>
    <row r="789" spans="1:8" ht="16.5" customHeight="1">
      <c r="A789" s="17"/>
      <c r="B789" s="65"/>
      <c r="C789" s="65"/>
      <c r="F789" s="17"/>
      <c r="G789" s="17"/>
      <c r="H789" s="17"/>
    </row>
    <row r="790" spans="1:8" ht="16.5" customHeight="1">
      <c r="A790" s="17"/>
      <c r="B790" s="65"/>
      <c r="C790" s="65"/>
      <c r="F790" s="17"/>
      <c r="G790" s="17"/>
      <c r="H790" s="17"/>
    </row>
    <row r="791" spans="1:8" ht="16.5" customHeight="1">
      <c r="A791" s="17"/>
      <c r="B791" s="65"/>
      <c r="C791" s="65"/>
      <c r="F791" s="17"/>
      <c r="G791" s="17"/>
      <c r="H791" s="17"/>
    </row>
    <row r="792" spans="1:8" ht="16.5" customHeight="1">
      <c r="A792" s="17"/>
      <c r="B792" s="65"/>
      <c r="C792" s="65"/>
      <c r="F792" s="17"/>
      <c r="G792" s="17"/>
      <c r="H792" s="17"/>
    </row>
    <row r="793" spans="1:8" ht="16.5" customHeight="1">
      <c r="A793" s="17"/>
      <c r="B793" s="65"/>
      <c r="C793" s="65"/>
      <c r="F793" s="17"/>
      <c r="G793" s="17"/>
      <c r="H793" s="17"/>
    </row>
    <row r="794" spans="1:8" ht="16.5" customHeight="1">
      <c r="A794" s="17"/>
      <c r="B794" s="65"/>
      <c r="C794" s="65"/>
      <c r="F794" s="17"/>
      <c r="G794" s="17"/>
      <c r="H794" s="17"/>
    </row>
    <row r="795" spans="1:8" ht="16.5" customHeight="1">
      <c r="A795" s="17"/>
      <c r="B795" s="65"/>
      <c r="C795" s="65"/>
      <c r="F795" s="17"/>
      <c r="G795" s="17"/>
      <c r="H795" s="17"/>
    </row>
    <row r="796" spans="1:8" ht="16.5" customHeight="1">
      <c r="A796" s="17"/>
      <c r="B796" s="65"/>
      <c r="C796" s="65"/>
      <c r="F796" s="17"/>
      <c r="G796" s="17"/>
      <c r="H796" s="17"/>
    </row>
    <row r="797" spans="1:8" ht="16.5" customHeight="1">
      <c r="A797" s="17"/>
      <c r="B797" s="65"/>
      <c r="C797" s="65"/>
      <c r="F797" s="17"/>
      <c r="G797" s="17"/>
      <c r="H797" s="17"/>
    </row>
    <row r="798" spans="1:8" ht="16.5" customHeight="1">
      <c r="A798" s="17"/>
      <c r="B798" s="65"/>
      <c r="C798" s="65"/>
      <c r="F798" s="17"/>
      <c r="G798" s="17"/>
      <c r="H798" s="17"/>
    </row>
    <row r="799" spans="1:8" ht="16.5" customHeight="1">
      <c r="A799" s="17"/>
      <c r="B799" s="65"/>
      <c r="C799" s="65"/>
      <c r="F799" s="17"/>
      <c r="G799" s="17"/>
      <c r="H799" s="17"/>
    </row>
    <row r="800" spans="1:8" ht="16.5" customHeight="1">
      <c r="A800" s="17"/>
      <c r="B800" s="65"/>
      <c r="C800" s="65"/>
      <c r="F800" s="17"/>
      <c r="G800" s="17"/>
      <c r="H800" s="17"/>
    </row>
    <row r="801" spans="1:8" ht="16.5" customHeight="1">
      <c r="A801" s="17"/>
      <c r="B801" s="65"/>
      <c r="C801" s="65"/>
      <c r="F801" s="17"/>
      <c r="G801" s="17"/>
      <c r="H801" s="17"/>
    </row>
    <row r="802" spans="1:8" ht="16.5" customHeight="1">
      <c r="A802" s="17"/>
      <c r="B802" s="65"/>
      <c r="C802" s="65"/>
      <c r="F802" s="17"/>
      <c r="G802" s="17"/>
      <c r="H802" s="17"/>
    </row>
    <row r="803" spans="1:8" ht="16.5" customHeight="1">
      <c r="A803" s="17"/>
      <c r="B803" s="65"/>
      <c r="C803" s="65"/>
      <c r="F803" s="17"/>
      <c r="G803" s="17"/>
      <c r="H803" s="17"/>
    </row>
    <row r="804" spans="1:8" ht="16.5" customHeight="1">
      <c r="A804" s="17"/>
      <c r="B804" s="65"/>
      <c r="C804" s="65"/>
      <c r="F804" s="17"/>
      <c r="G804" s="17"/>
      <c r="H804" s="17"/>
    </row>
    <row r="805" spans="1:8" ht="16.5" customHeight="1">
      <c r="A805" s="17"/>
      <c r="B805" s="65"/>
      <c r="C805" s="65"/>
      <c r="F805" s="17"/>
      <c r="G805" s="17"/>
      <c r="H805" s="17"/>
    </row>
    <row r="806" spans="1:8" ht="16.5" customHeight="1">
      <c r="A806" s="17"/>
      <c r="B806" s="65"/>
      <c r="C806" s="65"/>
      <c r="F806" s="17"/>
      <c r="G806" s="17"/>
      <c r="H806" s="17"/>
    </row>
    <row r="807" spans="1:8" ht="16.5" customHeight="1">
      <c r="A807" s="17"/>
      <c r="B807" s="65"/>
      <c r="C807" s="65"/>
      <c r="F807" s="17"/>
      <c r="G807" s="17"/>
      <c r="H807" s="17"/>
    </row>
    <row r="808" spans="1:8" ht="16.5" customHeight="1">
      <c r="A808" s="17"/>
      <c r="B808" s="65"/>
      <c r="C808" s="65"/>
      <c r="F808" s="17"/>
      <c r="G808" s="17"/>
      <c r="H808" s="17"/>
    </row>
    <row r="809" spans="1:8" ht="16.5" customHeight="1">
      <c r="A809" s="17"/>
      <c r="B809" s="65"/>
      <c r="C809" s="65"/>
      <c r="F809" s="17"/>
      <c r="G809" s="17"/>
      <c r="H809" s="17"/>
    </row>
    <row r="810" spans="1:8" ht="16.5" customHeight="1">
      <c r="A810" s="17"/>
      <c r="B810" s="65"/>
      <c r="C810" s="65"/>
      <c r="F810" s="17"/>
      <c r="G810" s="17"/>
      <c r="H810" s="17"/>
    </row>
    <row r="811" spans="1:8" ht="16.5" customHeight="1">
      <c r="A811" s="17"/>
      <c r="B811" s="65"/>
      <c r="C811" s="65"/>
      <c r="F811" s="17"/>
      <c r="G811" s="17"/>
      <c r="H811" s="17"/>
    </row>
    <row r="812" spans="1:8" ht="16.5" customHeight="1">
      <c r="A812" s="17"/>
      <c r="B812" s="65"/>
      <c r="C812" s="65"/>
      <c r="F812" s="17"/>
      <c r="G812" s="17"/>
      <c r="H812" s="17"/>
    </row>
    <row r="813" spans="1:8" ht="16.5" customHeight="1">
      <c r="A813" s="17"/>
      <c r="B813" s="65"/>
      <c r="C813" s="65"/>
      <c r="F813" s="17"/>
      <c r="G813" s="17"/>
      <c r="H813" s="17"/>
    </row>
    <row r="814" spans="1:8" ht="16.5" customHeight="1">
      <c r="A814" s="17"/>
      <c r="B814" s="65"/>
      <c r="C814" s="65"/>
      <c r="F814" s="17"/>
      <c r="G814" s="17"/>
      <c r="H814" s="17"/>
    </row>
    <row r="815" spans="1:8" ht="16.5" customHeight="1">
      <c r="A815" s="17"/>
      <c r="B815" s="65"/>
      <c r="C815" s="65"/>
      <c r="F815" s="17"/>
      <c r="G815" s="17"/>
      <c r="H815" s="17"/>
    </row>
    <row r="816" spans="1:8" ht="16.5" customHeight="1">
      <c r="A816" s="17"/>
      <c r="B816" s="65"/>
      <c r="C816" s="65"/>
      <c r="F816" s="17"/>
      <c r="G816" s="17"/>
      <c r="H816" s="17"/>
    </row>
    <row r="817" spans="1:8" ht="16.5" customHeight="1">
      <c r="A817" s="17"/>
      <c r="B817" s="65"/>
      <c r="C817" s="65"/>
      <c r="F817" s="17"/>
      <c r="G817" s="17"/>
      <c r="H817" s="17"/>
    </row>
    <row r="818" spans="1:8" ht="16.5" customHeight="1">
      <c r="A818" s="17"/>
      <c r="B818" s="65"/>
      <c r="C818" s="65"/>
      <c r="F818" s="17"/>
      <c r="G818" s="17"/>
      <c r="H818" s="17"/>
    </row>
    <row r="819" spans="1:8" ht="16.5" customHeight="1">
      <c r="A819" s="17"/>
      <c r="B819" s="65"/>
      <c r="C819" s="65"/>
      <c r="F819" s="17"/>
      <c r="G819" s="17"/>
      <c r="H819" s="17"/>
    </row>
    <row r="820" spans="1:8" ht="16.5" customHeight="1">
      <c r="A820" s="17"/>
      <c r="B820" s="65"/>
      <c r="C820" s="65"/>
      <c r="F820" s="17"/>
      <c r="G820" s="17"/>
      <c r="H820" s="17"/>
    </row>
    <row r="821" spans="1:8" ht="16.5" customHeight="1">
      <c r="A821" s="17"/>
      <c r="B821" s="65"/>
      <c r="C821" s="65"/>
      <c r="F821" s="17"/>
      <c r="G821" s="17"/>
      <c r="H821" s="17"/>
    </row>
    <row r="822" spans="1:8" ht="16.5" customHeight="1">
      <c r="A822" s="17"/>
      <c r="B822" s="65"/>
      <c r="C822" s="65"/>
      <c r="F822" s="17"/>
      <c r="G822" s="17"/>
      <c r="H822" s="17"/>
    </row>
    <row r="823" spans="1:8" ht="16.5" customHeight="1">
      <c r="A823" s="17"/>
      <c r="B823" s="65"/>
      <c r="C823" s="65"/>
      <c r="F823" s="17"/>
      <c r="G823" s="17"/>
      <c r="H823" s="17"/>
    </row>
    <row r="824" spans="1:8" ht="16.5" customHeight="1">
      <c r="A824" s="17"/>
      <c r="B824" s="65"/>
      <c r="C824" s="65"/>
      <c r="F824" s="17"/>
      <c r="G824" s="17"/>
      <c r="H824" s="17"/>
    </row>
    <row r="825" spans="1:8" ht="16.5" customHeight="1">
      <c r="A825" s="17"/>
      <c r="B825" s="65"/>
      <c r="C825" s="65"/>
      <c r="F825" s="17"/>
      <c r="G825" s="17"/>
      <c r="H825" s="17"/>
    </row>
    <row r="826" spans="1:8" ht="16.5" customHeight="1">
      <c r="A826" s="17"/>
      <c r="B826" s="65"/>
      <c r="C826" s="65"/>
      <c r="F826" s="17"/>
      <c r="G826" s="17"/>
      <c r="H826" s="17"/>
    </row>
    <row r="827" spans="1:8" ht="16.5" customHeight="1">
      <c r="A827" s="17"/>
      <c r="B827" s="65"/>
      <c r="C827" s="65"/>
      <c r="F827" s="17"/>
      <c r="G827" s="17"/>
      <c r="H827" s="17"/>
    </row>
    <row r="828" spans="1:8" ht="16.5" customHeight="1">
      <c r="A828" s="17"/>
      <c r="B828" s="65"/>
      <c r="C828" s="65"/>
      <c r="F828" s="17"/>
      <c r="G828" s="17"/>
      <c r="H828" s="17"/>
    </row>
    <row r="829" spans="1:8" ht="16.5" customHeight="1">
      <c r="A829" s="17"/>
      <c r="B829" s="65"/>
      <c r="C829" s="65"/>
      <c r="F829" s="17"/>
      <c r="G829" s="17"/>
      <c r="H829" s="17"/>
    </row>
    <row r="830" spans="1:8" ht="16.5" customHeight="1">
      <c r="A830" s="17"/>
      <c r="B830" s="65"/>
      <c r="C830" s="65"/>
      <c r="F830" s="17"/>
      <c r="G830" s="17"/>
      <c r="H830" s="17"/>
    </row>
    <row r="831" spans="1:8" ht="16.5" customHeight="1">
      <c r="A831" s="17"/>
      <c r="B831" s="65"/>
      <c r="C831" s="65"/>
      <c r="F831" s="17"/>
      <c r="G831" s="17"/>
      <c r="H831" s="17"/>
    </row>
    <row r="832" spans="1:8" ht="16.5" customHeight="1">
      <c r="A832" s="17"/>
      <c r="B832" s="65"/>
      <c r="C832" s="65"/>
      <c r="F832" s="17"/>
      <c r="G832" s="17"/>
      <c r="H832" s="17"/>
    </row>
    <row r="833" spans="1:8" ht="16.5" customHeight="1">
      <c r="A833" s="17"/>
      <c r="B833" s="65"/>
      <c r="C833" s="65"/>
      <c r="F833" s="17"/>
      <c r="G833" s="17"/>
      <c r="H833" s="17"/>
    </row>
    <row r="834" spans="1:8" ht="16.5" customHeight="1">
      <c r="A834" s="17"/>
      <c r="B834" s="65"/>
      <c r="C834" s="65"/>
      <c r="F834" s="17"/>
      <c r="G834" s="17"/>
      <c r="H834" s="17"/>
    </row>
    <row r="835" spans="1:8" ht="16.5" customHeight="1">
      <c r="A835" s="17"/>
      <c r="B835" s="65"/>
      <c r="C835" s="65"/>
      <c r="F835" s="17"/>
      <c r="G835" s="17"/>
      <c r="H835" s="17"/>
    </row>
    <row r="836" spans="1:8" ht="16.5" customHeight="1">
      <c r="A836" s="17"/>
      <c r="B836" s="65"/>
      <c r="C836" s="65"/>
      <c r="F836" s="17"/>
      <c r="G836" s="17"/>
      <c r="H836" s="17"/>
    </row>
    <row r="837" spans="1:8" ht="16.5" customHeight="1">
      <c r="A837" s="17"/>
      <c r="B837" s="65"/>
      <c r="C837" s="65"/>
      <c r="F837" s="17"/>
      <c r="G837" s="17"/>
      <c r="H837" s="17"/>
    </row>
    <row r="838" spans="1:8" ht="16.5" customHeight="1">
      <c r="A838" s="17"/>
      <c r="B838" s="65"/>
      <c r="C838" s="65"/>
      <c r="F838" s="17"/>
      <c r="G838" s="17"/>
      <c r="H838" s="17"/>
    </row>
    <row r="839" spans="1:8" ht="16.5" customHeight="1">
      <c r="A839" s="17"/>
      <c r="B839" s="65"/>
      <c r="C839" s="65"/>
      <c r="F839" s="17"/>
      <c r="G839" s="17"/>
      <c r="H839" s="17"/>
    </row>
    <row r="840" spans="1:8" ht="16.5" customHeight="1">
      <c r="A840" s="17"/>
      <c r="B840" s="65"/>
      <c r="C840" s="65"/>
      <c r="F840" s="17"/>
      <c r="G840" s="17"/>
      <c r="H840" s="17"/>
    </row>
    <row r="841" spans="1:8" ht="16.5" customHeight="1">
      <c r="A841" s="17"/>
      <c r="B841" s="65"/>
      <c r="C841" s="65"/>
      <c r="F841" s="17"/>
      <c r="G841" s="17"/>
      <c r="H841" s="17"/>
    </row>
    <row r="842" spans="1:8" ht="16.5" customHeight="1">
      <c r="A842" s="17"/>
      <c r="B842" s="65"/>
      <c r="C842" s="65"/>
      <c r="F842" s="17"/>
      <c r="G842" s="17"/>
      <c r="H842" s="17"/>
    </row>
    <row r="843" spans="1:8" ht="16.5" customHeight="1">
      <c r="A843" s="17"/>
      <c r="B843" s="65"/>
      <c r="C843" s="65"/>
      <c r="F843" s="17"/>
      <c r="G843" s="17"/>
      <c r="H843" s="17"/>
    </row>
    <row r="844" spans="1:8" ht="16.5" customHeight="1">
      <c r="A844" s="17"/>
      <c r="B844" s="65"/>
      <c r="C844" s="65"/>
      <c r="F844" s="17"/>
      <c r="G844" s="17"/>
      <c r="H844" s="17"/>
    </row>
    <row r="845" spans="1:8" ht="16.5" customHeight="1">
      <c r="A845" s="17"/>
      <c r="B845" s="65"/>
      <c r="C845" s="65"/>
      <c r="F845" s="17"/>
      <c r="G845" s="17"/>
      <c r="H845" s="17"/>
    </row>
    <row r="846" spans="1:8" ht="16.5" customHeight="1">
      <c r="A846" s="17"/>
      <c r="B846" s="65"/>
      <c r="C846" s="65"/>
      <c r="F846" s="17"/>
      <c r="G846" s="17"/>
      <c r="H846" s="17"/>
    </row>
    <row r="847" spans="1:8" ht="16.5" customHeight="1">
      <c r="A847" s="17"/>
      <c r="B847" s="65"/>
      <c r="C847" s="65"/>
      <c r="F847" s="17"/>
      <c r="G847" s="17"/>
      <c r="H847" s="17"/>
    </row>
    <row r="848" spans="1:8" ht="16.5" customHeight="1">
      <c r="A848" s="17"/>
      <c r="B848" s="65"/>
      <c r="C848" s="65"/>
      <c r="F848" s="17"/>
      <c r="G848" s="17"/>
      <c r="H848" s="17"/>
    </row>
    <row r="849" spans="1:8" ht="16.5" customHeight="1">
      <c r="A849" s="17"/>
      <c r="B849" s="65"/>
      <c r="C849" s="65"/>
      <c r="F849" s="17"/>
      <c r="G849" s="17"/>
      <c r="H849" s="17"/>
    </row>
    <row r="850" spans="1:8" ht="16.5" customHeight="1">
      <c r="A850" s="17"/>
      <c r="B850" s="65"/>
      <c r="C850" s="65"/>
      <c r="F850" s="17"/>
      <c r="G850" s="17"/>
      <c r="H850" s="17"/>
    </row>
    <row r="851" spans="1:8" ht="16.5" customHeight="1">
      <c r="A851" s="17"/>
      <c r="B851" s="65"/>
      <c r="C851" s="65"/>
      <c r="F851" s="17"/>
      <c r="G851" s="17"/>
      <c r="H851" s="17"/>
    </row>
    <row r="852" spans="1:8" ht="16.5" customHeight="1">
      <c r="A852" s="17"/>
      <c r="B852" s="65"/>
      <c r="C852" s="65"/>
      <c r="F852" s="17"/>
      <c r="G852" s="17"/>
      <c r="H852" s="17"/>
    </row>
    <row r="853" spans="1:8" ht="16.5" customHeight="1">
      <c r="A853" s="17"/>
      <c r="B853" s="65"/>
      <c r="C853" s="65"/>
      <c r="F853" s="17"/>
      <c r="G853" s="17"/>
      <c r="H853" s="17"/>
    </row>
    <row r="854" spans="1:8" ht="16.5" customHeight="1">
      <c r="A854" s="17"/>
      <c r="B854" s="65"/>
      <c r="C854" s="65"/>
      <c r="F854" s="17"/>
      <c r="G854" s="17"/>
      <c r="H854" s="17"/>
    </row>
    <row r="855" spans="1:8" ht="16.5" customHeight="1">
      <c r="A855" s="17"/>
      <c r="B855" s="65"/>
      <c r="C855" s="65"/>
      <c r="F855" s="17"/>
      <c r="G855" s="17"/>
      <c r="H855" s="17"/>
    </row>
    <row r="856" spans="1:8" ht="16.5" customHeight="1">
      <c r="A856" s="17"/>
      <c r="B856" s="65"/>
      <c r="C856" s="65"/>
      <c r="F856" s="17"/>
      <c r="G856" s="17"/>
      <c r="H856" s="17"/>
    </row>
    <row r="857" spans="1:8" ht="16.5" customHeight="1">
      <c r="A857" s="17"/>
      <c r="B857" s="65"/>
      <c r="C857" s="65"/>
      <c r="F857" s="17"/>
      <c r="G857" s="17"/>
      <c r="H857" s="17"/>
    </row>
    <row r="858" spans="1:8" ht="16.5" customHeight="1">
      <c r="A858" s="17"/>
      <c r="B858" s="65"/>
      <c r="C858" s="65"/>
      <c r="F858" s="17"/>
      <c r="G858" s="17"/>
      <c r="H858" s="17"/>
    </row>
    <row r="859" spans="1:8" ht="16.5" customHeight="1">
      <c r="A859" s="17"/>
      <c r="B859" s="65"/>
      <c r="C859" s="65"/>
      <c r="F859" s="17"/>
      <c r="G859" s="17"/>
      <c r="H859" s="17"/>
    </row>
    <row r="860" spans="1:8" ht="16.5" customHeight="1">
      <c r="A860" s="17"/>
      <c r="B860" s="65"/>
      <c r="C860" s="65"/>
      <c r="F860" s="17"/>
      <c r="G860" s="17"/>
      <c r="H860" s="17"/>
    </row>
    <row r="861" spans="1:8" ht="16.5" customHeight="1">
      <c r="A861" s="17"/>
      <c r="B861" s="65"/>
      <c r="C861" s="65"/>
      <c r="F861" s="17"/>
      <c r="G861" s="17"/>
      <c r="H861" s="17"/>
    </row>
    <row r="862" spans="1:8" ht="16.5" customHeight="1">
      <c r="A862" s="17"/>
      <c r="B862" s="65"/>
      <c r="C862" s="65"/>
      <c r="F862" s="17"/>
      <c r="G862" s="17"/>
      <c r="H862" s="17"/>
    </row>
    <row r="863" spans="1:8" ht="16.5" customHeight="1">
      <c r="A863" s="17"/>
      <c r="B863" s="65"/>
      <c r="C863" s="65"/>
      <c r="F863" s="17"/>
      <c r="G863" s="17"/>
      <c r="H863" s="17"/>
    </row>
    <row r="864" spans="1:8" ht="16.5" customHeight="1">
      <c r="A864" s="17"/>
      <c r="B864" s="65"/>
      <c r="C864" s="65"/>
      <c r="F864" s="17"/>
      <c r="G864" s="17"/>
      <c r="H864" s="17"/>
    </row>
    <row r="865" spans="1:8" ht="16.5" customHeight="1">
      <c r="A865" s="17"/>
      <c r="B865" s="65"/>
      <c r="C865" s="65"/>
      <c r="F865" s="17"/>
      <c r="G865" s="17"/>
      <c r="H865" s="17"/>
    </row>
    <row r="866" spans="1:8" ht="16.5" customHeight="1">
      <c r="A866" s="17"/>
      <c r="B866" s="65"/>
      <c r="C866" s="65"/>
      <c r="F866" s="17"/>
      <c r="G866" s="17"/>
      <c r="H866" s="17"/>
    </row>
    <row r="867" spans="1:8" ht="16.5" customHeight="1">
      <c r="A867" s="17"/>
      <c r="B867" s="65"/>
      <c r="C867" s="65"/>
      <c r="F867" s="17"/>
      <c r="G867" s="17"/>
      <c r="H867" s="17"/>
    </row>
    <row r="868" spans="1:8" ht="16.5" customHeight="1">
      <c r="A868" s="17"/>
      <c r="B868" s="65"/>
      <c r="C868" s="65"/>
      <c r="F868" s="17"/>
      <c r="G868" s="17"/>
      <c r="H868" s="17"/>
    </row>
    <row r="869" spans="1:8" ht="16.5" customHeight="1">
      <c r="A869" s="17"/>
      <c r="B869" s="65"/>
      <c r="C869" s="65"/>
      <c r="F869" s="17"/>
      <c r="G869" s="17"/>
      <c r="H869" s="17"/>
    </row>
    <row r="870" spans="1:8" ht="16.5" customHeight="1">
      <c r="A870" s="17"/>
      <c r="B870" s="65"/>
      <c r="C870" s="65"/>
      <c r="F870" s="17"/>
      <c r="G870" s="17"/>
      <c r="H870" s="17"/>
    </row>
    <row r="871" spans="1:8" ht="16.5" customHeight="1">
      <c r="A871" s="17"/>
      <c r="B871" s="65"/>
      <c r="C871" s="65"/>
      <c r="F871" s="17"/>
      <c r="G871" s="17"/>
      <c r="H871" s="17"/>
    </row>
    <row r="872" spans="1:8" ht="16.5" customHeight="1">
      <c r="A872" s="17"/>
      <c r="B872" s="65"/>
      <c r="C872" s="65"/>
      <c r="F872" s="17"/>
      <c r="G872" s="17"/>
      <c r="H872" s="17"/>
    </row>
    <row r="873" spans="1:8" ht="16.5" customHeight="1">
      <c r="A873" s="17"/>
      <c r="B873" s="65"/>
      <c r="C873" s="65"/>
      <c r="F873" s="17"/>
      <c r="G873" s="17"/>
      <c r="H873" s="17"/>
    </row>
    <row r="874" spans="1:8" ht="16.5" customHeight="1">
      <c r="A874" s="17"/>
      <c r="B874" s="65"/>
      <c r="C874" s="65"/>
      <c r="F874" s="17"/>
      <c r="G874" s="17"/>
      <c r="H874" s="17"/>
    </row>
    <row r="875" spans="1:8" ht="16.5" customHeight="1">
      <c r="A875" s="17"/>
      <c r="B875" s="65"/>
      <c r="C875" s="65"/>
      <c r="F875" s="17"/>
      <c r="G875" s="17"/>
      <c r="H875" s="17"/>
    </row>
    <row r="876" spans="1:8" ht="16.5" customHeight="1">
      <c r="A876" s="17"/>
      <c r="B876" s="65"/>
      <c r="C876" s="65"/>
      <c r="F876" s="17"/>
      <c r="G876" s="17"/>
      <c r="H876" s="17"/>
    </row>
    <row r="877" spans="1:8" ht="16.5" customHeight="1">
      <c r="A877" s="17"/>
      <c r="B877" s="65"/>
      <c r="C877" s="65"/>
      <c r="F877" s="17"/>
      <c r="G877" s="17"/>
      <c r="H877" s="17"/>
    </row>
    <row r="878" spans="1:8" ht="16.5" customHeight="1">
      <c r="A878" s="17"/>
      <c r="B878" s="65"/>
      <c r="C878" s="65"/>
      <c r="F878" s="17"/>
      <c r="G878" s="17"/>
      <c r="H878" s="17"/>
    </row>
    <row r="879" spans="1:8" ht="16.5" customHeight="1">
      <c r="A879" s="17"/>
      <c r="B879" s="65"/>
      <c r="C879" s="65"/>
      <c r="F879" s="17"/>
      <c r="G879" s="17"/>
      <c r="H879" s="17"/>
    </row>
    <row r="880" spans="1:8" ht="16.5" customHeight="1">
      <c r="A880" s="17"/>
      <c r="B880" s="65"/>
      <c r="C880" s="65"/>
      <c r="F880" s="17"/>
      <c r="G880" s="17"/>
      <c r="H880" s="17"/>
    </row>
    <row r="881" spans="1:8" ht="16.5" customHeight="1">
      <c r="A881" s="17"/>
      <c r="B881" s="65"/>
      <c r="C881" s="65"/>
      <c r="F881" s="17"/>
      <c r="G881" s="17"/>
      <c r="H881" s="17"/>
    </row>
    <row r="882" spans="1:8" ht="16.5" customHeight="1">
      <c r="A882" s="17"/>
      <c r="B882" s="65"/>
      <c r="C882" s="65"/>
      <c r="F882" s="17"/>
      <c r="G882" s="17"/>
      <c r="H882" s="17"/>
    </row>
    <row r="883" spans="1:8" ht="16.5" customHeight="1">
      <c r="A883" s="17"/>
      <c r="B883" s="65"/>
      <c r="C883" s="65"/>
      <c r="F883" s="17"/>
      <c r="G883" s="17"/>
      <c r="H883" s="17"/>
    </row>
    <row r="884" spans="1:8" ht="16.5" customHeight="1">
      <c r="A884" s="17"/>
      <c r="B884" s="65"/>
      <c r="C884" s="65"/>
      <c r="F884" s="17"/>
      <c r="G884" s="17"/>
      <c r="H884" s="17"/>
    </row>
    <row r="885" spans="1:8" ht="16.5" customHeight="1">
      <c r="A885" s="17"/>
      <c r="B885" s="65"/>
      <c r="C885" s="65"/>
      <c r="F885" s="17"/>
      <c r="G885" s="17"/>
      <c r="H885" s="17"/>
    </row>
    <row r="886" spans="1:8" ht="16.5" customHeight="1">
      <c r="A886" s="17"/>
      <c r="B886" s="65"/>
      <c r="C886" s="65"/>
      <c r="F886" s="17"/>
      <c r="G886" s="17"/>
      <c r="H886" s="17"/>
    </row>
    <row r="887" spans="1:8" ht="16.5" customHeight="1">
      <c r="A887" s="17"/>
      <c r="B887" s="65"/>
      <c r="C887" s="65"/>
      <c r="F887" s="17"/>
      <c r="G887" s="17"/>
      <c r="H887" s="17"/>
    </row>
    <row r="888" spans="1:8" ht="16.5" customHeight="1">
      <c r="A888" s="17"/>
      <c r="B888" s="65"/>
      <c r="C888" s="65"/>
      <c r="F888" s="17"/>
      <c r="G888" s="17"/>
      <c r="H888" s="17"/>
    </row>
    <row r="889" spans="1:8" ht="16.5" customHeight="1">
      <c r="A889" s="17"/>
      <c r="B889" s="65"/>
      <c r="C889" s="65"/>
      <c r="F889" s="17"/>
      <c r="G889" s="17"/>
      <c r="H889" s="17"/>
    </row>
    <row r="890" spans="1:8" ht="16.5" customHeight="1">
      <c r="A890" s="17"/>
      <c r="B890" s="65"/>
      <c r="C890" s="65"/>
      <c r="F890" s="17"/>
      <c r="G890" s="17"/>
      <c r="H890" s="17"/>
    </row>
    <row r="891" spans="1:8" ht="16.5" customHeight="1">
      <c r="A891" s="17"/>
      <c r="B891" s="65"/>
      <c r="C891" s="65"/>
      <c r="F891" s="17"/>
      <c r="G891" s="17"/>
      <c r="H891" s="17"/>
    </row>
    <row r="892" spans="1:8" ht="16.5" customHeight="1">
      <c r="A892" s="17"/>
      <c r="B892" s="65"/>
      <c r="C892" s="65"/>
      <c r="F892" s="17"/>
      <c r="G892" s="17"/>
      <c r="H892" s="17"/>
    </row>
    <row r="893" spans="1:8" ht="16.5" customHeight="1">
      <c r="A893" s="17"/>
      <c r="B893" s="65"/>
      <c r="C893" s="65"/>
      <c r="F893" s="17"/>
      <c r="G893" s="17"/>
      <c r="H893" s="17"/>
    </row>
    <row r="894" spans="1:8" ht="15" customHeight="1">
      <c r="A894" s="17"/>
      <c r="B894" s="65"/>
      <c r="C894" s="65"/>
      <c r="F894" s="17"/>
      <c r="G894" s="17"/>
      <c r="H894" s="17"/>
    </row>
  </sheetData>
  <mergeCells count="6">
    <mergeCell ref="E3:G3"/>
    <mergeCell ref="H3:J3"/>
    <mergeCell ref="K3:M3"/>
    <mergeCell ref="E22:G22"/>
    <mergeCell ref="H22:J22"/>
    <mergeCell ref="K22:M22"/>
  </mergeCells>
  <phoneticPr fontId="9" type="noConversion"/>
  <pageMargins left="0.7" right="0.7" top="0.75" bottom="0.75" header="0" footer="0"/>
  <pageSetup paperSize="9" orientation="landscape" r:id="rId1"/>
  <ignoredErrors>
    <ignoredError sqref="D12" twoDigitTextYear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pageSetUpPr fitToPage="1"/>
  </sheetPr>
  <dimension ref="A1:AM37"/>
  <sheetViews>
    <sheetView showZeros="0" view="pageBreakPreview" topLeftCell="A4" zoomScale="55" zoomScaleNormal="55" zoomScaleSheetLayoutView="55" workbookViewId="0">
      <selection activeCell="AB12" sqref="AB12"/>
    </sheetView>
  </sheetViews>
  <sheetFormatPr defaultColWidth="11.25" defaultRowHeight="15" customHeight="1"/>
  <cols>
    <col min="1" max="5" width="6.5" customWidth="1"/>
    <col min="6" max="6" width="6.5" style="62" customWidth="1"/>
    <col min="7" max="31" width="6.5" customWidth="1"/>
    <col min="32" max="32" width="6.5" style="62" customWidth="1"/>
    <col min="33" max="33" width="10.625" customWidth="1"/>
    <col min="34" max="34" width="13.625" customWidth="1"/>
    <col min="38" max="38" width="15.125" customWidth="1"/>
    <col min="39" max="39" width="21.25" customWidth="1"/>
  </cols>
  <sheetData>
    <row r="1" spans="1:39" ht="16.5" customHeight="1">
      <c r="A1" s="1"/>
      <c r="B1" s="1"/>
      <c r="C1" s="1"/>
      <c r="D1" s="1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  <c r="W1" s="1"/>
      <c r="X1" s="2"/>
      <c r="Y1" s="2"/>
      <c r="Z1" s="2"/>
      <c r="AA1" s="1"/>
      <c r="AB1" s="1"/>
      <c r="AC1" s="1"/>
      <c r="AD1" s="1"/>
      <c r="AE1" s="1"/>
      <c r="AF1" s="1"/>
      <c r="AG1" s="1"/>
      <c r="AH1" s="1"/>
    </row>
    <row r="2" spans="1:39" ht="16.5" customHeight="1">
      <c r="A2" s="1"/>
      <c r="B2" s="1"/>
      <c r="C2" s="1"/>
      <c r="D2" s="1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1"/>
      <c r="S2" s="1"/>
      <c r="T2" s="1"/>
      <c r="U2" s="1"/>
      <c r="V2" s="1"/>
      <c r="W2" s="1"/>
      <c r="X2" s="3"/>
      <c r="Y2" s="3"/>
      <c r="Z2" s="3"/>
      <c r="AA2" s="1"/>
      <c r="AB2" s="1"/>
      <c r="AC2" s="1"/>
      <c r="AD2" s="1"/>
      <c r="AE2" s="1"/>
      <c r="AF2" s="1"/>
      <c r="AG2" s="1"/>
      <c r="AH2" s="1"/>
    </row>
    <row r="3" spans="1:39" ht="50.1" customHeight="1">
      <c r="A3" s="1"/>
      <c r="B3" s="1"/>
      <c r="C3" s="288" t="str">
        <f>CONCATENATE("桃園市政府消防局第三救災救護大隊新坡分隊",班別參數!$D$2,"年",班別參數!$E$2,"月份輪休基準表")</f>
        <v>桃園市政府消防局第三救災救護大隊新坡分隊115年5月份輪休基準表</v>
      </c>
      <c r="D3" s="289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289"/>
      <c r="S3" s="289"/>
      <c r="T3" s="289"/>
      <c r="U3" s="289"/>
      <c r="V3" s="289"/>
      <c r="W3" s="289"/>
      <c r="X3" s="289"/>
      <c r="Y3" s="289"/>
      <c r="Z3" s="289"/>
      <c r="AA3" s="289"/>
      <c r="AB3" s="289"/>
      <c r="AC3" s="289"/>
      <c r="AD3" s="289"/>
      <c r="AE3" s="289"/>
      <c r="AF3" s="289"/>
      <c r="AG3" s="289"/>
      <c r="AH3" s="290"/>
    </row>
    <row r="4" spans="1:39" ht="50.1" customHeight="1">
      <c r="A4" s="1"/>
      <c r="B4" s="1"/>
      <c r="C4" s="181"/>
      <c r="D4" s="181"/>
      <c r="E4" s="182">
        <v>1</v>
      </c>
      <c r="F4" s="182">
        <v>2</v>
      </c>
      <c r="G4" s="182">
        <v>3</v>
      </c>
      <c r="H4" s="182">
        <v>4</v>
      </c>
      <c r="I4" s="182">
        <v>5</v>
      </c>
      <c r="J4" s="182">
        <v>6</v>
      </c>
      <c r="K4" s="182">
        <v>7</v>
      </c>
      <c r="L4" s="182">
        <v>8</v>
      </c>
      <c r="M4" s="182">
        <v>9</v>
      </c>
      <c r="N4" s="182">
        <v>10</v>
      </c>
      <c r="O4" s="182">
        <v>11</v>
      </c>
      <c r="P4" s="182">
        <v>12</v>
      </c>
      <c r="Q4" s="182">
        <v>13</v>
      </c>
      <c r="R4" s="182">
        <v>14</v>
      </c>
      <c r="S4" s="182">
        <v>15</v>
      </c>
      <c r="T4" s="182">
        <v>16</v>
      </c>
      <c r="U4" s="182">
        <v>17</v>
      </c>
      <c r="V4" s="182">
        <v>18</v>
      </c>
      <c r="W4" s="182">
        <v>19</v>
      </c>
      <c r="X4" s="182">
        <v>20</v>
      </c>
      <c r="Y4" s="182">
        <v>21</v>
      </c>
      <c r="Z4" s="182">
        <v>22</v>
      </c>
      <c r="AA4" s="182">
        <v>23</v>
      </c>
      <c r="AB4" s="182">
        <v>24</v>
      </c>
      <c r="AC4" s="182">
        <v>25</v>
      </c>
      <c r="AD4" s="182">
        <v>26</v>
      </c>
      <c r="AE4" s="182">
        <v>27</v>
      </c>
      <c r="AF4" s="182">
        <v>28</v>
      </c>
      <c r="AG4" s="183"/>
      <c r="AH4" s="183"/>
    </row>
    <row r="5" spans="1:39" ht="159.94999999999999" customHeight="1">
      <c r="A5" s="1"/>
      <c r="B5" s="1"/>
      <c r="C5" s="186" t="s">
        <v>97</v>
      </c>
      <c r="D5" s="186" t="s">
        <v>98</v>
      </c>
      <c r="E5" s="187" t="s">
        <v>99</v>
      </c>
      <c r="F5" s="187" t="s">
        <v>102</v>
      </c>
      <c r="G5" s="187" t="s">
        <v>100</v>
      </c>
      <c r="H5" s="187" t="s">
        <v>101</v>
      </c>
      <c r="I5" s="187" t="s">
        <v>281</v>
      </c>
      <c r="J5" s="187" t="s">
        <v>103</v>
      </c>
      <c r="K5" s="187" t="s">
        <v>104</v>
      </c>
      <c r="L5" s="187" t="s">
        <v>105</v>
      </c>
      <c r="M5" s="187" t="s">
        <v>106</v>
      </c>
      <c r="N5" s="187" t="s">
        <v>107</v>
      </c>
      <c r="O5" s="187" t="s">
        <v>108</v>
      </c>
      <c r="P5" s="187" t="s">
        <v>109</v>
      </c>
      <c r="Q5" s="187" t="s">
        <v>110</v>
      </c>
      <c r="R5" s="187" t="s">
        <v>111</v>
      </c>
      <c r="S5" s="187" t="s">
        <v>112</v>
      </c>
      <c r="T5" s="187" t="s">
        <v>113</v>
      </c>
      <c r="U5" s="187" t="s">
        <v>114</v>
      </c>
      <c r="V5" s="187" t="s">
        <v>115</v>
      </c>
      <c r="W5" s="187" t="s">
        <v>116</v>
      </c>
      <c r="X5" s="187" t="s">
        <v>117</v>
      </c>
      <c r="Y5" s="187" t="s">
        <v>118</v>
      </c>
      <c r="Z5" s="187" t="s">
        <v>124</v>
      </c>
      <c r="AA5" s="187" t="s">
        <v>119</v>
      </c>
      <c r="AB5" s="187" t="s">
        <v>120</v>
      </c>
      <c r="AC5" s="187" t="s">
        <v>121</v>
      </c>
      <c r="AD5" s="187" t="s">
        <v>122</v>
      </c>
      <c r="AE5" s="187" t="s">
        <v>123</v>
      </c>
      <c r="AF5" s="187" t="s">
        <v>298</v>
      </c>
      <c r="AG5" s="188" t="s">
        <v>125</v>
      </c>
      <c r="AH5" s="188" t="s">
        <v>303</v>
      </c>
      <c r="AK5" s="185" t="s">
        <v>246</v>
      </c>
      <c r="AL5" s="185" t="s">
        <v>245</v>
      </c>
      <c r="AM5" s="185" t="s">
        <v>297</v>
      </c>
    </row>
    <row r="6" spans="1:39" ht="50.1" customHeight="1">
      <c r="A6" s="1"/>
      <c r="B6" s="1"/>
      <c r="C6" s="181">
        <f>IF((ROW()-5)&lt;=班別參數!$G$2,ROW()-5,"")</f>
        <v>1</v>
      </c>
      <c r="D6" s="182" t="str">
        <f>IF(C6="","",RIGHT(TEXT(1911+班別參數!$D$2&amp;"/"&amp;班別參數!$E$2&amp;"/"&amp;輪休基準表!C6,"aaaa"),1))</f>
        <v>五</v>
      </c>
      <c r="E6" s="197"/>
      <c r="F6" s="197" t="s">
        <v>339</v>
      </c>
      <c r="G6" s="197"/>
      <c r="H6" s="197" t="s">
        <v>339</v>
      </c>
      <c r="I6" s="198" t="s">
        <v>339</v>
      </c>
      <c r="J6" s="198" t="s">
        <v>27</v>
      </c>
      <c r="K6" s="197"/>
      <c r="L6" s="197" t="s">
        <v>339</v>
      </c>
      <c r="M6" s="197"/>
      <c r="N6" s="197" t="s">
        <v>1</v>
      </c>
      <c r="O6" s="197" t="s">
        <v>1</v>
      </c>
      <c r="P6" s="197"/>
      <c r="Q6" s="197" t="s">
        <v>339</v>
      </c>
      <c r="R6" s="197" t="s">
        <v>339</v>
      </c>
      <c r="S6" s="197" t="s">
        <v>1</v>
      </c>
      <c r="T6" s="198"/>
      <c r="U6" s="197" t="s">
        <v>339</v>
      </c>
      <c r="V6" s="197"/>
      <c r="W6" s="197" t="s">
        <v>339</v>
      </c>
      <c r="X6" s="197" t="s">
        <v>339</v>
      </c>
      <c r="Y6" s="197" t="s">
        <v>339</v>
      </c>
      <c r="Z6" s="197" t="s">
        <v>339</v>
      </c>
      <c r="AA6" s="197" t="s">
        <v>339</v>
      </c>
      <c r="AB6" s="197" t="s">
        <v>339</v>
      </c>
      <c r="AC6" s="197" t="s">
        <v>339</v>
      </c>
      <c r="AD6" s="197" t="s">
        <v>339</v>
      </c>
      <c r="AE6" s="197"/>
      <c r="AF6" s="197"/>
      <c r="AG6" s="184">
        <v>9</v>
      </c>
      <c r="AH6" s="184" t="str">
        <f>IF(C6="","",CONCATENATE(COUNTBLANK(E6:I6),"+",COUNTBLANK(J6:AF6)))</f>
        <v>2+7</v>
      </c>
      <c r="AK6" s="185" cm="1">
        <f t="array" ref="AK6:AL33">TRANSPOSE(E4:AF5)</f>
        <v>1</v>
      </c>
      <c r="AL6" s="185" t="str">
        <v>鄧力嘉</v>
      </c>
      <c r="AM6" s="185" t="s">
        <v>295</v>
      </c>
    </row>
    <row r="7" spans="1:39" ht="50.1" customHeight="1">
      <c r="A7" s="1"/>
      <c r="B7" s="1"/>
      <c r="C7" s="181">
        <f>IF((ROW()-5)&lt;=班別參數!$G$2,ROW()-5,"")</f>
        <v>2</v>
      </c>
      <c r="D7" s="182" t="str">
        <f>IF(C7="","",RIGHT(TEXT(1911+班別參數!$D$2&amp;"/"&amp;班別參數!$E$2&amp;"/"&amp;輪休基準表!C7,"aaaa"),1))</f>
        <v>六</v>
      </c>
      <c r="E7" s="197" t="s">
        <v>339</v>
      </c>
      <c r="F7" s="197" t="s">
        <v>1</v>
      </c>
      <c r="G7" s="197" t="s">
        <v>339</v>
      </c>
      <c r="H7" s="197"/>
      <c r="I7" s="198"/>
      <c r="J7" s="198" t="s">
        <v>339</v>
      </c>
      <c r="K7" s="197" t="s">
        <v>339</v>
      </c>
      <c r="L7" s="197"/>
      <c r="M7" s="197" t="s">
        <v>339</v>
      </c>
      <c r="N7" s="197" t="s">
        <v>339</v>
      </c>
      <c r="O7" s="197" t="s">
        <v>339</v>
      </c>
      <c r="P7" s="197" t="s">
        <v>339</v>
      </c>
      <c r="Q7" s="197"/>
      <c r="R7" s="197" t="s">
        <v>339</v>
      </c>
      <c r="S7" s="197" t="s">
        <v>339</v>
      </c>
      <c r="T7" s="198"/>
      <c r="U7" s="197" t="s">
        <v>1</v>
      </c>
      <c r="V7" s="197" t="s">
        <v>339</v>
      </c>
      <c r="W7" s="197"/>
      <c r="X7" s="197" t="s">
        <v>339</v>
      </c>
      <c r="Y7" s="197" t="s">
        <v>27</v>
      </c>
      <c r="Z7" s="197" t="s">
        <v>339</v>
      </c>
      <c r="AA7" s="197" t="s">
        <v>340</v>
      </c>
      <c r="AB7" s="197"/>
      <c r="AC7" s="197"/>
      <c r="AD7" s="197"/>
      <c r="AE7" s="197" t="s">
        <v>339</v>
      </c>
      <c r="AF7" s="197" t="s">
        <v>339</v>
      </c>
      <c r="AG7" s="184">
        <v>9</v>
      </c>
      <c r="AH7" s="184" t="str">
        <f t="shared" ref="AH7:AH36" si="0">IF(C7="","",CONCATENATE(COUNTBLANK(E7:I7),"+",COUNTBLANK(J7:AF7)))</f>
        <v>2+7</v>
      </c>
      <c r="AK7" s="185">
        <v>2</v>
      </c>
      <c r="AL7" s="185" t="str">
        <v>莊勝斌</v>
      </c>
      <c r="AM7" s="185" t="s">
        <v>295</v>
      </c>
    </row>
    <row r="8" spans="1:39" ht="50.1" customHeight="1">
      <c r="A8" s="1"/>
      <c r="B8" s="1"/>
      <c r="C8" s="181">
        <f>IF((ROW()-5)&lt;=班別參數!$G$2,ROW()-5,"")</f>
        <v>3</v>
      </c>
      <c r="D8" s="182" t="str">
        <f>IF(C8="","",RIGHT(TEXT(1911+班別參數!$D$2&amp;"/"&amp;班別參數!$E$2&amp;"/"&amp;輪休基準表!C8,"aaaa"),1))</f>
        <v>日</v>
      </c>
      <c r="E8" s="199"/>
      <c r="F8" s="199" t="s">
        <v>339</v>
      </c>
      <c r="G8" s="197"/>
      <c r="H8" s="197" t="s">
        <v>339</v>
      </c>
      <c r="I8" s="197" t="s">
        <v>339</v>
      </c>
      <c r="J8" s="197" t="s">
        <v>27</v>
      </c>
      <c r="K8" s="197" t="s">
        <v>1</v>
      </c>
      <c r="L8" s="197" t="s">
        <v>339</v>
      </c>
      <c r="M8" s="197" t="s">
        <v>339</v>
      </c>
      <c r="N8" s="197" t="s">
        <v>1</v>
      </c>
      <c r="O8" s="197"/>
      <c r="P8" s="197" t="s">
        <v>24</v>
      </c>
      <c r="Q8" s="197"/>
      <c r="R8" s="197"/>
      <c r="S8" s="197"/>
      <c r="T8" s="197" t="s">
        <v>339</v>
      </c>
      <c r="U8" s="198" t="s">
        <v>339</v>
      </c>
      <c r="V8" s="197" t="s">
        <v>339</v>
      </c>
      <c r="W8" s="197" t="s">
        <v>339</v>
      </c>
      <c r="X8" s="197" t="s">
        <v>339</v>
      </c>
      <c r="Y8" s="197" t="s">
        <v>339</v>
      </c>
      <c r="Z8" s="197" t="s">
        <v>339</v>
      </c>
      <c r="AA8" s="197" t="s">
        <v>339</v>
      </c>
      <c r="AB8" s="197"/>
      <c r="AC8" s="197" t="s">
        <v>339</v>
      </c>
      <c r="AD8" s="197" t="s">
        <v>339</v>
      </c>
      <c r="AE8" s="197"/>
      <c r="AF8" s="198"/>
      <c r="AG8" s="184">
        <v>9</v>
      </c>
      <c r="AH8" s="184" t="str">
        <f t="shared" si="0"/>
        <v>2+7</v>
      </c>
      <c r="AK8" s="185">
        <v>3</v>
      </c>
      <c r="AL8" s="185" t="str">
        <v>孫子翔</v>
      </c>
      <c r="AM8" s="185" t="s">
        <v>295</v>
      </c>
    </row>
    <row r="9" spans="1:39" ht="50.1" customHeight="1">
      <c r="A9" s="1"/>
      <c r="B9" s="1"/>
      <c r="C9" s="181">
        <f>IF((ROW()-5)&lt;=班別參數!$G$2,ROW()-5,"")</f>
        <v>4</v>
      </c>
      <c r="D9" s="182" t="str">
        <f>IF(C9="","",RIGHT(TEXT(1911+班別參數!$D$2&amp;"/"&amp;班別參數!$E$2&amp;"/"&amp;輪休基準表!C9,"aaaa"),1))</f>
        <v>一</v>
      </c>
      <c r="E9" s="197" t="s">
        <v>339</v>
      </c>
      <c r="F9" s="197" t="s">
        <v>1</v>
      </c>
      <c r="G9" s="197" t="s">
        <v>339</v>
      </c>
      <c r="H9" s="197"/>
      <c r="I9" s="197"/>
      <c r="J9" s="198" t="s">
        <v>339</v>
      </c>
      <c r="K9" s="197" t="s">
        <v>339</v>
      </c>
      <c r="L9" s="197" t="s">
        <v>1</v>
      </c>
      <c r="M9" s="197"/>
      <c r="N9" s="197" t="s">
        <v>339</v>
      </c>
      <c r="O9" s="197" t="s">
        <v>339</v>
      </c>
      <c r="P9" s="197" t="s">
        <v>339</v>
      </c>
      <c r="Q9" s="197" t="s">
        <v>339</v>
      </c>
      <c r="R9" s="197" t="s">
        <v>20</v>
      </c>
      <c r="S9" s="197" t="s">
        <v>339</v>
      </c>
      <c r="T9" s="198"/>
      <c r="U9" s="197"/>
      <c r="V9" s="197"/>
      <c r="W9" s="197"/>
      <c r="X9" s="197" t="s">
        <v>43</v>
      </c>
      <c r="Y9" s="197" t="s">
        <v>27</v>
      </c>
      <c r="Z9" s="197" t="s">
        <v>43</v>
      </c>
      <c r="AA9" s="197"/>
      <c r="AB9" s="197" t="s">
        <v>339</v>
      </c>
      <c r="AC9" s="197"/>
      <c r="AD9" s="197" t="s">
        <v>339</v>
      </c>
      <c r="AE9" s="197" t="s">
        <v>339</v>
      </c>
      <c r="AF9" s="197" t="s">
        <v>339</v>
      </c>
      <c r="AG9" s="184">
        <v>9</v>
      </c>
      <c r="AH9" s="184" t="str">
        <f t="shared" si="0"/>
        <v>2+7</v>
      </c>
      <c r="AK9" s="185">
        <v>4</v>
      </c>
      <c r="AL9" s="185" t="str">
        <v>簡永豐</v>
      </c>
      <c r="AM9" s="185" t="s">
        <v>295</v>
      </c>
    </row>
    <row r="10" spans="1:39" ht="50.1" customHeight="1">
      <c r="A10" s="1"/>
      <c r="B10" s="1"/>
      <c r="C10" s="181">
        <f>IF((ROW()-5)&lt;=班別參數!$G$2,ROW()-5,"")</f>
        <v>5</v>
      </c>
      <c r="D10" s="182" t="str">
        <f>IF(C10="","",RIGHT(TEXT(1911+班別參數!$D$2&amp;"/"&amp;班別參數!$E$2&amp;"/"&amp;輪休基準表!C10,"aaaa"),1))</f>
        <v>二</v>
      </c>
      <c r="E10" s="199"/>
      <c r="F10" s="199" t="s">
        <v>339</v>
      </c>
      <c r="G10" s="197"/>
      <c r="H10" s="197" t="s">
        <v>339</v>
      </c>
      <c r="I10" s="198" t="s">
        <v>339</v>
      </c>
      <c r="J10" s="197" t="s">
        <v>339</v>
      </c>
      <c r="K10" s="197" t="s">
        <v>1</v>
      </c>
      <c r="L10" s="197"/>
      <c r="M10" s="197"/>
      <c r="N10" s="197" t="s">
        <v>339</v>
      </c>
      <c r="O10" s="197" t="s">
        <v>27</v>
      </c>
      <c r="P10" s="197"/>
      <c r="Q10" s="197" t="s">
        <v>1</v>
      </c>
      <c r="R10" s="197" t="s">
        <v>339</v>
      </c>
      <c r="S10" s="197"/>
      <c r="T10" s="197" t="s">
        <v>339</v>
      </c>
      <c r="U10" s="198" t="s">
        <v>339</v>
      </c>
      <c r="V10" s="197" t="s">
        <v>339</v>
      </c>
      <c r="W10" s="197" t="s">
        <v>339</v>
      </c>
      <c r="X10" s="197" t="s">
        <v>43</v>
      </c>
      <c r="Y10" s="197" t="s">
        <v>339</v>
      </c>
      <c r="Z10" s="197" t="s">
        <v>43</v>
      </c>
      <c r="AA10" s="197" t="s">
        <v>339</v>
      </c>
      <c r="AB10" s="197"/>
      <c r="AC10" s="197" t="s">
        <v>339</v>
      </c>
      <c r="AD10" s="197"/>
      <c r="AE10" s="197"/>
      <c r="AF10" s="197" t="s">
        <v>339</v>
      </c>
      <c r="AG10" s="184">
        <v>9</v>
      </c>
      <c r="AH10" s="184" t="str">
        <f t="shared" si="0"/>
        <v>2+7</v>
      </c>
      <c r="AK10" s="185">
        <v>5</v>
      </c>
      <c r="AL10" s="185" t="str">
        <v>張鴻志</v>
      </c>
      <c r="AM10" s="185" t="s">
        <v>295</v>
      </c>
    </row>
    <row r="11" spans="1:39" ht="50.1" customHeight="1">
      <c r="A11" s="1"/>
      <c r="B11" s="1"/>
      <c r="C11" s="181">
        <f>IF((ROW()-5)&lt;=班別參數!$G$2,ROW()-5,"")</f>
        <v>6</v>
      </c>
      <c r="D11" s="182" t="str">
        <f>IF(C11="","",RIGHT(TEXT(1911+班別參數!$D$2&amp;"/"&amp;班別參數!$E$2&amp;"/"&amp;輪休基準表!C11,"aaaa"),1))</f>
        <v>三</v>
      </c>
      <c r="E11" s="197" t="s">
        <v>339</v>
      </c>
      <c r="F11" s="197"/>
      <c r="G11" s="197" t="s">
        <v>339</v>
      </c>
      <c r="H11" s="197" t="s">
        <v>1</v>
      </c>
      <c r="I11" s="197"/>
      <c r="J11" s="198"/>
      <c r="K11" s="197" t="s">
        <v>339</v>
      </c>
      <c r="L11" s="197" t="s">
        <v>339</v>
      </c>
      <c r="M11" s="197" t="s">
        <v>339</v>
      </c>
      <c r="N11" s="197"/>
      <c r="O11" s="197" t="s">
        <v>339</v>
      </c>
      <c r="P11" s="197" t="s">
        <v>339</v>
      </c>
      <c r="Q11" s="197" t="s">
        <v>339</v>
      </c>
      <c r="R11" s="197" t="s">
        <v>20</v>
      </c>
      <c r="S11" s="197" t="s">
        <v>339</v>
      </c>
      <c r="T11" s="198" t="s">
        <v>339</v>
      </c>
      <c r="U11" s="197"/>
      <c r="V11" s="197" t="s">
        <v>1</v>
      </c>
      <c r="W11" s="197" t="s">
        <v>1</v>
      </c>
      <c r="X11" s="197" t="s">
        <v>43</v>
      </c>
      <c r="Y11" s="197"/>
      <c r="Z11" s="197" t="s">
        <v>43</v>
      </c>
      <c r="AA11" s="197" t="s">
        <v>1</v>
      </c>
      <c r="AB11" s="197" t="s">
        <v>339</v>
      </c>
      <c r="AC11" s="197"/>
      <c r="AD11" s="197"/>
      <c r="AE11" s="197" t="s">
        <v>339</v>
      </c>
      <c r="AF11" s="198"/>
      <c r="AG11" s="184">
        <v>9</v>
      </c>
      <c r="AH11" s="184" t="str">
        <f t="shared" si="0"/>
        <v>2+7</v>
      </c>
      <c r="AK11" s="185">
        <v>6</v>
      </c>
      <c r="AL11" s="185" t="str">
        <v>吳宗耕</v>
      </c>
      <c r="AM11" s="185" t="s">
        <v>294</v>
      </c>
    </row>
    <row r="12" spans="1:39" ht="50.1" customHeight="1">
      <c r="A12" s="1"/>
      <c r="B12" s="1"/>
      <c r="C12" s="181">
        <f>IF((ROW()-5)&lt;=班別參數!$G$2,ROW()-5,"")</f>
        <v>7</v>
      </c>
      <c r="D12" s="182" t="str">
        <f>IF(C12="","",RIGHT(TEXT(1911+班別參數!$D$2&amp;"/"&amp;班別參數!$E$2&amp;"/"&amp;輪休基準表!C12,"aaaa"),1))</f>
        <v>四</v>
      </c>
      <c r="E12" s="199"/>
      <c r="F12" s="199" t="s">
        <v>339</v>
      </c>
      <c r="G12" s="197" t="s">
        <v>1</v>
      </c>
      <c r="H12" s="197"/>
      <c r="I12" s="198" t="s">
        <v>339</v>
      </c>
      <c r="J12" s="197" t="s">
        <v>1</v>
      </c>
      <c r="K12" s="197"/>
      <c r="L12" s="197" t="s">
        <v>339</v>
      </c>
      <c r="M12" s="197" t="s">
        <v>1</v>
      </c>
      <c r="N12" s="197" t="s">
        <v>339</v>
      </c>
      <c r="O12" s="197"/>
      <c r="P12" s="197"/>
      <c r="Q12" s="198"/>
      <c r="R12" s="197"/>
      <c r="S12" s="197"/>
      <c r="T12" s="197" t="s">
        <v>1</v>
      </c>
      <c r="U12" s="198" t="s">
        <v>339</v>
      </c>
      <c r="V12" s="198" t="s">
        <v>339</v>
      </c>
      <c r="W12" s="198" t="s">
        <v>339</v>
      </c>
      <c r="X12" s="198" t="s">
        <v>43</v>
      </c>
      <c r="Y12" s="197" t="s">
        <v>339</v>
      </c>
      <c r="Z12" s="198" t="s">
        <v>43</v>
      </c>
      <c r="AA12" s="198"/>
      <c r="AB12" s="198" t="s">
        <v>339</v>
      </c>
      <c r="AC12" s="198" t="s">
        <v>339</v>
      </c>
      <c r="AD12" s="198" t="s">
        <v>339</v>
      </c>
      <c r="AE12" s="198" t="s">
        <v>339</v>
      </c>
      <c r="AF12" s="198" t="s">
        <v>339</v>
      </c>
      <c r="AG12" s="184">
        <v>9</v>
      </c>
      <c r="AH12" s="184" t="str">
        <f t="shared" si="0"/>
        <v>2+7</v>
      </c>
      <c r="AK12" s="185">
        <v>7</v>
      </c>
      <c r="AL12" s="185" t="str">
        <v>包華先</v>
      </c>
      <c r="AM12" s="185" t="s">
        <v>294</v>
      </c>
    </row>
    <row r="13" spans="1:39" ht="50.1" customHeight="1">
      <c r="A13" s="1"/>
      <c r="B13" s="1"/>
      <c r="C13" s="181">
        <f>IF((ROW()-5)&lt;=班別參數!$G$2,ROW()-5,"")</f>
        <v>8</v>
      </c>
      <c r="D13" s="182" t="str">
        <f>IF(C13="","",RIGHT(TEXT(1911+班別參數!$D$2&amp;"/"&amp;班別參數!$E$2&amp;"/"&amp;輪休基準表!C13,"aaaa"),1))</f>
        <v>五</v>
      </c>
      <c r="E13" s="199"/>
      <c r="F13" s="198" t="s">
        <v>339</v>
      </c>
      <c r="G13" s="198" t="s">
        <v>339</v>
      </c>
      <c r="H13" s="199" t="s">
        <v>339</v>
      </c>
      <c r="I13" s="198"/>
      <c r="J13" s="199" t="s">
        <v>339</v>
      </c>
      <c r="K13" s="198" t="s">
        <v>339</v>
      </c>
      <c r="L13" s="198"/>
      <c r="M13" s="198" t="s">
        <v>339</v>
      </c>
      <c r="N13" s="198"/>
      <c r="O13" s="198" t="s">
        <v>339</v>
      </c>
      <c r="P13" s="198"/>
      <c r="Q13" s="199" t="s">
        <v>339</v>
      </c>
      <c r="R13" s="198" t="s">
        <v>339</v>
      </c>
      <c r="S13" s="198" t="s">
        <v>339</v>
      </c>
      <c r="T13" s="198" t="s">
        <v>339</v>
      </c>
      <c r="U13" s="199"/>
      <c r="V13" s="199" t="s">
        <v>1</v>
      </c>
      <c r="W13" s="199"/>
      <c r="X13" s="199" t="s">
        <v>43</v>
      </c>
      <c r="Y13" s="198" t="s">
        <v>339</v>
      </c>
      <c r="Z13" s="199" t="s">
        <v>43</v>
      </c>
      <c r="AA13" s="199" t="s">
        <v>339</v>
      </c>
      <c r="AB13" s="199" t="s">
        <v>24</v>
      </c>
      <c r="AC13" s="199" t="s">
        <v>1</v>
      </c>
      <c r="AD13" s="199"/>
      <c r="AE13" s="199"/>
      <c r="AF13" s="198" t="s">
        <v>1</v>
      </c>
      <c r="AG13" s="184">
        <v>9</v>
      </c>
      <c r="AH13" s="184" t="str">
        <f t="shared" si="0"/>
        <v>2+7</v>
      </c>
      <c r="AK13" s="185">
        <v>8</v>
      </c>
      <c r="AL13" s="185" t="str">
        <v>曾彥綸</v>
      </c>
      <c r="AM13" s="185" t="s">
        <v>294</v>
      </c>
    </row>
    <row r="14" spans="1:39" ht="50.1" customHeight="1">
      <c r="A14" s="1"/>
      <c r="B14" s="1"/>
      <c r="C14" s="181">
        <f>IF((ROW()-5)&lt;=班別參數!$G$2,ROW()-5,"")</f>
        <v>9</v>
      </c>
      <c r="D14" s="182" t="str">
        <f>IF(C14="","",RIGHT(TEXT(1911+班別參數!$D$2&amp;"/"&amp;班別參數!$E$2&amp;"/"&amp;輪休基準表!C14,"aaaa"),1))</f>
        <v>六</v>
      </c>
      <c r="E14" s="199" t="s">
        <v>339</v>
      </c>
      <c r="F14" s="199"/>
      <c r="G14" s="197"/>
      <c r="H14" s="197" t="s">
        <v>1</v>
      </c>
      <c r="I14" s="197" t="s">
        <v>339</v>
      </c>
      <c r="J14" s="197" t="s">
        <v>1</v>
      </c>
      <c r="K14" s="197"/>
      <c r="L14" s="197" t="s">
        <v>339</v>
      </c>
      <c r="M14" s="197"/>
      <c r="N14" s="197" t="s">
        <v>339</v>
      </c>
      <c r="O14" s="197" t="s">
        <v>1</v>
      </c>
      <c r="P14" s="197" t="s">
        <v>339</v>
      </c>
      <c r="Q14" s="197" t="s">
        <v>20</v>
      </c>
      <c r="R14" s="197"/>
      <c r="S14" s="197"/>
      <c r="T14" s="197"/>
      <c r="U14" s="198" t="s">
        <v>339</v>
      </c>
      <c r="V14" s="197" t="s">
        <v>339</v>
      </c>
      <c r="W14" s="197" t="s">
        <v>339</v>
      </c>
      <c r="X14" s="197" t="s">
        <v>339</v>
      </c>
      <c r="Y14" s="197"/>
      <c r="Z14" s="197" t="s">
        <v>339</v>
      </c>
      <c r="AA14" s="197" t="s">
        <v>339</v>
      </c>
      <c r="AB14" s="197" t="s">
        <v>339</v>
      </c>
      <c r="AC14" s="197" t="s">
        <v>339</v>
      </c>
      <c r="AD14" s="197"/>
      <c r="AE14" s="197" t="s">
        <v>339</v>
      </c>
      <c r="AF14" s="197" t="s">
        <v>339</v>
      </c>
      <c r="AG14" s="184">
        <v>9</v>
      </c>
      <c r="AH14" s="184" t="str">
        <f t="shared" si="0"/>
        <v>2+7</v>
      </c>
      <c r="AK14" s="185">
        <v>9</v>
      </c>
      <c r="AL14" s="185" t="str">
        <v>鍾佳諭</v>
      </c>
      <c r="AM14" s="185" t="s">
        <v>294</v>
      </c>
    </row>
    <row r="15" spans="1:39" ht="50.1" customHeight="1">
      <c r="A15" s="1"/>
      <c r="B15" s="1"/>
      <c r="C15" s="181">
        <f>IF((ROW()-5)&lt;=班別參數!$G$2,ROW()-5,"")</f>
        <v>10</v>
      </c>
      <c r="D15" s="182" t="str">
        <f>IF(C15="","",RIGHT(TEXT(1911+班別參數!$D$2&amp;"/"&amp;班別參數!$E$2&amp;"/"&amp;輪休基準表!C15,"aaaa"),1))</f>
        <v>日</v>
      </c>
      <c r="E15" s="197" t="s">
        <v>339</v>
      </c>
      <c r="F15" s="197"/>
      <c r="G15" s="197" t="s">
        <v>339</v>
      </c>
      <c r="H15" s="197" t="s">
        <v>339</v>
      </c>
      <c r="I15" s="198"/>
      <c r="J15" s="198" t="s">
        <v>339</v>
      </c>
      <c r="K15" s="197" t="s">
        <v>339</v>
      </c>
      <c r="L15" s="197"/>
      <c r="M15" s="197" t="s">
        <v>339</v>
      </c>
      <c r="N15" s="197"/>
      <c r="O15" s="197" t="s">
        <v>339</v>
      </c>
      <c r="P15" s="197" t="s">
        <v>339</v>
      </c>
      <c r="Q15" s="197"/>
      <c r="R15" s="197" t="s">
        <v>339</v>
      </c>
      <c r="S15" s="197" t="s">
        <v>339</v>
      </c>
      <c r="T15" s="198" t="s">
        <v>339</v>
      </c>
      <c r="U15" s="197" t="s">
        <v>20</v>
      </c>
      <c r="V15" s="197" t="s">
        <v>27</v>
      </c>
      <c r="W15" s="197"/>
      <c r="X15" s="197" t="s">
        <v>339</v>
      </c>
      <c r="Y15" s="197"/>
      <c r="Z15" s="197" t="s">
        <v>339</v>
      </c>
      <c r="AA15" s="197" t="s">
        <v>1</v>
      </c>
      <c r="AB15" s="197" t="s">
        <v>339</v>
      </c>
      <c r="AC15" s="197" t="s">
        <v>339</v>
      </c>
      <c r="AD15" s="197" t="s">
        <v>339</v>
      </c>
      <c r="AE15" s="197"/>
      <c r="AF15" s="198"/>
      <c r="AG15" s="184">
        <v>9</v>
      </c>
      <c r="AH15" s="184" t="str">
        <f t="shared" si="0"/>
        <v>2+7</v>
      </c>
      <c r="AK15" s="185">
        <v>10</v>
      </c>
      <c r="AL15" s="185" t="str">
        <v>林宏澤</v>
      </c>
      <c r="AM15" s="185" t="s">
        <v>294</v>
      </c>
    </row>
    <row r="16" spans="1:39" ht="50.1" customHeight="1">
      <c r="A16" s="1"/>
      <c r="B16" s="1"/>
      <c r="C16" s="181">
        <f>IF((ROW()-5)&lt;=班別參數!$G$2,ROW()-5,"")</f>
        <v>11</v>
      </c>
      <c r="D16" s="182" t="str">
        <f>IF(C16="","",RIGHT(TEXT(1911+班別參數!$D$2&amp;"/"&amp;班別參數!$E$2&amp;"/"&amp;輪休基準表!C16,"aaaa"),1))</f>
        <v>一</v>
      </c>
      <c r="E16" s="199" t="s">
        <v>27</v>
      </c>
      <c r="F16" s="199" t="s">
        <v>339</v>
      </c>
      <c r="G16" s="197"/>
      <c r="H16" s="198"/>
      <c r="I16" s="197" t="s">
        <v>339</v>
      </c>
      <c r="J16" s="197"/>
      <c r="K16" s="197"/>
      <c r="L16" s="197" t="s">
        <v>339</v>
      </c>
      <c r="M16" s="197"/>
      <c r="N16" s="197"/>
      <c r="O16" s="197"/>
      <c r="P16" s="197" t="s">
        <v>339</v>
      </c>
      <c r="Q16" s="197" t="s">
        <v>339</v>
      </c>
      <c r="R16" s="197"/>
      <c r="S16" s="197" t="s">
        <v>1</v>
      </c>
      <c r="T16" s="197" t="s">
        <v>1</v>
      </c>
      <c r="U16" s="198" t="s">
        <v>339</v>
      </c>
      <c r="V16" s="197" t="s">
        <v>339</v>
      </c>
      <c r="W16" s="197" t="s">
        <v>339</v>
      </c>
      <c r="X16" s="197" t="s">
        <v>43</v>
      </c>
      <c r="Y16" s="197" t="s">
        <v>339</v>
      </c>
      <c r="Z16" s="197" t="s">
        <v>43</v>
      </c>
      <c r="AA16" s="197" t="s">
        <v>339</v>
      </c>
      <c r="AB16" s="197" t="s">
        <v>24</v>
      </c>
      <c r="AC16" s="197"/>
      <c r="AD16" s="197" t="s">
        <v>339</v>
      </c>
      <c r="AE16" s="197" t="s">
        <v>1</v>
      </c>
      <c r="AF16" s="197" t="s">
        <v>339</v>
      </c>
      <c r="AG16" s="184">
        <v>9</v>
      </c>
      <c r="AH16" s="184" t="str">
        <f t="shared" si="0"/>
        <v>2+7</v>
      </c>
      <c r="AK16" s="185">
        <v>11</v>
      </c>
      <c r="AL16" s="185" t="str">
        <v>簡君諺</v>
      </c>
      <c r="AM16" s="185" t="s">
        <v>294</v>
      </c>
    </row>
    <row r="17" spans="1:39" ht="50.1" customHeight="1">
      <c r="A17" s="1"/>
      <c r="B17" s="1"/>
      <c r="C17" s="181">
        <f>IF((ROW()-5)&lt;=班別參數!$G$2,ROW()-5,"")</f>
        <v>12</v>
      </c>
      <c r="D17" s="182" t="str">
        <f>IF(C17="","",RIGHT(TEXT(1911+班別參數!$D$2&amp;"/"&amp;班別參數!$E$2&amp;"/"&amp;輪休基準表!C17,"aaaa"),1))</f>
        <v>二</v>
      </c>
      <c r="E17" s="197" t="s">
        <v>339</v>
      </c>
      <c r="F17" s="197"/>
      <c r="G17" s="197" t="s">
        <v>339</v>
      </c>
      <c r="H17" s="197" t="s">
        <v>339</v>
      </c>
      <c r="I17" s="197"/>
      <c r="J17" s="198" t="s">
        <v>339</v>
      </c>
      <c r="K17" s="197" t="s">
        <v>339</v>
      </c>
      <c r="L17" s="197" t="s">
        <v>1</v>
      </c>
      <c r="M17" s="197" t="s">
        <v>339</v>
      </c>
      <c r="N17" s="197" t="s">
        <v>339</v>
      </c>
      <c r="O17" s="197" t="s">
        <v>339</v>
      </c>
      <c r="P17" s="197"/>
      <c r="Q17" s="197" t="s">
        <v>339</v>
      </c>
      <c r="R17" s="197" t="s">
        <v>339</v>
      </c>
      <c r="S17" s="197" t="s">
        <v>339</v>
      </c>
      <c r="T17" s="198" t="s">
        <v>339</v>
      </c>
      <c r="U17" s="197"/>
      <c r="V17" s="197" t="s">
        <v>339</v>
      </c>
      <c r="W17" s="197"/>
      <c r="X17" s="197" t="s">
        <v>43</v>
      </c>
      <c r="Y17" s="197" t="s">
        <v>1</v>
      </c>
      <c r="Z17" s="197" t="s">
        <v>43</v>
      </c>
      <c r="AA17" s="197"/>
      <c r="AB17" s="197" t="s">
        <v>24</v>
      </c>
      <c r="AC17" s="197" t="s">
        <v>1</v>
      </c>
      <c r="AD17" s="197"/>
      <c r="AE17" s="197"/>
      <c r="AF17" s="198"/>
      <c r="AG17" s="184">
        <v>9</v>
      </c>
      <c r="AH17" s="184" t="str">
        <f t="shared" si="0"/>
        <v>2+7</v>
      </c>
      <c r="AK17" s="185">
        <v>12</v>
      </c>
      <c r="AL17" s="185" t="str">
        <v>王昱勛</v>
      </c>
      <c r="AM17" s="185" t="s">
        <v>294</v>
      </c>
    </row>
    <row r="18" spans="1:39" ht="50.1" customHeight="1">
      <c r="A18" s="1"/>
      <c r="B18" s="1"/>
      <c r="C18" s="181">
        <f>IF((ROW()-5)&lt;=班別參數!$G$2,ROW()-5,"")</f>
        <v>13</v>
      </c>
      <c r="D18" s="182" t="str">
        <f>IF(C18="","",RIGHT(TEXT(1911+班別參數!$D$2&amp;"/"&amp;班別參數!$E$2&amp;"/"&amp;輪休基準表!C18,"aaaa"),1))</f>
        <v>三</v>
      </c>
      <c r="E18" s="199"/>
      <c r="F18" s="199" t="s">
        <v>339</v>
      </c>
      <c r="G18" s="197"/>
      <c r="H18" s="197" t="s">
        <v>339</v>
      </c>
      <c r="I18" s="198" t="s">
        <v>339</v>
      </c>
      <c r="J18" s="197"/>
      <c r="K18" s="197"/>
      <c r="L18" s="197" t="s">
        <v>339</v>
      </c>
      <c r="M18" s="197"/>
      <c r="N18" s="197"/>
      <c r="O18" s="197"/>
      <c r="P18" s="197" t="s">
        <v>1</v>
      </c>
      <c r="Q18" s="197" t="s">
        <v>1</v>
      </c>
      <c r="R18" s="197" t="s">
        <v>339</v>
      </c>
      <c r="S18" s="197" t="s">
        <v>27</v>
      </c>
      <c r="T18" s="197"/>
      <c r="U18" s="198" t="s">
        <v>339</v>
      </c>
      <c r="V18" s="197"/>
      <c r="W18" s="197" t="s">
        <v>339</v>
      </c>
      <c r="X18" s="197" t="s">
        <v>43</v>
      </c>
      <c r="Y18" s="197" t="s">
        <v>339</v>
      </c>
      <c r="Z18" s="197" t="s">
        <v>43</v>
      </c>
      <c r="AA18" s="197" t="s">
        <v>339</v>
      </c>
      <c r="AB18" s="197" t="s">
        <v>24</v>
      </c>
      <c r="AC18" s="197" t="s">
        <v>339</v>
      </c>
      <c r="AD18" s="197" t="s">
        <v>339</v>
      </c>
      <c r="AE18" s="197" t="s">
        <v>339</v>
      </c>
      <c r="AF18" s="197" t="s">
        <v>339</v>
      </c>
      <c r="AG18" s="184">
        <v>9</v>
      </c>
      <c r="AH18" s="184" t="str">
        <f t="shared" si="0"/>
        <v>2+7</v>
      </c>
      <c r="AK18" s="185">
        <v>13</v>
      </c>
      <c r="AL18" s="185" t="str">
        <v>葉宗哲</v>
      </c>
      <c r="AM18" s="185" t="s">
        <v>294</v>
      </c>
    </row>
    <row r="19" spans="1:39" ht="50.1" customHeight="1">
      <c r="A19" s="1"/>
      <c r="B19" s="1"/>
      <c r="C19" s="181">
        <f>IF((ROW()-5)&lt;=班別參數!$G$2,ROW()-5,"")</f>
        <v>14</v>
      </c>
      <c r="D19" s="182" t="str">
        <f>IF(C19="","",RIGHT(TEXT(1911+班別參數!$D$2&amp;"/"&amp;班別參數!$E$2&amp;"/"&amp;輪休基準表!C19,"aaaa"),1))</f>
        <v>四</v>
      </c>
      <c r="E19" s="197" t="s">
        <v>339</v>
      </c>
      <c r="F19" s="197" t="s">
        <v>339</v>
      </c>
      <c r="G19" s="197" t="s">
        <v>339</v>
      </c>
      <c r="H19" s="198"/>
      <c r="I19" s="197"/>
      <c r="J19" s="198" t="s">
        <v>339</v>
      </c>
      <c r="K19" s="198" t="s">
        <v>339</v>
      </c>
      <c r="L19" s="198"/>
      <c r="M19" s="197" t="s">
        <v>339</v>
      </c>
      <c r="N19" s="198" t="s">
        <v>339</v>
      </c>
      <c r="O19" s="198" t="s">
        <v>339</v>
      </c>
      <c r="P19" s="198" t="s">
        <v>339</v>
      </c>
      <c r="Q19" s="198" t="s">
        <v>339</v>
      </c>
      <c r="R19" s="197" t="s">
        <v>1</v>
      </c>
      <c r="S19" s="197" t="s">
        <v>339</v>
      </c>
      <c r="T19" s="198" t="s">
        <v>339</v>
      </c>
      <c r="U19" s="197" t="s">
        <v>1</v>
      </c>
      <c r="V19" s="197"/>
      <c r="W19" s="197"/>
      <c r="X19" s="197" t="s">
        <v>43</v>
      </c>
      <c r="Y19" s="197"/>
      <c r="Z19" s="197" t="s">
        <v>43</v>
      </c>
      <c r="AA19" s="197"/>
      <c r="AB19" s="198" t="s">
        <v>24</v>
      </c>
      <c r="AC19" s="197"/>
      <c r="AD19" s="197" t="s">
        <v>1</v>
      </c>
      <c r="AE19" s="198" t="s">
        <v>339</v>
      </c>
      <c r="AF19" s="198"/>
      <c r="AG19" s="184">
        <v>9</v>
      </c>
      <c r="AH19" s="184" t="str">
        <f t="shared" si="0"/>
        <v>2+7</v>
      </c>
      <c r="AK19" s="185">
        <v>14</v>
      </c>
      <c r="AL19" s="185" t="str">
        <v>王浩任</v>
      </c>
      <c r="AM19" s="185" t="s">
        <v>294</v>
      </c>
    </row>
    <row r="20" spans="1:39" ht="50.1" customHeight="1">
      <c r="A20" s="1"/>
      <c r="B20" s="1"/>
      <c r="C20" s="181">
        <f>IF((ROW()-5)&lt;=班別參數!$G$2,ROW()-5,"")</f>
        <v>15</v>
      </c>
      <c r="D20" s="182" t="str">
        <f>IF(C20="","",RIGHT(TEXT(1911+班別參數!$D$2&amp;"/"&amp;班別參數!$E$2&amp;"/"&amp;輪休基準表!C20,"aaaa"),1))</f>
        <v>五</v>
      </c>
      <c r="E20" s="201" t="s">
        <v>27</v>
      </c>
      <c r="F20" s="200"/>
      <c r="G20" s="200" t="s">
        <v>1</v>
      </c>
      <c r="H20" s="201" t="s">
        <v>339</v>
      </c>
      <c r="I20" s="201"/>
      <c r="J20" s="201"/>
      <c r="K20" s="201"/>
      <c r="L20" s="201" t="s">
        <v>339</v>
      </c>
      <c r="M20" s="201" t="s">
        <v>1</v>
      </c>
      <c r="N20" s="201"/>
      <c r="O20" s="201"/>
      <c r="P20" s="201"/>
      <c r="Q20" s="201" t="s">
        <v>27</v>
      </c>
      <c r="R20" s="201" t="s">
        <v>339</v>
      </c>
      <c r="S20" s="200"/>
      <c r="T20" s="201"/>
      <c r="U20" s="200" t="s">
        <v>339</v>
      </c>
      <c r="V20" s="200" t="s">
        <v>339</v>
      </c>
      <c r="W20" s="200" t="s">
        <v>339</v>
      </c>
      <c r="X20" s="200" t="s">
        <v>43</v>
      </c>
      <c r="Y20" s="200" t="s">
        <v>339</v>
      </c>
      <c r="Z20" s="200" t="s">
        <v>43</v>
      </c>
      <c r="AA20" s="200" t="s">
        <v>339</v>
      </c>
      <c r="AB20" s="201" t="s">
        <v>24</v>
      </c>
      <c r="AC20" s="200" t="s">
        <v>339</v>
      </c>
      <c r="AD20" s="200" t="s">
        <v>339</v>
      </c>
      <c r="AE20" s="200" t="s">
        <v>1</v>
      </c>
      <c r="AF20" s="200" t="s">
        <v>339</v>
      </c>
      <c r="AG20" s="184">
        <v>9</v>
      </c>
      <c r="AH20" s="184" t="str">
        <f t="shared" si="0"/>
        <v>2+7</v>
      </c>
      <c r="AK20" s="185">
        <v>15</v>
      </c>
      <c r="AL20" s="185" t="str">
        <v>李仕詮</v>
      </c>
      <c r="AM20" s="185" t="s">
        <v>294</v>
      </c>
    </row>
    <row r="21" spans="1:39" ht="50.1" customHeight="1">
      <c r="A21" s="1"/>
      <c r="B21" s="1"/>
      <c r="C21" s="181">
        <f>IF((ROW()-5)&lt;=班別參數!$G$2,ROW()-5,"")</f>
        <v>16</v>
      </c>
      <c r="D21" s="182" t="str">
        <f>IF(C21="","",RIGHT(TEXT(1911+班別參數!$D$2&amp;"/"&amp;班別參數!$E$2&amp;"/"&amp;輪休基準表!C21,"aaaa"),1))</f>
        <v>六</v>
      </c>
      <c r="E21" s="201" t="s">
        <v>339</v>
      </c>
      <c r="F21" s="201"/>
      <c r="G21" s="202" t="s">
        <v>339</v>
      </c>
      <c r="H21" s="202"/>
      <c r="I21" s="202" t="s">
        <v>339</v>
      </c>
      <c r="J21" s="200" t="s">
        <v>339</v>
      </c>
      <c r="K21" s="202" t="s">
        <v>339</v>
      </c>
      <c r="L21" s="201"/>
      <c r="M21" s="202" t="s">
        <v>339</v>
      </c>
      <c r="N21" s="202" t="s">
        <v>339</v>
      </c>
      <c r="O21" s="202"/>
      <c r="P21" s="202" t="s">
        <v>339</v>
      </c>
      <c r="Q21" s="202" t="s">
        <v>339</v>
      </c>
      <c r="R21" s="202" t="s">
        <v>1</v>
      </c>
      <c r="S21" s="202" t="s">
        <v>339</v>
      </c>
      <c r="T21" s="200" t="s">
        <v>339</v>
      </c>
      <c r="U21" s="202"/>
      <c r="V21" s="202" t="s">
        <v>339</v>
      </c>
      <c r="W21" s="202" t="s">
        <v>1</v>
      </c>
      <c r="X21" s="202" t="s">
        <v>339</v>
      </c>
      <c r="Y21" s="202"/>
      <c r="Z21" s="202" t="s">
        <v>339</v>
      </c>
      <c r="AA21" s="202"/>
      <c r="AB21" s="202" t="s">
        <v>339</v>
      </c>
      <c r="AC21" s="202"/>
      <c r="AD21" s="202" t="s">
        <v>20</v>
      </c>
      <c r="AE21" s="202" t="s">
        <v>339</v>
      </c>
      <c r="AF21" s="200"/>
      <c r="AG21" s="184">
        <v>9</v>
      </c>
      <c r="AH21" s="184" t="str">
        <f t="shared" si="0"/>
        <v>2+7</v>
      </c>
      <c r="AK21" s="185">
        <v>16</v>
      </c>
      <c r="AL21" s="185" t="str">
        <v>楊弘宇</v>
      </c>
      <c r="AM21" s="185" t="s">
        <v>294</v>
      </c>
    </row>
    <row r="22" spans="1:39" ht="50.1" customHeight="1">
      <c r="A22" s="1"/>
      <c r="B22" s="1"/>
      <c r="C22" s="181">
        <f>IF((ROW()-5)&lt;=班別參數!$G$2,ROW()-5,"")</f>
        <v>17</v>
      </c>
      <c r="D22" s="182" t="str">
        <f>IF(C22="","",RIGHT(TEXT(1911+班別參數!$D$2&amp;"/"&amp;班別參數!$E$2&amp;"/"&amp;輪休基準表!C22,"aaaa"),1))</f>
        <v>日</v>
      </c>
      <c r="E22" s="201"/>
      <c r="F22" s="201" t="s">
        <v>339</v>
      </c>
      <c r="G22" s="202" t="s">
        <v>339</v>
      </c>
      <c r="H22" s="202" t="s">
        <v>339</v>
      </c>
      <c r="I22" s="200"/>
      <c r="J22" s="200" t="s">
        <v>339</v>
      </c>
      <c r="K22" s="202"/>
      <c r="L22" s="202" t="s">
        <v>339</v>
      </c>
      <c r="M22" s="202"/>
      <c r="N22" s="202"/>
      <c r="O22" s="202" t="s">
        <v>339</v>
      </c>
      <c r="P22" s="202" t="s">
        <v>1</v>
      </c>
      <c r="Q22" s="202" t="s">
        <v>339</v>
      </c>
      <c r="R22" s="202" t="s">
        <v>339</v>
      </c>
      <c r="S22" s="202" t="s">
        <v>339</v>
      </c>
      <c r="T22" s="202"/>
      <c r="U22" s="200" t="s">
        <v>339</v>
      </c>
      <c r="V22" s="202"/>
      <c r="W22" s="202" t="s">
        <v>339</v>
      </c>
      <c r="X22" s="202" t="s">
        <v>339</v>
      </c>
      <c r="Y22" s="202"/>
      <c r="Z22" s="202" t="s">
        <v>339</v>
      </c>
      <c r="AA22" s="202" t="s">
        <v>339</v>
      </c>
      <c r="AB22" s="202" t="s">
        <v>339</v>
      </c>
      <c r="AC22" s="202"/>
      <c r="AD22" s="202" t="s">
        <v>339</v>
      </c>
      <c r="AE22" s="202" t="s">
        <v>20</v>
      </c>
      <c r="AF22" s="202" t="s">
        <v>339</v>
      </c>
      <c r="AG22" s="184">
        <v>9</v>
      </c>
      <c r="AH22" s="184" t="str">
        <f t="shared" si="0"/>
        <v>2+7</v>
      </c>
      <c r="AK22" s="185">
        <v>17</v>
      </c>
      <c r="AL22" s="185" t="str">
        <v>楊仲豪</v>
      </c>
      <c r="AM22" s="185" t="s">
        <v>296</v>
      </c>
    </row>
    <row r="23" spans="1:39" ht="50.1" customHeight="1">
      <c r="A23" s="1"/>
      <c r="B23" s="1"/>
      <c r="C23" s="181">
        <f>IF((ROW()-5)&lt;=班別參數!$G$2,ROW()-5,"")</f>
        <v>18</v>
      </c>
      <c r="D23" s="182" t="str">
        <f>IF(C23="","",RIGHT(TEXT(1911+班別參數!$D$2&amp;"/"&amp;班別參數!$E$2&amp;"/"&amp;輪休基準表!C23,"aaaa"),1))</f>
        <v>一</v>
      </c>
      <c r="E23" s="197" t="s">
        <v>339</v>
      </c>
      <c r="F23" s="197" t="s">
        <v>339</v>
      </c>
      <c r="G23" s="202"/>
      <c r="H23" s="202"/>
      <c r="I23" s="197" t="s">
        <v>339</v>
      </c>
      <c r="J23" s="202"/>
      <c r="K23" s="202" t="s">
        <v>339</v>
      </c>
      <c r="L23" s="202" t="s">
        <v>339</v>
      </c>
      <c r="M23" s="202" t="s">
        <v>339</v>
      </c>
      <c r="N23" s="202" t="s">
        <v>339</v>
      </c>
      <c r="O23" s="202" t="s">
        <v>339</v>
      </c>
      <c r="P23" s="202" t="s">
        <v>339</v>
      </c>
      <c r="Q23" s="202" t="s">
        <v>27</v>
      </c>
      <c r="R23" s="202" t="s">
        <v>27</v>
      </c>
      <c r="S23" s="202"/>
      <c r="T23" s="200"/>
      <c r="U23" s="197" t="s">
        <v>43</v>
      </c>
      <c r="V23" s="197"/>
      <c r="W23" s="197"/>
      <c r="X23" s="197" t="s">
        <v>43</v>
      </c>
      <c r="Y23" s="197" t="s">
        <v>339</v>
      </c>
      <c r="Z23" s="197" t="s">
        <v>43</v>
      </c>
      <c r="AA23" s="197"/>
      <c r="AB23" s="197" t="s">
        <v>24</v>
      </c>
      <c r="AC23" s="197" t="s">
        <v>339</v>
      </c>
      <c r="AD23" s="197" t="s">
        <v>20</v>
      </c>
      <c r="AE23" s="197" t="s">
        <v>339</v>
      </c>
      <c r="AF23" s="198"/>
      <c r="AG23" s="184">
        <v>9</v>
      </c>
      <c r="AH23" s="184" t="str">
        <f t="shared" si="0"/>
        <v>2+7</v>
      </c>
      <c r="AK23" s="185">
        <v>18</v>
      </c>
      <c r="AL23" s="185" t="str">
        <v>林志偉</v>
      </c>
      <c r="AM23" s="185" t="s">
        <v>296</v>
      </c>
    </row>
    <row r="24" spans="1:39" ht="50.1" customHeight="1">
      <c r="A24" s="1"/>
      <c r="B24" s="1"/>
      <c r="C24" s="181">
        <f>IF((ROW()-5)&lt;=班別參數!$G$2,ROW()-5,"")</f>
        <v>19</v>
      </c>
      <c r="D24" s="182" t="str">
        <f>IF(C24="","",RIGHT(TEXT(1911+班別參數!$D$2&amp;"/"&amp;班別參數!$E$2&amp;"/"&amp;輪休基準表!C24,"aaaa"),1))</f>
        <v>二</v>
      </c>
      <c r="E24" s="201"/>
      <c r="F24" s="201"/>
      <c r="G24" s="202" t="s">
        <v>339</v>
      </c>
      <c r="H24" s="197" t="s">
        <v>339</v>
      </c>
      <c r="I24" s="200" t="s">
        <v>1</v>
      </c>
      <c r="J24" s="197"/>
      <c r="K24" s="197"/>
      <c r="L24" s="197"/>
      <c r="M24" s="197"/>
      <c r="N24" s="197"/>
      <c r="O24" s="197" t="s">
        <v>27</v>
      </c>
      <c r="P24" s="197"/>
      <c r="Q24" s="197" t="s">
        <v>27</v>
      </c>
      <c r="R24" s="197" t="s">
        <v>27</v>
      </c>
      <c r="S24" s="197"/>
      <c r="T24" s="197" t="s">
        <v>339</v>
      </c>
      <c r="U24" s="200" t="s">
        <v>339</v>
      </c>
      <c r="V24" s="202" t="s">
        <v>339</v>
      </c>
      <c r="W24" s="202" t="s">
        <v>339</v>
      </c>
      <c r="X24" s="202" t="s">
        <v>43</v>
      </c>
      <c r="Y24" s="202" t="s">
        <v>339</v>
      </c>
      <c r="Z24" s="202" t="s">
        <v>43</v>
      </c>
      <c r="AA24" s="202" t="s">
        <v>339</v>
      </c>
      <c r="AB24" s="202" t="s">
        <v>27</v>
      </c>
      <c r="AC24" s="202" t="s">
        <v>339</v>
      </c>
      <c r="AD24" s="202" t="s">
        <v>339</v>
      </c>
      <c r="AE24" s="202" t="s">
        <v>20</v>
      </c>
      <c r="AF24" s="202" t="s">
        <v>339</v>
      </c>
      <c r="AG24" s="184">
        <v>9</v>
      </c>
      <c r="AH24" s="184" t="str">
        <f t="shared" si="0"/>
        <v>2+7</v>
      </c>
      <c r="AK24" s="185">
        <v>19</v>
      </c>
      <c r="AL24" s="185" t="str">
        <v>劉家誠</v>
      </c>
      <c r="AM24" s="185" t="s">
        <v>296</v>
      </c>
    </row>
    <row r="25" spans="1:39" ht="50.1" customHeight="1">
      <c r="A25" s="1"/>
      <c r="B25" s="1"/>
      <c r="C25" s="181">
        <f>IF((ROW()-5)&lt;=班別參數!$G$2,ROW()-5,"")</f>
        <v>20</v>
      </c>
      <c r="D25" s="182" t="str">
        <f>IF(C25="","",RIGHT(TEXT(1911+班別參數!$D$2&amp;"/"&amp;班別參數!$E$2&amp;"/"&amp;輪休基準表!C25,"aaaa"),1))</f>
        <v>三</v>
      </c>
      <c r="E25" s="201" t="s">
        <v>339</v>
      </c>
      <c r="F25" s="201" t="s">
        <v>339</v>
      </c>
      <c r="G25" s="202"/>
      <c r="H25" s="202" t="s">
        <v>27</v>
      </c>
      <c r="I25" s="202" t="s">
        <v>339</v>
      </c>
      <c r="J25" s="200" t="s">
        <v>339</v>
      </c>
      <c r="K25" s="202" t="s">
        <v>339</v>
      </c>
      <c r="L25" s="202"/>
      <c r="M25" s="202" t="s">
        <v>339</v>
      </c>
      <c r="N25" s="202"/>
      <c r="O25" s="202" t="s">
        <v>339</v>
      </c>
      <c r="P25" s="202" t="s">
        <v>339</v>
      </c>
      <c r="Q25" s="202" t="s">
        <v>43</v>
      </c>
      <c r="R25" s="202" t="s">
        <v>43</v>
      </c>
      <c r="S25" s="202" t="s">
        <v>339</v>
      </c>
      <c r="T25" s="200" t="s">
        <v>339</v>
      </c>
      <c r="U25" s="202"/>
      <c r="V25" s="202"/>
      <c r="W25" s="202"/>
      <c r="X25" s="202" t="s">
        <v>43</v>
      </c>
      <c r="Y25" s="202"/>
      <c r="Z25" s="202" t="s">
        <v>43</v>
      </c>
      <c r="AA25" s="202"/>
      <c r="AB25" s="202" t="s">
        <v>27</v>
      </c>
      <c r="AC25" s="202"/>
      <c r="AD25" s="202" t="s">
        <v>339</v>
      </c>
      <c r="AE25" s="202" t="s">
        <v>339</v>
      </c>
      <c r="AF25" s="200" t="s">
        <v>1</v>
      </c>
      <c r="AG25" s="184">
        <v>9</v>
      </c>
      <c r="AH25" s="184" t="str">
        <f t="shared" si="0"/>
        <v>1+8</v>
      </c>
      <c r="AK25" s="185">
        <v>20</v>
      </c>
      <c r="AL25" s="185" t="str">
        <v>呂奇霈</v>
      </c>
      <c r="AM25" s="185" t="s">
        <v>296</v>
      </c>
    </row>
    <row r="26" spans="1:39" ht="50.1" customHeight="1">
      <c r="A26" s="1"/>
      <c r="B26" s="1"/>
      <c r="C26" s="181">
        <f>IF((ROW()-5)&lt;=班別參數!$G$2,ROW()-5,"")</f>
        <v>21</v>
      </c>
      <c r="D26" s="182" t="str">
        <f>IF(C26="","",RIGHT(TEXT(1911+班別參數!$D$2&amp;"/"&amp;班別參數!$E$2&amp;"/"&amp;輪休基準表!C26,"aaaa"),1))</f>
        <v>四</v>
      </c>
      <c r="E26" s="203"/>
      <c r="F26" s="198"/>
      <c r="G26" s="198" t="s">
        <v>339</v>
      </c>
      <c r="H26" s="197" t="s">
        <v>339</v>
      </c>
      <c r="I26" s="198" t="s">
        <v>27</v>
      </c>
      <c r="J26" s="197"/>
      <c r="K26" s="197" t="s">
        <v>27</v>
      </c>
      <c r="L26" s="197" t="s">
        <v>339</v>
      </c>
      <c r="M26" s="197" t="s">
        <v>27</v>
      </c>
      <c r="N26" s="197" t="s">
        <v>339</v>
      </c>
      <c r="O26" s="197" t="s">
        <v>339</v>
      </c>
      <c r="P26" s="197"/>
      <c r="Q26" s="197" t="s">
        <v>43</v>
      </c>
      <c r="R26" s="197" t="s">
        <v>43</v>
      </c>
      <c r="S26" s="197"/>
      <c r="T26" s="197"/>
      <c r="U26" s="198" t="s">
        <v>339</v>
      </c>
      <c r="V26" s="198"/>
      <c r="W26" s="198" t="s">
        <v>339</v>
      </c>
      <c r="X26" s="198" t="s">
        <v>43</v>
      </c>
      <c r="Y26" s="198" t="s">
        <v>339</v>
      </c>
      <c r="Z26" s="198" t="s">
        <v>43</v>
      </c>
      <c r="AA26" s="198"/>
      <c r="AB26" s="198" t="s">
        <v>339</v>
      </c>
      <c r="AC26" s="198" t="s">
        <v>339</v>
      </c>
      <c r="AD26" s="198"/>
      <c r="AE26" s="198" t="s">
        <v>339</v>
      </c>
      <c r="AF26" s="198" t="s">
        <v>339</v>
      </c>
      <c r="AG26" s="184">
        <v>9</v>
      </c>
      <c r="AH26" s="184" t="str">
        <f t="shared" si="0"/>
        <v>2+7</v>
      </c>
      <c r="AK26" s="185">
        <v>21</v>
      </c>
      <c r="AL26" s="185" t="str">
        <v>張家和</v>
      </c>
      <c r="AM26" s="185" t="s">
        <v>296</v>
      </c>
    </row>
    <row r="27" spans="1:39" ht="50.1" customHeight="1">
      <c r="A27" s="1"/>
      <c r="B27" s="1"/>
      <c r="C27" s="181">
        <f>IF((ROW()-5)&lt;=班別參數!$G$2,ROW()-5,"")</f>
        <v>22</v>
      </c>
      <c r="D27" s="182" t="str">
        <f>IF(C27="","",RIGHT(TEXT(1911+班別參數!$D$2&amp;"/"&amp;班別參數!$E$2&amp;"/"&amp;輪休基準表!C27,"aaaa"),1))</f>
        <v>五</v>
      </c>
      <c r="E27" s="199" t="s">
        <v>339</v>
      </c>
      <c r="F27" s="199" t="s">
        <v>27</v>
      </c>
      <c r="G27" s="199"/>
      <c r="H27" s="200"/>
      <c r="I27" s="202" t="s">
        <v>339</v>
      </c>
      <c r="J27" s="201" t="s">
        <v>339</v>
      </c>
      <c r="K27" s="200" t="s">
        <v>339</v>
      </c>
      <c r="L27" s="201"/>
      <c r="M27" s="200" t="s">
        <v>339</v>
      </c>
      <c r="N27" s="200" t="s">
        <v>339</v>
      </c>
      <c r="O27" s="200"/>
      <c r="P27" s="200" t="s">
        <v>339</v>
      </c>
      <c r="Q27" s="200" t="s">
        <v>43</v>
      </c>
      <c r="R27" s="200" t="s">
        <v>43</v>
      </c>
      <c r="S27" s="200"/>
      <c r="T27" s="200" t="s">
        <v>339</v>
      </c>
      <c r="U27" s="199"/>
      <c r="V27" s="202" t="s">
        <v>339</v>
      </c>
      <c r="W27" s="199" t="s">
        <v>24</v>
      </c>
      <c r="X27" s="198" t="s">
        <v>43</v>
      </c>
      <c r="Y27" s="199" t="s">
        <v>339</v>
      </c>
      <c r="Z27" s="199" t="s">
        <v>43</v>
      </c>
      <c r="AA27" s="199" t="s">
        <v>339</v>
      </c>
      <c r="AB27" s="199"/>
      <c r="AC27" s="199" t="s">
        <v>27</v>
      </c>
      <c r="AD27" s="199" t="s">
        <v>1</v>
      </c>
      <c r="AE27" s="199"/>
      <c r="AF27" s="198"/>
      <c r="AG27" s="184">
        <v>9</v>
      </c>
      <c r="AH27" s="184" t="str">
        <f t="shared" si="0"/>
        <v>2+7</v>
      </c>
      <c r="AK27" s="185">
        <v>22</v>
      </c>
      <c r="AL27" s="185" t="str">
        <v>陳俊瑋</v>
      </c>
      <c r="AM27" s="185" t="s">
        <v>296</v>
      </c>
    </row>
    <row r="28" spans="1:39" ht="50.1" customHeight="1">
      <c r="A28" s="1"/>
      <c r="B28" s="1"/>
      <c r="C28" s="181">
        <f>IF((ROW()-5)&lt;=班別參數!$G$2,ROW()-5,"")</f>
        <v>23</v>
      </c>
      <c r="D28" s="182" t="str">
        <f>IF(C28="","",RIGHT(TEXT(1911+班別參數!$D$2&amp;"/"&amp;班別參數!$E$2&amp;"/"&amp;輪休基準表!C28,"aaaa"),1))</f>
        <v>六</v>
      </c>
      <c r="E28" s="201"/>
      <c r="F28" s="201" t="s">
        <v>339</v>
      </c>
      <c r="G28" s="202" t="s">
        <v>27</v>
      </c>
      <c r="H28" s="197" t="s">
        <v>339</v>
      </c>
      <c r="I28" s="204" t="s">
        <v>27</v>
      </c>
      <c r="J28" s="200"/>
      <c r="K28" s="197"/>
      <c r="L28" s="197" t="s">
        <v>339</v>
      </c>
      <c r="M28" s="197"/>
      <c r="N28" s="197"/>
      <c r="O28" s="197" t="s">
        <v>339</v>
      </c>
      <c r="P28" s="197" t="s">
        <v>20</v>
      </c>
      <c r="Q28" s="197" t="s">
        <v>339</v>
      </c>
      <c r="R28" s="197" t="s">
        <v>339</v>
      </c>
      <c r="S28" s="197" t="s">
        <v>339</v>
      </c>
      <c r="T28" s="198"/>
      <c r="U28" s="200" t="s">
        <v>339</v>
      </c>
      <c r="V28" s="202" t="s">
        <v>339</v>
      </c>
      <c r="W28" s="202" t="s">
        <v>339</v>
      </c>
      <c r="X28" s="202" t="s">
        <v>339</v>
      </c>
      <c r="Y28" s="202"/>
      <c r="Z28" s="202" t="s">
        <v>339</v>
      </c>
      <c r="AA28" s="202" t="s">
        <v>339</v>
      </c>
      <c r="AB28" s="202"/>
      <c r="AC28" s="202" t="s">
        <v>339</v>
      </c>
      <c r="AD28" s="202" t="s">
        <v>339</v>
      </c>
      <c r="AE28" s="202"/>
      <c r="AF28" s="202" t="s">
        <v>339</v>
      </c>
      <c r="AG28" s="184">
        <v>9</v>
      </c>
      <c r="AH28" s="184" t="str">
        <f t="shared" si="0"/>
        <v>1+8</v>
      </c>
      <c r="AK28" s="185">
        <v>23</v>
      </c>
      <c r="AL28" s="185" t="str">
        <v>陳俊翰</v>
      </c>
      <c r="AM28" s="185" t="s">
        <v>296</v>
      </c>
    </row>
    <row r="29" spans="1:39" ht="50.1" customHeight="1">
      <c r="A29" s="1"/>
      <c r="B29" s="1"/>
      <c r="C29" s="181">
        <f>IF((ROW()-5)&lt;=班別參數!$G$2,ROW()-5,"")</f>
        <v>24</v>
      </c>
      <c r="D29" s="182" t="str">
        <f>IF(C29="","",RIGHT(TEXT(1911+班別參數!$D$2&amp;"/"&amp;班別參數!$E$2&amp;"/"&amp;輪休基準表!C29,"aaaa"),1))</f>
        <v>日</v>
      </c>
      <c r="E29" s="202" t="s">
        <v>339</v>
      </c>
      <c r="F29" s="202"/>
      <c r="G29" s="202" t="s">
        <v>339</v>
      </c>
      <c r="H29" s="202"/>
      <c r="I29" s="199" t="s">
        <v>339</v>
      </c>
      <c r="J29" s="200" t="s">
        <v>339</v>
      </c>
      <c r="K29" s="202" t="s">
        <v>339</v>
      </c>
      <c r="L29" s="202" t="s">
        <v>339</v>
      </c>
      <c r="M29" s="202"/>
      <c r="N29" s="202"/>
      <c r="O29" s="202"/>
      <c r="P29" s="202" t="s">
        <v>339</v>
      </c>
      <c r="Q29" s="202" t="s">
        <v>339</v>
      </c>
      <c r="R29" s="202" t="s">
        <v>339</v>
      </c>
      <c r="S29" s="202" t="s">
        <v>339</v>
      </c>
      <c r="T29" s="202" t="s">
        <v>339</v>
      </c>
      <c r="U29" s="202"/>
      <c r="V29" s="202" t="s">
        <v>27</v>
      </c>
      <c r="W29" s="202" t="s">
        <v>339</v>
      </c>
      <c r="X29" s="202" t="s">
        <v>339</v>
      </c>
      <c r="Y29" s="202"/>
      <c r="Z29" s="202" t="s">
        <v>339</v>
      </c>
      <c r="AA29" s="202" t="s">
        <v>340</v>
      </c>
      <c r="AB29" s="202" t="s">
        <v>339</v>
      </c>
      <c r="AC29" s="202" t="s">
        <v>27</v>
      </c>
      <c r="AD29" s="202"/>
      <c r="AE29" s="202" t="s">
        <v>339</v>
      </c>
      <c r="AF29" s="202"/>
      <c r="AG29" s="184">
        <v>9</v>
      </c>
      <c r="AH29" s="184" t="str">
        <f t="shared" si="0"/>
        <v>2+7</v>
      </c>
      <c r="AK29" s="185">
        <v>24</v>
      </c>
      <c r="AL29" s="185" t="str">
        <v>賴俊豪</v>
      </c>
      <c r="AM29" s="185" t="s">
        <v>296</v>
      </c>
    </row>
    <row r="30" spans="1:39" ht="50.1" customHeight="1">
      <c r="A30" s="1"/>
      <c r="B30" s="1"/>
      <c r="C30" s="181">
        <f>IF((ROW()-5)&lt;=班別參數!$G$2,ROW()-5,"")</f>
        <v>25</v>
      </c>
      <c r="D30" s="182" t="str">
        <f>IF(C30="","",RIGHT(TEXT(1911+班別參數!$D$2&amp;"/"&amp;班別參數!$E$2&amp;"/"&amp;輪休基準表!C30,"aaaa"),1))</f>
        <v>一</v>
      </c>
      <c r="E30" s="201" t="s">
        <v>1</v>
      </c>
      <c r="F30" s="201" t="s">
        <v>339</v>
      </c>
      <c r="G30" s="202"/>
      <c r="H30" s="202" t="s">
        <v>339</v>
      </c>
      <c r="I30" s="200" t="s">
        <v>1</v>
      </c>
      <c r="J30" s="202"/>
      <c r="K30" s="202"/>
      <c r="L30" s="202"/>
      <c r="M30" s="197" t="s">
        <v>339</v>
      </c>
      <c r="N30" s="202" t="s">
        <v>339</v>
      </c>
      <c r="O30" s="202"/>
      <c r="P30" s="202"/>
      <c r="Q30" s="202" t="s">
        <v>43</v>
      </c>
      <c r="R30" s="202" t="s">
        <v>43</v>
      </c>
      <c r="S30" s="202" t="s">
        <v>27</v>
      </c>
      <c r="T30" s="202"/>
      <c r="U30" s="200" t="s">
        <v>339</v>
      </c>
      <c r="V30" s="202" t="s">
        <v>339</v>
      </c>
      <c r="W30" s="202"/>
      <c r="X30" s="202" t="s">
        <v>43</v>
      </c>
      <c r="Y30" s="202" t="s">
        <v>339</v>
      </c>
      <c r="Z30" s="202" t="s">
        <v>43</v>
      </c>
      <c r="AA30" s="202" t="s">
        <v>339</v>
      </c>
      <c r="AB30" s="202" t="s">
        <v>339</v>
      </c>
      <c r="AC30" s="202" t="s">
        <v>339</v>
      </c>
      <c r="AD30" s="202" t="s">
        <v>339</v>
      </c>
      <c r="AE30" s="202"/>
      <c r="AF30" s="202" t="s">
        <v>339</v>
      </c>
      <c r="AG30" s="184">
        <v>9</v>
      </c>
      <c r="AH30" s="184" t="str">
        <f t="shared" si="0"/>
        <v>1+8</v>
      </c>
      <c r="AK30" s="185">
        <v>25</v>
      </c>
      <c r="AL30" s="185" t="str">
        <v>郭國偵</v>
      </c>
      <c r="AM30" s="185" t="s">
        <v>296</v>
      </c>
    </row>
    <row r="31" spans="1:39" ht="50.1" customHeight="1">
      <c r="A31" s="1"/>
      <c r="B31" s="1"/>
      <c r="C31" s="181">
        <f>IF((ROW()-5)&lt;=班別參數!$G$2,ROW()-5,"")</f>
        <v>26</v>
      </c>
      <c r="D31" s="182" t="str">
        <f>IF(C31="","",RIGHT(TEXT(1911+班別參數!$D$2&amp;"/"&amp;班別參數!$E$2&amp;"/"&amp;輪休基準表!C31,"aaaa"),1))</f>
        <v>二</v>
      </c>
      <c r="E31" s="202" t="s">
        <v>339</v>
      </c>
      <c r="F31" s="202"/>
      <c r="G31" s="202" t="s">
        <v>339</v>
      </c>
      <c r="H31" s="202"/>
      <c r="I31" s="199" t="s">
        <v>339</v>
      </c>
      <c r="J31" s="200" t="s">
        <v>339</v>
      </c>
      <c r="K31" s="202" t="s">
        <v>339</v>
      </c>
      <c r="L31" s="202"/>
      <c r="M31" s="202" t="s">
        <v>339</v>
      </c>
      <c r="N31" s="202" t="s">
        <v>339</v>
      </c>
      <c r="O31" s="202" t="s">
        <v>339</v>
      </c>
      <c r="P31" s="202" t="s">
        <v>339</v>
      </c>
      <c r="Q31" s="202" t="s">
        <v>43</v>
      </c>
      <c r="R31" s="202" t="s">
        <v>43</v>
      </c>
      <c r="S31" s="202" t="s">
        <v>339</v>
      </c>
      <c r="T31" s="200" t="s">
        <v>339</v>
      </c>
      <c r="U31" s="202"/>
      <c r="V31" s="202"/>
      <c r="W31" s="202"/>
      <c r="X31" s="202" t="s">
        <v>43</v>
      </c>
      <c r="Y31" s="202" t="s">
        <v>1</v>
      </c>
      <c r="Z31" s="202" t="s">
        <v>43</v>
      </c>
      <c r="AA31" s="202"/>
      <c r="AB31" s="202" t="s">
        <v>1</v>
      </c>
      <c r="AC31" s="202"/>
      <c r="AD31" s="202"/>
      <c r="AE31" s="202" t="s">
        <v>339</v>
      </c>
      <c r="AF31" s="202" t="s">
        <v>340</v>
      </c>
      <c r="AG31" s="184">
        <v>9</v>
      </c>
      <c r="AH31" s="184" t="str">
        <f t="shared" si="0"/>
        <v>2+7</v>
      </c>
      <c r="AK31" s="185">
        <v>26</v>
      </c>
      <c r="AL31" s="185" t="str">
        <v>楊紹文</v>
      </c>
      <c r="AM31" s="185" t="s">
        <v>296</v>
      </c>
    </row>
    <row r="32" spans="1:39" ht="50.1" customHeight="1">
      <c r="A32" s="1"/>
      <c r="B32" s="1"/>
      <c r="C32" s="181">
        <f>IF((ROW()-5)&lt;=班別參數!$G$2,ROW()-5,"")</f>
        <v>27</v>
      </c>
      <c r="D32" s="182" t="str">
        <f>IF(C32="","",RIGHT(TEXT(1911+班別參數!$D$2&amp;"/"&amp;班別參數!$E$2&amp;"/"&amp;輪休基準表!C32,"aaaa"),1))</f>
        <v>三</v>
      </c>
      <c r="E32" s="201"/>
      <c r="F32" s="201" t="s">
        <v>339</v>
      </c>
      <c r="G32" s="202" t="s">
        <v>339</v>
      </c>
      <c r="H32" s="202" t="s">
        <v>339</v>
      </c>
      <c r="I32" s="200"/>
      <c r="J32" s="202"/>
      <c r="K32" s="202" t="s">
        <v>27</v>
      </c>
      <c r="L32" s="202" t="s">
        <v>339</v>
      </c>
      <c r="M32" s="202"/>
      <c r="N32" s="202" t="s">
        <v>27</v>
      </c>
      <c r="O32" s="202"/>
      <c r="P32" s="202"/>
      <c r="Q32" s="202" t="s">
        <v>43</v>
      </c>
      <c r="R32" s="202" t="s">
        <v>43</v>
      </c>
      <c r="S32" s="202"/>
      <c r="T32" s="202"/>
      <c r="U32" s="200" t="s">
        <v>339</v>
      </c>
      <c r="V32" s="202"/>
      <c r="W32" s="202" t="s">
        <v>339</v>
      </c>
      <c r="X32" s="202" t="s">
        <v>43</v>
      </c>
      <c r="Y32" s="202" t="s">
        <v>339</v>
      </c>
      <c r="Z32" s="202" t="s">
        <v>43</v>
      </c>
      <c r="AA32" s="202" t="s">
        <v>339</v>
      </c>
      <c r="AB32" s="202" t="s">
        <v>339</v>
      </c>
      <c r="AC32" s="202" t="s">
        <v>339</v>
      </c>
      <c r="AD32" s="202" t="s">
        <v>339</v>
      </c>
      <c r="AE32" s="202" t="s">
        <v>339</v>
      </c>
      <c r="AF32" s="202" t="s">
        <v>339</v>
      </c>
      <c r="AG32" s="184">
        <v>9</v>
      </c>
      <c r="AH32" s="184" t="str">
        <f t="shared" si="0"/>
        <v>2+7</v>
      </c>
      <c r="AK32" s="185">
        <v>27</v>
      </c>
      <c r="AL32" s="185" t="str">
        <v>林宏為</v>
      </c>
      <c r="AM32" s="185" t="s">
        <v>296</v>
      </c>
    </row>
    <row r="33" spans="1:39" ht="50.1" customHeight="1">
      <c r="A33" s="1"/>
      <c r="B33" s="1"/>
      <c r="C33" s="181">
        <f>IF((ROW()-5)&lt;=班別參數!$G$2,ROW()-5,"")</f>
        <v>28</v>
      </c>
      <c r="D33" s="182" t="str">
        <f>IF(C33="","",RIGHT(TEXT(1911+班別參數!$D$2&amp;"/"&amp;班別參數!$E$2&amp;"/"&amp;輪休基準表!C33,"aaaa"),1))</f>
        <v>四</v>
      </c>
      <c r="E33" s="197" t="s">
        <v>339</v>
      </c>
      <c r="F33" s="197"/>
      <c r="G33" s="197"/>
      <c r="H33" s="200" t="s">
        <v>27</v>
      </c>
      <c r="I33" s="202" t="s">
        <v>339</v>
      </c>
      <c r="J33" s="201" t="s">
        <v>339</v>
      </c>
      <c r="K33" s="200" t="s">
        <v>339</v>
      </c>
      <c r="L33" s="200" t="s">
        <v>27</v>
      </c>
      <c r="M33" s="200" t="s">
        <v>339</v>
      </c>
      <c r="N33" s="200" t="s">
        <v>339</v>
      </c>
      <c r="O33" s="202" t="s">
        <v>339</v>
      </c>
      <c r="P33" s="200" t="s">
        <v>339</v>
      </c>
      <c r="Q33" s="200" t="s">
        <v>43</v>
      </c>
      <c r="R33" s="200" t="s">
        <v>43</v>
      </c>
      <c r="S33" s="200" t="s">
        <v>339</v>
      </c>
      <c r="T33" s="200" t="s">
        <v>339</v>
      </c>
      <c r="U33" s="197"/>
      <c r="V33" s="197" t="s">
        <v>339</v>
      </c>
      <c r="W33" s="197" t="s">
        <v>27</v>
      </c>
      <c r="X33" s="198" t="s">
        <v>43</v>
      </c>
      <c r="Y33" s="197"/>
      <c r="Z33" s="197" t="s">
        <v>43</v>
      </c>
      <c r="AA33" s="197"/>
      <c r="AB33" s="197" t="s">
        <v>1</v>
      </c>
      <c r="AC33" s="197"/>
      <c r="AD33" s="197"/>
      <c r="AE33" s="197"/>
      <c r="AF33" s="198"/>
      <c r="AG33" s="184">
        <v>9</v>
      </c>
      <c r="AH33" s="184" t="str">
        <f t="shared" si="0"/>
        <v>2+7</v>
      </c>
      <c r="AK33" s="185">
        <v>28</v>
      </c>
      <c r="AL33" s="185" t="str">
        <v>林宸彥</v>
      </c>
      <c r="AM33" s="185" t="s">
        <v>296</v>
      </c>
    </row>
    <row r="34" spans="1:39" ht="50.1" customHeight="1">
      <c r="A34" s="1"/>
      <c r="B34" s="1"/>
      <c r="C34" s="181">
        <f>IF((ROW()-5)&lt;=班別參數!$G$2,ROW()-5,"")</f>
        <v>29</v>
      </c>
      <c r="D34" s="182" t="str">
        <f>IF(C34="","",RIGHT(TEXT(1911+班別參數!$D$2&amp;"/"&amp;班別參數!$E$2&amp;"/"&amp;輪休基準表!C34,"aaaa"),1))</f>
        <v>五</v>
      </c>
      <c r="E34" s="201"/>
      <c r="F34" s="200" t="s">
        <v>339</v>
      </c>
      <c r="G34" s="200" t="s">
        <v>27</v>
      </c>
      <c r="H34" s="199" t="s">
        <v>339</v>
      </c>
      <c r="I34" s="200"/>
      <c r="J34" s="199"/>
      <c r="K34" s="199"/>
      <c r="L34" s="199" t="s">
        <v>339</v>
      </c>
      <c r="M34" s="199" t="s">
        <v>27</v>
      </c>
      <c r="N34" s="197"/>
      <c r="O34" s="198"/>
      <c r="P34" s="199"/>
      <c r="Q34" s="199" t="s">
        <v>43</v>
      </c>
      <c r="R34" s="199" t="s">
        <v>43</v>
      </c>
      <c r="S34" s="199"/>
      <c r="T34" s="199" t="s">
        <v>27</v>
      </c>
      <c r="U34" s="200" t="s">
        <v>339</v>
      </c>
      <c r="V34" s="200" t="s">
        <v>339</v>
      </c>
      <c r="W34" s="200" t="s">
        <v>339</v>
      </c>
      <c r="X34" s="201" t="s">
        <v>43</v>
      </c>
      <c r="Y34" s="200" t="s">
        <v>339</v>
      </c>
      <c r="Z34" s="200" t="s">
        <v>43</v>
      </c>
      <c r="AA34" s="200" t="s">
        <v>339</v>
      </c>
      <c r="AB34" s="200" t="s">
        <v>339</v>
      </c>
      <c r="AC34" s="200" t="s">
        <v>339</v>
      </c>
      <c r="AD34" s="200" t="s">
        <v>339</v>
      </c>
      <c r="AE34" s="200"/>
      <c r="AF34" s="200" t="s">
        <v>339</v>
      </c>
      <c r="AG34" s="184">
        <v>9</v>
      </c>
      <c r="AH34" s="184" t="str">
        <f t="shared" si="0"/>
        <v>2+7</v>
      </c>
      <c r="AK34" s="185"/>
      <c r="AL34" s="185"/>
      <c r="AM34" s="185"/>
    </row>
    <row r="35" spans="1:39" ht="50.1" customHeight="1">
      <c r="A35" s="1"/>
      <c r="B35" s="1"/>
      <c r="C35" s="181">
        <f>IF((ROW()-5)&lt;=班別參數!$G$2,ROW()-5,"")</f>
        <v>30</v>
      </c>
      <c r="D35" s="182" t="str">
        <f>IF(C35="","",RIGHT(TEXT(1911+班別參數!$D$2&amp;"/"&amp;班別參數!$E$2&amp;"/"&amp;輪休基準表!C35,"aaaa"),1))</f>
        <v>六</v>
      </c>
      <c r="E35" s="202" t="s">
        <v>339</v>
      </c>
      <c r="F35" s="202" t="s">
        <v>27</v>
      </c>
      <c r="G35" s="202" t="s">
        <v>339</v>
      </c>
      <c r="H35" s="200"/>
      <c r="I35" s="202" t="s">
        <v>339</v>
      </c>
      <c r="J35" s="200"/>
      <c r="K35" s="200" t="s">
        <v>339</v>
      </c>
      <c r="L35" s="200" t="s">
        <v>27</v>
      </c>
      <c r="M35" s="200" t="s">
        <v>339</v>
      </c>
      <c r="N35" s="200" t="s">
        <v>339</v>
      </c>
      <c r="O35" s="200"/>
      <c r="P35" s="200" t="s">
        <v>339</v>
      </c>
      <c r="Q35" s="200" t="s">
        <v>339</v>
      </c>
      <c r="R35" s="200" t="s">
        <v>339</v>
      </c>
      <c r="S35" s="200" t="s">
        <v>339</v>
      </c>
      <c r="T35" s="200" t="s">
        <v>339</v>
      </c>
      <c r="U35" s="202" t="s">
        <v>20</v>
      </c>
      <c r="V35" s="202" t="s">
        <v>339</v>
      </c>
      <c r="W35" s="202"/>
      <c r="X35" s="202" t="s">
        <v>339</v>
      </c>
      <c r="Y35" s="202" t="s">
        <v>339</v>
      </c>
      <c r="Z35" s="202" t="s">
        <v>339</v>
      </c>
      <c r="AA35" s="202"/>
      <c r="AB35" s="202"/>
      <c r="AC35" s="202"/>
      <c r="AD35" s="202"/>
      <c r="AE35" s="202" t="s">
        <v>339</v>
      </c>
      <c r="AF35" s="200"/>
      <c r="AG35" s="184">
        <v>9</v>
      </c>
      <c r="AH35" s="184" t="str">
        <f t="shared" si="0"/>
        <v>1+8</v>
      </c>
      <c r="AK35" s="185"/>
      <c r="AL35" s="185"/>
      <c r="AM35" s="185"/>
    </row>
    <row r="36" spans="1:39" ht="50.1" customHeight="1">
      <c r="A36" s="1"/>
      <c r="B36" s="1"/>
      <c r="C36" s="181">
        <f>IF((ROW()-5)&lt;=班別參數!$G$2,ROW()-5,"")</f>
        <v>31</v>
      </c>
      <c r="D36" s="182" t="str">
        <f>IF(C36="","",RIGHT(TEXT(1911+班別參數!$D$2&amp;"/"&amp;班別參數!$E$2&amp;"/"&amp;輪休基準表!C36,"aaaa"),1))</f>
        <v>日</v>
      </c>
      <c r="E36" s="205" t="s">
        <v>1</v>
      </c>
      <c r="F36" s="205" t="s">
        <v>339</v>
      </c>
      <c r="G36" s="205"/>
      <c r="H36" s="205" t="s">
        <v>339</v>
      </c>
      <c r="I36" s="205"/>
      <c r="J36" s="205" t="s">
        <v>339</v>
      </c>
      <c r="K36" s="205"/>
      <c r="L36" s="205" t="s">
        <v>339</v>
      </c>
      <c r="M36" s="205"/>
      <c r="N36" s="205" t="s">
        <v>27</v>
      </c>
      <c r="O36" s="205" t="s">
        <v>339</v>
      </c>
      <c r="P36" s="205" t="s">
        <v>27</v>
      </c>
      <c r="Q36" s="205" t="s">
        <v>339</v>
      </c>
      <c r="R36" s="205" t="s">
        <v>339</v>
      </c>
      <c r="S36" s="205"/>
      <c r="T36" s="205"/>
      <c r="U36" s="205" t="s">
        <v>339</v>
      </c>
      <c r="V36" s="205"/>
      <c r="W36" s="205" t="s">
        <v>339</v>
      </c>
      <c r="X36" s="205" t="s">
        <v>339</v>
      </c>
      <c r="Y36" s="205"/>
      <c r="Z36" s="205" t="s">
        <v>339</v>
      </c>
      <c r="AA36" s="205" t="s">
        <v>339</v>
      </c>
      <c r="AB36" s="205" t="s">
        <v>339</v>
      </c>
      <c r="AC36" s="205" t="s">
        <v>339</v>
      </c>
      <c r="AD36" s="205" t="s">
        <v>339</v>
      </c>
      <c r="AE36" s="205"/>
      <c r="AF36" s="205" t="s">
        <v>339</v>
      </c>
      <c r="AG36" s="184">
        <v>9</v>
      </c>
      <c r="AH36" s="184" t="str">
        <f t="shared" si="0"/>
        <v>2+7</v>
      </c>
      <c r="AK36" s="185"/>
      <c r="AL36" s="185"/>
      <c r="AM36" s="185"/>
    </row>
    <row r="37" spans="1:39" ht="45" customHeight="1">
      <c r="A37" s="1"/>
      <c r="B37" s="1"/>
      <c r="C37" s="5"/>
      <c r="D37" s="6"/>
      <c r="E37" s="7">
        <f>COUNTA($C$6:$C$36)-COUNTIF($C$6:$C$36,"")-COUNTA(E6:E36)</f>
        <v>12</v>
      </c>
      <c r="F37" s="7">
        <f t="shared" ref="F37:AF37" si="1">COUNTA($C$6:$C$36)-COUNTIF($C$6:$C$36,"")-COUNTA(F6:F36)</f>
        <v>11</v>
      </c>
      <c r="G37" s="7">
        <f t="shared" si="1"/>
        <v>12</v>
      </c>
      <c r="H37" s="7">
        <f t="shared" si="1"/>
        <v>11</v>
      </c>
      <c r="I37" s="7">
        <f t="shared" si="1"/>
        <v>12</v>
      </c>
      <c r="J37" s="7">
        <f t="shared" si="1"/>
        <v>12</v>
      </c>
      <c r="K37" s="7">
        <f t="shared" si="1"/>
        <v>12</v>
      </c>
      <c r="L37" s="7">
        <f t="shared" si="1"/>
        <v>11</v>
      </c>
      <c r="M37" s="7">
        <f t="shared" si="1"/>
        <v>12</v>
      </c>
      <c r="N37" s="7">
        <f t="shared" si="1"/>
        <v>12</v>
      </c>
      <c r="O37" s="7">
        <f t="shared" si="1"/>
        <v>12</v>
      </c>
      <c r="P37" s="7">
        <f t="shared" si="1"/>
        <v>11</v>
      </c>
      <c r="Q37" s="7">
        <f t="shared" si="1"/>
        <v>4</v>
      </c>
      <c r="R37" s="7">
        <f t="shared" si="1"/>
        <v>4</v>
      </c>
      <c r="S37" s="7">
        <f t="shared" si="1"/>
        <v>12</v>
      </c>
      <c r="T37" s="7">
        <f t="shared" si="1"/>
        <v>13</v>
      </c>
      <c r="U37" s="7">
        <f t="shared" si="1"/>
        <v>10</v>
      </c>
      <c r="V37" s="7">
        <f t="shared" si="1"/>
        <v>11</v>
      </c>
      <c r="W37" s="7">
        <f t="shared" si="1"/>
        <v>11</v>
      </c>
      <c r="X37" s="7">
        <f t="shared" si="1"/>
        <v>0</v>
      </c>
      <c r="Y37" s="7">
        <f t="shared" si="1"/>
        <v>11</v>
      </c>
      <c r="Z37" s="7">
        <f t="shared" si="1"/>
        <v>0</v>
      </c>
      <c r="AA37" s="7">
        <f t="shared" si="1"/>
        <v>11</v>
      </c>
      <c r="AB37" s="7">
        <f t="shared" si="1"/>
        <v>6</v>
      </c>
      <c r="AC37" s="7">
        <f t="shared" si="1"/>
        <v>11</v>
      </c>
      <c r="AD37" s="7">
        <f t="shared" si="1"/>
        <v>11</v>
      </c>
      <c r="AE37" s="7">
        <f t="shared" si="1"/>
        <v>12</v>
      </c>
      <c r="AF37" s="7">
        <f t="shared" si="1"/>
        <v>12</v>
      </c>
      <c r="AG37" s="5"/>
      <c r="AH37" s="5"/>
    </row>
  </sheetData>
  <mergeCells count="1">
    <mergeCell ref="C3:AH3"/>
  </mergeCells>
  <phoneticPr fontId="9" type="noConversion"/>
  <conditionalFormatting sqref="D6:D36">
    <cfRule type="containsText" dxfId="173" priority="6" operator="containsText" text="六">
      <formula>NOT(ISERROR(SEARCH(("六"),(D6))))</formula>
    </cfRule>
  </conditionalFormatting>
  <conditionalFormatting sqref="D6:D36">
    <cfRule type="containsText" dxfId="172" priority="7" operator="containsText" text="日">
      <formula>NOT(ISERROR(SEARCH(("日"),(D6))))</formula>
    </cfRule>
  </conditionalFormatting>
  <conditionalFormatting sqref="E7:AF36">
    <cfRule type="notContainsText" dxfId="171" priority="2" operator="notContains" text="休">
      <formula>ISERROR(SEARCH(("休"),(E7)))</formula>
    </cfRule>
  </conditionalFormatting>
  <conditionalFormatting sqref="E6:AF6">
    <cfRule type="notContainsText" dxfId="170" priority="1" operator="notContains" text="休">
      <formula>ISERROR(SEARCH(("休"),(E6)))</formula>
    </cfRule>
  </conditionalFormatting>
  <dataValidations count="1">
    <dataValidation type="list" allowBlank="1" showInputMessage="1" showErrorMessage="1" sqref="AM6:AM36" xr:uid="{3566A959-2065-4866-9160-C1AD926FCE91}">
      <formula1>"幹部,A班,B班,實習生"</formula1>
    </dataValidation>
  </dataValidations>
  <pageMargins left="0.25" right="0.25" top="0.75" bottom="0.75" header="0" footer="0"/>
  <pageSetup paperSize="9" scale="4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46D5-C212-4105-BCEE-8472064AC859}">
  <sheetPr codeName="工作表3"/>
  <dimension ref="A1:CB32"/>
  <sheetViews>
    <sheetView showZeros="0" workbookViewId="0">
      <selection activeCell="K11" sqref="K11"/>
    </sheetView>
  </sheetViews>
  <sheetFormatPr defaultRowHeight="16.5"/>
  <cols>
    <col min="1" max="1" width="5.25" style="17" customWidth="1"/>
    <col min="2" max="2" width="8.375" style="17" customWidth="1"/>
    <col min="3" max="10" width="6.625" style="17" customWidth="1"/>
    <col min="11" max="14" width="9" style="17" customWidth="1"/>
    <col min="15" max="15" width="11.5" style="17" customWidth="1"/>
    <col min="16" max="17" width="9" style="17" customWidth="1"/>
    <col min="18" max="48" width="9" style="17" hidden="1" customWidth="1"/>
    <col min="49" max="49" width="9" style="17"/>
    <col min="50" max="50" width="9.625" style="17" hidden="1" customWidth="1"/>
    <col min="51" max="58" width="9.5" style="17" hidden="1" customWidth="1"/>
    <col min="59" max="80" width="10.5" style="17" hidden="1" customWidth="1"/>
    <col min="81" max="16384" width="9" style="17"/>
  </cols>
  <sheetData>
    <row r="1" spans="1:80">
      <c r="A1" s="163"/>
      <c r="B1" s="163"/>
      <c r="C1" s="163" t="str" cm="1">
        <f t="array" ref="C1:J1">TRANSPOSE(班別參數!D5:D12)</f>
        <v>08-10</v>
      </c>
      <c r="D1" s="163" t="str">
        <v>10-12</v>
      </c>
      <c r="E1" s="163" t="str">
        <v>12-14</v>
      </c>
      <c r="F1" s="163" t="str">
        <v>14-16</v>
      </c>
      <c r="G1" s="163" t="str">
        <v>16-18</v>
      </c>
      <c r="H1" s="163" t="str">
        <v>18-20</v>
      </c>
      <c r="I1" s="163" t="str">
        <v>20-22</v>
      </c>
      <c r="J1" s="163" t="str">
        <v>22-08</v>
      </c>
      <c r="K1" s="177">
        <f ca="1">TODAY()</f>
        <v>46158</v>
      </c>
      <c r="L1" s="173"/>
      <c r="M1" s="163" t="s">
        <v>282</v>
      </c>
      <c r="N1" s="163" t="s">
        <v>285</v>
      </c>
      <c r="O1" s="163" t="s">
        <v>283</v>
      </c>
      <c r="Q1" s="17" t="s">
        <v>278</v>
      </c>
      <c r="R1" s="17" t="s">
        <v>247</v>
      </c>
      <c r="S1" s="17" t="s">
        <v>248</v>
      </c>
      <c r="T1" s="17" t="s">
        <v>249</v>
      </c>
      <c r="U1" s="17" t="s">
        <v>250</v>
      </c>
      <c r="V1" s="17" t="s">
        <v>251</v>
      </c>
      <c r="W1" s="17" t="s">
        <v>252</v>
      </c>
      <c r="X1" s="17" t="s">
        <v>253</v>
      </c>
      <c r="Y1" s="17" t="s">
        <v>254</v>
      </c>
      <c r="Z1" s="17" t="s">
        <v>255</v>
      </c>
      <c r="AA1" s="17" t="s">
        <v>256</v>
      </c>
      <c r="AB1" s="17" t="s">
        <v>257</v>
      </c>
      <c r="AC1" s="17" t="s">
        <v>258</v>
      </c>
      <c r="AD1" s="17" t="s">
        <v>259</v>
      </c>
      <c r="AE1" s="17" t="s">
        <v>260</v>
      </c>
      <c r="AF1" s="17" t="s">
        <v>261</v>
      </c>
      <c r="AG1" s="17" t="s">
        <v>262</v>
      </c>
      <c r="AH1" s="17" t="s">
        <v>263</v>
      </c>
      <c r="AI1" s="17" t="s">
        <v>264</v>
      </c>
      <c r="AJ1" s="17" t="s">
        <v>265</v>
      </c>
      <c r="AK1" s="17" t="s">
        <v>266</v>
      </c>
      <c r="AL1" s="17" t="s">
        <v>267</v>
      </c>
      <c r="AM1" s="17" t="s">
        <v>268</v>
      </c>
      <c r="AN1" s="17" t="s">
        <v>269</v>
      </c>
      <c r="AO1" s="17" t="s">
        <v>270</v>
      </c>
      <c r="AP1" s="17" t="s">
        <v>271</v>
      </c>
      <c r="AQ1" s="17" t="s">
        <v>272</v>
      </c>
      <c r="AR1" s="17" t="s">
        <v>273</v>
      </c>
      <c r="AS1" s="17" t="s">
        <v>274</v>
      </c>
      <c r="AT1" s="17" t="s">
        <v>275</v>
      </c>
      <c r="AU1" s="17" t="s">
        <v>276</v>
      </c>
      <c r="AV1" s="17" t="s">
        <v>277</v>
      </c>
      <c r="AX1" s="17" t="str" cm="1">
        <f t="array" ref="AX1:CB1">TRANSPOSE(工作表[工作表])</f>
        <v>1號</v>
      </c>
      <c r="AY1" s="17" t="str">
        <v>2號</v>
      </c>
      <c r="AZ1" s="17" t="str">
        <v>3號</v>
      </c>
      <c r="BA1" s="17" t="str">
        <v>4號</v>
      </c>
      <c r="BB1" s="17" t="str">
        <v>5號</v>
      </c>
      <c r="BC1" s="17" t="str">
        <v>6號</v>
      </c>
      <c r="BD1" s="17" t="str">
        <v>7號</v>
      </c>
      <c r="BE1" s="17" t="str">
        <v>8號</v>
      </c>
      <c r="BF1" s="17" t="str">
        <v>9號</v>
      </c>
      <c r="BG1" s="17" t="str">
        <v>10號</v>
      </c>
      <c r="BH1" s="17" t="str">
        <v>11號</v>
      </c>
      <c r="BI1" s="17" t="str">
        <v>12號</v>
      </c>
      <c r="BJ1" s="17" t="str">
        <v>13號</v>
      </c>
      <c r="BK1" s="17" t="str">
        <v>14號</v>
      </c>
      <c r="BL1" s="17" t="str">
        <v>15號</v>
      </c>
      <c r="BM1" s="17" t="str">
        <v>16號</v>
      </c>
      <c r="BN1" s="17" t="str">
        <v>17號</v>
      </c>
      <c r="BO1" s="17" t="str">
        <v>18號</v>
      </c>
      <c r="BP1" s="17" t="str">
        <v>19號</v>
      </c>
      <c r="BQ1" s="17" t="str">
        <v>20號</v>
      </c>
      <c r="BR1" s="17" t="str">
        <v>21號</v>
      </c>
      <c r="BS1" s="17" t="str">
        <v>22號</v>
      </c>
      <c r="BT1" s="17" t="str">
        <v>23號</v>
      </c>
      <c r="BU1" s="17" t="str">
        <v>24號</v>
      </c>
      <c r="BV1" s="17" t="str">
        <v>25號</v>
      </c>
      <c r="BW1" s="17" t="str">
        <v>26號</v>
      </c>
      <c r="BX1" s="17" t="str">
        <v>27號</v>
      </c>
      <c r="BY1" s="17" t="str">
        <v>28號</v>
      </c>
      <c r="BZ1" s="17" t="str">
        <v>29號</v>
      </c>
      <c r="CA1" s="17" t="str">
        <v>30號</v>
      </c>
      <c r="CB1" s="17" t="str">
        <v>31號</v>
      </c>
    </row>
    <row r="2" spans="1:80">
      <c r="A2" s="163" t="s">
        <v>246</v>
      </c>
      <c r="B2" s="163" t="s">
        <v>245</v>
      </c>
      <c r="C2" s="163" t="s">
        <v>237</v>
      </c>
      <c r="D2" s="163" t="s">
        <v>233</v>
      </c>
      <c r="E2" s="163" t="s">
        <v>239</v>
      </c>
      <c r="F2" s="163" t="s">
        <v>235</v>
      </c>
      <c r="G2" s="163" t="s">
        <v>240</v>
      </c>
      <c r="H2" s="163" t="s">
        <v>234</v>
      </c>
      <c r="I2" s="163" t="s">
        <v>238</v>
      </c>
      <c r="J2" s="163" t="s">
        <v>236</v>
      </c>
      <c r="K2" s="175" t="s">
        <v>293</v>
      </c>
      <c r="L2" s="173"/>
      <c r="M2" s="163" t="s">
        <v>284</v>
      </c>
      <c r="N2" s="163" t="s">
        <v>286</v>
      </c>
      <c r="O2" s="163" t="s">
        <v>284</v>
      </c>
      <c r="Q2" s="17" t="s">
        <v>247</v>
      </c>
      <c r="AX2" s="174">
        <f>DATE(班別參數!$D$2+1911,班別參數!$E$2,LEFT(統計班別!AX1,FIND("號",統計班別!AX1)-1))</f>
        <v>46143</v>
      </c>
      <c r="AY2" s="174">
        <f>DATE(班別參數!$D$2+1911,班別參數!$E$2,LEFT(統計班別!AY1,FIND("號",統計班別!AY1)-1))</f>
        <v>46144</v>
      </c>
      <c r="AZ2" s="174">
        <f>DATE(班別參數!$D$2+1911,班別參數!$E$2,LEFT(統計班別!AZ1,FIND("號",統計班別!AZ1)-1))</f>
        <v>46145</v>
      </c>
      <c r="BA2" s="174">
        <f>DATE(班別參數!$D$2+1911,班別參數!$E$2,LEFT(統計班別!BA1,FIND("號",統計班別!BA1)-1))</f>
        <v>46146</v>
      </c>
      <c r="BB2" s="174">
        <f>DATE(班別參數!$D$2+1911,班別參數!$E$2,LEFT(統計班別!BB1,FIND("號",統計班別!BB1)-1))</f>
        <v>46147</v>
      </c>
      <c r="BC2" s="174">
        <f>DATE(班別參數!$D$2+1911,班別參數!$E$2,LEFT(統計班別!BC1,FIND("號",統計班別!BC1)-1))</f>
        <v>46148</v>
      </c>
      <c r="BD2" s="174">
        <f>DATE(班別參數!$D$2+1911,班別參數!$E$2,LEFT(統計班別!BD1,FIND("號",統計班別!BD1)-1))</f>
        <v>46149</v>
      </c>
      <c r="BE2" s="174">
        <f>DATE(班別參數!$D$2+1911,班別參數!$E$2,LEFT(統計班別!BE1,FIND("號",統計班別!BE1)-1))</f>
        <v>46150</v>
      </c>
      <c r="BF2" s="174">
        <f>DATE(班別參數!$D$2+1911,班別參數!$E$2,LEFT(統計班別!BF1,FIND("號",統計班別!BF1)-1))</f>
        <v>46151</v>
      </c>
      <c r="BG2" s="174">
        <f>DATE(班別參數!$D$2+1911,班別參數!$E$2,LEFT(統計班別!BG1,FIND("號",統計班別!BG1)-1))</f>
        <v>46152</v>
      </c>
      <c r="BH2" s="174">
        <f>DATE(班別參數!$D$2+1911,班別參數!$E$2,LEFT(統計班別!BH1,FIND("號",統計班別!BH1)-1))</f>
        <v>46153</v>
      </c>
      <c r="BI2" s="174">
        <f>DATE(班別參數!$D$2+1911,班別參數!$E$2,LEFT(統計班別!BI1,FIND("號",統計班別!BI1)-1))</f>
        <v>46154</v>
      </c>
      <c r="BJ2" s="174">
        <f>DATE(班別參數!$D$2+1911,班別參數!$E$2,LEFT(統計班別!BJ1,FIND("號",統計班別!BJ1)-1))</f>
        <v>46155</v>
      </c>
      <c r="BK2" s="174">
        <f>DATE(班別參數!$D$2+1911,班別參數!$E$2,LEFT(統計班別!BK1,FIND("號",統計班別!BK1)-1))</f>
        <v>46156</v>
      </c>
      <c r="BL2" s="174">
        <f>DATE(班別參數!$D$2+1911,班別參數!$E$2,LEFT(統計班別!BL1,FIND("號",統計班別!BL1)-1))</f>
        <v>46157</v>
      </c>
      <c r="BM2" s="174">
        <f>DATE(班別參數!$D$2+1911,班別參數!$E$2,LEFT(統計班別!BM1,FIND("號",統計班別!BM1)-1))</f>
        <v>46158</v>
      </c>
      <c r="BN2" s="174">
        <f>DATE(班別參數!$D$2+1911,班別參數!$E$2,LEFT(統計班別!BN1,FIND("號",統計班別!BN1)-1))</f>
        <v>46159</v>
      </c>
      <c r="BO2" s="174">
        <f>DATE(班別參數!$D$2+1911,班別參數!$E$2,LEFT(統計班別!BO1,FIND("號",統計班別!BO1)-1))</f>
        <v>46160</v>
      </c>
      <c r="BP2" s="174">
        <f>DATE(班別參數!$D$2+1911,班別參數!$E$2,LEFT(統計班別!BP1,FIND("號",統計班別!BP1)-1))</f>
        <v>46161</v>
      </c>
      <c r="BQ2" s="174">
        <f>DATE(班別參數!$D$2+1911,班別參數!$E$2,LEFT(統計班別!BQ1,FIND("號",統計班別!BQ1)-1))</f>
        <v>46162</v>
      </c>
      <c r="BR2" s="174">
        <f>DATE(班別參數!$D$2+1911,班別參數!$E$2,LEFT(統計班別!BR1,FIND("號",統計班別!BR1)-1))</f>
        <v>46163</v>
      </c>
      <c r="BS2" s="174">
        <f>DATE(班別參數!$D$2+1911,班別參數!$E$2,LEFT(統計班別!BS1,FIND("號",統計班別!BS1)-1))</f>
        <v>46164</v>
      </c>
      <c r="BT2" s="174">
        <f>DATE(班別參數!$D$2+1911,班別參數!$E$2,LEFT(統計班別!BT1,FIND("號",統計班別!BT1)-1))</f>
        <v>46165</v>
      </c>
      <c r="BU2" s="174">
        <f>DATE(班別參數!$D$2+1911,班別參數!$E$2,LEFT(統計班別!BU1,FIND("號",統計班別!BU1)-1))</f>
        <v>46166</v>
      </c>
      <c r="BV2" s="174">
        <f>DATE(班別參數!$D$2+1911,班別參數!$E$2,LEFT(統計班別!BV1,FIND("號",統計班別!BV1)-1))</f>
        <v>46167</v>
      </c>
      <c r="BW2" s="174">
        <f>DATE(班別參數!$D$2+1911,班別參數!$E$2,LEFT(統計班別!BW1,FIND("號",統計班別!BW1)-1))</f>
        <v>46168</v>
      </c>
      <c r="BX2" s="174">
        <f>DATE(班別參數!$D$2+1911,班別參數!$E$2,LEFT(統計班別!BX1,FIND("號",統計班別!BX1)-1))</f>
        <v>46169</v>
      </c>
      <c r="BY2" s="174">
        <f>DATE(班別參數!$D$2+1911,班別參數!$E$2,LEFT(統計班別!BY1,FIND("號",統計班別!BY1)-1))</f>
        <v>46170</v>
      </c>
      <c r="BZ2" s="174">
        <f>DATE(班別參數!$D$2+1911,班別參數!$E$2,LEFT(統計班別!BZ1,FIND("號",統計班別!BZ1)-1))</f>
        <v>46171</v>
      </c>
      <c r="CA2" s="174">
        <f>DATE(班別參數!$D$2+1911,班別參數!$E$2,LEFT(統計班別!CA1,FIND("號",統計班別!CA1)-1))</f>
        <v>46172</v>
      </c>
      <c r="CB2" s="174">
        <f>DATE(班別參數!$D$2+1911,班別參數!$E$2,LEFT(統計班別!CB1,FIND("號",統計班別!CB1)-1))</f>
        <v>46173</v>
      </c>
    </row>
    <row r="3" spans="1:80">
      <c r="A3" s="163" cm="1">
        <f t="array" ref="A3:B30">TRANSPOSE(輪休基準表!E4:AF5)</f>
        <v>1</v>
      </c>
      <c r="B3" s="163" t="str">
        <v>鄧力嘉</v>
      </c>
      <c r="C3" s="163" t="str" cm="1">
        <f t="array" aca="1" ref="C3" ca="1">IF(SUMPRODUCT(COUNTIF(INDIRECT(工作表[工作表]&amp;"!C10"),$A3))=0,"",SUMPRODUCT(COUNTIF(INDIRECT(工作表[工作表]&amp;"!C10"),$A3)))</f>
        <v/>
      </c>
      <c r="D3" s="163" t="str" cm="1">
        <f t="array" aca="1" ref="D3" ca="1">IF(SUMPRODUCT(COUNTIF(INDIRECT(工作表[工作表]&amp;"!C12"),$A3))=0,"",SUMPRODUCT(COUNTIF(INDIRECT(工作表[工作表]&amp;"!C12"),$A3)))</f>
        <v/>
      </c>
      <c r="E3" s="163" t="str" cm="1">
        <f t="array" aca="1" ref="E3" ca="1">IF(SUMPRODUCT(COUNTIF(INDIRECT(工作表[工作表]&amp;"!C14"),$A3))=0,"",SUMPRODUCT(COUNTIF(INDIRECT(工作表[工作表]&amp;"!C14"),$A3)))</f>
        <v/>
      </c>
      <c r="F3" s="163" t="str" cm="1">
        <f t="array" aca="1" ref="F3" ca="1">IF(SUMPRODUCT(COUNTIF(INDIRECT(工作表[工作表]&amp;"!C16"),$A3))=0,"",SUMPRODUCT(COUNTIF(INDIRECT(工作表[工作表]&amp;"!C16"),$A3)))</f>
        <v/>
      </c>
      <c r="G3" s="163" t="str" cm="1">
        <f t="array" aca="1" ref="G3" ca="1">IF(SUMPRODUCT(COUNTIF(INDIRECT(工作表[工作表]&amp;"!C18"),$A3))=0,"",SUMPRODUCT(COUNTIF(INDIRECT(工作表[工作表]&amp;"!C18"),$A3)))</f>
        <v/>
      </c>
      <c r="H3" s="163" t="str" cm="1">
        <f t="array" aca="1" ref="H3" ca="1">IF(SUMPRODUCT(COUNTIF(INDIRECT(工作表[工作表]&amp;"!C20"),$A3))=0,"",SUMPRODUCT(COUNTIF(INDIRECT(工作表[工作表]&amp;"!C20"),$A3)))</f>
        <v/>
      </c>
      <c r="I3" s="163" t="str" cm="1">
        <f t="array" aca="1" ref="I3" ca="1">IF(SUMPRODUCT(COUNTIF(INDIRECT(工作表[工作表]&amp;"!C22"),$A3))=0,"",SUMPRODUCT(COUNTIF(INDIRECT(工作表[工作表]&amp;"!C22"),$A3)))</f>
        <v/>
      </c>
      <c r="J3" s="163" t="str" cm="1">
        <f t="array" aca="1" ref="J3" ca="1">IF(SUMPRODUCT(COUNTIF(INDIRECT(工作表[工作表]&amp;"!C24"),$A3))=0,"",SUMPRODUCT(COUNTIF(INDIRECT(工作表[工作表]&amp;"!C24"),$A3)))</f>
        <v/>
      </c>
      <c r="K3" s="163" t="str" cm="1">
        <f t="array" aca="1" ref="K3" ca="1">IF(MAX(IF($AX3:$CB3&lt;$K$1,$AX3:$CB3,"0"))=0,"",$K$1-MAX(IF($AX3:$CB3&lt;$K$1,$AX3:$CB3,"0"))&amp;"天")</f>
        <v/>
      </c>
      <c r="M3" s="163">
        <f ca="1">SUM(R3:AV3)</f>
        <v>0</v>
      </c>
      <c r="N3" s="163">
        <f>COUNTIF(_xlfn.XLOOKUP(B3,輪休基準表!$E$5:$AF$5,輪休基準表!$E$6:$AF$36,""),"")</f>
        <v>12</v>
      </c>
      <c r="O3" s="167">
        <f ca="1">M3/N3</f>
        <v>0</v>
      </c>
      <c r="Q3" s="17" t="s">
        <v>248</v>
      </c>
      <c r="R3" s="17">
        <f ca="1">COUNTIF(_xlfn.XLOOKUP("駕",INDIRECT(R$1&amp;"!$A$7:$AN$7"),INDIRECT(R$1&amp;"!$A$10:$AN$33"),""),$A3)+COUNTIF(_xlfn.XLOOKUP("護",INDIRECT(R$1&amp;"!$A$7:$AN$7"),INDIRECT(R$1&amp;"!$A$10:$AN$33"),""),$A3)</f>
        <v>0</v>
      </c>
      <c r="S3" s="17">
        <f t="shared" ref="S3:AV11" ca="1" si="0">COUNTIF(_xlfn.XLOOKUP("駕",INDIRECT(S$1&amp;"!$A$7:$AN$7"),INDIRECT(S$1&amp;"!$A$10:$AN$33"),""),$A3)+COUNTIF(_xlfn.XLOOKUP("護",INDIRECT(S$1&amp;"!$A$7:$AN$7"),INDIRECT(S$1&amp;"!$A$10:$AN$33"),""),$A3)</f>
        <v>0</v>
      </c>
      <c r="T3" s="17">
        <f t="shared" ca="1" si="0"/>
        <v>0</v>
      </c>
      <c r="U3" s="17">
        <f t="shared" ca="1" si="0"/>
        <v>0</v>
      </c>
      <c r="V3" s="17">
        <f t="shared" ca="1" si="0"/>
        <v>0</v>
      </c>
      <c r="W3" s="17">
        <f t="shared" ca="1" si="0"/>
        <v>0</v>
      </c>
      <c r="X3" s="17">
        <f t="shared" ca="1" si="0"/>
        <v>0</v>
      </c>
      <c r="Y3" s="17">
        <f t="shared" ca="1" si="0"/>
        <v>0</v>
      </c>
      <c r="Z3" s="17">
        <f t="shared" ca="1" si="0"/>
        <v>0</v>
      </c>
      <c r="AA3" s="17">
        <f t="shared" ca="1" si="0"/>
        <v>0</v>
      </c>
      <c r="AB3" s="17">
        <f t="shared" ca="1" si="0"/>
        <v>0</v>
      </c>
      <c r="AC3" s="17">
        <f t="shared" ca="1" si="0"/>
        <v>0</v>
      </c>
      <c r="AD3" s="17">
        <f t="shared" ca="1" si="0"/>
        <v>0</v>
      </c>
      <c r="AE3" s="17">
        <f t="shared" ca="1" si="0"/>
        <v>0</v>
      </c>
      <c r="AF3" s="17">
        <f t="shared" ca="1" si="0"/>
        <v>0</v>
      </c>
      <c r="AG3" s="17">
        <f t="shared" ca="1" si="0"/>
        <v>0</v>
      </c>
      <c r="AH3" s="17">
        <f t="shared" ca="1" si="0"/>
        <v>0</v>
      </c>
      <c r="AI3" s="17">
        <f t="shared" ca="1" si="0"/>
        <v>0</v>
      </c>
      <c r="AJ3" s="17">
        <f t="shared" ca="1" si="0"/>
        <v>0</v>
      </c>
      <c r="AK3" s="17">
        <f t="shared" ca="1" si="0"/>
        <v>0</v>
      </c>
      <c r="AL3" s="17">
        <f t="shared" ca="1" si="0"/>
        <v>0</v>
      </c>
      <c r="AM3" s="17">
        <f t="shared" ca="1" si="0"/>
        <v>0</v>
      </c>
      <c r="AN3" s="17">
        <f t="shared" ca="1" si="0"/>
        <v>0</v>
      </c>
      <c r="AO3" s="17">
        <f t="shared" ca="1" si="0"/>
        <v>0</v>
      </c>
      <c r="AP3" s="17">
        <f t="shared" ca="1" si="0"/>
        <v>0</v>
      </c>
      <c r="AQ3" s="17">
        <f t="shared" ca="1" si="0"/>
        <v>0</v>
      </c>
      <c r="AR3" s="17">
        <f t="shared" ca="1" si="0"/>
        <v>0</v>
      </c>
      <c r="AS3" s="17">
        <f t="shared" ca="1" si="0"/>
        <v>0</v>
      </c>
      <c r="AT3" s="17">
        <f t="shared" ca="1" si="0"/>
        <v>0</v>
      </c>
      <c r="AU3" s="17">
        <f t="shared" ca="1" si="0"/>
        <v>0</v>
      </c>
      <c r="AV3" s="17">
        <f t="shared" ca="1" si="0"/>
        <v>0</v>
      </c>
      <c r="AX3" s="17" t="str" cm="1">
        <f t="array" aca="1" ref="AX3" ca="1">IF(INDIRECT(AX$1&amp;"!C24")=$A3,AX$2,"")</f>
        <v/>
      </c>
      <c r="AY3" s="17" t="str" cm="1">
        <f t="array" aca="1" ref="AY3" ca="1">IF(INDIRECT(AY$1&amp;"!C24")=$A3,AY$2,"")</f>
        <v/>
      </c>
      <c r="AZ3" s="17" t="str" cm="1">
        <f t="array" aca="1" ref="AZ3" ca="1">IF(INDIRECT(AZ$1&amp;"!C24")=$A3,AZ$2,"")</f>
        <v/>
      </c>
      <c r="BA3" s="17" t="str" cm="1">
        <f t="array" aca="1" ref="BA3" ca="1">IF(INDIRECT(BA$1&amp;"!C24")=$A3,BA$2,"")</f>
        <v/>
      </c>
      <c r="BB3" s="17" t="str" cm="1">
        <f t="array" aca="1" ref="BB3" ca="1">IF(INDIRECT(BB$1&amp;"!C24")=$A3,BB$2,"")</f>
        <v/>
      </c>
      <c r="BC3" s="17" t="str" cm="1">
        <f t="array" aca="1" ref="BC3" ca="1">IF(INDIRECT(BC$1&amp;"!C24")=$A3,BC$2,"")</f>
        <v/>
      </c>
      <c r="BD3" s="17" t="str" cm="1">
        <f t="array" aca="1" ref="BD3" ca="1">IF(INDIRECT(BD$1&amp;"!C24")=$A3,BD$2,"")</f>
        <v/>
      </c>
      <c r="BE3" s="17" t="str" cm="1">
        <f t="array" aca="1" ref="BE3" ca="1">IF(INDIRECT(BE$1&amp;"!C24")=$A3,BE$2,"")</f>
        <v/>
      </c>
      <c r="BF3" s="17" t="str" cm="1">
        <f t="array" aca="1" ref="BF3" ca="1">IF(INDIRECT(BF$1&amp;"!C24")=$A3,BF$2,"")</f>
        <v/>
      </c>
      <c r="BG3" s="17" t="str" cm="1">
        <f t="array" aca="1" ref="BG3" ca="1">IF(INDIRECT(BG$1&amp;"!C24")=$A3,BG$2,"")</f>
        <v/>
      </c>
      <c r="BH3" s="17" t="str" cm="1">
        <f t="array" aca="1" ref="BH3" ca="1">IF(INDIRECT(BH$1&amp;"!C24")=$A3,BH$2,"")</f>
        <v/>
      </c>
      <c r="BI3" s="17" t="str" cm="1">
        <f t="array" aca="1" ref="BI3" ca="1">IF(INDIRECT(BI$1&amp;"!C24")=$A3,BI$2,"")</f>
        <v/>
      </c>
      <c r="BJ3" s="17" t="str" cm="1">
        <f t="array" aca="1" ref="BJ3" ca="1">IF(INDIRECT(BJ$1&amp;"!C24")=$A3,BJ$2,"")</f>
        <v/>
      </c>
      <c r="BK3" s="17" t="str" cm="1">
        <f t="array" aca="1" ref="BK3" ca="1">IF(INDIRECT(BK$1&amp;"!C24")=$A3,BK$2,"")</f>
        <v/>
      </c>
      <c r="BL3" s="17" t="str" cm="1">
        <f t="array" aca="1" ref="BL3" ca="1">IF(INDIRECT(BL$1&amp;"!C24")=$A3,BL$2,"")</f>
        <v/>
      </c>
      <c r="BM3" s="17" t="str" cm="1">
        <f t="array" aca="1" ref="BM3" ca="1">IF(INDIRECT(BM$1&amp;"!C24")=$A3,BM$2,"")</f>
        <v/>
      </c>
      <c r="BN3" s="17" t="str" cm="1">
        <f t="array" aca="1" ref="BN3" ca="1">IF(INDIRECT(BN$1&amp;"!C24")=$A3,BN$2,"")</f>
        <v/>
      </c>
      <c r="BO3" s="17" t="str" cm="1">
        <f t="array" aca="1" ref="BO3" ca="1">IF(INDIRECT(BO$1&amp;"!C24")=$A3,BO$2,"")</f>
        <v/>
      </c>
      <c r="BP3" s="17" t="str" cm="1">
        <f t="array" aca="1" ref="BP3" ca="1">IF(INDIRECT(BP$1&amp;"!C24")=$A3,BP$2,"")</f>
        <v/>
      </c>
      <c r="BQ3" s="17" t="str" cm="1">
        <f t="array" aca="1" ref="BQ3" ca="1">IF(INDIRECT(BQ$1&amp;"!C24")=$A3,BQ$2,"")</f>
        <v/>
      </c>
      <c r="BR3" s="17" t="str" cm="1">
        <f t="array" aca="1" ref="BR3" ca="1">IF(INDIRECT(BR$1&amp;"!C24")=$A3,BR$2,"")</f>
        <v/>
      </c>
      <c r="BS3" s="17" t="str" cm="1">
        <f t="array" aca="1" ref="BS3" ca="1">IF(INDIRECT(BS$1&amp;"!C24")=$A3,BS$2,"")</f>
        <v/>
      </c>
      <c r="BT3" s="17" t="str" cm="1">
        <f t="array" aca="1" ref="BT3" ca="1">IF(INDIRECT(BT$1&amp;"!C24")=$A3,BT$2,"")</f>
        <v/>
      </c>
      <c r="BU3" s="17" t="str" cm="1">
        <f t="array" aca="1" ref="BU3" ca="1">IF(INDIRECT(BU$1&amp;"!C24")=$A3,BU$2,"")</f>
        <v/>
      </c>
      <c r="BV3" s="17" t="str" cm="1">
        <f t="array" aca="1" ref="BV3" ca="1">IF(INDIRECT(BV$1&amp;"!C24")=$A3,BV$2,"")</f>
        <v/>
      </c>
      <c r="BW3" s="17" t="str" cm="1">
        <f t="array" aca="1" ref="BW3" ca="1">IF(INDIRECT(BW$1&amp;"!C24")=$A3,BW$2,"")</f>
        <v/>
      </c>
      <c r="BX3" s="17" t="str" cm="1">
        <f t="array" aca="1" ref="BX3" ca="1">IF(INDIRECT(BX$1&amp;"!C24")=$A3,BX$2,"")</f>
        <v/>
      </c>
      <c r="BY3" s="17" t="str" cm="1">
        <f t="array" aca="1" ref="BY3" ca="1">IF(INDIRECT(BY$1&amp;"!C24")=$A3,BY$2,"")</f>
        <v/>
      </c>
      <c r="BZ3" s="17" t="str" cm="1">
        <f t="array" aca="1" ref="BZ3" ca="1">IF(INDIRECT(BZ$1&amp;"!C24")=$A3,BZ$2,"")</f>
        <v/>
      </c>
      <c r="CA3" s="17" t="str" cm="1">
        <f t="array" aca="1" ref="CA3" ca="1">IF(INDIRECT(CA$1&amp;"!C24")=$A3,CA$2,"")</f>
        <v/>
      </c>
      <c r="CB3" s="17" t="str" cm="1">
        <f t="array" aca="1" ref="CB3" ca="1">IF(INDIRECT(CB$1&amp;"!C24")=$A3,CB$2,"")</f>
        <v/>
      </c>
    </row>
    <row r="4" spans="1:80">
      <c r="A4" s="163">
        <v>2</v>
      </c>
      <c r="B4" s="163" t="str">
        <v>莊勝斌</v>
      </c>
      <c r="C4" s="163" t="str" cm="1">
        <f t="array" aca="1" ref="C4" ca="1">IF(SUMPRODUCT(COUNTIF(INDIRECT(工作表[工作表]&amp;"!C10"),$A4))=0,"",SUMPRODUCT(COUNTIF(INDIRECT(工作表[工作表]&amp;"!C10"),$A4)))</f>
        <v/>
      </c>
      <c r="D4" s="163" t="str" cm="1">
        <f t="array" aca="1" ref="D4" ca="1">IF(SUMPRODUCT(COUNTIF(INDIRECT(工作表[工作表]&amp;"!C12"),$A4))=0,"",SUMPRODUCT(COUNTIF(INDIRECT(工作表[工作表]&amp;"!C12"),$A4)))</f>
        <v/>
      </c>
      <c r="E4" s="163" t="str" cm="1">
        <f t="array" aca="1" ref="E4" ca="1">IF(SUMPRODUCT(COUNTIF(INDIRECT(工作表[工作表]&amp;"!C14"),$A4))=0,"",SUMPRODUCT(COUNTIF(INDIRECT(工作表[工作表]&amp;"!C14"),$A4)))</f>
        <v/>
      </c>
      <c r="F4" s="163" t="str" cm="1">
        <f t="array" aca="1" ref="F4" ca="1">IF(SUMPRODUCT(COUNTIF(INDIRECT(工作表[工作表]&amp;"!C16"),$A4))=0,"",SUMPRODUCT(COUNTIF(INDIRECT(工作表[工作表]&amp;"!C16"),$A4)))</f>
        <v/>
      </c>
      <c r="G4" s="163" t="str" cm="1">
        <f t="array" aca="1" ref="G4" ca="1">IF(SUMPRODUCT(COUNTIF(INDIRECT(工作表[工作表]&amp;"!C18"),$A4))=0,"",SUMPRODUCT(COUNTIF(INDIRECT(工作表[工作表]&amp;"!C18"),$A4)))</f>
        <v/>
      </c>
      <c r="H4" s="163" cm="1">
        <f t="array" aca="1" ref="H4" ca="1">IF(SUMPRODUCT(COUNTIF(INDIRECT(工作表[工作表]&amp;"!C20"),$A4))=0,"",SUMPRODUCT(COUNTIF(INDIRECT(工作表[工作表]&amp;"!C20"),$A4)))</f>
        <v>2</v>
      </c>
      <c r="I4" s="163" t="str" cm="1">
        <f t="array" aca="1" ref="I4" ca="1">IF(SUMPRODUCT(COUNTIF(INDIRECT(工作表[工作表]&amp;"!C22"),$A4))=0,"",SUMPRODUCT(COUNTIF(INDIRECT(工作表[工作表]&amp;"!C22"),$A4)))</f>
        <v/>
      </c>
      <c r="J4" s="163" t="str" cm="1">
        <f t="array" aca="1" ref="J4" ca="1">IF(SUMPRODUCT(COUNTIF(INDIRECT(工作表[工作表]&amp;"!C24"),$A4))=0,"",SUMPRODUCT(COUNTIF(INDIRECT(工作表[工作表]&amp;"!C24"),$A4)))</f>
        <v/>
      </c>
      <c r="K4" s="163" t="str" cm="1">
        <f t="array" aca="1" ref="K4" ca="1">IF(MAX(IF($AX4:$CB4&lt;$K$1,$AX4:$CB4,"0"))=0,"",$K$1-MAX(IF($AX4:$CB4&lt;$K$1,$AX4:$CB4,"0"))&amp;"天")</f>
        <v/>
      </c>
      <c r="M4" s="163">
        <f t="shared" ref="M4:M30" ca="1" si="1">SUM(R4:AV4)</f>
        <v>0</v>
      </c>
      <c r="N4" s="163">
        <f>COUNTIF(_xlfn.XLOOKUP(B4,輪休基準表!$E$5:$AF$5,輪休基準表!$E$6:$AF$36,""),"")</f>
        <v>11</v>
      </c>
      <c r="O4" s="167">
        <f t="shared" ref="O4:O30" ca="1" si="2">M4/N4</f>
        <v>0</v>
      </c>
      <c r="Q4" s="17" t="s">
        <v>249</v>
      </c>
      <c r="R4" s="17">
        <f t="shared" ref="R4:AG27" ca="1" si="3">COUNTIF(_xlfn.XLOOKUP("駕",INDIRECT(R$1&amp;"!$A$7:$AN$7"),INDIRECT(R$1&amp;"!$A$10:$AN$33"),""),$A4)+COUNTIF(_xlfn.XLOOKUP("護",INDIRECT(R$1&amp;"!$A$7:$AN$7"),INDIRECT(R$1&amp;"!$A$10:$AN$33"),""),$A4)</f>
        <v>0</v>
      </c>
      <c r="S4" s="17">
        <f t="shared" ca="1" si="0"/>
        <v>0</v>
      </c>
      <c r="T4" s="17">
        <f t="shared" ca="1" si="0"/>
        <v>0</v>
      </c>
      <c r="U4" s="17">
        <f t="shared" ca="1" si="0"/>
        <v>0</v>
      </c>
      <c r="V4" s="17">
        <f t="shared" ca="1" si="0"/>
        <v>0</v>
      </c>
      <c r="W4" s="17">
        <f t="shared" ca="1" si="0"/>
        <v>0</v>
      </c>
      <c r="X4" s="17">
        <f t="shared" ca="1" si="0"/>
        <v>0</v>
      </c>
      <c r="Y4" s="17">
        <f t="shared" ca="1" si="0"/>
        <v>0</v>
      </c>
      <c r="Z4" s="17">
        <f t="shared" ca="1" si="0"/>
        <v>0</v>
      </c>
      <c r="AA4" s="17">
        <f t="shared" ca="1" si="0"/>
        <v>0</v>
      </c>
      <c r="AB4" s="17">
        <f t="shared" ca="1" si="0"/>
        <v>0</v>
      </c>
      <c r="AC4" s="17">
        <f t="shared" ca="1" si="0"/>
        <v>0</v>
      </c>
      <c r="AD4" s="17">
        <f t="shared" ca="1" si="0"/>
        <v>0</v>
      </c>
      <c r="AE4" s="17">
        <f t="shared" ca="1" si="0"/>
        <v>0</v>
      </c>
      <c r="AF4" s="17">
        <f t="shared" ca="1" si="0"/>
        <v>0</v>
      </c>
      <c r="AG4" s="17">
        <f t="shared" ca="1" si="0"/>
        <v>0</v>
      </c>
      <c r="AH4" s="17">
        <f t="shared" ca="1" si="0"/>
        <v>0</v>
      </c>
      <c r="AI4" s="17">
        <f t="shared" ca="1" si="0"/>
        <v>0</v>
      </c>
      <c r="AJ4" s="17">
        <f t="shared" ca="1" si="0"/>
        <v>0</v>
      </c>
      <c r="AK4" s="17">
        <f t="shared" ca="1" si="0"/>
        <v>0</v>
      </c>
      <c r="AL4" s="17">
        <f t="shared" ca="1" si="0"/>
        <v>0</v>
      </c>
      <c r="AM4" s="17">
        <f t="shared" ca="1" si="0"/>
        <v>0</v>
      </c>
      <c r="AN4" s="17">
        <f t="shared" ca="1" si="0"/>
        <v>0</v>
      </c>
      <c r="AO4" s="17">
        <f t="shared" ca="1" si="0"/>
        <v>0</v>
      </c>
      <c r="AP4" s="17">
        <f t="shared" ca="1" si="0"/>
        <v>0</v>
      </c>
      <c r="AQ4" s="17">
        <f t="shared" ca="1" si="0"/>
        <v>0</v>
      </c>
      <c r="AR4" s="17">
        <f t="shared" ca="1" si="0"/>
        <v>0</v>
      </c>
      <c r="AS4" s="17">
        <f t="shared" ca="1" si="0"/>
        <v>0</v>
      </c>
      <c r="AT4" s="17">
        <f t="shared" ca="1" si="0"/>
        <v>0</v>
      </c>
      <c r="AU4" s="17">
        <f t="shared" ca="1" si="0"/>
        <v>0</v>
      </c>
      <c r="AV4" s="17">
        <f t="shared" ca="1" si="0"/>
        <v>0</v>
      </c>
      <c r="AX4" s="17" t="str" cm="1">
        <f t="array" aca="1" ref="AX4" ca="1">IF(INDIRECT(AX$1&amp;"!C24")=$A4,AX$2,"")</f>
        <v/>
      </c>
      <c r="AY4" s="17" t="str" cm="1">
        <f t="array" aca="1" ref="AY4" ca="1">IF(INDIRECT(AY$1&amp;"!C24")=$A4,AY$2,"")</f>
        <v/>
      </c>
      <c r="AZ4" s="17" t="str" cm="1">
        <f t="array" aca="1" ref="AZ4" ca="1">IF(INDIRECT(AZ$1&amp;"!C24")=$A4,AZ$2,"")</f>
        <v/>
      </c>
      <c r="BA4" s="17" t="str" cm="1">
        <f t="array" aca="1" ref="BA4" ca="1">IF(INDIRECT(BA$1&amp;"!C24")=$A4,BA$2,"")</f>
        <v/>
      </c>
      <c r="BB4" s="17" t="str" cm="1">
        <f t="array" aca="1" ref="BB4" ca="1">IF(INDIRECT(BB$1&amp;"!C24")=$A4,BB$2,"")</f>
        <v/>
      </c>
      <c r="BC4" s="17" t="str" cm="1">
        <f t="array" aca="1" ref="BC4" ca="1">IF(INDIRECT(BC$1&amp;"!C24")=$A4,BC$2,"")</f>
        <v/>
      </c>
      <c r="BD4" s="17" t="str" cm="1">
        <f t="array" aca="1" ref="BD4" ca="1">IF(INDIRECT(BD$1&amp;"!C24")=$A4,BD$2,"")</f>
        <v/>
      </c>
      <c r="BE4" s="17" t="str" cm="1">
        <f t="array" aca="1" ref="BE4" ca="1">IF(INDIRECT(BE$1&amp;"!C24")=$A4,BE$2,"")</f>
        <v/>
      </c>
      <c r="BF4" s="17" t="str" cm="1">
        <f t="array" aca="1" ref="BF4" ca="1">IF(INDIRECT(BF$1&amp;"!C24")=$A4,BF$2,"")</f>
        <v/>
      </c>
      <c r="BG4" s="17" t="str" cm="1">
        <f t="array" aca="1" ref="BG4" ca="1">IF(INDIRECT(BG$1&amp;"!C24")=$A4,BG$2,"")</f>
        <v/>
      </c>
      <c r="BH4" s="17" t="str" cm="1">
        <f t="array" aca="1" ref="BH4" ca="1">IF(INDIRECT(BH$1&amp;"!C24")=$A4,BH$2,"")</f>
        <v/>
      </c>
      <c r="BI4" s="17" t="str" cm="1">
        <f t="array" aca="1" ref="BI4" ca="1">IF(INDIRECT(BI$1&amp;"!C24")=$A4,BI$2,"")</f>
        <v/>
      </c>
      <c r="BJ4" s="17" t="str" cm="1">
        <f t="array" aca="1" ref="BJ4" ca="1">IF(INDIRECT(BJ$1&amp;"!C24")=$A4,BJ$2,"")</f>
        <v/>
      </c>
      <c r="BK4" s="17" t="str" cm="1">
        <f t="array" aca="1" ref="BK4" ca="1">IF(INDIRECT(BK$1&amp;"!C24")=$A4,BK$2,"")</f>
        <v/>
      </c>
      <c r="BL4" s="17" t="str" cm="1">
        <f t="array" aca="1" ref="BL4" ca="1">IF(INDIRECT(BL$1&amp;"!C24")=$A4,BL$2,"")</f>
        <v/>
      </c>
      <c r="BM4" s="17" t="str" cm="1">
        <f t="array" aca="1" ref="BM4" ca="1">IF(INDIRECT(BM$1&amp;"!C24")=$A4,BM$2,"")</f>
        <v/>
      </c>
      <c r="BN4" s="17" t="str" cm="1">
        <f t="array" aca="1" ref="BN4" ca="1">IF(INDIRECT(BN$1&amp;"!C24")=$A4,BN$2,"")</f>
        <v/>
      </c>
      <c r="BO4" s="17" t="str" cm="1">
        <f t="array" aca="1" ref="BO4" ca="1">IF(INDIRECT(BO$1&amp;"!C24")=$A4,BO$2,"")</f>
        <v/>
      </c>
      <c r="BP4" s="17" t="str" cm="1">
        <f t="array" aca="1" ref="BP4" ca="1">IF(INDIRECT(BP$1&amp;"!C24")=$A4,BP$2,"")</f>
        <v/>
      </c>
      <c r="BQ4" s="17" t="str" cm="1">
        <f t="array" aca="1" ref="BQ4" ca="1">IF(INDIRECT(BQ$1&amp;"!C24")=$A4,BQ$2,"")</f>
        <v/>
      </c>
      <c r="BR4" s="17" t="str" cm="1">
        <f t="array" aca="1" ref="BR4" ca="1">IF(INDIRECT(BR$1&amp;"!C24")=$A4,BR$2,"")</f>
        <v/>
      </c>
      <c r="BS4" s="17" t="str" cm="1">
        <f t="array" aca="1" ref="BS4" ca="1">IF(INDIRECT(BS$1&amp;"!C24")=$A4,BS$2,"")</f>
        <v/>
      </c>
      <c r="BT4" s="17" t="str" cm="1">
        <f t="array" aca="1" ref="BT4" ca="1">IF(INDIRECT(BT$1&amp;"!C24")=$A4,BT$2,"")</f>
        <v/>
      </c>
      <c r="BU4" s="17" t="str" cm="1">
        <f t="array" aca="1" ref="BU4" ca="1">IF(INDIRECT(BU$1&amp;"!C24")=$A4,BU$2,"")</f>
        <v/>
      </c>
      <c r="BV4" s="17" t="str" cm="1">
        <f t="array" aca="1" ref="BV4" ca="1">IF(INDIRECT(BV$1&amp;"!C24")=$A4,BV$2,"")</f>
        <v/>
      </c>
      <c r="BW4" s="17" t="str" cm="1">
        <f t="array" aca="1" ref="BW4" ca="1">IF(INDIRECT(BW$1&amp;"!C24")=$A4,BW$2,"")</f>
        <v/>
      </c>
      <c r="BX4" s="17" t="str" cm="1">
        <f t="array" aca="1" ref="BX4" ca="1">IF(INDIRECT(BX$1&amp;"!C24")=$A4,BX$2,"")</f>
        <v/>
      </c>
      <c r="BY4" s="17" t="str" cm="1">
        <f t="array" aca="1" ref="BY4" ca="1">IF(INDIRECT(BY$1&amp;"!C24")=$A4,BY$2,"")</f>
        <v/>
      </c>
      <c r="BZ4" s="17" t="str" cm="1">
        <f t="array" aca="1" ref="BZ4" ca="1">IF(INDIRECT(BZ$1&amp;"!C24")=$A4,BZ$2,"")</f>
        <v/>
      </c>
      <c r="CA4" s="17" t="str" cm="1">
        <f t="array" aca="1" ref="CA4" ca="1">IF(INDIRECT(CA$1&amp;"!C24")=$A4,CA$2,"")</f>
        <v/>
      </c>
      <c r="CB4" s="17" t="str" cm="1">
        <f t="array" aca="1" ref="CB4" ca="1">IF(INDIRECT(CB$1&amp;"!C24")=$A4,CB$2,"")</f>
        <v/>
      </c>
    </row>
    <row r="5" spans="1:80">
      <c r="A5" s="163">
        <v>3</v>
      </c>
      <c r="B5" s="163" t="str">
        <v>孫子翔</v>
      </c>
      <c r="C5" s="163" t="str" cm="1">
        <f t="array" aca="1" ref="C5" ca="1">IF(SUMPRODUCT(COUNTIF(INDIRECT(工作表[工作表]&amp;"!C10"),$A5))=0,"",SUMPRODUCT(COUNTIF(INDIRECT(工作表[工作表]&amp;"!C10"),$A5)))</f>
        <v/>
      </c>
      <c r="D5" s="163" t="str" cm="1">
        <f t="array" aca="1" ref="D5" ca="1">IF(SUMPRODUCT(COUNTIF(INDIRECT(工作表[工作表]&amp;"!C12"),$A5))=0,"",SUMPRODUCT(COUNTIF(INDIRECT(工作表[工作表]&amp;"!C12"),$A5)))</f>
        <v/>
      </c>
      <c r="E5" s="163" t="str" cm="1">
        <f t="array" aca="1" ref="E5" ca="1">IF(SUMPRODUCT(COUNTIF(INDIRECT(工作表[工作表]&amp;"!C14"),$A5))=0,"",SUMPRODUCT(COUNTIF(INDIRECT(工作表[工作表]&amp;"!C14"),$A5)))</f>
        <v/>
      </c>
      <c r="F5" s="163" t="str" cm="1">
        <f t="array" aca="1" ref="F5" ca="1">IF(SUMPRODUCT(COUNTIF(INDIRECT(工作表[工作表]&amp;"!C16"),$A5))=0,"",SUMPRODUCT(COUNTIF(INDIRECT(工作表[工作表]&amp;"!C16"),$A5)))</f>
        <v/>
      </c>
      <c r="G5" s="163" t="str" cm="1">
        <f t="array" aca="1" ref="G5" ca="1">IF(SUMPRODUCT(COUNTIF(INDIRECT(工作表[工作表]&amp;"!C18"),$A5))=0,"",SUMPRODUCT(COUNTIF(INDIRECT(工作表[工作表]&amp;"!C18"),$A5)))</f>
        <v/>
      </c>
      <c r="H5" s="163" cm="1">
        <f t="array" aca="1" ref="H5" ca="1">IF(SUMPRODUCT(COUNTIF(INDIRECT(工作表[工作表]&amp;"!C20"),$A5))=0,"",SUMPRODUCT(COUNTIF(INDIRECT(工作表[工作表]&amp;"!C20"),$A5)))</f>
        <v>6</v>
      </c>
      <c r="I5" s="163" t="str" cm="1">
        <f t="array" aca="1" ref="I5" ca="1">IF(SUMPRODUCT(COUNTIF(INDIRECT(工作表[工作表]&amp;"!C22"),$A5))=0,"",SUMPRODUCT(COUNTIF(INDIRECT(工作表[工作表]&amp;"!C22"),$A5)))</f>
        <v/>
      </c>
      <c r="J5" s="163" t="str" cm="1">
        <f t="array" aca="1" ref="J5" ca="1">IF(SUMPRODUCT(COUNTIF(INDIRECT(工作表[工作表]&amp;"!C24"),$A5))=0,"",SUMPRODUCT(COUNTIF(INDIRECT(工作表[工作表]&amp;"!C24"),$A5)))</f>
        <v/>
      </c>
      <c r="K5" s="163" t="str" cm="1">
        <f t="array" aca="1" ref="K5" ca="1">IF(MAX(IF($AX5:$CB5&lt;$K$1,$AX5:$CB5,"0"))=0,"",$K$1-MAX(IF($AX5:$CB5&lt;$K$1,$AX5:$CB5,"0"))&amp;"天")</f>
        <v/>
      </c>
      <c r="M5" s="163">
        <f t="shared" ca="1" si="1"/>
        <v>0</v>
      </c>
      <c r="N5" s="163">
        <f>COUNTIF(_xlfn.XLOOKUP(B5,輪休基準表!$E$5:$AF$5,輪休基準表!$E$6:$AF$36,""),"")</f>
        <v>12</v>
      </c>
      <c r="O5" s="167">
        <f t="shared" ca="1" si="2"/>
        <v>0</v>
      </c>
      <c r="Q5" s="17" t="s">
        <v>250</v>
      </c>
      <c r="R5" s="17">
        <f t="shared" ca="1" si="3"/>
        <v>0</v>
      </c>
      <c r="S5" s="17">
        <f t="shared" ca="1" si="0"/>
        <v>0</v>
      </c>
      <c r="T5" s="17">
        <f t="shared" ca="1" si="0"/>
        <v>0</v>
      </c>
      <c r="U5" s="17">
        <f t="shared" ca="1" si="0"/>
        <v>0</v>
      </c>
      <c r="V5" s="17">
        <f t="shared" ca="1" si="0"/>
        <v>0</v>
      </c>
      <c r="W5" s="17">
        <f t="shared" ca="1" si="0"/>
        <v>0</v>
      </c>
      <c r="X5" s="17">
        <f t="shared" ca="1" si="0"/>
        <v>0</v>
      </c>
      <c r="Y5" s="17">
        <f t="shared" ca="1" si="0"/>
        <v>0</v>
      </c>
      <c r="Z5" s="17">
        <f t="shared" ca="1" si="0"/>
        <v>0</v>
      </c>
      <c r="AA5" s="17">
        <f t="shared" ca="1" si="0"/>
        <v>0</v>
      </c>
      <c r="AB5" s="17">
        <f t="shared" ca="1" si="0"/>
        <v>0</v>
      </c>
      <c r="AC5" s="17">
        <f t="shared" ca="1" si="0"/>
        <v>0</v>
      </c>
      <c r="AD5" s="17">
        <f t="shared" ca="1" si="0"/>
        <v>0</v>
      </c>
      <c r="AE5" s="17">
        <f t="shared" ca="1" si="0"/>
        <v>0</v>
      </c>
      <c r="AF5" s="17">
        <f t="shared" ca="1" si="0"/>
        <v>0</v>
      </c>
      <c r="AG5" s="17">
        <f t="shared" ca="1" si="0"/>
        <v>0</v>
      </c>
      <c r="AH5" s="17">
        <f t="shared" ca="1" si="0"/>
        <v>0</v>
      </c>
      <c r="AI5" s="17">
        <f t="shared" ca="1" si="0"/>
        <v>0</v>
      </c>
      <c r="AJ5" s="17">
        <f t="shared" ca="1" si="0"/>
        <v>0</v>
      </c>
      <c r="AK5" s="17">
        <f t="shared" ca="1" si="0"/>
        <v>0</v>
      </c>
      <c r="AL5" s="17">
        <f t="shared" ca="1" si="0"/>
        <v>0</v>
      </c>
      <c r="AM5" s="17">
        <f t="shared" ca="1" si="0"/>
        <v>0</v>
      </c>
      <c r="AN5" s="17">
        <f t="shared" ca="1" si="0"/>
        <v>0</v>
      </c>
      <c r="AO5" s="17">
        <f t="shared" ca="1" si="0"/>
        <v>0</v>
      </c>
      <c r="AP5" s="17">
        <f t="shared" ca="1" si="0"/>
        <v>0</v>
      </c>
      <c r="AQ5" s="17">
        <f t="shared" ca="1" si="0"/>
        <v>0</v>
      </c>
      <c r="AR5" s="17">
        <f t="shared" ca="1" si="0"/>
        <v>0</v>
      </c>
      <c r="AS5" s="17">
        <f t="shared" ca="1" si="0"/>
        <v>0</v>
      </c>
      <c r="AT5" s="17">
        <f t="shared" ca="1" si="0"/>
        <v>0</v>
      </c>
      <c r="AU5" s="17">
        <f t="shared" ca="1" si="0"/>
        <v>0</v>
      </c>
      <c r="AV5" s="17">
        <f t="shared" ca="1" si="0"/>
        <v>0</v>
      </c>
      <c r="AX5" s="17" t="str" cm="1">
        <f t="array" aca="1" ref="AX5" ca="1">IF(INDIRECT(AX$1&amp;"!C24")=$A5,AX$2,"")</f>
        <v/>
      </c>
      <c r="AY5" s="17" t="str" cm="1">
        <f t="array" aca="1" ref="AY5" ca="1">IF(INDIRECT(AY$1&amp;"!C24")=$A5,AY$2,"")</f>
        <v/>
      </c>
      <c r="AZ5" s="17" t="str" cm="1">
        <f t="array" aca="1" ref="AZ5" ca="1">IF(INDIRECT(AZ$1&amp;"!C24")=$A5,AZ$2,"")</f>
        <v/>
      </c>
      <c r="BA5" s="17" t="str" cm="1">
        <f t="array" aca="1" ref="BA5" ca="1">IF(INDIRECT(BA$1&amp;"!C24")=$A5,BA$2,"")</f>
        <v/>
      </c>
      <c r="BB5" s="17" t="str" cm="1">
        <f t="array" aca="1" ref="BB5" ca="1">IF(INDIRECT(BB$1&amp;"!C24")=$A5,BB$2,"")</f>
        <v/>
      </c>
      <c r="BC5" s="17" t="str" cm="1">
        <f t="array" aca="1" ref="BC5" ca="1">IF(INDIRECT(BC$1&amp;"!C24")=$A5,BC$2,"")</f>
        <v/>
      </c>
      <c r="BD5" s="17" t="str" cm="1">
        <f t="array" aca="1" ref="BD5" ca="1">IF(INDIRECT(BD$1&amp;"!C24")=$A5,BD$2,"")</f>
        <v/>
      </c>
      <c r="BE5" s="17" t="str" cm="1">
        <f t="array" aca="1" ref="BE5" ca="1">IF(INDIRECT(BE$1&amp;"!C24")=$A5,BE$2,"")</f>
        <v/>
      </c>
      <c r="BF5" s="17" t="str" cm="1">
        <f t="array" aca="1" ref="BF5" ca="1">IF(INDIRECT(BF$1&amp;"!C24")=$A5,BF$2,"")</f>
        <v/>
      </c>
      <c r="BG5" s="17" t="str" cm="1">
        <f t="array" aca="1" ref="BG5" ca="1">IF(INDIRECT(BG$1&amp;"!C24")=$A5,BG$2,"")</f>
        <v/>
      </c>
      <c r="BH5" s="17" t="str" cm="1">
        <f t="array" aca="1" ref="BH5" ca="1">IF(INDIRECT(BH$1&amp;"!C24")=$A5,BH$2,"")</f>
        <v/>
      </c>
      <c r="BI5" s="17" t="str" cm="1">
        <f t="array" aca="1" ref="BI5" ca="1">IF(INDIRECT(BI$1&amp;"!C24")=$A5,BI$2,"")</f>
        <v/>
      </c>
      <c r="BJ5" s="17" t="str" cm="1">
        <f t="array" aca="1" ref="BJ5" ca="1">IF(INDIRECT(BJ$1&amp;"!C24")=$A5,BJ$2,"")</f>
        <v/>
      </c>
      <c r="BK5" s="17" t="str" cm="1">
        <f t="array" aca="1" ref="BK5" ca="1">IF(INDIRECT(BK$1&amp;"!C24")=$A5,BK$2,"")</f>
        <v/>
      </c>
      <c r="BL5" s="17" t="str" cm="1">
        <f t="array" aca="1" ref="BL5" ca="1">IF(INDIRECT(BL$1&amp;"!C24")=$A5,BL$2,"")</f>
        <v/>
      </c>
      <c r="BM5" s="17" t="str" cm="1">
        <f t="array" aca="1" ref="BM5" ca="1">IF(INDIRECT(BM$1&amp;"!C24")=$A5,BM$2,"")</f>
        <v/>
      </c>
      <c r="BN5" s="17" t="str" cm="1">
        <f t="array" aca="1" ref="BN5" ca="1">IF(INDIRECT(BN$1&amp;"!C24")=$A5,BN$2,"")</f>
        <v/>
      </c>
      <c r="BO5" s="17" t="str" cm="1">
        <f t="array" aca="1" ref="BO5" ca="1">IF(INDIRECT(BO$1&amp;"!C24")=$A5,BO$2,"")</f>
        <v/>
      </c>
      <c r="BP5" s="17" t="str" cm="1">
        <f t="array" aca="1" ref="BP5" ca="1">IF(INDIRECT(BP$1&amp;"!C24")=$A5,BP$2,"")</f>
        <v/>
      </c>
      <c r="BQ5" s="17" t="str" cm="1">
        <f t="array" aca="1" ref="BQ5" ca="1">IF(INDIRECT(BQ$1&amp;"!C24")=$A5,BQ$2,"")</f>
        <v/>
      </c>
      <c r="BR5" s="17" t="str" cm="1">
        <f t="array" aca="1" ref="BR5" ca="1">IF(INDIRECT(BR$1&amp;"!C24")=$A5,BR$2,"")</f>
        <v/>
      </c>
      <c r="BS5" s="17" t="str" cm="1">
        <f t="array" aca="1" ref="BS5" ca="1">IF(INDIRECT(BS$1&amp;"!C24")=$A5,BS$2,"")</f>
        <v/>
      </c>
      <c r="BT5" s="17" t="str" cm="1">
        <f t="array" aca="1" ref="BT5" ca="1">IF(INDIRECT(BT$1&amp;"!C24")=$A5,BT$2,"")</f>
        <v/>
      </c>
      <c r="BU5" s="17" t="str" cm="1">
        <f t="array" aca="1" ref="BU5" ca="1">IF(INDIRECT(BU$1&amp;"!C24")=$A5,BU$2,"")</f>
        <v/>
      </c>
      <c r="BV5" s="17" t="str" cm="1">
        <f t="array" aca="1" ref="BV5" ca="1">IF(INDIRECT(BV$1&amp;"!C24")=$A5,BV$2,"")</f>
        <v/>
      </c>
      <c r="BW5" s="17" t="str" cm="1">
        <f t="array" aca="1" ref="BW5" ca="1">IF(INDIRECT(BW$1&amp;"!C24")=$A5,BW$2,"")</f>
        <v/>
      </c>
      <c r="BX5" s="17" t="str" cm="1">
        <f t="array" aca="1" ref="BX5" ca="1">IF(INDIRECT(BX$1&amp;"!C24")=$A5,BX$2,"")</f>
        <v/>
      </c>
      <c r="BY5" s="17" t="str" cm="1">
        <f t="array" aca="1" ref="BY5" ca="1">IF(INDIRECT(BY$1&amp;"!C24")=$A5,BY$2,"")</f>
        <v/>
      </c>
      <c r="BZ5" s="17" t="str" cm="1">
        <f t="array" aca="1" ref="BZ5" ca="1">IF(INDIRECT(BZ$1&amp;"!C24")=$A5,BZ$2,"")</f>
        <v/>
      </c>
      <c r="CA5" s="17" t="str" cm="1">
        <f t="array" aca="1" ref="CA5" ca="1">IF(INDIRECT(CA$1&amp;"!C24")=$A5,CA$2,"")</f>
        <v/>
      </c>
      <c r="CB5" s="17" t="str" cm="1">
        <f t="array" aca="1" ref="CB5" ca="1">IF(INDIRECT(CB$1&amp;"!C24")=$A5,CB$2,"")</f>
        <v/>
      </c>
    </row>
    <row r="6" spans="1:80">
      <c r="A6" s="163">
        <v>4</v>
      </c>
      <c r="B6" s="163" t="str">
        <v>簡永豐</v>
      </c>
      <c r="C6" s="163" t="str" cm="1">
        <f t="array" aca="1" ref="C6" ca="1">IF(SUMPRODUCT(COUNTIF(INDIRECT(工作表[工作表]&amp;"!C10"),$A6))=0,"",SUMPRODUCT(COUNTIF(INDIRECT(工作表[工作表]&amp;"!C10"),$A6)))</f>
        <v/>
      </c>
      <c r="D6" s="163" t="str" cm="1">
        <f t="array" aca="1" ref="D6" ca="1">IF(SUMPRODUCT(COUNTIF(INDIRECT(工作表[工作表]&amp;"!C12"),$A6))=0,"",SUMPRODUCT(COUNTIF(INDIRECT(工作表[工作表]&amp;"!C12"),$A6)))</f>
        <v/>
      </c>
      <c r="E6" s="163" t="str" cm="1">
        <f t="array" aca="1" ref="E6" ca="1">IF(SUMPRODUCT(COUNTIF(INDIRECT(工作表[工作表]&amp;"!C14"),$A6))=0,"",SUMPRODUCT(COUNTIF(INDIRECT(工作表[工作表]&amp;"!C14"),$A6)))</f>
        <v/>
      </c>
      <c r="F6" s="163" t="str" cm="1">
        <f t="array" aca="1" ref="F6" ca="1">IF(SUMPRODUCT(COUNTIF(INDIRECT(工作表[工作表]&amp;"!C16"),$A6))=0,"",SUMPRODUCT(COUNTIF(INDIRECT(工作表[工作表]&amp;"!C16"),$A6)))</f>
        <v/>
      </c>
      <c r="G6" s="163" t="str" cm="1">
        <f t="array" aca="1" ref="G6" ca="1">IF(SUMPRODUCT(COUNTIF(INDIRECT(工作表[工作表]&amp;"!C18"),$A6))=0,"",SUMPRODUCT(COUNTIF(INDIRECT(工作表[工作表]&amp;"!C18"),$A6)))</f>
        <v/>
      </c>
      <c r="H6" s="163" cm="1">
        <f t="array" aca="1" ref="H6" ca="1">IF(SUMPRODUCT(COUNTIF(INDIRECT(工作表[工作表]&amp;"!C20"),$A6))=0,"",SUMPRODUCT(COUNTIF(INDIRECT(工作表[工作表]&amp;"!C20"),$A6)))</f>
        <v>7</v>
      </c>
      <c r="I6" s="163" t="str" cm="1">
        <f t="array" aca="1" ref="I6" ca="1">IF(SUMPRODUCT(COUNTIF(INDIRECT(工作表[工作表]&amp;"!C22"),$A6))=0,"",SUMPRODUCT(COUNTIF(INDIRECT(工作表[工作表]&amp;"!C22"),$A6)))</f>
        <v/>
      </c>
      <c r="J6" s="163" t="str" cm="1">
        <f t="array" aca="1" ref="J6" ca="1">IF(SUMPRODUCT(COUNTIF(INDIRECT(工作表[工作表]&amp;"!C24"),$A6))=0,"",SUMPRODUCT(COUNTIF(INDIRECT(工作表[工作表]&amp;"!C24"),$A6)))</f>
        <v/>
      </c>
      <c r="K6" s="163" t="str" cm="1">
        <f t="array" aca="1" ref="K6" ca="1">IF(MAX(IF($AX6:$CB6&lt;$K$1,$AX6:$CB6,"0"))=0,"",$K$1-MAX(IF($AX6:$CB6&lt;$K$1,$AX6:$CB6,"0"))&amp;"天")</f>
        <v/>
      </c>
      <c r="M6" s="163">
        <f t="shared" ca="1" si="1"/>
        <v>0</v>
      </c>
      <c r="N6" s="163">
        <f>COUNTIF(_xlfn.XLOOKUP(B6,輪休基準表!$E$5:$AF$5,輪休基準表!$E$6:$AF$36,""),"")</f>
        <v>11</v>
      </c>
      <c r="O6" s="167">
        <f t="shared" ca="1" si="2"/>
        <v>0</v>
      </c>
      <c r="Q6" s="17" t="s">
        <v>251</v>
      </c>
      <c r="R6" s="17">
        <f t="shared" ca="1" si="3"/>
        <v>0</v>
      </c>
      <c r="S6" s="17">
        <f t="shared" ca="1" si="0"/>
        <v>0</v>
      </c>
      <c r="T6" s="17">
        <f t="shared" ca="1" si="0"/>
        <v>0</v>
      </c>
      <c r="U6" s="17">
        <f t="shared" ca="1" si="0"/>
        <v>0</v>
      </c>
      <c r="V6" s="17">
        <f t="shared" ca="1" si="0"/>
        <v>0</v>
      </c>
      <c r="W6" s="17">
        <f t="shared" ca="1" si="0"/>
        <v>0</v>
      </c>
      <c r="X6" s="17">
        <f t="shared" ca="1" si="0"/>
        <v>0</v>
      </c>
      <c r="Y6" s="17">
        <f t="shared" ca="1" si="0"/>
        <v>0</v>
      </c>
      <c r="Z6" s="17">
        <f t="shared" ca="1" si="0"/>
        <v>0</v>
      </c>
      <c r="AA6" s="17">
        <f t="shared" ca="1" si="0"/>
        <v>0</v>
      </c>
      <c r="AB6" s="17">
        <f t="shared" ca="1" si="0"/>
        <v>0</v>
      </c>
      <c r="AC6" s="17">
        <f t="shared" ca="1" si="0"/>
        <v>0</v>
      </c>
      <c r="AD6" s="17">
        <f t="shared" ca="1" si="0"/>
        <v>0</v>
      </c>
      <c r="AE6" s="17">
        <f t="shared" ca="1" si="0"/>
        <v>0</v>
      </c>
      <c r="AF6" s="17">
        <f t="shared" ca="1" si="0"/>
        <v>0</v>
      </c>
      <c r="AG6" s="17">
        <f t="shared" ca="1" si="0"/>
        <v>0</v>
      </c>
      <c r="AH6" s="17">
        <f t="shared" ca="1" si="0"/>
        <v>0</v>
      </c>
      <c r="AI6" s="17">
        <f t="shared" ca="1" si="0"/>
        <v>0</v>
      </c>
      <c r="AJ6" s="17">
        <f t="shared" ca="1" si="0"/>
        <v>0</v>
      </c>
      <c r="AK6" s="17">
        <f t="shared" ca="1" si="0"/>
        <v>0</v>
      </c>
      <c r="AL6" s="17">
        <f t="shared" ca="1" si="0"/>
        <v>0</v>
      </c>
      <c r="AM6" s="17">
        <f t="shared" ca="1" si="0"/>
        <v>0</v>
      </c>
      <c r="AN6" s="17">
        <f t="shared" ca="1" si="0"/>
        <v>0</v>
      </c>
      <c r="AO6" s="17">
        <f t="shared" ca="1" si="0"/>
        <v>0</v>
      </c>
      <c r="AP6" s="17">
        <f t="shared" ca="1" si="0"/>
        <v>0</v>
      </c>
      <c r="AQ6" s="17">
        <f t="shared" ca="1" si="0"/>
        <v>0</v>
      </c>
      <c r="AR6" s="17">
        <f t="shared" ca="1" si="0"/>
        <v>0</v>
      </c>
      <c r="AS6" s="17">
        <f t="shared" ca="1" si="0"/>
        <v>0</v>
      </c>
      <c r="AT6" s="17">
        <f t="shared" ca="1" si="0"/>
        <v>0</v>
      </c>
      <c r="AU6" s="17">
        <f t="shared" ca="1" si="0"/>
        <v>0</v>
      </c>
      <c r="AV6" s="17">
        <f t="shared" ca="1" si="0"/>
        <v>0</v>
      </c>
      <c r="AX6" s="17" t="str" cm="1">
        <f t="array" aca="1" ref="AX6" ca="1">IF(INDIRECT(AX$1&amp;"!C24")=$A6,AX$2,"")</f>
        <v/>
      </c>
      <c r="AY6" s="17" t="str" cm="1">
        <f t="array" aca="1" ref="AY6" ca="1">IF(INDIRECT(AY$1&amp;"!C24")=$A6,AY$2,"")</f>
        <v/>
      </c>
      <c r="AZ6" s="17" t="str" cm="1">
        <f t="array" aca="1" ref="AZ6" ca="1">IF(INDIRECT(AZ$1&amp;"!C24")=$A6,AZ$2,"")</f>
        <v/>
      </c>
      <c r="BA6" s="17" t="str" cm="1">
        <f t="array" aca="1" ref="BA6" ca="1">IF(INDIRECT(BA$1&amp;"!C24")=$A6,BA$2,"")</f>
        <v/>
      </c>
      <c r="BB6" s="17" t="str" cm="1">
        <f t="array" aca="1" ref="BB6" ca="1">IF(INDIRECT(BB$1&amp;"!C24")=$A6,BB$2,"")</f>
        <v/>
      </c>
      <c r="BC6" s="17" t="str" cm="1">
        <f t="array" aca="1" ref="BC6" ca="1">IF(INDIRECT(BC$1&amp;"!C24")=$A6,BC$2,"")</f>
        <v/>
      </c>
      <c r="BD6" s="17" t="str" cm="1">
        <f t="array" aca="1" ref="BD6" ca="1">IF(INDIRECT(BD$1&amp;"!C24")=$A6,BD$2,"")</f>
        <v/>
      </c>
      <c r="BE6" s="17" t="str" cm="1">
        <f t="array" aca="1" ref="BE6" ca="1">IF(INDIRECT(BE$1&amp;"!C24")=$A6,BE$2,"")</f>
        <v/>
      </c>
      <c r="BF6" s="17" t="str" cm="1">
        <f t="array" aca="1" ref="BF6" ca="1">IF(INDIRECT(BF$1&amp;"!C24")=$A6,BF$2,"")</f>
        <v/>
      </c>
      <c r="BG6" s="17" t="str" cm="1">
        <f t="array" aca="1" ref="BG6" ca="1">IF(INDIRECT(BG$1&amp;"!C24")=$A6,BG$2,"")</f>
        <v/>
      </c>
      <c r="BH6" s="17" t="str" cm="1">
        <f t="array" aca="1" ref="BH6" ca="1">IF(INDIRECT(BH$1&amp;"!C24")=$A6,BH$2,"")</f>
        <v/>
      </c>
      <c r="BI6" s="17" t="str" cm="1">
        <f t="array" aca="1" ref="BI6" ca="1">IF(INDIRECT(BI$1&amp;"!C24")=$A6,BI$2,"")</f>
        <v/>
      </c>
      <c r="BJ6" s="17" t="str" cm="1">
        <f t="array" aca="1" ref="BJ6" ca="1">IF(INDIRECT(BJ$1&amp;"!C24")=$A6,BJ$2,"")</f>
        <v/>
      </c>
      <c r="BK6" s="17" t="str" cm="1">
        <f t="array" aca="1" ref="BK6" ca="1">IF(INDIRECT(BK$1&amp;"!C24")=$A6,BK$2,"")</f>
        <v/>
      </c>
      <c r="BL6" s="17" t="str" cm="1">
        <f t="array" aca="1" ref="BL6" ca="1">IF(INDIRECT(BL$1&amp;"!C24")=$A6,BL$2,"")</f>
        <v/>
      </c>
      <c r="BM6" s="17" t="str" cm="1">
        <f t="array" aca="1" ref="BM6" ca="1">IF(INDIRECT(BM$1&amp;"!C24")=$A6,BM$2,"")</f>
        <v/>
      </c>
      <c r="BN6" s="17" t="str" cm="1">
        <f t="array" aca="1" ref="BN6" ca="1">IF(INDIRECT(BN$1&amp;"!C24")=$A6,BN$2,"")</f>
        <v/>
      </c>
      <c r="BO6" s="17" t="str" cm="1">
        <f t="array" aca="1" ref="BO6" ca="1">IF(INDIRECT(BO$1&amp;"!C24")=$A6,BO$2,"")</f>
        <v/>
      </c>
      <c r="BP6" s="17" t="str" cm="1">
        <f t="array" aca="1" ref="BP6" ca="1">IF(INDIRECT(BP$1&amp;"!C24")=$A6,BP$2,"")</f>
        <v/>
      </c>
      <c r="BQ6" s="17" t="str" cm="1">
        <f t="array" aca="1" ref="BQ6" ca="1">IF(INDIRECT(BQ$1&amp;"!C24")=$A6,BQ$2,"")</f>
        <v/>
      </c>
      <c r="BR6" s="17" t="str" cm="1">
        <f t="array" aca="1" ref="BR6" ca="1">IF(INDIRECT(BR$1&amp;"!C24")=$A6,BR$2,"")</f>
        <v/>
      </c>
      <c r="BS6" s="17" t="str" cm="1">
        <f t="array" aca="1" ref="BS6" ca="1">IF(INDIRECT(BS$1&amp;"!C24")=$A6,BS$2,"")</f>
        <v/>
      </c>
      <c r="BT6" s="17" t="str" cm="1">
        <f t="array" aca="1" ref="BT6" ca="1">IF(INDIRECT(BT$1&amp;"!C24")=$A6,BT$2,"")</f>
        <v/>
      </c>
      <c r="BU6" s="17" t="str" cm="1">
        <f t="array" aca="1" ref="BU6" ca="1">IF(INDIRECT(BU$1&amp;"!C24")=$A6,BU$2,"")</f>
        <v/>
      </c>
      <c r="BV6" s="17" t="str" cm="1">
        <f t="array" aca="1" ref="BV6" ca="1">IF(INDIRECT(BV$1&amp;"!C24")=$A6,BV$2,"")</f>
        <v/>
      </c>
      <c r="BW6" s="17" t="str" cm="1">
        <f t="array" aca="1" ref="BW6" ca="1">IF(INDIRECT(BW$1&amp;"!C24")=$A6,BW$2,"")</f>
        <v/>
      </c>
      <c r="BX6" s="17" t="str" cm="1">
        <f t="array" aca="1" ref="BX6" ca="1">IF(INDIRECT(BX$1&amp;"!C24")=$A6,BX$2,"")</f>
        <v/>
      </c>
      <c r="BY6" s="17" t="str" cm="1">
        <f t="array" aca="1" ref="BY6" ca="1">IF(INDIRECT(BY$1&amp;"!C24")=$A6,BY$2,"")</f>
        <v/>
      </c>
      <c r="BZ6" s="17" t="str" cm="1">
        <f t="array" aca="1" ref="BZ6" ca="1">IF(INDIRECT(BZ$1&amp;"!C24")=$A6,BZ$2,"")</f>
        <v/>
      </c>
      <c r="CA6" s="17" t="str" cm="1">
        <f t="array" aca="1" ref="CA6" ca="1">IF(INDIRECT(CA$1&amp;"!C24")=$A6,CA$2,"")</f>
        <v/>
      </c>
      <c r="CB6" s="17" t="str" cm="1">
        <f t="array" aca="1" ref="CB6" ca="1">IF(INDIRECT(CB$1&amp;"!C24")=$A6,CB$2,"")</f>
        <v/>
      </c>
    </row>
    <row r="7" spans="1:80">
      <c r="A7" s="163">
        <v>5</v>
      </c>
      <c r="B7" s="163" t="str">
        <v>張鴻志</v>
      </c>
      <c r="C7" s="163" t="str" cm="1">
        <f t="array" aca="1" ref="C7" ca="1">IF(SUMPRODUCT(COUNTIF(INDIRECT(工作表[工作表]&amp;"!C10"),$A7))=0,"",SUMPRODUCT(COUNTIF(INDIRECT(工作表[工作表]&amp;"!C10"),$A7)))</f>
        <v/>
      </c>
      <c r="D7" s="163" t="str" cm="1">
        <f t="array" aca="1" ref="D7" ca="1">IF(SUMPRODUCT(COUNTIF(INDIRECT(工作表[工作表]&amp;"!C12"),$A7))=0,"",SUMPRODUCT(COUNTIF(INDIRECT(工作表[工作表]&amp;"!C12"),$A7)))</f>
        <v/>
      </c>
      <c r="E7" s="163" t="str" cm="1">
        <f t="array" aca="1" ref="E7" ca="1">IF(SUMPRODUCT(COUNTIF(INDIRECT(工作表[工作表]&amp;"!C14"),$A7))=0,"",SUMPRODUCT(COUNTIF(INDIRECT(工作表[工作表]&amp;"!C14"),$A7)))</f>
        <v/>
      </c>
      <c r="F7" s="163" t="str" cm="1">
        <f t="array" aca="1" ref="F7" ca="1">IF(SUMPRODUCT(COUNTIF(INDIRECT(工作表[工作表]&amp;"!C16"),$A7))=0,"",SUMPRODUCT(COUNTIF(INDIRECT(工作表[工作表]&amp;"!C16"),$A7)))</f>
        <v/>
      </c>
      <c r="G7" s="163" t="str" cm="1">
        <f t="array" aca="1" ref="G7" ca="1">IF(SUMPRODUCT(COUNTIF(INDIRECT(工作表[工作表]&amp;"!C18"),$A7))=0,"",SUMPRODUCT(COUNTIF(INDIRECT(工作表[工作表]&amp;"!C18"),$A7)))</f>
        <v/>
      </c>
      <c r="H7" s="163" cm="1">
        <f t="array" aca="1" ref="H7" ca="1">IF(SUMPRODUCT(COUNTIF(INDIRECT(工作表[工作表]&amp;"!C20"),$A7))=0,"",SUMPRODUCT(COUNTIF(INDIRECT(工作表[工作表]&amp;"!C20"),$A7)))</f>
        <v>12</v>
      </c>
      <c r="I7" s="163" t="str" cm="1">
        <f t="array" aca="1" ref="I7" ca="1">IF(SUMPRODUCT(COUNTIF(INDIRECT(工作表[工作表]&amp;"!C22"),$A7))=0,"",SUMPRODUCT(COUNTIF(INDIRECT(工作表[工作表]&amp;"!C22"),$A7)))</f>
        <v/>
      </c>
      <c r="J7" s="163" t="str" cm="1">
        <f t="array" aca="1" ref="J7" ca="1">IF(SUMPRODUCT(COUNTIF(INDIRECT(工作表[工作表]&amp;"!C24"),$A7))=0,"",SUMPRODUCT(COUNTIF(INDIRECT(工作表[工作表]&amp;"!C24"),$A7)))</f>
        <v/>
      </c>
      <c r="K7" s="163" t="str" cm="1">
        <f t="array" aca="1" ref="K7" ca="1">IF(MAX(IF($AX7:$CB7&lt;$K$1,$AX7:$CB7,"0"))=0,"",$K$1-MAX(IF($AX7:$CB7&lt;$K$1,$AX7:$CB7,"0"))&amp;"天")</f>
        <v/>
      </c>
      <c r="M7" s="163">
        <f t="shared" ca="1" si="1"/>
        <v>0</v>
      </c>
      <c r="N7" s="163">
        <f>COUNTIF(_xlfn.XLOOKUP(B7,輪休基準表!$E$5:$AF$5,輪休基準表!$E$6:$AF$36,""),"")</f>
        <v>12</v>
      </c>
      <c r="O7" s="167">
        <f t="shared" ca="1" si="2"/>
        <v>0</v>
      </c>
      <c r="Q7" s="17" t="s">
        <v>252</v>
      </c>
      <c r="R7" s="17">
        <f t="shared" ca="1" si="3"/>
        <v>0</v>
      </c>
      <c r="S7" s="17">
        <f t="shared" ca="1" si="0"/>
        <v>0</v>
      </c>
      <c r="T7" s="17">
        <f t="shared" ca="1" si="0"/>
        <v>0</v>
      </c>
      <c r="U7" s="17">
        <f t="shared" ca="1" si="0"/>
        <v>0</v>
      </c>
      <c r="V7" s="17">
        <f t="shared" ca="1" si="0"/>
        <v>0</v>
      </c>
      <c r="W7" s="17">
        <f t="shared" ca="1" si="0"/>
        <v>0</v>
      </c>
      <c r="X7" s="17">
        <f t="shared" ca="1" si="0"/>
        <v>0</v>
      </c>
      <c r="Y7" s="17">
        <f t="shared" ca="1" si="0"/>
        <v>0</v>
      </c>
      <c r="Z7" s="17">
        <f t="shared" ca="1" si="0"/>
        <v>0</v>
      </c>
      <c r="AA7" s="17">
        <f t="shared" ca="1" si="0"/>
        <v>0</v>
      </c>
      <c r="AB7" s="17">
        <f t="shared" ca="1" si="0"/>
        <v>0</v>
      </c>
      <c r="AC7" s="17">
        <f t="shared" ca="1" si="0"/>
        <v>0</v>
      </c>
      <c r="AD7" s="17">
        <f t="shared" ca="1" si="0"/>
        <v>0</v>
      </c>
      <c r="AE7" s="17">
        <f t="shared" ca="1" si="0"/>
        <v>0</v>
      </c>
      <c r="AF7" s="17">
        <f t="shared" ca="1" si="0"/>
        <v>0</v>
      </c>
      <c r="AG7" s="17">
        <f t="shared" ca="1" si="0"/>
        <v>0</v>
      </c>
      <c r="AH7" s="17">
        <f t="shared" ca="1" si="0"/>
        <v>0</v>
      </c>
      <c r="AI7" s="17">
        <f t="shared" ca="1" si="0"/>
        <v>0</v>
      </c>
      <c r="AJ7" s="17">
        <f t="shared" ca="1" si="0"/>
        <v>0</v>
      </c>
      <c r="AK7" s="17">
        <f t="shared" ca="1" si="0"/>
        <v>0</v>
      </c>
      <c r="AL7" s="17">
        <f t="shared" ca="1" si="0"/>
        <v>0</v>
      </c>
      <c r="AM7" s="17">
        <f t="shared" ca="1" si="0"/>
        <v>0</v>
      </c>
      <c r="AN7" s="17">
        <f t="shared" ca="1" si="0"/>
        <v>0</v>
      </c>
      <c r="AO7" s="17">
        <f t="shared" ca="1" si="0"/>
        <v>0</v>
      </c>
      <c r="AP7" s="17">
        <f t="shared" ca="1" si="0"/>
        <v>0</v>
      </c>
      <c r="AQ7" s="17">
        <f t="shared" ca="1" si="0"/>
        <v>0</v>
      </c>
      <c r="AR7" s="17">
        <f t="shared" ca="1" si="0"/>
        <v>0</v>
      </c>
      <c r="AS7" s="17">
        <f t="shared" ca="1" si="0"/>
        <v>0</v>
      </c>
      <c r="AT7" s="17">
        <f t="shared" ca="1" si="0"/>
        <v>0</v>
      </c>
      <c r="AU7" s="17">
        <f t="shared" ca="1" si="0"/>
        <v>0</v>
      </c>
      <c r="AV7" s="17">
        <f t="shared" ca="1" si="0"/>
        <v>0</v>
      </c>
      <c r="AX7" s="17" t="str" cm="1">
        <f t="array" aca="1" ref="AX7" ca="1">IF(INDIRECT(AX$1&amp;"!C24")=$A7,AX$2,"")</f>
        <v/>
      </c>
      <c r="AY7" s="17" t="str" cm="1">
        <f t="array" aca="1" ref="AY7" ca="1">IF(INDIRECT(AY$1&amp;"!C24")=$A7,AY$2,"")</f>
        <v/>
      </c>
      <c r="AZ7" s="17" t="str" cm="1">
        <f t="array" aca="1" ref="AZ7" ca="1">IF(INDIRECT(AZ$1&amp;"!C24")=$A7,AZ$2,"")</f>
        <v/>
      </c>
      <c r="BA7" s="17" t="str" cm="1">
        <f t="array" aca="1" ref="BA7" ca="1">IF(INDIRECT(BA$1&amp;"!C24")=$A7,BA$2,"")</f>
        <v/>
      </c>
      <c r="BB7" s="17" t="str" cm="1">
        <f t="array" aca="1" ref="BB7" ca="1">IF(INDIRECT(BB$1&amp;"!C24")=$A7,BB$2,"")</f>
        <v/>
      </c>
      <c r="BC7" s="17" t="str" cm="1">
        <f t="array" aca="1" ref="BC7" ca="1">IF(INDIRECT(BC$1&amp;"!C24")=$A7,BC$2,"")</f>
        <v/>
      </c>
      <c r="BD7" s="17" t="str" cm="1">
        <f t="array" aca="1" ref="BD7" ca="1">IF(INDIRECT(BD$1&amp;"!C24")=$A7,BD$2,"")</f>
        <v/>
      </c>
      <c r="BE7" s="17" t="str" cm="1">
        <f t="array" aca="1" ref="BE7" ca="1">IF(INDIRECT(BE$1&amp;"!C24")=$A7,BE$2,"")</f>
        <v/>
      </c>
      <c r="BF7" s="17" t="str" cm="1">
        <f t="array" aca="1" ref="BF7" ca="1">IF(INDIRECT(BF$1&amp;"!C24")=$A7,BF$2,"")</f>
        <v/>
      </c>
      <c r="BG7" s="17" t="str" cm="1">
        <f t="array" aca="1" ref="BG7" ca="1">IF(INDIRECT(BG$1&amp;"!C24")=$A7,BG$2,"")</f>
        <v/>
      </c>
      <c r="BH7" s="17" t="str" cm="1">
        <f t="array" aca="1" ref="BH7" ca="1">IF(INDIRECT(BH$1&amp;"!C24")=$A7,BH$2,"")</f>
        <v/>
      </c>
      <c r="BI7" s="17" t="str" cm="1">
        <f t="array" aca="1" ref="BI7" ca="1">IF(INDIRECT(BI$1&amp;"!C24")=$A7,BI$2,"")</f>
        <v/>
      </c>
      <c r="BJ7" s="17" t="str" cm="1">
        <f t="array" aca="1" ref="BJ7" ca="1">IF(INDIRECT(BJ$1&amp;"!C24")=$A7,BJ$2,"")</f>
        <v/>
      </c>
      <c r="BK7" s="17" t="str" cm="1">
        <f t="array" aca="1" ref="BK7" ca="1">IF(INDIRECT(BK$1&amp;"!C24")=$A7,BK$2,"")</f>
        <v/>
      </c>
      <c r="BL7" s="17" t="str" cm="1">
        <f t="array" aca="1" ref="BL7" ca="1">IF(INDIRECT(BL$1&amp;"!C24")=$A7,BL$2,"")</f>
        <v/>
      </c>
      <c r="BM7" s="17" t="str" cm="1">
        <f t="array" aca="1" ref="BM7" ca="1">IF(INDIRECT(BM$1&amp;"!C24")=$A7,BM$2,"")</f>
        <v/>
      </c>
      <c r="BN7" s="17" t="str" cm="1">
        <f t="array" aca="1" ref="BN7" ca="1">IF(INDIRECT(BN$1&amp;"!C24")=$A7,BN$2,"")</f>
        <v/>
      </c>
      <c r="BO7" s="17" t="str" cm="1">
        <f t="array" aca="1" ref="BO7" ca="1">IF(INDIRECT(BO$1&amp;"!C24")=$A7,BO$2,"")</f>
        <v/>
      </c>
      <c r="BP7" s="17" t="str" cm="1">
        <f t="array" aca="1" ref="BP7" ca="1">IF(INDIRECT(BP$1&amp;"!C24")=$A7,BP$2,"")</f>
        <v/>
      </c>
      <c r="BQ7" s="17" t="str" cm="1">
        <f t="array" aca="1" ref="BQ7" ca="1">IF(INDIRECT(BQ$1&amp;"!C24")=$A7,BQ$2,"")</f>
        <v/>
      </c>
      <c r="BR7" s="17" t="str" cm="1">
        <f t="array" aca="1" ref="BR7" ca="1">IF(INDIRECT(BR$1&amp;"!C24")=$A7,BR$2,"")</f>
        <v/>
      </c>
      <c r="BS7" s="17" t="str" cm="1">
        <f t="array" aca="1" ref="BS7" ca="1">IF(INDIRECT(BS$1&amp;"!C24")=$A7,BS$2,"")</f>
        <v/>
      </c>
      <c r="BT7" s="17" t="str" cm="1">
        <f t="array" aca="1" ref="BT7" ca="1">IF(INDIRECT(BT$1&amp;"!C24")=$A7,BT$2,"")</f>
        <v/>
      </c>
      <c r="BU7" s="17" t="str" cm="1">
        <f t="array" aca="1" ref="BU7" ca="1">IF(INDIRECT(BU$1&amp;"!C24")=$A7,BU$2,"")</f>
        <v/>
      </c>
      <c r="BV7" s="17" t="str" cm="1">
        <f t="array" aca="1" ref="BV7" ca="1">IF(INDIRECT(BV$1&amp;"!C24")=$A7,BV$2,"")</f>
        <v/>
      </c>
      <c r="BW7" s="17" t="str" cm="1">
        <f t="array" aca="1" ref="BW7" ca="1">IF(INDIRECT(BW$1&amp;"!C24")=$A7,BW$2,"")</f>
        <v/>
      </c>
      <c r="BX7" s="17" t="str" cm="1">
        <f t="array" aca="1" ref="BX7" ca="1">IF(INDIRECT(BX$1&amp;"!C24")=$A7,BX$2,"")</f>
        <v/>
      </c>
      <c r="BY7" s="17" t="str" cm="1">
        <f t="array" aca="1" ref="BY7" ca="1">IF(INDIRECT(BY$1&amp;"!C24")=$A7,BY$2,"")</f>
        <v/>
      </c>
      <c r="BZ7" s="17" t="str" cm="1">
        <f t="array" aca="1" ref="BZ7" ca="1">IF(INDIRECT(BZ$1&amp;"!C24")=$A7,BZ$2,"")</f>
        <v/>
      </c>
      <c r="CA7" s="17" t="str" cm="1">
        <f t="array" aca="1" ref="CA7" ca="1">IF(INDIRECT(CA$1&amp;"!C24")=$A7,CA$2,"")</f>
        <v/>
      </c>
      <c r="CB7" s="17" t="str" cm="1">
        <f t="array" aca="1" ref="CB7" ca="1">IF(INDIRECT(CB$1&amp;"!C24")=$A7,CB$2,"")</f>
        <v/>
      </c>
    </row>
    <row r="8" spans="1:80">
      <c r="A8" s="163">
        <v>6</v>
      </c>
      <c r="B8" s="163" t="str">
        <v>吳宗耕</v>
      </c>
      <c r="C8" s="163" cm="1">
        <f t="array" aca="1" ref="C8" ca="1">IF(SUMPRODUCT(COUNTIF(INDIRECT(工作表[工作表]&amp;"!C10"),$A8))=0,"",SUMPRODUCT(COUNTIF(INDIRECT(工作表[工作表]&amp;"!C10"),$A8)))</f>
        <v>1</v>
      </c>
      <c r="D8" s="163" t="str" cm="1">
        <f t="array" aca="1" ref="D8" ca="1">IF(SUMPRODUCT(COUNTIF(INDIRECT(工作表[工作表]&amp;"!C12"),$A8))=0,"",SUMPRODUCT(COUNTIF(INDIRECT(工作表[工作表]&amp;"!C12"),$A8)))</f>
        <v/>
      </c>
      <c r="E8" s="163" cm="1">
        <f t="array" aca="1" ref="E8" ca="1">IF(SUMPRODUCT(COUNTIF(INDIRECT(工作表[工作表]&amp;"!C14"),$A8))=0,"",SUMPRODUCT(COUNTIF(INDIRECT(工作表[工作表]&amp;"!C14"),$A8)))</f>
        <v>1</v>
      </c>
      <c r="F8" s="163" cm="1">
        <f t="array" aca="1" ref="F8" ca="1">IF(SUMPRODUCT(COUNTIF(INDIRECT(工作表[工作表]&amp;"!C16"),$A8))=0,"",SUMPRODUCT(COUNTIF(INDIRECT(工作表[工作表]&amp;"!C16"),$A8)))</f>
        <v>1</v>
      </c>
      <c r="G8" s="163" cm="1">
        <f t="array" aca="1" ref="G8" ca="1">IF(SUMPRODUCT(COUNTIF(INDIRECT(工作表[工作表]&amp;"!C18"),$A8))=0,"",SUMPRODUCT(COUNTIF(INDIRECT(工作表[工作表]&amp;"!C18"),$A8)))</f>
        <v>1</v>
      </c>
      <c r="H8" s="163" t="str" cm="1">
        <f t="array" aca="1" ref="H8" ca="1">IF(SUMPRODUCT(COUNTIF(INDIRECT(工作表[工作表]&amp;"!C20"),$A8))=0,"",SUMPRODUCT(COUNTIF(INDIRECT(工作表[工作表]&amp;"!C20"),$A8)))</f>
        <v/>
      </c>
      <c r="I8" s="163" t="str" cm="1">
        <f t="array" aca="1" ref="I8" ca="1">IF(SUMPRODUCT(COUNTIF(INDIRECT(工作表[工作表]&amp;"!C22"),$A8))=0,"",SUMPRODUCT(COUNTIF(INDIRECT(工作表[工作表]&amp;"!C22"),$A8)))</f>
        <v/>
      </c>
      <c r="J8" s="163" cm="1">
        <f t="array" aca="1" ref="J8" ca="1">IF(SUMPRODUCT(COUNTIF(INDIRECT(工作表[工作表]&amp;"!C24"),$A8))=0,"",SUMPRODUCT(COUNTIF(INDIRECT(工作表[工作表]&amp;"!C24"),$A8)))</f>
        <v>1</v>
      </c>
      <c r="K8" s="163" t="str" cm="1">
        <f t="array" aca="1" ref="K8" ca="1">IF(MAX(IF($AX8:$CB8&lt;$K$1,$AX8:$CB8,"0"))=0,"",$K$1-MAX(IF($AX8:$CB8&lt;$K$1,$AX8:$CB8,"0"))&amp;"天")</f>
        <v/>
      </c>
      <c r="M8" s="163">
        <f t="shared" ca="1" si="1"/>
        <v>32</v>
      </c>
      <c r="N8" s="163">
        <f>COUNTIF(_xlfn.XLOOKUP(B8,輪休基準表!$E$5:$AF$5,輪休基準表!$E$6:$AF$36,""),"")</f>
        <v>12</v>
      </c>
      <c r="O8" s="167">
        <f t="shared" ca="1" si="2"/>
        <v>2.6666666666666665</v>
      </c>
      <c r="Q8" s="17" t="s">
        <v>253</v>
      </c>
      <c r="R8" s="17">
        <f t="shared" ca="1" si="3"/>
        <v>0</v>
      </c>
      <c r="S8" s="17">
        <f t="shared" ca="1" si="0"/>
        <v>0</v>
      </c>
      <c r="T8" s="17">
        <f t="shared" ca="1" si="0"/>
        <v>0</v>
      </c>
      <c r="U8" s="17">
        <f t="shared" ca="1" si="0"/>
        <v>0</v>
      </c>
      <c r="V8" s="17">
        <f t="shared" ca="1" si="0"/>
        <v>0</v>
      </c>
      <c r="W8" s="17">
        <f t="shared" ca="1" si="0"/>
        <v>6</v>
      </c>
      <c r="X8" s="17">
        <f t="shared" ca="1" si="0"/>
        <v>0</v>
      </c>
      <c r="Y8" s="17">
        <f t="shared" ca="1" si="0"/>
        <v>0</v>
      </c>
      <c r="Z8" s="17">
        <f t="shared" ca="1" si="0"/>
        <v>0</v>
      </c>
      <c r="AA8" s="17">
        <f t="shared" ca="1" si="0"/>
        <v>0</v>
      </c>
      <c r="AB8" s="17">
        <f t="shared" ca="1" si="0"/>
        <v>8</v>
      </c>
      <c r="AC8" s="17">
        <f t="shared" ca="1" si="0"/>
        <v>0</v>
      </c>
      <c r="AD8" s="17">
        <f t="shared" ca="1" si="0"/>
        <v>6</v>
      </c>
      <c r="AE8" s="17">
        <f t="shared" ca="1" si="0"/>
        <v>0</v>
      </c>
      <c r="AF8" s="17">
        <f t="shared" ca="1" si="0"/>
        <v>6</v>
      </c>
      <c r="AG8" s="17">
        <f t="shared" ca="1" si="0"/>
        <v>0</v>
      </c>
      <c r="AH8" s="17">
        <f t="shared" ca="1" si="0"/>
        <v>0</v>
      </c>
      <c r="AI8" s="17">
        <f t="shared" ca="1" si="0"/>
        <v>6</v>
      </c>
      <c r="AJ8" s="17">
        <f t="shared" ca="1" si="0"/>
        <v>0</v>
      </c>
      <c r="AK8" s="17">
        <f t="shared" ca="1" si="0"/>
        <v>0</v>
      </c>
      <c r="AL8" s="17">
        <f t="shared" ca="1" si="0"/>
        <v>0</v>
      </c>
      <c r="AM8" s="17">
        <f t="shared" ca="1" si="0"/>
        <v>0</v>
      </c>
      <c r="AN8" s="17">
        <f t="shared" ca="1" si="0"/>
        <v>0</v>
      </c>
      <c r="AO8" s="17">
        <f t="shared" ca="1" si="0"/>
        <v>0</v>
      </c>
      <c r="AP8" s="17">
        <f t="shared" ca="1" si="0"/>
        <v>0</v>
      </c>
      <c r="AQ8" s="17">
        <f t="shared" ca="1" si="0"/>
        <v>0</v>
      </c>
      <c r="AR8" s="17">
        <f t="shared" ca="1" si="0"/>
        <v>0</v>
      </c>
      <c r="AS8" s="17">
        <f t="shared" ca="1" si="0"/>
        <v>0</v>
      </c>
      <c r="AT8" s="17">
        <f t="shared" ca="1" si="0"/>
        <v>0</v>
      </c>
      <c r="AU8" s="17">
        <f t="shared" ca="1" si="0"/>
        <v>0</v>
      </c>
      <c r="AV8" s="17">
        <f t="shared" ca="1" si="0"/>
        <v>0</v>
      </c>
      <c r="AX8" s="17" t="str" cm="1">
        <f t="array" aca="1" ref="AX8" ca="1">IF(INDIRECT(AX$1&amp;"!C24")=$A8,AX$2,"")</f>
        <v/>
      </c>
      <c r="AY8" s="17" t="str" cm="1">
        <f t="array" aca="1" ref="AY8" ca="1">IF(INDIRECT(AY$1&amp;"!C24")=$A8,AY$2,"")</f>
        <v/>
      </c>
      <c r="AZ8" s="17" t="str" cm="1">
        <f t="array" aca="1" ref="AZ8" ca="1">IF(INDIRECT(AZ$1&amp;"!C24")=$A8,AZ$2,"")</f>
        <v/>
      </c>
      <c r="BA8" s="17" t="str" cm="1">
        <f t="array" aca="1" ref="BA8" ca="1">IF(INDIRECT(BA$1&amp;"!C24")=$A8,BA$2,"")</f>
        <v/>
      </c>
      <c r="BB8" s="17" t="str" cm="1">
        <f t="array" aca="1" ref="BB8" ca="1">IF(INDIRECT(BB$1&amp;"!C24")=$A8,BB$2,"")</f>
        <v/>
      </c>
      <c r="BC8" s="17" t="str" cm="1">
        <f t="array" aca="1" ref="BC8" ca="1">IF(INDIRECT(BC$1&amp;"!C24")=$A8,BC$2,"")</f>
        <v/>
      </c>
      <c r="BD8" s="17" t="str" cm="1">
        <f t="array" aca="1" ref="BD8" ca="1">IF(INDIRECT(BD$1&amp;"!C24")=$A8,BD$2,"")</f>
        <v/>
      </c>
      <c r="BE8" s="17" t="str" cm="1">
        <f t="array" aca="1" ref="BE8" ca="1">IF(INDIRECT(BE$1&amp;"!C24")=$A8,BE$2,"")</f>
        <v/>
      </c>
      <c r="BF8" s="17" t="str" cm="1">
        <f t="array" aca="1" ref="BF8" ca="1">IF(INDIRECT(BF$1&amp;"!C24")=$A8,BF$2,"")</f>
        <v/>
      </c>
      <c r="BG8" s="17" t="str" cm="1">
        <f t="array" aca="1" ref="BG8" ca="1">IF(INDIRECT(BG$1&amp;"!C24")=$A8,BG$2,"")</f>
        <v/>
      </c>
      <c r="BH8" s="17" t="str" cm="1">
        <f t="array" aca="1" ref="BH8" ca="1">IF(INDIRECT(BH$1&amp;"!C24")=$A8,BH$2,"")</f>
        <v/>
      </c>
      <c r="BI8" s="17" t="str" cm="1">
        <f t="array" aca="1" ref="BI8" ca="1">IF(INDIRECT(BI$1&amp;"!C24")=$A8,BI$2,"")</f>
        <v/>
      </c>
      <c r="BJ8" s="17" t="str" cm="1">
        <f t="array" aca="1" ref="BJ8" ca="1">IF(INDIRECT(BJ$1&amp;"!C24")=$A8,BJ$2,"")</f>
        <v/>
      </c>
      <c r="BK8" s="17" t="str" cm="1">
        <f t="array" aca="1" ref="BK8" ca="1">IF(INDIRECT(BK$1&amp;"!C24")=$A8,BK$2,"")</f>
        <v/>
      </c>
      <c r="BL8" s="17" t="str" cm="1">
        <f t="array" aca="1" ref="BL8" ca="1">IF(INDIRECT(BL$1&amp;"!C24")=$A8,BL$2,"")</f>
        <v/>
      </c>
      <c r="BM8" s="17" t="str" cm="1">
        <f t="array" aca="1" ref="BM8" ca="1">IF(INDIRECT(BM$1&amp;"!C24")=$A8,BM$2,"")</f>
        <v/>
      </c>
      <c r="BN8" s="17" t="str" cm="1">
        <f t="array" aca="1" ref="BN8" ca="1">IF(INDIRECT(BN$1&amp;"!C24")=$A8,BN$2,"")</f>
        <v/>
      </c>
      <c r="BO8" s="17" cm="1">
        <f t="array" aca="1" ref="BO8" ca="1">IF(INDIRECT(BO$1&amp;"!C24")=$A8,BO$2,"")</f>
        <v>46160</v>
      </c>
      <c r="BP8" s="17" t="str" cm="1">
        <f t="array" aca="1" ref="BP8" ca="1">IF(INDIRECT(BP$1&amp;"!C24")=$A8,BP$2,"")</f>
        <v/>
      </c>
      <c r="BQ8" s="17" t="str" cm="1">
        <f t="array" aca="1" ref="BQ8" ca="1">IF(INDIRECT(BQ$1&amp;"!C24")=$A8,BQ$2,"")</f>
        <v/>
      </c>
      <c r="BR8" s="17" t="str" cm="1">
        <f t="array" aca="1" ref="BR8" ca="1">IF(INDIRECT(BR$1&amp;"!C24")=$A8,BR$2,"")</f>
        <v/>
      </c>
      <c r="BS8" s="17" t="str" cm="1">
        <f t="array" aca="1" ref="BS8" ca="1">IF(INDIRECT(BS$1&amp;"!C24")=$A8,BS$2,"")</f>
        <v/>
      </c>
      <c r="BT8" s="17" t="str" cm="1">
        <f t="array" aca="1" ref="BT8" ca="1">IF(INDIRECT(BT$1&amp;"!C24")=$A8,BT$2,"")</f>
        <v/>
      </c>
      <c r="BU8" s="17" t="str" cm="1">
        <f t="array" aca="1" ref="BU8" ca="1">IF(INDIRECT(BU$1&amp;"!C24")=$A8,BU$2,"")</f>
        <v/>
      </c>
      <c r="BV8" s="17" t="str" cm="1">
        <f t="array" aca="1" ref="BV8" ca="1">IF(INDIRECT(BV$1&amp;"!C24")=$A8,BV$2,"")</f>
        <v/>
      </c>
      <c r="BW8" s="17" t="str" cm="1">
        <f t="array" aca="1" ref="BW8" ca="1">IF(INDIRECT(BW$1&amp;"!C24")=$A8,BW$2,"")</f>
        <v/>
      </c>
      <c r="BX8" s="17" t="str" cm="1">
        <f t="array" aca="1" ref="BX8" ca="1">IF(INDIRECT(BX$1&amp;"!C24")=$A8,BX$2,"")</f>
        <v/>
      </c>
      <c r="BY8" s="17" t="str" cm="1">
        <f t="array" aca="1" ref="BY8" ca="1">IF(INDIRECT(BY$1&amp;"!C24")=$A8,BY$2,"")</f>
        <v/>
      </c>
      <c r="BZ8" s="17" t="str" cm="1">
        <f t="array" aca="1" ref="BZ8" ca="1">IF(INDIRECT(BZ$1&amp;"!C24")=$A8,BZ$2,"")</f>
        <v/>
      </c>
      <c r="CA8" s="17" t="str" cm="1">
        <f t="array" aca="1" ref="CA8" ca="1">IF(INDIRECT(CA$1&amp;"!C24")=$A8,CA$2,"")</f>
        <v/>
      </c>
      <c r="CB8" s="17" t="str" cm="1">
        <f t="array" aca="1" ref="CB8" ca="1">IF(INDIRECT(CB$1&amp;"!C24")=$A8,CB$2,"")</f>
        <v/>
      </c>
    </row>
    <row r="9" spans="1:80">
      <c r="A9" s="163">
        <v>7</v>
      </c>
      <c r="B9" s="163" t="str">
        <v>包華先</v>
      </c>
      <c r="C9" s="163" cm="1">
        <f t="array" aca="1" ref="C9" ca="1">IF(SUMPRODUCT(COUNTIF(INDIRECT(工作表[工作表]&amp;"!C10"),$A9))=0,"",SUMPRODUCT(COUNTIF(INDIRECT(工作表[工作表]&amp;"!C10"),$A9)))</f>
        <v>2</v>
      </c>
      <c r="D9" s="163" cm="1">
        <f t="array" aca="1" ref="D9" ca="1">IF(SUMPRODUCT(COUNTIF(INDIRECT(工作表[工作表]&amp;"!C12"),$A9))=0,"",SUMPRODUCT(COUNTIF(INDIRECT(工作表[工作表]&amp;"!C12"),$A9)))</f>
        <v>1</v>
      </c>
      <c r="E9" s="163" t="str" cm="1">
        <f t="array" aca="1" ref="E9" ca="1">IF(SUMPRODUCT(COUNTIF(INDIRECT(工作表[工作表]&amp;"!C14"),$A9))=0,"",SUMPRODUCT(COUNTIF(INDIRECT(工作表[工作表]&amp;"!C14"),$A9)))</f>
        <v/>
      </c>
      <c r="F9" s="163" cm="1">
        <f t="array" aca="1" ref="F9" ca="1">IF(SUMPRODUCT(COUNTIF(INDIRECT(工作表[工作表]&amp;"!C16"),$A9))=0,"",SUMPRODUCT(COUNTIF(INDIRECT(工作表[工作表]&amp;"!C16"),$A9)))</f>
        <v>2</v>
      </c>
      <c r="G9" s="163" t="str" cm="1">
        <f t="array" aca="1" ref="G9" ca="1">IF(SUMPRODUCT(COUNTIF(INDIRECT(工作表[工作表]&amp;"!C18"),$A9))=0,"",SUMPRODUCT(COUNTIF(INDIRECT(工作表[工作表]&amp;"!C18"),$A9)))</f>
        <v/>
      </c>
      <c r="H9" s="163" t="str" cm="1">
        <f t="array" aca="1" ref="H9" ca="1">IF(SUMPRODUCT(COUNTIF(INDIRECT(工作表[工作表]&amp;"!C20"),$A9))=0,"",SUMPRODUCT(COUNTIF(INDIRECT(工作表[工作表]&amp;"!C20"),$A9)))</f>
        <v/>
      </c>
      <c r="I9" s="163" cm="1">
        <f t="array" aca="1" ref="I9" ca="1">IF(SUMPRODUCT(COUNTIF(INDIRECT(工作表[工作表]&amp;"!C22"),$A9))=0,"",SUMPRODUCT(COUNTIF(INDIRECT(工作表[工作表]&amp;"!C22"),$A9)))</f>
        <v>1</v>
      </c>
      <c r="J9" s="163" cm="1">
        <f t="array" aca="1" ref="J9" ca="1">IF(SUMPRODUCT(COUNTIF(INDIRECT(工作表[工作表]&amp;"!C24"),$A9))=0,"",SUMPRODUCT(COUNTIF(INDIRECT(工作表[工作表]&amp;"!C24"),$A9)))</f>
        <v>1</v>
      </c>
      <c r="K9" s="163" t="str" cm="1">
        <f t="array" aca="1" ref="K9" ca="1">IF(MAX(IF($AX9:$CB9&lt;$K$1,$AX9:$CB9,"0"))=0,"",$K$1-MAX(IF($AX9:$CB9&lt;$K$1,$AX9:$CB9,"0"))&amp;"天")</f>
        <v>3天</v>
      </c>
      <c r="M9" s="163">
        <f t="shared" ca="1" si="1"/>
        <v>50</v>
      </c>
      <c r="N9" s="163">
        <f>COUNTIF(_xlfn.XLOOKUP(B9,輪休基準表!$E$5:$AF$5,輪休基準表!$E$6:$AF$36,""),"")</f>
        <v>12</v>
      </c>
      <c r="O9" s="167">
        <f t="shared" ca="1" si="2"/>
        <v>4.166666666666667</v>
      </c>
      <c r="Q9" s="17" t="s">
        <v>254</v>
      </c>
      <c r="R9" s="17">
        <f t="shared" ca="1" si="3"/>
        <v>8</v>
      </c>
      <c r="S9" s="17">
        <f t="shared" ca="1" si="0"/>
        <v>0</v>
      </c>
      <c r="T9" s="17">
        <f t="shared" ca="1" si="0"/>
        <v>0</v>
      </c>
      <c r="U9" s="17">
        <f t="shared" ca="1" si="0"/>
        <v>0</v>
      </c>
      <c r="V9" s="17">
        <f t="shared" ca="1" si="0"/>
        <v>0</v>
      </c>
      <c r="W9" s="17">
        <f t="shared" ca="1" si="0"/>
        <v>0</v>
      </c>
      <c r="X9" s="17">
        <f t="shared" ca="1" si="0"/>
        <v>6</v>
      </c>
      <c r="Y9" s="17">
        <f t="shared" ca="1" si="0"/>
        <v>0</v>
      </c>
      <c r="Z9" s="17">
        <f t="shared" ca="1" si="0"/>
        <v>8</v>
      </c>
      <c r="AA9" s="17">
        <f t="shared" ca="1" si="0"/>
        <v>0</v>
      </c>
      <c r="AB9" s="17">
        <f t="shared" ca="1" si="0"/>
        <v>8</v>
      </c>
      <c r="AC9" s="17">
        <f t="shared" ca="1" si="0"/>
        <v>0</v>
      </c>
      <c r="AD9" s="17">
        <f t="shared" ca="1" si="0"/>
        <v>6</v>
      </c>
      <c r="AE9" s="17">
        <f t="shared" ca="1" si="0"/>
        <v>0</v>
      </c>
      <c r="AF9" s="17">
        <f t="shared" ca="1" si="0"/>
        <v>8</v>
      </c>
      <c r="AG9" s="17">
        <f t="shared" ca="1" si="0"/>
        <v>0</v>
      </c>
      <c r="AH9" s="17">
        <f t="shared" ca="1" si="0"/>
        <v>6</v>
      </c>
      <c r="AI9" s="17">
        <f t="shared" ca="1" si="0"/>
        <v>0</v>
      </c>
      <c r="AJ9" s="17">
        <f t="shared" ca="1" si="0"/>
        <v>0</v>
      </c>
      <c r="AK9" s="17">
        <f t="shared" ca="1" si="0"/>
        <v>0</v>
      </c>
      <c r="AL9" s="17">
        <f t="shared" ca="1" si="0"/>
        <v>0</v>
      </c>
      <c r="AM9" s="17">
        <f t="shared" ca="1" si="0"/>
        <v>0</v>
      </c>
      <c r="AN9" s="17">
        <f t="shared" ca="1" si="0"/>
        <v>0</v>
      </c>
      <c r="AO9" s="17">
        <f t="shared" ca="1" si="0"/>
        <v>0</v>
      </c>
      <c r="AP9" s="17">
        <f t="shared" ca="1" si="0"/>
        <v>0</v>
      </c>
      <c r="AQ9" s="17">
        <f t="shared" ca="1" si="0"/>
        <v>0</v>
      </c>
      <c r="AR9" s="17">
        <f t="shared" ca="1" si="0"/>
        <v>0</v>
      </c>
      <c r="AS9" s="17">
        <f t="shared" ca="1" si="0"/>
        <v>0</v>
      </c>
      <c r="AT9" s="17">
        <f t="shared" ca="1" si="0"/>
        <v>0</v>
      </c>
      <c r="AU9" s="17">
        <f t="shared" ca="1" si="0"/>
        <v>0</v>
      </c>
      <c r="AV9" s="17">
        <f t="shared" ca="1" si="0"/>
        <v>0</v>
      </c>
      <c r="AX9" s="17" t="str" cm="1">
        <f t="array" aca="1" ref="AX9" ca="1">IF(INDIRECT(AX$1&amp;"!C24")=$A9,AX$2,"")</f>
        <v/>
      </c>
      <c r="AY9" s="17" t="str" cm="1">
        <f t="array" aca="1" ref="AY9" ca="1">IF(INDIRECT(AY$1&amp;"!C24")=$A9,AY$2,"")</f>
        <v/>
      </c>
      <c r="AZ9" s="17" t="str" cm="1">
        <f t="array" aca="1" ref="AZ9" ca="1">IF(INDIRECT(AZ$1&amp;"!C24")=$A9,AZ$2,"")</f>
        <v/>
      </c>
      <c r="BA9" s="17" t="str" cm="1">
        <f t="array" aca="1" ref="BA9" ca="1">IF(INDIRECT(BA$1&amp;"!C24")=$A9,BA$2,"")</f>
        <v/>
      </c>
      <c r="BB9" s="17" t="str" cm="1">
        <f t="array" aca="1" ref="BB9" ca="1">IF(INDIRECT(BB$1&amp;"!C24")=$A9,BB$2,"")</f>
        <v/>
      </c>
      <c r="BC9" s="17" t="str" cm="1">
        <f t="array" aca="1" ref="BC9" ca="1">IF(INDIRECT(BC$1&amp;"!C24")=$A9,BC$2,"")</f>
        <v/>
      </c>
      <c r="BD9" s="17" t="str" cm="1">
        <f t="array" aca="1" ref="BD9" ca="1">IF(INDIRECT(BD$1&amp;"!C24")=$A9,BD$2,"")</f>
        <v/>
      </c>
      <c r="BE9" s="17" t="str" cm="1">
        <f t="array" aca="1" ref="BE9" ca="1">IF(INDIRECT(BE$1&amp;"!C24")=$A9,BE$2,"")</f>
        <v/>
      </c>
      <c r="BF9" s="17" t="str" cm="1">
        <f t="array" aca="1" ref="BF9" ca="1">IF(INDIRECT(BF$1&amp;"!C24")=$A9,BF$2,"")</f>
        <v/>
      </c>
      <c r="BG9" s="17" t="str" cm="1">
        <f t="array" aca="1" ref="BG9" ca="1">IF(INDIRECT(BG$1&amp;"!C24")=$A9,BG$2,"")</f>
        <v/>
      </c>
      <c r="BH9" s="17" t="str" cm="1">
        <f t="array" aca="1" ref="BH9" ca="1">IF(INDIRECT(BH$1&amp;"!C24")=$A9,BH$2,"")</f>
        <v/>
      </c>
      <c r="BI9" s="17" t="str" cm="1">
        <f t="array" aca="1" ref="BI9" ca="1">IF(INDIRECT(BI$1&amp;"!C24")=$A9,BI$2,"")</f>
        <v/>
      </c>
      <c r="BJ9" s="17" cm="1">
        <f t="array" aca="1" ref="BJ9" ca="1">IF(INDIRECT(BJ$1&amp;"!C24")=$A9,BJ$2,"")</f>
        <v>46155</v>
      </c>
      <c r="BK9" s="17" t="str" cm="1">
        <f t="array" aca="1" ref="BK9" ca="1">IF(INDIRECT(BK$1&amp;"!C24")=$A9,BK$2,"")</f>
        <v/>
      </c>
      <c r="BL9" s="17" t="str" cm="1">
        <f t="array" aca="1" ref="BL9" ca="1">IF(INDIRECT(BL$1&amp;"!C24")=$A9,BL$2,"")</f>
        <v/>
      </c>
      <c r="BM9" s="17" t="str" cm="1">
        <f t="array" aca="1" ref="BM9" ca="1">IF(INDIRECT(BM$1&amp;"!C24")=$A9,BM$2,"")</f>
        <v/>
      </c>
      <c r="BN9" s="17" t="str" cm="1">
        <f t="array" aca="1" ref="BN9" ca="1">IF(INDIRECT(BN$1&amp;"!C24")=$A9,BN$2,"")</f>
        <v/>
      </c>
      <c r="BO9" s="17" t="str" cm="1">
        <f t="array" aca="1" ref="BO9" ca="1">IF(INDIRECT(BO$1&amp;"!C24")=$A9,BO$2,"")</f>
        <v/>
      </c>
      <c r="BP9" s="17" t="str" cm="1">
        <f t="array" aca="1" ref="BP9" ca="1">IF(INDIRECT(BP$1&amp;"!C24")=$A9,BP$2,"")</f>
        <v/>
      </c>
      <c r="BQ9" s="17" t="str" cm="1">
        <f t="array" aca="1" ref="BQ9" ca="1">IF(INDIRECT(BQ$1&amp;"!C24")=$A9,BQ$2,"")</f>
        <v/>
      </c>
      <c r="BR9" s="17" t="str" cm="1">
        <f t="array" aca="1" ref="BR9" ca="1">IF(INDIRECT(BR$1&amp;"!C24")=$A9,BR$2,"")</f>
        <v/>
      </c>
      <c r="BS9" s="17" t="str" cm="1">
        <f t="array" aca="1" ref="BS9" ca="1">IF(INDIRECT(BS$1&amp;"!C24")=$A9,BS$2,"")</f>
        <v/>
      </c>
      <c r="BT9" s="17" t="str" cm="1">
        <f t="array" aca="1" ref="BT9" ca="1">IF(INDIRECT(BT$1&amp;"!C24")=$A9,BT$2,"")</f>
        <v/>
      </c>
      <c r="BU9" s="17" t="str" cm="1">
        <f t="array" aca="1" ref="BU9" ca="1">IF(INDIRECT(BU$1&amp;"!C24")=$A9,BU$2,"")</f>
        <v/>
      </c>
      <c r="BV9" s="17" t="str" cm="1">
        <f t="array" aca="1" ref="BV9" ca="1">IF(INDIRECT(BV$1&amp;"!C24")=$A9,BV$2,"")</f>
        <v/>
      </c>
      <c r="BW9" s="17" t="str" cm="1">
        <f t="array" aca="1" ref="BW9" ca="1">IF(INDIRECT(BW$1&amp;"!C24")=$A9,BW$2,"")</f>
        <v/>
      </c>
      <c r="BX9" s="17" t="str" cm="1">
        <f t="array" aca="1" ref="BX9" ca="1">IF(INDIRECT(BX$1&amp;"!C24")=$A9,BX$2,"")</f>
        <v/>
      </c>
      <c r="BY9" s="17" t="str" cm="1">
        <f t="array" aca="1" ref="BY9" ca="1">IF(INDIRECT(BY$1&amp;"!C24")=$A9,BY$2,"")</f>
        <v/>
      </c>
      <c r="BZ9" s="17" t="str" cm="1">
        <f t="array" aca="1" ref="BZ9" ca="1">IF(INDIRECT(BZ$1&amp;"!C24")=$A9,BZ$2,"")</f>
        <v/>
      </c>
      <c r="CA9" s="17" t="str" cm="1">
        <f t="array" aca="1" ref="CA9" ca="1">IF(INDIRECT(CA$1&amp;"!C24")=$A9,CA$2,"")</f>
        <v/>
      </c>
      <c r="CB9" s="17" t="str" cm="1">
        <f t="array" aca="1" ref="CB9" ca="1">IF(INDIRECT(CB$1&amp;"!C24")=$A9,CB$2,"")</f>
        <v/>
      </c>
    </row>
    <row r="10" spans="1:80">
      <c r="A10" s="163">
        <v>8</v>
      </c>
      <c r="B10" s="163" t="str">
        <v>曾彥綸</v>
      </c>
      <c r="C10" s="163" cm="1">
        <f t="array" aca="1" ref="C10" ca="1">IF(SUMPRODUCT(COUNTIF(INDIRECT(工作表[工作表]&amp;"!C10"),$A10))=0,"",SUMPRODUCT(COUNTIF(INDIRECT(工作表[工作表]&amp;"!C10"),$A10)))</f>
        <v>1</v>
      </c>
      <c r="D10" s="163" cm="1">
        <f t="array" aca="1" ref="D10" ca="1">IF(SUMPRODUCT(COUNTIF(INDIRECT(工作表[工作表]&amp;"!C12"),$A10))=0,"",SUMPRODUCT(COUNTIF(INDIRECT(工作表[工作表]&amp;"!C12"),$A10)))</f>
        <v>1</v>
      </c>
      <c r="E10" s="163" cm="1">
        <f t="array" aca="1" ref="E10" ca="1">IF(SUMPRODUCT(COUNTIF(INDIRECT(工作表[工作表]&amp;"!C14"),$A10))=0,"",SUMPRODUCT(COUNTIF(INDIRECT(工作表[工作表]&amp;"!C14"),$A10)))</f>
        <v>1</v>
      </c>
      <c r="F10" s="163" cm="1">
        <f t="array" aca="1" ref="F10" ca="1">IF(SUMPRODUCT(COUNTIF(INDIRECT(工作表[工作表]&amp;"!C16"),$A10))=0,"",SUMPRODUCT(COUNTIF(INDIRECT(工作表[工作表]&amp;"!C16"),$A10)))</f>
        <v>1</v>
      </c>
      <c r="G10" s="163" cm="1">
        <f t="array" aca="1" ref="G10" ca="1">IF(SUMPRODUCT(COUNTIF(INDIRECT(工作表[工作表]&amp;"!C18"),$A10))=0,"",SUMPRODUCT(COUNTIF(INDIRECT(工作表[工作表]&amp;"!C18"),$A10)))</f>
        <v>1</v>
      </c>
      <c r="H10" s="163" t="str" cm="1">
        <f t="array" aca="1" ref="H10" ca="1">IF(SUMPRODUCT(COUNTIF(INDIRECT(工作表[工作表]&amp;"!C20"),$A10))=0,"",SUMPRODUCT(COUNTIF(INDIRECT(工作表[工作表]&amp;"!C20"),$A10)))</f>
        <v/>
      </c>
      <c r="I10" s="163" t="str" cm="1">
        <f t="array" aca="1" ref="I10" ca="1">IF(SUMPRODUCT(COUNTIF(INDIRECT(工作表[工作表]&amp;"!C22"),$A10))=0,"",SUMPRODUCT(COUNTIF(INDIRECT(工作表[工作表]&amp;"!C22"),$A10)))</f>
        <v/>
      </c>
      <c r="J10" s="163" cm="1">
        <f t="array" aca="1" ref="J10" ca="1">IF(SUMPRODUCT(COUNTIF(INDIRECT(工作表[工作表]&amp;"!C24"),$A10))=0,"",SUMPRODUCT(COUNTIF(INDIRECT(工作表[工作表]&amp;"!C24"),$A10)))</f>
        <v>1</v>
      </c>
      <c r="K10" s="163" t="str" cm="1">
        <f t="array" aca="1" ref="K10" ca="1">IF(MAX(IF($AX10:$CB10&lt;$K$1,$AX10:$CB10,"0"))=0,"",$K$1-MAX(IF($AX10:$CB10&lt;$K$1,$AX10:$CB10,"0"))&amp;"天")</f>
        <v>8天</v>
      </c>
      <c r="M10" s="163">
        <f t="shared" ca="1" si="1"/>
        <v>40</v>
      </c>
      <c r="N10" s="163">
        <f>COUNTIF(_xlfn.XLOOKUP(B10,輪休基準表!$E$5:$AF$5,輪休基準表!$E$6:$AF$36,""),"")</f>
        <v>11</v>
      </c>
      <c r="O10" s="167">
        <f t="shared" ca="1" si="2"/>
        <v>3.6363636363636362</v>
      </c>
      <c r="Q10" s="17" t="s">
        <v>255</v>
      </c>
      <c r="R10" s="17">
        <f t="shared" ca="1" si="3"/>
        <v>0</v>
      </c>
      <c r="S10" s="17">
        <f t="shared" ca="1" si="0"/>
        <v>6</v>
      </c>
      <c r="T10" s="17">
        <f t="shared" ca="1" si="0"/>
        <v>0</v>
      </c>
      <c r="U10" s="17">
        <f t="shared" ca="1" si="0"/>
        <v>0</v>
      </c>
      <c r="V10" s="17">
        <f t="shared" ca="1" si="0"/>
        <v>8</v>
      </c>
      <c r="W10" s="17">
        <f t="shared" ca="1" si="0"/>
        <v>0</v>
      </c>
      <c r="X10" s="17">
        <f t="shared" ca="1" si="0"/>
        <v>0</v>
      </c>
      <c r="Y10" s="17">
        <f t="shared" ca="1" si="0"/>
        <v>6</v>
      </c>
      <c r="Z10" s="17">
        <f t="shared" ca="1" si="0"/>
        <v>0</v>
      </c>
      <c r="AA10" s="17">
        <f t="shared" ca="1" si="0"/>
        <v>6</v>
      </c>
      <c r="AB10" s="17">
        <f t="shared" ca="1" si="0"/>
        <v>0</v>
      </c>
      <c r="AC10" s="17">
        <f t="shared" ca="1" si="0"/>
        <v>0</v>
      </c>
      <c r="AD10" s="17">
        <f t="shared" ca="1" si="0"/>
        <v>0</v>
      </c>
      <c r="AE10" s="17">
        <f t="shared" ca="1" si="0"/>
        <v>6</v>
      </c>
      <c r="AF10" s="17">
        <f t="shared" ca="1" si="0"/>
        <v>0</v>
      </c>
      <c r="AG10" s="17">
        <f t="shared" ca="1" si="0"/>
        <v>8</v>
      </c>
      <c r="AH10" s="17">
        <f t="shared" ca="1" si="0"/>
        <v>0</v>
      </c>
      <c r="AI10" s="17">
        <f t="shared" ca="1" si="0"/>
        <v>0</v>
      </c>
      <c r="AJ10" s="17">
        <f t="shared" ca="1" si="0"/>
        <v>0</v>
      </c>
      <c r="AK10" s="17">
        <f t="shared" ca="1" si="0"/>
        <v>0</v>
      </c>
      <c r="AL10" s="17">
        <f t="shared" ca="1" si="0"/>
        <v>0</v>
      </c>
      <c r="AM10" s="17">
        <f t="shared" ca="1" si="0"/>
        <v>0</v>
      </c>
      <c r="AN10" s="17">
        <f t="shared" ca="1" si="0"/>
        <v>0</v>
      </c>
      <c r="AO10" s="17">
        <f t="shared" ca="1" si="0"/>
        <v>0</v>
      </c>
      <c r="AP10" s="17">
        <f t="shared" ca="1" si="0"/>
        <v>0</v>
      </c>
      <c r="AQ10" s="17">
        <f t="shared" ca="1" si="0"/>
        <v>0</v>
      </c>
      <c r="AR10" s="17">
        <f t="shared" ca="1" si="0"/>
        <v>0</v>
      </c>
      <c r="AS10" s="17">
        <f t="shared" ca="1" si="0"/>
        <v>0</v>
      </c>
      <c r="AT10" s="17">
        <f t="shared" ca="1" si="0"/>
        <v>0</v>
      </c>
      <c r="AU10" s="17">
        <f t="shared" ca="1" si="0"/>
        <v>0</v>
      </c>
      <c r="AV10" s="17">
        <f t="shared" ca="1" si="0"/>
        <v>0</v>
      </c>
      <c r="AX10" s="17" t="str" cm="1">
        <f t="array" aca="1" ref="AX10" ca="1">IF(INDIRECT(AX$1&amp;"!C24")=$A10,AX$2,"")</f>
        <v/>
      </c>
      <c r="AY10" s="17" t="str" cm="1">
        <f t="array" aca="1" ref="AY10" ca="1">IF(INDIRECT(AY$1&amp;"!C24")=$A10,AY$2,"")</f>
        <v/>
      </c>
      <c r="AZ10" s="17" t="str" cm="1">
        <f t="array" aca="1" ref="AZ10" ca="1">IF(INDIRECT(AZ$1&amp;"!C24")=$A10,AZ$2,"")</f>
        <v/>
      </c>
      <c r="BA10" s="17" t="str" cm="1">
        <f t="array" aca="1" ref="BA10" ca="1">IF(INDIRECT(BA$1&amp;"!C24")=$A10,BA$2,"")</f>
        <v/>
      </c>
      <c r="BB10" s="17" t="str" cm="1">
        <f t="array" aca="1" ref="BB10" ca="1">IF(INDIRECT(BB$1&amp;"!C24")=$A10,BB$2,"")</f>
        <v/>
      </c>
      <c r="BC10" s="17" t="str" cm="1">
        <f t="array" aca="1" ref="BC10" ca="1">IF(INDIRECT(BC$1&amp;"!C24")=$A10,BC$2,"")</f>
        <v/>
      </c>
      <c r="BD10" s="17" t="str" cm="1">
        <f t="array" aca="1" ref="BD10" ca="1">IF(INDIRECT(BD$1&amp;"!C24")=$A10,BD$2,"")</f>
        <v/>
      </c>
      <c r="BE10" s="17" cm="1">
        <f t="array" aca="1" ref="BE10" ca="1">IF(INDIRECT(BE$1&amp;"!C24")=$A10,BE$2,"")</f>
        <v>46150</v>
      </c>
      <c r="BF10" s="17" t="str" cm="1">
        <f t="array" aca="1" ref="BF10" ca="1">IF(INDIRECT(BF$1&amp;"!C24")=$A10,BF$2,"")</f>
        <v/>
      </c>
      <c r="BG10" s="17" t="str" cm="1">
        <f t="array" aca="1" ref="BG10" ca="1">IF(INDIRECT(BG$1&amp;"!C24")=$A10,BG$2,"")</f>
        <v/>
      </c>
      <c r="BH10" s="17" t="str" cm="1">
        <f t="array" aca="1" ref="BH10" ca="1">IF(INDIRECT(BH$1&amp;"!C24")=$A10,BH$2,"")</f>
        <v/>
      </c>
      <c r="BI10" s="17" t="str" cm="1">
        <f t="array" aca="1" ref="BI10" ca="1">IF(INDIRECT(BI$1&amp;"!C24")=$A10,BI$2,"")</f>
        <v/>
      </c>
      <c r="BJ10" s="17" t="str" cm="1">
        <f t="array" aca="1" ref="BJ10" ca="1">IF(INDIRECT(BJ$1&amp;"!C24")=$A10,BJ$2,"")</f>
        <v/>
      </c>
      <c r="BK10" s="17" t="str" cm="1">
        <f t="array" aca="1" ref="BK10" ca="1">IF(INDIRECT(BK$1&amp;"!C24")=$A10,BK$2,"")</f>
        <v/>
      </c>
      <c r="BL10" s="17" t="str" cm="1">
        <f t="array" aca="1" ref="BL10" ca="1">IF(INDIRECT(BL$1&amp;"!C24")=$A10,BL$2,"")</f>
        <v/>
      </c>
      <c r="BM10" s="17" t="str" cm="1">
        <f t="array" aca="1" ref="BM10" ca="1">IF(INDIRECT(BM$1&amp;"!C24")=$A10,BM$2,"")</f>
        <v/>
      </c>
      <c r="BN10" s="17" t="str" cm="1">
        <f t="array" aca="1" ref="BN10" ca="1">IF(INDIRECT(BN$1&amp;"!C24")=$A10,BN$2,"")</f>
        <v/>
      </c>
      <c r="BO10" s="17" t="str" cm="1">
        <f t="array" aca="1" ref="BO10" ca="1">IF(INDIRECT(BO$1&amp;"!C24")=$A10,BO$2,"")</f>
        <v/>
      </c>
      <c r="BP10" s="17" t="str" cm="1">
        <f t="array" aca="1" ref="BP10" ca="1">IF(INDIRECT(BP$1&amp;"!C24")=$A10,BP$2,"")</f>
        <v/>
      </c>
      <c r="BQ10" s="17" t="str" cm="1">
        <f t="array" aca="1" ref="BQ10" ca="1">IF(INDIRECT(BQ$1&amp;"!C24")=$A10,BQ$2,"")</f>
        <v/>
      </c>
      <c r="BR10" s="17" t="str" cm="1">
        <f t="array" aca="1" ref="BR10" ca="1">IF(INDIRECT(BR$1&amp;"!C24")=$A10,BR$2,"")</f>
        <v/>
      </c>
      <c r="BS10" s="17" t="str" cm="1">
        <f t="array" aca="1" ref="BS10" ca="1">IF(INDIRECT(BS$1&amp;"!C24")=$A10,BS$2,"")</f>
        <v/>
      </c>
      <c r="BT10" s="17" t="str" cm="1">
        <f t="array" aca="1" ref="BT10" ca="1">IF(INDIRECT(BT$1&amp;"!C24")=$A10,BT$2,"")</f>
        <v/>
      </c>
      <c r="BU10" s="17" t="str" cm="1">
        <f t="array" aca="1" ref="BU10" ca="1">IF(INDIRECT(BU$1&amp;"!C24")=$A10,BU$2,"")</f>
        <v/>
      </c>
      <c r="BV10" s="17" t="str" cm="1">
        <f t="array" aca="1" ref="BV10" ca="1">IF(INDIRECT(BV$1&amp;"!C24")=$A10,BV$2,"")</f>
        <v/>
      </c>
      <c r="BW10" s="17" t="str" cm="1">
        <f t="array" aca="1" ref="BW10" ca="1">IF(INDIRECT(BW$1&amp;"!C24")=$A10,BW$2,"")</f>
        <v/>
      </c>
      <c r="BX10" s="17" t="str" cm="1">
        <f t="array" aca="1" ref="BX10" ca="1">IF(INDIRECT(BX$1&amp;"!C24")=$A10,BX$2,"")</f>
        <v/>
      </c>
      <c r="BY10" s="17" t="str" cm="1">
        <f t="array" aca="1" ref="BY10" ca="1">IF(INDIRECT(BY$1&amp;"!C24")=$A10,BY$2,"")</f>
        <v/>
      </c>
      <c r="BZ10" s="17" t="str" cm="1">
        <f t="array" aca="1" ref="BZ10" ca="1">IF(INDIRECT(BZ$1&amp;"!C24")=$A10,BZ$2,"")</f>
        <v/>
      </c>
      <c r="CA10" s="17" t="str" cm="1">
        <f t="array" aca="1" ref="CA10" ca="1">IF(INDIRECT(CA$1&amp;"!C24")=$A10,CA$2,"")</f>
        <v/>
      </c>
      <c r="CB10" s="17" t="str" cm="1">
        <f t="array" aca="1" ref="CB10" ca="1">IF(INDIRECT(CB$1&amp;"!C24")=$A10,CB$2,"")</f>
        <v/>
      </c>
    </row>
    <row r="11" spans="1:80">
      <c r="A11" s="163">
        <v>9</v>
      </c>
      <c r="B11" s="163" t="str">
        <v>鍾佳諭</v>
      </c>
      <c r="C11" s="163" cm="1">
        <f t="array" aca="1" ref="C11" ca="1">IF(SUMPRODUCT(COUNTIF(INDIRECT(工作表[工作表]&amp;"!C10"),$A11))=0,"",SUMPRODUCT(COUNTIF(INDIRECT(工作表[工作表]&amp;"!C10"),$A11)))</f>
        <v>1</v>
      </c>
      <c r="D11" s="163" t="str" cm="1">
        <f t="array" aca="1" ref="D11" ca="1">IF(SUMPRODUCT(COUNTIF(INDIRECT(工作表[工作表]&amp;"!C12"),$A11))=0,"",SUMPRODUCT(COUNTIF(INDIRECT(工作表[工作表]&amp;"!C12"),$A11)))</f>
        <v/>
      </c>
      <c r="E11" s="163" cm="1">
        <f t="array" aca="1" ref="E11" ca="1">IF(SUMPRODUCT(COUNTIF(INDIRECT(工作表[工作表]&amp;"!C14"),$A11))=0,"",SUMPRODUCT(COUNTIF(INDIRECT(工作表[工作表]&amp;"!C14"),$A11)))</f>
        <v>1</v>
      </c>
      <c r="F11" s="163" cm="1">
        <f t="array" aca="1" ref="F11" ca="1">IF(SUMPRODUCT(COUNTIF(INDIRECT(工作表[工作表]&amp;"!C16"),$A11))=0,"",SUMPRODUCT(COUNTIF(INDIRECT(工作表[工作表]&amp;"!C16"),$A11)))</f>
        <v>1</v>
      </c>
      <c r="G11" s="163" cm="1">
        <f t="array" aca="1" ref="G11" ca="1">IF(SUMPRODUCT(COUNTIF(INDIRECT(工作表[工作表]&amp;"!C18"),$A11))=0,"",SUMPRODUCT(COUNTIF(INDIRECT(工作表[工作表]&amp;"!C18"),$A11)))</f>
        <v>1</v>
      </c>
      <c r="H11" s="163" t="str" cm="1">
        <f t="array" aca="1" ref="H11" ca="1">IF(SUMPRODUCT(COUNTIF(INDIRECT(工作表[工作表]&amp;"!C20"),$A11))=0,"",SUMPRODUCT(COUNTIF(INDIRECT(工作表[工作表]&amp;"!C20"),$A11)))</f>
        <v/>
      </c>
      <c r="I11" s="163" cm="1">
        <f t="array" aca="1" ref="I11" ca="1">IF(SUMPRODUCT(COUNTIF(INDIRECT(工作表[工作表]&amp;"!C22"),$A11))=0,"",SUMPRODUCT(COUNTIF(INDIRECT(工作表[工作表]&amp;"!C22"),$A11)))</f>
        <v>1</v>
      </c>
      <c r="J11" s="163" cm="1">
        <f t="array" aca="1" ref="J11" ca="1">IF(SUMPRODUCT(COUNTIF(INDIRECT(工作表[工作表]&amp;"!C24"),$A11))=0,"",SUMPRODUCT(COUNTIF(INDIRECT(工作表[工作表]&amp;"!C24"),$A11)))</f>
        <v>2</v>
      </c>
      <c r="K11" s="163" t="str" cm="1">
        <f t="array" aca="1" ref="K11" ca="1">IF(MAX(IF($AX11:$CB11&lt;$K$1,$AX11:$CB11,"0"))=0,"",$K$1-MAX(IF($AX11:$CB11&lt;$K$1,$AX11:$CB11,"0"))&amp;"天")</f>
        <v>15天</v>
      </c>
      <c r="M11" s="163">
        <f t="shared" ca="1" si="1"/>
        <v>48</v>
      </c>
      <c r="N11" s="163">
        <f>COUNTIF(_xlfn.XLOOKUP(B11,輪休基準表!$E$5:$AF$5,輪休基準表!$E$6:$AF$36,""),"")</f>
        <v>12</v>
      </c>
      <c r="O11" s="167">
        <f t="shared" ca="1" si="2"/>
        <v>4</v>
      </c>
      <c r="Q11" s="17" t="s">
        <v>256</v>
      </c>
      <c r="R11" s="17">
        <f t="shared" ca="1" si="3"/>
        <v>6</v>
      </c>
      <c r="S11" s="17">
        <f t="shared" ca="1" si="0"/>
        <v>0</v>
      </c>
      <c r="T11" s="17">
        <f t="shared" ca="1" si="0"/>
        <v>0</v>
      </c>
      <c r="U11" s="17">
        <f t="shared" ca="1" si="0"/>
        <v>8</v>
      </c>
      <c r="V11" s="17">
        <f t="shared" ca="1" si="0"/>
        <v>6</v>
      </c>
      <c r="W11" s="17">
        <f t="shared" ca="1" si="0"/>
        <v>0</v>
      </c>
      <c r="X11" s="17">
        <f t="shared" ca="1" si="0"/>
        <v>0</v>
      </c>
      <c r="Y11" s="17">
        <f t="shared" ca="1" si="0"/>
        <v>0</v>
      </c>
      <c r="Z11" s="17">
        <f t="shared" ca="1" si="0"/>
        <v>8</v>
      </c>
      <c r="AA11" s="17">
        <f t="shared" ca="1" si="0"/>
        <v>0</v>
      </c>
      <c r="AB11" s="17">
        <f t="shared" ca="1" si="0"/>
        <v>6</v>
      </c>
      <c r="AC11" s="17">
        <f t="shared" ca="1" si="0"/>
        <v>0</v>
      </c>
      <c r="AD11" s="17">
        <f t="shared" ca="1" si="0"/>
        <v>8</v>
      </c>
      <c r="AE11" s="17">
        <f t="shared" ca="1" si="0"/>
        <v>0</v>
      </c>
      <c r="AF11" s="17">
        <f t="shared" ca="1" si="0"/>
        <v>0</v>
      </c>
      <c r="AG11" s="17">
        <f t="shared" ca="1" si="0"/>
        <v>0</v>
      </c>
      <c r="AH11" s="17">
        <f t="shared" ref="AH11:AV28" ca="1" si="4">COUNTIF(_xlfn.XLOOKUP("駕",INDIRECT(AH$1&amp;"!$A$7:$AN$7"),INDIRECT(AH$1&amp;"!$A$10:$AN$33"),""),$A11)+COUNTIF(_xlfn.XLOOKUP("護",INDIRECT(AH$1&amp;"!$A$7:$AN$7"),INDIRECT(AH$1&amp;"!$A$10:$AN$33"),""),$A11)</f>
        <v>6</v>
      </c>
      <c r="AI11" s="17">
        <f t="shared" ca="1" si="4"/>
        <v>0</v>
      </c>
      <c r="AJ11" s="17">
        <f t="shared" ca="1" si="4"/>
        <v>0</v>
      </c>
      <c r="AK11" s="17">
        <f t="shared" ca="1" si="4"/>
        <v>0</v>
      </c>
      <c r="AL11" s="17">
        <f t="shared" ca="1" si="4"/>
        <v>0</v>
      </c>
      <c r="AM11" s="17">
        <f t="shared" ca="1" si="4"/>
        <v>0</v>
      </c>
      <c r="AN11" s="17">
        <f t="shared" ca="1" si="4"/>
        <v>0</v>
      </c>
      <c r="AO11" s="17">
        <f t="shared" ca="1" si="4"/>
        <v>0</v>
      </c>
      <c r="AP11" s="17">
        <f t="shared" ca="1" si="4"/>
        <v>0</v>
      </c>
      <c r="AQ11" s="17">
        <f t="shared" ca="1" si="4"/>
        <v>0</v>
      </c>
      <c r="AR11" s="17">
        <f t="shared" ca="1" si="4"/>
        <v>0</v>
      </c>
      <c r="AS11" s="17">
        <f t="shared" ca="1" si="4"/>
        <v>0</v>
      </c>
      <c r="AT11" s="17">
        <f t="shared" ca="1" si="4"/>
        <v>0</v>
      </c>
      <c r="AU11" s="17">
        <f t="shared" ca="1" si="4"/>
        <v>0</v>
      </c>
      <c r="AV11" s="17">
        <f t="shared" ca="1" si="4"/>
        <v>0</v>
      </c>
      <c r="AX11" s="17" cm="1">
        <f t="array" aca="1" ref="AX11" ca="1">IF(INDIRECT(AX$1&amp;"!C24")=$A11,AX$2,"")</f>
        <v>46143</v>
      </c>
      <c r="AY11" s="17" t="str" cm="1">
        <f t="array" aca="1" ref="AY11" ca="1">IF(INDIRECT(AY$1&amp;"!C24")=$A11,AY$2,"")</f>
        <v/>
      </c>
      <c r="AZ11" s="17" t="str" cm="1">
        <f t="array" aca="1" ref="AZ11" ca="1">IF(INDIRECT(AZ$1&amp;"!C24")=$A11,AZ$2,"")</f>
        <v/>
      </c>
      <c r="BA11" s="17" t="str" cm="1">
        <f t="array" aca="1" ref="BA11" ca="1">IF(INDIRECT(BA$1&amp;"!C24")=$A11,BA$2,"")</f>
        <v/>
      </c>
      <c r="BB11" s="17" t="str" cm="1">
        <f t="array" aca="1" ref="BB11" ca="1">IF(INDIRECT(BB$1&amp;"!C24")=$A11,BB$2,"")</f>
        <v/>
      </c>
      <c r="BC11" s="17" t="str" cm="1">
        <f t="array" aca="1" ref="BC11" ca="1">IF(INDIRECT(BC$1&amp;"!C24")=$A11,BC$2,"")</f>
        <v/>
      </c>
      <c r="BD11" s="17" t="str" cm="1">
        <f t="array" aca="1" ref="BD11" ca="1">IF(INDIRECT(BD$1&amp;"!C24")=$A11,BD$2,"")</f>
        <v/>
      </c>
      <c r="BE11" s="17" t="str" cm="1">
        <f t="array" aca="1" ref="BE11" ca="1">IF(INDIRECT(BE$1&amp;"!C24")=$A11,BE$2,"")</f>
        <v/>
      </c>
      <c r="BF11" s="17" t="str" cm="1">
        <f t="array" aca="1" ref="BF11" ca="1">IF(INDIRECT(BF$1&amp;"!C24")=$A11,BF$2,"")</f>
        <v/>
      </c>
      <c r="BG11" s="17" t="str" cm="1">
        <f t="array" aca="1" ref="BG11" ca="1">IF(INDIRECT(BG$1&amp;"!C24")=$A11,BG$2,"")</f>
        <v/>
      </c>
      <c r="BH11" s="17" t="str" cm="1">
        <f t="array" aca="1" ref="BH11" ca="1">IF(INDIRECT(BH$1&amp;"!C24")=$A11,BH$2,"")</f>
        <v/>
      </c>
      <c r="BI11" s="17" t="str" cm="1">
        <f t="array" aca="1" ref="BI11" ca="1">IF(INDIRECT(BI$1&amp;"!C24")=$A11,BI$2,"")</f>
        <v/>
      </c>
      <c r="BJ11" s="17" t="str" cm="1">
        <f t="array" aca="1" ref="BJ11" ca="1">IF(INDIRECT(BJ$1&amp;"!C24")=$A11,BJ$2,"")</f>
        <v/>
      </c>
      <c r="BK11" s="17" t="str" cm="1">
        <f t="array" aca="1" ref="BK11" ca="1">IF(INDIRECT(BK$1&amp;"!C24")=$A11,BK$2,"")</f>
        <v/>
      </c>
      <c r="BL11" s="17" t="str" cm="1">
        <f t="array" aca="1" ref="BL11" ca="1">IF(INDIRECT(BL$1&amp;"!C24")=$A11,BL$2,"")</f>
        <v/>
      </c>
      <c r="BM11" s="17" t="str" cm="1">
        <f t="array" aca="1" ref="BM11" ca="1">IF(INDIRECT(BM$1&amp;"!C24")=$A11,BM$2,"")</f>
        <v/>
      </c>
      <c r="BN11" s="17" cm="1">
        <f t="array" aca="1" ref="BN11" ca="1">IF(INDIRECT(BN$1&amp;"!C24")=$A11,BN$2,"")</f>
        <v>46159</v>
      </c>
      <c r="BO11" s="17" t="str" cm="1">
        <f t="array" aca="1" ref="BO11" ca="1">IF(INDIRECT(BO$1&amp;"!C24")=$A11,BO$2,"")</f>
        <v/>
      </c>
      <c r="BP11" s="17" t="str" cm="1">
        <f t="array" aca="1" ref="BP11" ca="1">IF(INDIRECT(BP$1&amp;"!C24")=$A11,BP$2,"")</f>
        <v/>
      </c>
      <c r="BQ11" s="17" t="str" cm="1">
        <f t="array" aca="1" ref="BQ11" ca="1">IF(INDIRECT(BQ$1&amp;"!C24")=$A11,BQ$2,"")</f>
        <v/>
      </c>
      <c r="BR11" s="17" t="str" cm="1">
        <f t="array" aca="1" ref="BR11" ca="1">IF(INDIRECT(BR$1&amp;"!C24")=$A11,BR$2,"")</f>
        <v/>
      </c>
      <c r="BS11" s="17" t="str" cm="1">
        <f t="array" aca="1" ref="BS11" ca="1">IF(INDIRECT(BS$1&amp;"!C24")=$A11,BS$2,"")</f>
        <v/>
      </c>
      <c r="BT11" s="17" t="str" cm="1">
        <f t="array" aca="1" ref="BT11" ca="1">IF(INDIRECT(BT$1&amp;"!C24")=$A11,BT$2,"")</f>
        <v/>
      </c>
      <c r="BU11" s="17" t="str" cm="1">
        <f t="array" aca="1" ref="BU11" ca="1">IF(INDIRECT(BU$1&amp;"!C24")=$A11,BU$2,"")</f>
        <v/>
      </c>
      <c r="BV11" s="17" t="str" cm="1">
        <f t="array" aca="1" ref="BV11" ca="1">IF(INDIRECT(BV$1&amp;"!C24")=$A11,BV$2,"")</f>
        <v/>
      </c>
      <c r="BW11" s="17" t="str" cm="1">
        <f t="array" aca="1" ref="BW11" ca="1">IF(INDIRECT(BW$1&amp;"!C24")=$A11,BW$2,"")</f>
        <v/>
      </c>
      <c r="BX11" s="17" t="str" cm="1">
        <f t="array" aca="1" ref="BX11" ca="1">IF(INDIRECT(BX$1&amp;"!C24")=$A11,BX$2,"")</f>
        <v/>
      </c>
      <c r="BY11" s="17" t="str" cm="1">
        <f t="array" aca="1" ref="BY11" ca="1">IF(INDIRECT(BY$1&amp;"!C24")=$A11,BY$2,"")</f>
        <v/>
      </c>
      <c r="BZ11" s="17" t="str" cm="1">
        <f t="array" aca="1" ref="BZ11" ca="1">IF(INDIRECT(BZ$1&amp;"!C24")=$A11,BZ$2,"")</f>
        <v/>
      </c>
      <c r="CA11" s="17" t="str" cm="1">
        <f t="array" aca="1" ref="CA11" ca="1">IF(INDIRECT(CA$1&amp;"!C24")=$A11,CA$2,"")</f>
        <v/>
      </c>
      <c r="CB11" s="17" t="str" cm="1">
        <f t="array" aca="1" ref="CB11" ca="1">IF(INDIRECT(CB$1&amp;"!C24")=$A11,CB$2,"")</f>
        <v/>
      </c>
    </row>
    <row r="12" spans="1:80">
      <c r="A12" s="163">
        <v>10</v>
      </c>
      <c r="B12" s="163" t="str">
        <v>林宏澤</v>
      </c>
      <c r="C12" s="163" cm="1">
        <f t="array" aca="1" ref="C12" ca="1">IF(SUMPRODUCT(COUNTIF(INDIRECT(工作表[工作表]&amp;"!C10"),$A12))=0,"",SUMPRODUCT(COUNTIF(INDIRECT(工作表[工作表]&amp;"!C10"),$A12)))</f>
        <v>2</v>
      </c>
      <c r="D12" s="163" t="str" cm="1">
        <f t="array" aca="1" ref="D12" ca="1">IF(SUMPRODUCT(COUNTIF(INDIRECT(工作表[工作表]&amp;"!C12"),$A12))=0,"",SUMPRODUCT(COUNTIF(INDIRECT(工作表[工作表]&amp;"!C12"),$A12)))</f>
        <v/>
      </c>
      <c r="E12" s="163" cm="1">
        <f t="array" aca="1" ref="E12" ca="1">IF(SUMPRODUCT(COUNTIF(INDIRECT(工作表[工作表]&amp;"!C14"),$A12))=0,"",SUMPRODUCT(COUNTIF(INDIRECT(工作表[工作表]&amp;"!C14"),$A12)))</f>
        <v>1</v>
      </c>
      <c r="F12" s="163" t="str" cm="1">
        <f t="array" aca="1" ref="F12" ca="1">IF(SUMPRODUCT(COUNTIF(INDIRECT(工作表[工作表]&amp;"!C16"),$A12))=0,"",SUMPRODUCT(COUNTIF(INDIRECT(工作表[工作表]&amp;"!C16"),$A12)))</f>
        <v/>
      </c>
      <c r="G12" s="163" cm="1">
        <f t="array" aca="1" ref="G12" ca="1">IF(SUMPRODUCT(COUNTIF(INDIRECT(工作表[工作表]&amp;"!C18"),$A12))=0,"",SUMPRODUCT(COUNTIF(INDIRECT(工作表[工作表]&amp;"!C18"),$A12)))</f>
        <v>2</v>
      </c>
      <c r="H12" s="163" t="str" cm="1">
        <f t="array" aca="1" ref="H12" ca="1">IF(SUMPRODUCT(COUNTIF(INDIRECT(工作表[工作表]&amp;"!C20"),$A12))=0,"",SUMPRODUCT(COUNTIF(INDIRECT(工作表[工作表]&amp;"!C20"),$A12)))</f>
        <v/>
      </c>
      <c r="I12" s="163" cm="1">
        <f t="array" aca="1" ref="I12" ca="1">IF(SUMPRODUCT(COUNTIF(INDIRECT(工作表[工作表]&amp;"!C22"),$A12))=0,"",SUMPRODUCT(COUNTIF(INDIRECT(工作表[工作表]&amp;"!C22"),$A12)))</f>
        <v>1</v>
      </c>
      <c r="J12" s="163" cm="1">
        <f t="array" aca="1" ref="J12" ca="1">IF(SUMPRODUCT(COUNTIF(INDIRECT(工作表[工作表]&amp;"!C24"),$A12))=0,"",SUMPRODUCT(COUNTIF(INDIRECT(工作表[工作表]&amp;"!C24"),$A12)))</f>
        <v>1</v>
      </c>
      <c r="K12" s="163" t="str" cm="1">
        <f t="array" aca="1" ref="K12" ca="1">IF(MAX(IF($AX12:$CB12&lt;$K$1,$AX12:$CB12,"0"))=0,"",$K$1-MAX(IF($AX12:$CB12&lt;$K$1,$AX12:$CB12,"0"))&amp;"天")</f>
        <v>10天</v>
      </c>
      <c r="M12" s="163">
        <f t="shared" ca="1" si="1"/>
        <v>44</v>
      </c>
      <c r="N12" s="163">
        <f>COUNTIF(_xlfn.XLOOKUP(B12,輪休基準表!$E$5:$AF$5,輪休基準表!$E$6:$AF$36,""),"")</f>
        <v>12</v>
      </c>
      <c r="O12" s="167">
        <f t="shared" ca="1" si="2"/>
        <v>3.6666666666666665</v>
      </c>
      <c r="Q12" s="17" t="s">
        <v>257</v>
      </c>
      <c r="R12" s="17">
        <f t="shared" ca="1" si="3"/>
        <v>0</v>
      </c>
      <c r="S12" s="17">
        <f t="shared" ca="1" si="3"/>
        <v>0</v>
      </c>
      <c r="T12" s="17">
        <f t="shared" ca="1" si="3"/>
        <v>0</v>
      </c>
      <c r="U12" s="17">
        <f t="shared" ca="1" si="3"/>
        <v>0</v>
      </c>
      <c r="V12" s="17">
        <f t="shared" ca="1" si="3"/>
        <v>0</v>
      </c>
      <c r="W12" s="17">
        <f t="shared" ca="1" si="3"/>
        <v>6</v>
      </c>
      <c r="X12" s="17">
        <f t="shared" ca="1" si="3"/>
        <v>0</v>
      </c>
      <c r="Y12" s="17">
        <f t="shared" ca="1" si="3"/>
        <v>6</v>
      </c>
      <c r="Z12" s="17">
        <f t="shared" ca="1" si="3"/>
        <v>0</v>
      </c>
      <c r="AA12" s="17">
        <f t="shared" ca="1" si="3"/>
        <v>8</v>
      </c>
      <c r="AB12" s="17">
        <f t="shared" ca="1" si="3"/>
        <v>6</v>
      </c>
      <c r="AC12" s="17">
        <f t="shared" ca="1" si="3"/>
        <v>0</v>
      </c>
      <c r="AD12" s="17">
        <f t="shared" ca="1" si="3"/>
        <v>6</v>
      </c>
      <c r="AE12" s="17">
        <f t="shared" ca="1" si="3"/>
        <v>0</v>
      </c>
      <c r="AF12" s="17">
        <f t="shared" ca="1" si="3"/>
        <v>6</v>
      </c>
      <c r="AG12" s="17">
        <f t="shared" ca="1" si="3"/>
        <v>0</v>
      </c>
      <c r="AH12" s="17">
        <f t="shared" ca="1" si="4"/>
        <v>6</v>
      </c>
      <c r="AI12" s="17">
        <f t="shared" ca="1" si="4"/>
        <v>0</v>
      </c>
      <c r="AJ12" s="17">
        <f t="shared" ca="1" si="4"/>
        <v>0</v>
      </c>
      <c r="AK12" s="17">
        <f t="shared" ca="1" si="4"/>
        <v>0</v>
      </c>
      <c r="AL12" s="17">
        <f t="shared" ca="1" si="4"/>
        <v>0</v>
      </c>
      <c r="AM12" s="17">
        <f t="shared" ca="1" si="4"/>
        <v>0</v>
      </c>
      <c r="AN12" s="17">
        <f t="shared" ca="1" si="4"/>
        <v>0</v>
      </c>
      <c r="AO12" s="17">
        <f t="shared" ca="1" si="4"/>
        <v>0</v>
      </c>
      <c r="AP12" s="17">
        <f t="shared" ca="1" si="4"/>
        <v>0</v>
      </c>
      <c r="AQ12" s="17">
        <f t="shared" ca="1" si="4"/>
        <v>0</v>
      </c>
      <c r="AR12" s="17">
        <f t="shared" ca="1" si="4"/>
        <v>0</v>
      </c>
      <c r="AS12" s="17">
        <f t="shared" ca="1" si="4"/>
        <v>0</v>
      </c>
      <c r="AT12" s="17">
        <f t="shared" ca="1" si="4"/>
        <v>0</v>
      </c>
      <c r="AU12" s="17">
        <f t="shared" ca="1" si="4"/>
        <v>0</v>
      </c>
      <c r="AV12" s="17">
        <f t="shared" ca="1" si="4"/>
        <v>0</v>
      </c>
      <c r="AX12" s="17" t="str" cm="1">
        <f t="array" aca="1" ref="AX12" ca="1">IF(INDIRECT(AX$1&amp;"!C24")=$A12,AX$2,"")</f>
        <v/>
      </c>
      <c r="AY12" s="17" t="str" cm="1">
        <f t="array" aca="1" ref="AY12" ca="1">IF(INDIRECT(AY$1&amp;"!C24")=$A12,AY$2,"")</f>
        <v/>
      </c>
      <c r="AZ12" s="17" t="str" cm="1">
        <f t="array" aca="1" ref="AZ12" ca="1">IF(INDIRECT(AZ$1&amp;"!C24")=$A12,AZ$2,"")</f>
        <v/>
      </c>
      <c r="BA12" s="17" t="str" cm="1">
        <f t="array" aca="1" ref="BA12" ca="1">IF(INDIRECT(BA$1&amp;"!C24")=$A12,BA$2,"")</f>
        <v/>
      </c>
      <c r="BB12" s="17" t="str" cm="1">
        <f t="array" aca="1" ref="BB12" ca="1">IF(INDIRECT(BB$1&amp;"!C24")=$A12,BB$2,"")</f>
        <v/>
      </c>
      <c r="BC12" s="17" cm="1">
        <f t="array" aca="1" ref="BC12" ca="1">IF(INDIRECT(BC$1&amp;"!C24")=$A12,BC$2,"")</f>
        <v>46148</v>
      </c>
      <c r="BD12" s="17" t="str" cm="1">
        <f t="array" aca="1" ref="BD12" ca="1">IF(INDIRECT(BD$1&amp;"!C24")=$A12,BD$2,"")</f>
        <v/>
      </c>
      <c r="BE12" s="17" t="str" cm="1">
        <f t="array" aca="1" ref="BE12" ca="1">IF(INDIRECT(BE$1&amp;"!C24")=$A12,BE$2,"")</f>
        <v/>
      </c>
      <c r="BF12" s="17" t="str" cm="1">
        <f t="array" aca="1" ref="BF12" ca="1">IF(INDIRECT(BF$1&amp;"!C24")=$A12,BF$2,"")</f>
        <v/>
      </c>
      <c r="BG12" s="17" t="str" cm="1">
        <f t="array" aca="1" ref="BG12" ca="1">IF(INDIRECT(BG$1&amp;"!C24")=$A12,BG$2,"")</f>
        <v/>
      </c>
      <c r="BH12" s="17" t="str" cm="1">
        <f t="array" aca="1" ref="BH12" ca="1">IF(INDIRECT(BH$1&amp;"!C24")=$A12,BH$2,"")</f>
        <v/>
      </c>
      <c r="BI12" s="17" t="str" cm="1">
        <f t="array" aca="1" ref="BI12" ca="1">IF(INDIRECT(BI$1&amp;"!C24")=$A12,BI$2,"")</f>
        <v/>
      </c>
      <c r="BJ12" s="17" t="str" cm="1">
        <f t="array" aca="1" ref="BJ12" ca="1">IF(INDIRECT(BJ$1&amp;"!C24")=$A12,BJ$2,"")</f>
        <v/>
      </c>
      <c r="BK12" s="17" t="str" cm="1">
        <f t="array" aca="1" ref="BK12" ca="1">IF(INDIRECT(BK$1&amp;"!C24")=$A12,BK$2,"")</f>
        <v/>
      </c>
      <c r="BL12" s="17" t="str" cm="1">
        <f t="array" aca="1" ref="BL12" ca="1">IF(INDIRECT(BL$1&amp;"!C24")=$A12,BL$2,"")</f>
        <v/>
      </c>
      <c r="BM12" s="17" t="str" cm="1">
        <f t="array" aca="1" ref="BM12" ca="1">IF(INDIRECT(BM$1&amp;"!C24")=$A12,BM$2,"")</f>
        <v/>
      </c>
      <c r="BN12" s="17" t="str" cm="1">
        <f t="array" aca="1" ref="BN12" ca="1">IF(INDIRECT(BN$1&amp;"!C24")=$A12,BN$2,"")</f>
        <v/>
      </c>
      <c r="BO12" s="17" t="str" cm="1">
        <f t="array" aca="1" ref="BO12" ca="1">IF(INDIRECT(BO$1&amp;"!C24")=$A12,BO$2,"")</f>
        <v/>
      </c>
      <c r="BP12" s="17" t="str" cm="1">
        <f t="array" aca="1" ref="BP12" ca="1">IF(INDIRECT(BP$1&amp;"!C24")=$A12,BP$2,"")</f>
        <v/>
      </c>
      <c r="BQ12" s="17" t="str" cm="1">
        <f t="array" aca="1" ref="BQ12" ca="1">IF(INDIRECT(BQ$1&amp;"!C24")=$A12,BQ$2,"")</f>
        <v/>
      </c>
      <c r="BR12" s="17" t="str" cm="1">
        <f t="array" aca="1" ref="BR12" ca="1">IF(INDIRECT(BR$1&amp;"!C24")=$A12,BR$2,"")</f>
        <v/>
      </c>
      <c r="BS12" s="17" t="str" cm="1">
        <f t="array" aca="1" ref="BS12" ca="1">IF(INDIRECT(BS$1&amp;"!C24")=$A12,BS$2,"")</f>
        <v/>
      </c>
      <c r="BT12" s="17" t="str" cm="1">
        <f t="array" aca="1" ref="BT12" ca="1">IF(INDIRECT(BT$1&amp;"!C24")=$A12,BT$2,"")</f>
        <v/>
      </c>
      <c r="BU12" s="17" t="str" cm="1">
        <f t="array" aca="1" ref="BU12" ca="1">IF(INDIRECT(BU$1&amp;"!C24")=$A12,BU$2,"")</f>
        <v/>
      </c>
      <c r="BV12" s="17" t="str" cm="1">
        <f t="array" aca="1" ref="BV12" ca="1">IF(INDIRECT(BV$1&amp;"!C24")=$A12,BV$2,"")</f>
        <v/>
      </c>
      <c r="BW12" s="17" t="str" cm="1">
        <f t="array" aca="1" ref="BW12" ca="1">IF(INDIRECT(BW$1&amp;"!C24")=$A12,BW$2,"")</f>
        <v/>
      </c>
      <c r="BX12" s="17" t="str" cm="1">
        <f t="array" aca="1" ref="BX12" ca="1">IF(INDIRECT(BX$1&amp;"!C24")=$A12,BX$2,"")</f>
        <v/>
      </c>
      <c r="BY12" s="17" t="str" cm="1">
        <f t="array" aca="1" ref="BY12" ca="1">IF(INDIRECT(BY$1&amp;"!C24")=$A12,BY$2,"")</f>
        <v/>
      </c>
      <c r="BZ12" s="17" t="str" cm="1">
        <f t="array" aca="1" ref="BZ12" ca="1">IF(INDIRECT(BZ$1&amp;"!C24")=$A12,BZ$2,"")</f>
        <v/>
      </c>
      <c r="CA12" s="17" t="str" cm="1">
        <f t="array" aca="1" ref="CA12" ca="1">IF(INDIRECT(CA$1&amp;"!C24")=$A12,CA$2,"")</f>
        <v/>
      </c>
      <c r="CB12" s="17" t="str" cm="1">
        <f t="array" aca="1" ref="CB12" ca="1">IF(INDIRECT(CB$1&amp;"!C24")=$A12,CB$2,"")</f>
        <v/>
      </c>
    </row>
    <row r="13" spans="1:80">
      <c r="A13" s="163">
        <v>11</v>
      </c>
      <c r="B13" s="163" t="str">
        <v>簡君諺</v>
      </c>
      <c r="C13" s="163" cm="1">
        <f t="array" aca="1" ref="C13" ca="1">IF(SUMPRODUCT(COUNTIF(INDIRECT(工作表[工作表]&amp;"!C10"),$A13))=0,"",SUMPRODUCT(COUNTIF(INDIRECT(工作表[工作表]&amp;"!C10"),$A13)))</f>
        <v>1</v>
      </c>
      <c r="D13" s="163" cm="1">
        <f t="array" aca="1" ref="D13" ca="1">IF(SUMPRODUCT(COUNTIF(INDIRECT(工作表[工作表]&amp;"!C12"),$A13))=0,"",SUMPRODUCT(COUNTIF(INDIRECT(工作表[工作表]&amp;"!C12"),$A13)))</f>
        <v>1</v>
      </c>
      <c r="E13" s="163" cm="1">
        <f t="array" aca="1" ref="E13" ca="1">IF(SUMPRODUCT(COUNTIF(INDIRECT(工作表[工作表]&amp;"!C14"),$A13))=0,"",SUMPRODUCT(COUNTIF(INDIRECT(工作表[工作表]&amp;"!C14"),$A13)))</f>
        <v>1</v>
      </c>
      <c r="F13" s="163" t="str" cm="1">
        <f t="array" aca="1" ref="F13" ca="1">IF(SUMPRODUCT(COUNTIF(INDIRECT(工作表[工作表]&amp;"!C16"),$A13))=0,"",SUMPRODUCT(COUNTIF(INDIRECT(工作表[工作表]&amp;"!C16"),$A13)))</f>
        <v/>
      </c>
      <c r="G13" s="163" cm="1">
        <f t="array" aca="1" ref="G13" ca="1">IF(SUMPRODUCT(COUNTIF(INDIRECT(工作表[工作表]&amp;"!C18"),$A13))=0,"",SUMPRODUCT(COUNTIF(INDIRECT(工作表[工作表]&amp;"!C18"),$A13)))</f>
        <v>1</v>
      </c>
      <c r="H13" s="163" t="str" cm="1">
        <f t="array" aca="1" ref="H13" ca="1">IF(SUMPRODUCT(COUNTIF(INDIRECT(工作表[工作表]&amp;"!C20"),$A13))=0,"",SUMPRODUCT(COUNTIF(INDIRECT(工作表[工作表]&amp;"!C20"),$A13)))</f>
        <v/>
      </c>
      <c r="I13" s="163" cm="1">
        <f t="array" aca="1" ref="I13" ca="1">IF(SUMPRODUCT(COUNTIF(INDIRECT(工作表[工作表]&amp;"!C22"),$A13))=0,"",SUMPRODUCT(COUNTIF(INDIRECT(工作表[工作表]&amp;"!C22"),$A13)))</f>
        <v>1</v>
      </c>
      <c r="J13" s="163" cm="1">
        <f t="array" aca="1" ref="J13" ca="1">IF(SUMPRODUCT(COUNTIF(INDIRECT(工作表[工作表]&amp;"!C24"),$A13))=0,"",SUMPRODUCT(COUNTIF(INDIRECT(工作表[工作表]&amp;"!C24"),$A13)))</f>
        <v>1</v>
      </c>
      <c r="K13" s="163" t="str" cm="1">
        <f t="array" aca="1" ref="K13" ca="1">IF(MAX(IF($AX13:$CB13&lt;$K$1,$AX13:$CB13,"0"))=0,"",$K$1-MAX(IF($AX13:$CB13&lt;$K$1,$AX13:$CB13,"0"))&amp;"天")</f>
        <v>13天</v>
      </c>
      <c r="M13" s="163">
        <f t="shared" ca="1" si="1"/>
        <v>40</v>
      </c>
      <c r="N13" s="163">
        <f>COUNTIF(_xlfn.XLOOKUP(B13,輪休基準表!$E$5:$AF$5,輪休基準表!$E$6:$AF$36,""),"")</f>
        <v>12</v>
      </c>
      <c r="O13" s="167">
        <f t="shared" ca="1" si="2"/>
        <v>3.3333333333333335</v>
      </c>
      <c r="Q13" s="17" t="s">
        <v>258</v>
      </c>
      <c r="R13" s="17">
        <f t="shared" ca="1" si="3"/>
        <v>0</v>
      </c>
      <c r="S13" s="17">
        <f t="shared" ca="1" si="3"/>
        <v>0</v>
      </c>
      <c r="T13" s="17">
        <f t="shared" ca="1" si="3"/>
        <v>6</v>
      </c>
      <c r="U13" s="17">
        <f t="shared" ca="1" si="3"/>
        <v>0</v>
      </c>
      <c r="V13" s="17">
        <f t="shared" ca="1" si="3"/>
        <v>0</v>
      </c>
      <c r="W13" s="17">
        <f t="shared" ca="1" si="3"/>
        <v>0</v>
      </c>
      <c r="X13" s="17">
        <f t="shared" ca="1" si="3"/>
        <v>6</v>
      </c>
      <c r="Y13" s="17">
        <f t="shared" ca="1" si="3"/>
        <v>0</v>
      </c>
      <c r="Z13" s="17">
        <f t="shared" ca="1" si="3"/>
        <v>0</v>
      </c>
      <c r="AA13" s="17">
        <f t="shared" ca="1" si="3"/>
        <v>0</v>
      </c>
      <c r="AB13" s="17">
        <f t="shared" ca="1" si="3"/>
        <v>6</v>
      </c>
      <c r="AC13" s="17">
        <f t="shared" ca="1" si="3"/>
        <v>0</v>
      </c>
      <c r="AD13" s="17">
        <f t="shared" ca="1" si="3"/>
        <v>8</v>
      </c>
      <c r="AE13" s="17">
        <f t="shared" ca="1" si="3"/>
        <v>0</v>
      </c>
      <c r="AF13" s="17">
        <f t="shared" ca="1" si="3"/>
        <v>8</v>
      </c>
      <c r="AG13" s="17">
        <f t="shared" ca="1" si="3"/>
        <v>6</v>
      </c>
      <c r="AH13" s="17">
        <f t="shared" ca="1" si="4"/>
        <v>0</v>
      </c>
      <c r="AI13" s="17">
        <f t="shared" ca="1" si="4"/>
        <v>0</v>
      </c>
      <c r="AJ13" s="17">
        <f t="shared" ca="1" si="4"/>
        <v>0</v>
      </c>
      <c r="AK13" s="17">
        <f t="shared" ca="1" si="4"/>
        <v>0</v>
      </c>
      <c r="AL13" s="17">
        <f t="shared" ca="1" si="4"/>
        <v>0</v>
      </c>
      <c r="AM13" s="17">
        <f t="shared" ca="1" si="4"/>
        <v>0</v>
      </c>
      <c r="AN13" s="17">
        <f t="shared" ca="1" si="4"/>
        <v>0</v>
      </c>
      <c r="AO13" s="17">
        <f t="shared" ca="1" si="4"/>
        <v>0</v>
      </c>
      <c r="AP13" s="17">
        <f t="shared" ca="1" si="4"/>
        <v>0</v>
      </c>
      <c r="AQ13" s="17">
        <f t="shared" ca="1" si="4"/>
        <v>0</v>
      </c>
      <c r="AR13" s="17">
        <f t="shared" ca="1" si="4"/>
        <v>0</v>
      </c>
      <c r="AS13" s="17">
        <f t="shared" ca="1" si="4"/>
        <v>0</v>
      </c>
      <c r="AT13" s="17">
        <f t="shared" ca="1" si="4"/>
        <v>0</v>
      </c>
      <c r="AU13" s="17">
        <f t="shared" ca="1" si="4"/>
        <v>0</v>
      </c>
      <c r="AV13" s="17">
        <f t="shared" ca="1" si="4"/>
        <v>0</v>
      </c>
      <c r="AX13" s="17" t="str" cm="1">
        <f t="array" aca="1" ref="AX13" ca="1">IF(INDIRECT(AX$1&amp;"!C24")=$A13,AX$2,"")</f>
        <v/>
      </c>
      <c r="AY13" s="17" t="str" cm="1">
        <f t="array" aca="1" ref="AY13" ca="1">IF(INDIRECT(AY$1&amp;"!C24")=$A13,AY$2,"")</f>
        <v/>
      </c>
      <c r="AZ13" s="17" cm="1">
        <f t="array" aca="1" ref="AZ13" ca="1">IF(INDIRECT(AZ$1&amp;"!C24")=$A13,AZ$2,"")</f>
        <v>46145</v>
      </c>
      <c r="BA13" s="17" t="str" cm="1">
        <f t="array" aca="1" ref="BA13" ca="1">IF(INDIRECT(BA$1&amp;"!C24")=$A13,BA$2,"")</f>
        <v/>
      </c>
      <c r="BB13" s="17" t="str" cm="1">
        <f t="array" aca="1" ref="BB13" ca="1">IF(INDIRECT(BB$1&amp;"!C24")=$A13,BB$2,"")</f>
        <v/>
      </c>
      <c r="BC13" s="17" t="str" cm="1">
        <f t="array" aca="1" ref="BC13" ca="1">IF(INDIRECT(BC$1&amp;"!C24")=$A13,BC$2,"")</f>
        <v/>
      </c>
      <c r="BD13" s="17" t="str" cm="1">
        <f t="array" aca="1" ref="BD13" ca="1">IF(INDIRECT(BD$1&amp;"!C24")=$A13,BD$2,"")</f>
        <v/>
      </c>
      <c r="BE13" s="17" t="str" cm="1">
        <f t="array" aca="1" ref="BE13" ca="1">IF(INDIRECT(BE$1&amp;"!C24")=$A13,BE$2,"")</f>
        <v/>
      </c>
      <c r="BF13" s="17" t="str" cm="1">
        <f t="array" aca="1" ref="BF13" ca="1">IF(INDIRECT(BF$1&amp;"!C24")=$A13,BF$2,"")</f>
        <v/>
      </c>
      <c r="BG13" s="17" t="str" cm="1">
        <f t="array" aca="1" ref="BG13" ca="1">IF(INDIRECT(BG$1&amp;"!C24")=$A13,BG$2,"")</f>
        <v/>
      </c>
      <c r="BH13" s="17" t="str" cm="1">
        <f t="array" aca="1" ref="BH13" ca="1">IF(INDIRECT(BH$1&amp;"!C24")=$A13,BH$2,"")</f>
        <v/>
      </c>
      <c r="BI13" s="17" t="str" cm="1">
        <f t="array" aca="1" ref="BI13" ca="1">IF(INDIRECT(BI$1&amp;"!C24")=$A13,BI$2,"")</f>
        <v/>
      </c>
      <c r="BJ13" s="17" t="str" cm="1">
        <f t="array" aca="1" ref="BJ13" ca="1">IF(INDIRECT(BJ$1&amp;"!C24")=$A13,BJ$2,"")</f>
        <v/>
      </c>
      <c r="BK13" s="17" t="str" cm="1">
        <f t="array" aca="1" ref="BK13" ca="1">IF(INDIRECT(BK$1&amp;"!C24")=$A13,BK$2,"")</f>
        <v/>
      </c>
      <c r="BL13" s="17" t="str" cm="1">
        <f t="array" aca="1" ref="BL13" ca="1">IF(INDIRECT(BL$1&amp;"!C24")=$A13,BL$2,"")</f>
        <v/>
      </c>
      <c r="BM13" s="17" t="str" cm="1">
        <f t="array" aca="1" ref="BM13" ca="1">IF(INDIRECT(BM$1&amp;"!C24")=$A13,BM$2,"")</f>
        <v/>
      </c>
      <c r="BN13" s="17" t="str" cm="1">
        <f t="array" aca="1" ref="BN13" ca="1">IF(INDIRECT(BN$1&amp;"!C24")=$A13,BN$2,"")</f>
        <v/>
      </c>
      <c r="BO13" s="17" t="str" cm="1">
        <f t="array" aca="1" ref="BO13" ca="1">IF(INDIRECT(BO$1&amp;"!C24")=$A13,BO$2,"")</f>
        <v/>
      </c>
      <c r="BP13" s="17" t="str" cm="1">
        <f t="array" aca="1" ref="BP13" ca="1">IF(INDIRECT(BP$1&amp;"!C24")=$A13,BP$2,"")</f>
        <v/>
      </c>
      <c r="BQ13" s="17" t="str" cm="1">
        <f t="array" aca="1" ref="BQ13" ca="1">IF(INDIRECT(BQ$1&amp;"!C24")=$A13,BQ$2,"")</f>
        <v/>
      </c>
      <c r="BR13" s="17" t="str" cm="1">
        <f t="array" aca="1" ref="BR13" ca="1">IF(INDIRECT(BR$1&amp;"!C24")=$A13,BR$2,"")</f>
        <v/>
      </c>
      <c r="BS13" s="17" t="str" cm="1">
        <f t="array" aca="1" ref="BS13" ca="1">IF(INDIRECT(BS$1&amp;"!C24")=$A13,BS$2,"")</f>
        <v/>
      </c>
      <c r="BT13" s="17" t="str" cm="1">
        <f t="array" aca="1" ref="BT13" ca="1">IF(INDIRECT(BT$1&amp;"!C24")=$A13,BT$2,"")</f>
        <v/>
      </c>
      <c r="BU13" s="17" t="str" cm="1">
        <f t="array" aca="1" ref="BU13" ca="1">IF(INDIRECT(BU$1&amp;"!C24")=$A13,BU$2,"")</f>
        <v/>
      </c>
      <c r="BV13" s="17" t="str" cm="1">
        <f t="array" aca="1" ref="BV13" ca="1">IF(INDIRECT(BV$1&amp;"!C24")=$A13,BV$2,"")</f>
        <v/>
      </c>
      <c r="BW13" s="17" t="str" cm="1">
        <f t="array" aca="1" ref="BW13" ca="1">IF(INDIRECT(BW$1&amp;"!C24")=$A13,BW$2,"")</f>
        <v/>
      </c>
      <c r="BX13" s="17" t="str" cm="1">
        <f t="array" aca="1" ref="BX13" ca="1">IF(INDIRECT(BX$1&amp;"!C24")=$A13,BX$2,"")</f>
        <v/>
      </c>
      <c r="BY13" s="17" t="str" cm="1">
        <f t="array" aca="1" ref="BY13" ca="1">IF(INDIRECT(BY$1&amp;"!C24")=$A13,BY$2,"")</f>
        <v/>
      </c>
      <c r="BZ13" s="17" t="str" cm="1">
        <f t="array" aca="1" ref="BZ13" ca="1">IF(INDIRECT(BZ$1&amp;"!C24")=$A13,BZ$2,"")</f>
        <v/>
      </c>
      <c r="CA13" s="17" t="str" cm="1">
        <f t="array" aca="1" ref="CA13" ca="1">IF(INDIRECT(CA$1&amp;"!C24")=$A13,CA$2,"")</f>
        <v/>
      </c>
      <c r="CB13" s="17" t="str" cm="1">
        <f t="array" aca="1" ref="CB13" ca="1">IF(INDIRECT(CB$1&amp;"!C24")=$A13,CB$2,"")</f>
        <v/>
      </c>
    </row>
    <row r="14" spans="1:80">
      <c r="A14" s="163">
        <v>12</v>
      </c>
      <c r="B14" s="163" t="str">
        <v>王昱勛</v>
      </c>
      <c r="C14" s="163" cm="1">
        <f t="array" aca="1" ref="C14" ca="1">IF(SUMPRODUCT(COUNTIF(INDIRECT(工作表[工作表]&amp;"!C10"),$A14))=0,"",SUMPRODUCT(COUNTIF(INDIRECT(工作表[工作表]&amp;"!C10"),$A14)))</f>
        <v>1</v>
      </c>
      <c r="D14" s="163" cm="1">
        <f t="array" aca="1" ref="D14" ca="1">IF(SUMPRODUCT(COUNTIF(INDIRECT(工作表[工作表]&amp;"!C12"),$A14))=0,"",SUMPRODUCT(COUNTIF(INDIRECT(工作表[工作表]&amp;"!C12"),$A14)))</f>
        <v>2</v>
      </c>
      <c r="E14" s="163" t="str" cm="1">
        <f t="array" aca="1" ref="E14" ca="1">IF(SUMPRODUCT(COUNTIF(INDIRECT(工作表[工作表]&amp;"!C14"),$A14))=0,"",SUMPRODUCT(COUNTIF(INDIRECT(工作表[工作表]&amp;"!C14"),$A14)))</f>
        <v/>
      </c>
      <c r="F14" s="163" cm="1">
        <f t="array" aca="1" ref="F14" ca="1">IF(SUMPRODUCT(COUNTIF(INDIRECT(工作表[工作表]&amp;"!C16"),$A14))=0,"",SUMPRODUCT(COUNTIF(INDIRECT(工作表[工作表]&amp;"!C16"),$A14)))</f>
        <v>1</v>
      </c>
      <c r="G14" s="163" t="str" cm="1">
        <f t="array" aca="1" ref="G14" ca="1">IF(SUMPRODUCT(COUNTIF(INDIRECT(工作表[工作表]&amp;"!C18"),$A14))=0,"",SUMPRODUCT(COUNTIF(INDIRECT(工作表[工作表]&amp;"!C18"),$A14)))</f>
        <v/>
      </c>
      <c r="H14" s="163" t="str" cm="1">
        <f t="array" aca="1" ref="H14" ca="1">IF(SUMPRODUCT(COUNTIF(INDIRECT(工作表[工作表]&amp;"!C20"),$A14))=0,"",SUMPRODUCT(COUNTIF(INDIRECT(工作表[工作表]&amp;"!C20"),$A14)))</f>
        <v/>
      </c>
      <c r="I14" s="163" cm="1">
        <f t="array" aca="1" ref="I14" ca="1">IF(SUMPRODUCT(COUNTIF(INDIRECT(工作表[工作表]&amp;"!C22"),$A14))=0,"",SUMPRODUCT(COUNTIF(INDIRECT(工作表[工作表]&amp;"!C22"),$A14)))</f>
        <v>1</v>
      </c>
      <c r="J14" s="163" cm="1">
        <f t="array" aca="1" ref="J14" ca="1">IF(SUMPRODUCT(COUNTIF(INDIRECT(工作表[工作表]&amp;"!C24"),$A14))=0,"",SUMPRODUCT(COUNTIF(INDIRECT(工作表[工作表]&amp;"!C24"),$A14)))</f>
        <v>1</v>
      </c>
      <c r="K14" s="163" t="str" cm="1">
        <f t="array" aca="1" ref="K14" ca="1">IF(MAX(IF($AX14:$CB14&lt;$K$1,$AX14:$CB14,"0"))=0,"",$K$1-MAX(IF($AX14:$CB14&lt;$K$1,$AX14:$CB14,"0"))&amp;"天")</f>
        <v>4天</v>
      </c>
      <c r="M14" s="163">
        <f t="shared" ca="1" si="1"/>
        <v>44</v>
      </c>
      <c r="N14" s="163">
        <f>COUNTIF(_xlfn.XLOOKUP(B14,輪休基準表!$E$5:$AF$5,輪休基準表!$E$6:$AF$36,""),"")</f>
        <v>11</v>
      </c>
      <c r="O14" s="167">
        <f t="shared" ca="1" si="2"/>
        <v>4</v>
      </c>
      <c r="Q14" s="17" t="s">
        <v>259</v>
      </c>
      <c r="R14" s="17">
        <f t="shared" ca="1" si="3"/>
        <v>6</v>
      </c>
      <c r="S14" s="17">
        <f t="shared" ca="1" si="3"/>
        <v>0</v>
      </c>
      <c r="T14" s="17">
        <f t="shared" ca="1" si="3"/>
        <v>0</v>
      </c>
      <c r="U14" s="17">
        <f t="shared" ca="1" si="3"/>
        <v>0</v>
      </c>
      <c r="V14" s="17">
        <f t="shared" ca="1" si="3"/>
        <v>8</v>
      </c>
      <c r="W14" s="17">
        <f t="shared" ca="1" si="3"/>
        <v>0</v>
      </c>
      <c r="X14" s="17">
        <f t="shared" ca="1" si="3"/>
        <v>8</v>
      </c>
      <c r="Y14" s="17">
        <f t="shared" ca="1" si="3"/>
        <v>8</v>
      </c>
      <c r="Z14" s="17">
        <f t="shared" ca="1" si="3"/>
        <v>0</v>
      </c>
      <c r="AA14" s="17">
        <f t="shared" ca="1" si="3"/>
        <v>0</v>
      </c>
      <c r="AB14" s="17">
        <f t="shared" ca="1" si="3"/>
        <v>0</v>
      </c>
      <c r="AC14" s="17">
        <f t="shared" ca="1" si="3"/>
        <v>6</v>
      </c>
      <c r="AD14" s="17">
        <f t="shared" ca="1" si="3"/>
        <v>0</v>
      </c>
      <c r="AE14" s="17">
        <f t="shared" ca="1" si="3"/>
        <v>0</v>
      </c>
      <c r="AF14" s="17">
        <f t="shared" ca="1" si="3"/>
        <v>8</v>
      </c>
      <c r="AG14" s="17">
        <f t="shared" ca="1" si="3"/>
        <v>0</v>
      </c>
      <c r="AH14" s="17">
        <f t="shared" ca="1" si="4"/>
        <v>0</v>
      </c>
      <c r="AI14" s="17">
        <f t="shared" ca="1" si="4"/>
        <v>0</v>
      </c>
      <c r="AJ14" s="17">
        <f t="shared" ca="1" si="4"/>
        <v>0</v>
      </c>
      <c r="AK14" s="17">
        <f t="shared" ca="1" si="4"/>
        <v>0</v>
      </c>
      <c r="AL14" s="17">
        <f t="shared" ca="1" si="4"/>
        <v>0</v>
      </c>
      <c r="AM14" s="17">
        <f t="shared" ca="1" si="4"/>
        <v>0</v>
      </c>
      <c r="AN14" s="17">
        <f t="shared" ca="1" si="4"/>
        <v>0</v>
      </c>
      <c r="AO14" s="17">
        <f t="shared" ca="1" si="4"/>
        <v>0</v>
      </c>
      <c r="AP14" s="17">
        <f t="shared" ca="1" si="4"/>
        <v>0</v>
      </c>
      <c r="AQ14" s="17">
        <f t="shared" ca="1" si="4"/>
        <v>0</v>
      </c>
      <c r="AR14" s="17">
        <f t="shared" ca="1" si="4"/>
        <v>0</v>
      </c>
      <c r="AS14" s="17">
        <f t="shared" ca="1" si="4"/>
        <v>0</v>
      </c>
      <c r="AT14" s="17">
        <f t="shared" ca="1" si="4"/>
        <v>0</v>
      </c>
      <c r="AU14" s="17">
        <f t="shared" ca="1" si="4"/>
        <v>0</v>
      </c>
      <c r="AV14" s="17">
        <f t="shared" ca="1" si="4"/>
        <v>0</v>
      </c>
      <c r="AX14" s="17" t="str" cm="1">
        <f t="array" aca="1" ref="AX14" ca="1">IF(INDIRECT(AX$1&amp;"!C24")=$A14,AX$2,"")</f>
        <v/>
      </c>
      <c r="AY14" s="17" t="str" cm="1">
        <f t="array" aca="1" ref="AY14" ca="1">IF(INDIRECT(AY$1&amp;"!C24")=$A14,AY$2,"")</f>
        <v/>
      </c>
      <c r="AZ14" s="17" t="str" cm="1">
        <f t="array" aca="1" ref="AZ14" ca="1">IF(INDIRECT(AZ$1&amp;"!C24")=$A14,AZ$2,"")</f>
        <v/>
      </c>
      <c r="BA14" s="17" t="str" cm="1">
        <f t="array" aca="1" ref="BA14" ca="1">IF(INDIRECT(BA$1&amp;"!C24")=$A14,BA$2,"")</f>
        <v/>
      </c>
      <c r="BB14" s="17" t="str" cm="1">
        <f t="array" aca="1" ref="BB14" ca="1">IF(INDIRECT(BB$1&amp;"!C24")=$A14,BB$2,"")</f>
        <v/>
      </c>
      <c r="BC14" s="17" t="str" cm="1">
        <f t="array" aca="1" ref="BC14" ca="1">IF(INDIRECT(BC$1&amp;"!C24")=$A14,BC$2,"")</f>
        <v/>
      </c>
      <c r="BD14" s="17" t="str" cm="1">
        <f t="array" aca="1" ref="BD14" ca="1">IF(INDIRECT(BD$1&amp;"!C24")=$A14,BD$2,"")</f>
        <v/>
      </c>
      <c r="BE14" s="17" t="str" cm="1">
        <f t="array" aca="1" ref="BE14" ca="1">IF(INDIRECT(BE$1&amp;"!C24")=$A14,BE$2,"")</f>
        <v/>
      </c>
      <c r="BF14" s="17" t="str" cm="1">
        <f t="array" aca="1" ref="BF14" ca="1">IF(INDIRECT(BF$1&amp;"!C24")=$A14,BF$2,"")</f>
        <v/>
      </c>
      <c r="BG14" s="17" t="str" cm="1">
        <f t="array" aca="1" ref="BG14" ca="1">IF(INDIRECT(BG$1&amp;"!C24")=$A14,BG$2,"")</f>
        <v/>
      </c>
      <c r="BH14" s="17" t="str" cm="1">
        <f t="array" aca="1" ref="BH14" ca="1">IF(INDIRECT(BH$1&amp;"!C24")=$A14,BH$2,"")</f>
        <v/>
      </c>
      <c r="BI14" s="17" cm="1">
        <f t="array" aca="1" ref="BI14" ca="1">IF(INDIRECT(BI$1&amp;"!C24")=$A14,BI$2,"")</f>
        <v>46154</v>
      </c>
      <c r="BJ14" s="17" t="str" cm="1">
        <f t="array" aca="1" ref="BJ14" ca="1">IF(INDIRECT(BJ$1&amp;"!C24")=$A14,BJ$2,"")</f>
        <v/>
      </c>
      <c r="BK14" s="17" t="str" cm="1">
        <f t="array" aca="1" ref="BK14" ca="1">IF(INDIRECT(BK$1&amp;"!C24")=$A14,BK$2,"")</f>
        <v/>
      </c>
      <c r="BL14" s="17" t="str" cm="1">
        <f t="array" aca="1" ref="BL14" ca="1">IF(INDIRECT(BL$1&amp;"!C24")=$A14,BL$2,"")</f>
        <v/>
      </c>
      <c r="BM14" s="17" t="str" cm="1">
        <f t="array" aca="1" ref="BM14" ca="1">IF(INDIRECT(BM$1&amp;"!C24")=$A14,BM$2,"")</f>
        <v/>
      </c>
      <c r="BN14" s="17" t="str" cm="1">
        <f t="array" aca="1" ref="BN14" ca="1">IF(INDIRECT(BN$1&amp;"!C24")=$A14,BN$2,"")</f>
        <v/>
      </c>
      <c r="BO14" s="17" t="str" cm="1">
        <f t="array" aca="1" ref="BO14" ca="1">IF(INDIRECT(BO$1&amp;"!C24")=$A14,BO$2,"")</f>
        <v/>
      </c>
      <c r="BP14" s="17" t="str" cm="1">
        <f t="array" aca="1" ref="BP14" ca="1">IF(INDIRECT(BP$1&amp;"!C24")=$A14,BP$2,"")</f>
        <v/>
      </c>
      <c r="BQ14" s="17" t="str" cm="1">
        <f t="array" aca="1" ref="BQ14" ca="1">IF(INDIRECT(BQ$1&amp;"!C24")=$A14,BQ$2,"")</f>
        <v/>
      </c>
      <c r="BR14" s="17" t="str" cm="1">
        <f t="array" aca="1" ref="BR14" ca="1">IF(INDIRECT(BR$1&amp;"!C24")=$A14,BR$2,"")</f>
        <v/>
      </c>
      <c r="BS14" s="17" t="str" cm="1">
        <f t="array" aca="1" ref="BS14" ca="1">IF(INDIRECT(BS$1&amp;"!C24")=$A14,BS$2,"")</f>
        <v/>
      </c>
      <c r="BT14" s="17" t="str" cm="1">
        <f t="array" aca="1" ref="BT14" ca="1">IF(INDIRECT(BT$1&amp;"!C24")=$A14,BT$2,"")</f>
        <v/>
      </c>
      <c r="BU14" s="17" t="str" cm="1">
        <f t="array" aca="1" ref="BU14" ca="1">IF(INDIRECT(BU$1&amp;"!C24")=$A14,BU$2,"")</f>
        <v/>
      </c>
      <c r="BV14" s="17" t="str" cm="1">
        <f t="array" aca="1" ref="BV14" ca="1">IF(INDIRECT(BV$1&amp;"!C24")=$A14,BV$2,"")</f>
        <v/>
      </c>
      <c r="BW14" s="17" t="str" cm="1">
        <f t="array" aca="1" ref="BW14" ca="1">IF(INDIRECT(BW$1&amp;"!C24")=$A14,BW$2,"")</f>
        <v/>
      </c>
      <c r="BX14" s="17" t="str" cm="1">
        <f t="array" aca="1" ref="BX14" ca="1">IF(INDIRECT(BX$1&amp;"!C24")=$A14,BX$2,"")</f>
        <v/>
      </c>
      <c r="BY14" s="17" t="str" cm="1">
        <f t="array" aca="1" ref="BY14" ca="1">IF(INDIRECT(BY$1&amp;"!C24")=$A14,BY$2,"")</f>
        <v/>
      </c>
      <c r="BZ14" s="17" t="str" cm="1">
        <f t="array" aca="1" ref="BZ14" ca="1">IF(INDIRECT(BZ$1&amp;"!C24")=$A14,BZ$2,"")</f>
        <v/>
      </c>
      <c r="CA14" s="17" t="str" cm="1">
        <f t="array" aca="1" ref="CA14" ca="1">IF(INDIRECT(CA$1&amp;"!C24")=$A14,CA$2,"")</f>
        <v/>
      </c>
      <c r="CB14" s="17" t="str" cm="1">
        <f t="array" aca="1" ref="CB14" ca="1">IF(INDIRECT(CB$1&amp;"!C24")=$A14,CB$2,"")</f>
        <v/>
      </c>
    </row>
    <row r="15" spans="1:80">
      <c r="A15" s="163">
        <v>13</v>
      </c>
      <c r="B15" s="163" t="str">
        <v>葉宗哲</v>
      </c>
      <c r="C15" s="163" t="str" cm="1">
        <f t="array" aca="1" ref="C15" ca="1">IF(SUMPRODUCT(COUNTIF(INDIRECT(工作表[工作表]&amp;"!C10"),$A15))=0,"",SUMPRODUCT(COUNTIF(INDIRECT(工作表[工作表]&amp;"!C10"),$A15)))</f>
        <v/>
      </c>
      <c r="D15" s="163" cm="1">
        <f t="array" aca="1" ref="D15" ca="1">IF(SUMPRODUCT(COUNTIF(INDIRECT(工作表[工作表]&amp;"!C12"),$A15))=0,"",SUMPRODUCT(COUNTIF(INDIRECT(工作表[工作表]&amp;"!C12"),$A15)))</f>
        <v>1</v>
      </c>
      <c r="E15" s="163" cm="1">
        <f t="array" aca="1" ref="E15" ca="1">IF(SUMPRODUCT(COUNTIF(INDIRECT(工作表[工作表]&amp;"!C14"),$A15))=0,"",SUMPRODUCT(COUNTIF(INDIRECT(工作表[工作表]&amp;"!C14"),$A15)))</f>
        <v>1</v>
      </c>
      <c r="F15" s="163" t="str" cm="1">
        <f t="array" aca="1" ref="F15" ca="1">IF(SUMPRODUCT(COUNTIF(INDIRECT(工作表[工作表]&amp;"!C16"),$A15))=0,"",SUMPRODUCT(COUNTIF(INDIRECT(工作表[工作表]&amp;"!C16"),$A15)))</f>
        <v/>
      </c>
      <c r="G15" s="163" cm="1">
        <f t="array" aca="1" ref="G15" ca="1">IF(SUMPRODUCT(COUNTIF(INDIRECT(工作表[工作表]&amp;"!C18"),$A15))=0,"",SUMPRODUCT(COUNTIF(INDIRECT(工作表[工作表]&amp;"!C18"),$A15)))</f>
        <v>1</v>
      </c>
      <c r="H15" s="163" t="str" cm="1">
        <f t="array" aca="1" ref="H15" ca="1">IF(SUMPRODUCT(COUNTIF(INDIRECT(工作表[工作表]&amp;"!C20"),$A15))=0,"",SUMPRODUCT(COUNTIF(INDIRECT(工作表[工作表]&amp;"!C20"),$A15)))</f>
        <v/>
      </c>
      <c r="I15" s="163" t="str" cm="1">
        <f t="array" aca="1" ref="I15" ca="1">IF(SUMPRODUCT(COUNTIF(INDIRECT(工作表[工作表]&amp;"!C22"),$A15))=0,"",SUMPRODUCT(COUNTIF(INDIRECT(工作表[工作表]&amp;"!C22"),$A15)))</f>
        <v/>
      </c>
      <c r="J15" s="163" cm="1">
        <f t="array" aca="1" ref="J15" ca="1">IF(SUMPRODUCT(COUNTIF(INDIRECT(工作表[工作表]&amp;"!C24"),$A15))=0,"",SUMPRODUCT(COUNTIF(INDIRECT(工作表[工作表]&amp;"!C24"),$A15)))</f>
        <v>1</v>
      </c>
      <c r="K15" s="163" t="str" cm="1">
        <f t="array" aca="1" ref="K15" ca="1">IF(MAX(IF($AX15:$CB15&lt;$K$1,$AX15:$CB15,"0"))=0,"",$K$1-MAX(IF($AX15:$CB15&lt;$K$1,$AX15:$CB15,"0"))&amp;"天")</f>
        <v>9天</v>
      </c>
      <c r="M15" s="163">
        <f t="shared" ca="1" si="1"/>
        <v>26</v>
      </c>
      <c r="N15" s="163">
        <f>COUNTIF(_xlfn.XLOOKUP(B15,輪休基準表!$E$5:$AF$5,輪休基準表!$E$6:$AF$36,""),"")</f>
        <v>4</v>
      </c>
      <c r="O15" s="167">
        <f t="shared" ca="1" si="2"/>
        <v>6.5</v>
      </c>
      <c r="Q15" s="17" t="s">
        <v>260</v>
      </c>
      <c r="R15" s="17">
        <f t="shared" ca="1" si="3"/>
        <v>0</v>
      </c>
      <c r="S15" s="17">
        <f t="shared" ca="1" si="3"/>
        <v>6</v>
      </c>
      <c r="T15" s="17">
        <f t="shared" ca="1" si="3"/>
        <v>6</v>
      </c>
      <c r="U15" s="17">
        <f t="shared" ca="1" si="3"/>
        <v>0</v>
      </c>
      <c r="V15" s="17">
        <f t="shared" ca="1" si="3"/>
        <v>0</v>
      </c>
      <c r="W15" s="17">
        <f t="shared" ca="1" si="3"/>
        <v>0</v>
      </c>
      <c r="X15" s="17">
        <f t="shared" ca="1" si="3"/>
        <v>6</v>
      </c>
      <c r="Y15" s="17">
        <f t="shared" ca="1" si="3"/>
        <v>0</v>
      </c>
      <c r="Z15" s="17">
        <f t="shared" ca="1" si="3"/>
        <v>0</v>
      </c>
      <c r="AA15" s="17">
        <f t="shared" ca="1" si="3"/>
        <v>8</v>
      </c>
      <c r="AB15" s="17">
        <f t="shared" ca="1" si="3"/>
        <v>0</v>
      </c>
      <c r="AC15" s="17">
        <f t="shared" ca="1" si="3"/>
        <v>0</v>
      </c>
      <c r="AD15" s="17">
        <f t="shared" ca="1" si="3"/>
        <v>0</v>
      </c>
      <c r="AE15" s="17">
        <f t="shared" ca="1" si="3"/>
        <v>0</v>
      </c>
      <c r="AF15" s="17">
        <f t="shared" ca="1" si="3"/>
        <v>0</v>
      </c>
      <c r="AG15" s="17">
        <f t="shared" ca="1" si="3"/>
        <v>0</v>
      </c>
      <c r="AH15" s="17">
        <f t="shared" ca="1" si="4"/>
        <v>0</v>
      </c>
      <c r="AI15" s="17">
        <f t="shared" ca="1" si="4"/>
        <v>0</v>
      </c>
      <c r="AJ15" s="17">
        <f t="shared" ca="1" si="4"/>
        <v>0</v>
      </c>
      <c r="AK15" s="17">
        <f t="shared" ca="1" si="4"/>
        <v>0</v>
      </c>
      <c r="AL15" s="17">
        <f t="shared" ca="1" si="4"/>
        <v>0</v>
      </c>
      <c r="AM15" s="17">
        <f t="shared" ca="1" si="4"/>
        <v>0</v>
      </c>
      <c r="AN15" s="17">
        <f t="shared" ca="1" si="4"/>
        <v>0</v>
      </c>
      <c r="AO15" s="17">
        <f t="shared" ca="1" si="4"/>
        <v>0</v>
      </c>
      <c r="AP15" s="17">
        <f t="shared" ca="1" si="4"/>
        <v>0</v>
      </c>
      <c r="AQ15" s="17">
        <f t="shared" ca="1" si="4"/>
        <v>0</v>
      </c>
      <c r="AR15" s="17">
        <f t="shared" ca="1" si="4"/>
        <v>0</v>
      </c>
      <c r="AS15" s="17">
        <f t="shared" ca="1" si="4"/>
        <v>0</v>
      </c>
      <c r="AT15" s="17">
        <f t="shared" ca="1" si="4"/>
        <v>0</v>
      </c>
      <c r="AU15" s="17">
        <f t="shared" ca="1" si="4"/>
        <v>0</v>
      </c>
      <c r="AV15" s="17">
        <f t="shared" ca="1" si="4"/>
        <v>0</v>
      </c>
      <c r="AX15" s="17" t="str" cm="1">
        <f t="array" aca="1" ref="AX15" ca="1">IF(INDIRECT(AX$1&amp;"!C24")=$A15,AX$2,"")</f>
        <v/>
      </c>
      <c r="AY15" s="17" t="str" cm="1">
        <f t="array" aca="1" ref="AY15" ca="1">IF(INDIRECT(AY$1&amp;"!C24")=$A15,AY$2,"")</f>
        <v/>
      </c>
      <c r="AZ15" s="17" t="str" cm="1">
        <f t="array" aca="1" ref="AZ15" ca="1">IF(INDIRECT(AZ$1&amp;"!C24")=$A15,AZ$2,"")</f>
        <v/>
      </c>
      <c r="BA15" s="17" t="str" cm="1">
        <f t="array" aca="1" ref="BA15" ca="1">IF(INDIRECT(BA$1&amp;"!C24")=$A15,BA$2,"")</f>
        <v/>
      </c>
      <c r="BB15" s="17" t="str" cm="1">
        <f t="array" aca="1" ref="BB15" ca="1">IF(INDIRECT(BB$1&amp;"!C24")=$A15,BB$2,"")</f>
        <v/>
      </c>
      <c r="BC15" s="17" t="str" cm="1">
        <f t="array" aca="1" ref="BC15" ca="1">IF(INDIRECT(BC$1&amp;"!C24")=$A15,BC$2,"")</f>
        <v/>
      </c>
      <c r="BD15" s="17" cm="1">
        <f t="array" aca="1" ref="BD15" ca="1">IF(INDIRECT(BD$1&amp;"!C24")=$A15,BD$2,"")</f>
        <v>46149</v>
      </c>
      <c r="BE15" s="17" t="str" cm="1">
        <f t="array" aca="1" ref="BE15" ca="1">IF(INDIRECT(BE$1&amp;"!C24")=$A15,BE$2,"")</f>
        <v/>
      </c>
      <c r="BF15" s="17" t="str" cm="1">
        <f t="array" aca="1" ref="BF15" ca="1">IF(INDIRECT(BF$1&amp;"!C24")=$A15,BF$2,"")</f>
        <v/>
      </c>
      <c r="BG15" s="17" t="str" cm="1">
        <f t="array" aca="1" ref="BG15" ca="1">IF(INDIRECT(BG$1&amp;"!C24")=$A15,BG$2,"")</f>
        <v/>
      </c>
      <c r="BH15" s="17" t="str" cm="1">
        <f t="array" aca="1" ref="BH15" ca="1">IF(INDIRECT(BH$1&amp;"!C24")=$A15,BH$2,"")</f>
        <v/>
      </c>
      <c r="BI15" s="17" t="str" cm="1">
        <f t="array" aca="1" ref="BI15" ca="1">IF(INDIRECT(BI$1&amp;"!C24")=$A15,BI$2,"")</f>
        <v/>
      </c>
      <c r="BJ15" s="17" t="str" cm="1">
        <f t="array" aca="1" ref="BJ15" ca="1">IF(INDIRECT(BJ$1&amp;"!C24")=$A15,BJ$2,"")</f>
        <v/>
      </c>
      <c r="BK15" s="17" t="str" cm="1">
        <f t="array" aca="1" ref="BK15" ca="1">IF(INDIRECT(BK$1&amp;"!C24")=$A15,BK$2,"")</f>
        <v/>
      </c>
      <c r="BL15" s="17" t="str" cm="1">
        <f t="array" aca="1" ref="BL15" ca="1">IF(INDIRECT(BL$1&amp;"!C24")=$A15,BL$2,"")</f>
        <v/>
      </c>
      <c r="BM15" s="17" t="str" cm="1">
        <f t="array" aca="1" ref="BM15" ca="1">IF(INDIRECT(BM$1&amp;"!C24")=$A15,BM$2,"")</f>
        <v/>
      </c>
      <c r="BN15" s="17" t="str" cm="1">
        <f t="array" aca="1" ref="BN15" ca="1">IF(INDIRECT(BN$1&amp;"!C24")=$A15,BN$2,"")</f>
        <v/>
      </c>
      <c r="BO15" s="17" t="str" cm="1">
        <f t="array" aca="1" ref="BO15" ca="1">IF(INDIRECT(BO$1&amp;"!C24")=$A15,BO$2,"")</f>
        <v/>
      </c>
      <c r="BP15" s="17" t="str" cm="1">
        <f t="array" aca="1" ref="BP15" ca="1">IF(INDIRECT(BP$1&amp;"!C24")=$A15,BP$2,"")</f>
        <v/>
      </c>
      <c r="BQ15" s="17" t="str" cm="1">
        <f t="array" aca="1" ref="BQ15" ca="1">IF(INDIRECT(BQ$1&amp;"!C24")=$A15,BQ$2,"")</f>
        <v/>
      </c>
      <c r="BR15" s="17" t="str" cm="1">
        <f t="array" aca="1" ref="BR15" ca="1">IF(INDIRECT(BR$1&amp;"!C24")=$A15,BR$2,"")</f>
        <v/>
      </c>
      <c r="BS15" s="17" t="str" cm="1">
        <f t="array" aca="1" ref="BS15" ca="1">IF(INDIRECT(BS$1&amp;"!C24")=$A15,BS$2,"")</f>
        <v/>
      </c>
      <c r="BT15" s="17" t="str" cm="1">
        <f t="array" aca="1" ref="BT15" ca="1">IF(INDIRECT(BT$1&amp;"!C24")=$A15,BT$2,"")</f>
        <v/>
      </c>
      <c r="BU15" s="17" t="str" cm="1">
        <f t="array" aca="1" ref="BU15" ca="1">IF(INDIRECT(BU$1&amp;"!C24")=$A15,BU$2,"")</f>
        <v/>
      </c>
      <c r="BV15" s="17" t="str" cm="1">
        <f t="array" aca="1" ref="BV15" ca="1">IF(INDIRECT(BV$1&amp;"!C24")=$A15,BV$2,"")</f>
        <v/>
      </c>
      <c r="BW15" s="17" t="str" cm="1">
        <f t="array" aca="1" ref="BW15" ca="1">IF(INDIRECT(BW$1&amp;"!C24")=$A15,BW$2,"")</f>
        <v/>
      </c>
      <c r="BX15" s="17" t="str" cm="1">
        <f t="array" aca="1" ref="BX15" ca="1">IF(INDIRECT(BX$1&amp;"!C24")=$A15,BX$2,"")</f>
        <v/>
      </c>
      <c r="BY15" s="17" t="str" cm="1">
        <f t="array" aca="1" ref="BY15" ca="1">IF(INDIRECT(BY$1&amp;"!C24")=$A15,BY$2,"")</f>
        <v/>
      </c>
      <c r="BZ15" s="17" t="str" cm="1">
        <f t="array" aca="1" ref="BZ15" ca="1">IF(INDIRECT(BZ$1&amp;"!C24")=$A15,BZ$2,"")</f>
        <v/>
      </c>
      <c r="CA15" s="17" t="str" cm="1">
        <f t="array" aca="1" ref="CA15" ca="1">IF(INDIRECT(CA$1&amp;"!C24")=$A15,CA$2,"")</f>
        <v/>
      </c>
      <c r="CB15" s="17" t="str" cm="1">
        <f t="array" aca="1" ref="CB15" ca="1">IF(INDIRECT(CB$1&amp;"!C24")=$A15,CB$2,"")</f>
        <v/>
      </c>
    </row>
    <row r="16" spans="1:80">
      <c r="A16" s="163">
        <v>14</v>
      </c>
      <c r="B16" s="163" t="str">
        <v>王浩任</v>
      </c>
      <c r="C16" s="163" t="str" cm="1">
        <f t="array" aca="1" ref="C16" ca="1">IF(SUMPRODUCT(COUNTIF(INDIRECT(工作表[工作表]&amp;"!C10"),$A16))=0,"",SUMPRODUCT(COUNTIF(INDIRECT(工作表[工作表]&amp;"!C10"),$A16)))</f>
        <v/>
      </c>
      <c r="D16" s="163" cm="1">
        <f t="array" aca="1" ref="D16" ca="1">IF(SUMPRODUCT(COUNTIF(INDIRECT(工作表[工作表]&amp;"!C12"),$A16))=0,"",SUMPRODUCT(COUNTIF(INDIRECT(工作表[工作表]&amp;"!C12"),$A16)))</f>
        <v>1</v>
      </c>
      <c r="E16" s="163" cm="1">
        <f t="array" aca="1" ref="E16" ca="1">IF(SUMPRODUCT(COUNTIF(INDIRECT(工作表[工作表]&amp;"!C14"),$A16))=0,"",SUMPRODUCT(COUNTIF(INDIRECT(工作表[工作表]&amp;"!C14"),$A16)))</f>
        <v>1</v>
      </c>
      <c r="F16" s="163" cm="1">
        <f t="array" aca="1" ref="F16" ca="1">IF(SUMPRODUCT(COUNTIF(INDIRECT(工作表[工作表]&amp;"!C16"),$A16))=0,"",SUMPRODUCT(COUNTIF(INDIRECT(工作表[工作表]&amp;"!C16"),$A16)))</f>
        <v>1</v>
      </c>
      <c r="G16" s="163" t="str" cm="1">
        <f t="array" aca="1" ref="G16" ca="1">IF(SUMPRODUCT(COUNTIF(INDIRECT(工作表[工作表]&amp;"!C18"),$A16))=0,"",SUMPRODUCT(COUNTIF(INDIRECT(工作表[工作表]&amp;"!C18"),$A16)))</f>
        <v/>
      </c>
      <c r="H16" s="163" t="str" cm="1">
        <f t="array" aca="1" ref="H16" ca="1">IF(SUMPRODUCT(COUNTIF(INDIRECT(工作表[工作表]&amp;"!C20"),$A16))=0,"",SUMPRODUCT(COUNTIF(INDIRECT(工作表[工作表]&amp;"!C20"),$A16)))</f>
        <v/>
      </c>
      <c r="I16" s="163" t="str" cm="1">
        <f t="array" aca="1" ref="I16" ca="1">IF(SUMPRODUCT(COUNTIF(INDIRECT(工作表[工作表]&amp;"!C22"),$A16))=0,"",SUMPRODUCT(COUNTIF(INDIRECT(工作表[工作表]&amp;"!C22"),$A16)))</f>
        <v/>
      </c>
      <c r="J16" s="163" cm="1">
        <f t="array" aca="1" ref="J16" ca="1">IF(SUMPRODUCT(COUNTIF(INDIRECT(工作表[工作表]&amp;"!C24"),$A16))=0,"",SUMPRODUCT(COUNTIF(INDIRECT(工作表[工作表]&amp;"!C24"),$A16)))</f>
        <v>1</v>
      </c>
      <c r="K16" s="163" t="str" cm="1">
        <f t="array" aca="1" ref="K16" ca="1">IF(MAX(IF($AX16:$CB16&lt;$K$1,$AX16:$CB16,"0"))=0,"",$K$1-MAX(IF($AX16:$CB16&lt;$K$1,$AX16:$CB16,"0"))&amp;"天")</f>
        <v>5天</v>
      </c>
      <c r="M16" s="163">
        <f t="shared" ca="1" si="1"/>
        <v>28</v>
      </c>
      <c r="N16" s="163">
        <f>COUNTIF(_xlfn.XLOOKUP(B16,輪休基準表!$E$5:$AF$5,輪休基準表!$E$6:$AF$36,""),"")</f>
        <v>4</v>
      </c>
      <c r="O16" s="167">
        <f t="shared" ca="1" si="2"/>
        <v>7</v>
      </c>
      <c r="Q16" s="17" t="s">
        <v>261</v>
      </c>
      <c r="R16" s="17">
        <f t="shared" ca="1" si="3"/>
        <v>0</v>
      </c>
      <c r="S16" s="17">
        <f t="shared" ca="1" si="3"/>
        <v>0</v>
      </c>
      <c r="T16" s="17">
        <f t="shared" ca="1" si="3"/>
        <v>8</v>
      </c>
      <c r="U16" s="17">
        <f t="shared" ca="1" si="3"/>
        <v>0</v>
      </c>
      <c r="V16" s="17">
        <f t="shared" ca="1" si="3"/>
        <v>0</v>
      </c>
      <c r="W16" s="17">
        <f t="shared" ca="1" si="3"/>
        <v>0</v>
      </c>
      <c r="X16" s="17">
        <f t="shared" ca="1" si="3"/>
        <v>8</v>
      </c>
      <c r="Y16" s="17">
        <f t="shared" ca="1" si="3"/>
        <v>0</v>
      </c>
      <c r="Z16" s="17">
        <f t="shared" ca="1" si="3"/>
        <v>6</v>
      </c>
      <c r="AA16" s="17">
        <f t="shared" ca="1" si="3"/>
        <v>0</v>
      </c>
      <c r="AB16" s="17">
        <f t="shared" ca="1" si="3"/>
        <v>6</v>
      </c>
      <c r="AC16" s="17">
        <f t="shared" ca="1" si="3"/>
        <v>0</v>
      </c>
      <c r="AD16" s="17">
        <f t="shared" ca="1" si="3"/>
        <v>0</v>
      </c>
      <c r="AE16" s="17">
        <f t="shared" ca="1" si="3"/>
        <v>0</v>
      </c>
      <c r="AF16" s="17">
        <f t="shared" ca="1" si="3"/>
        <v>0</v>
      </c>
      <c r="AG16" s="17">
        <f t="shared" ca="1" si="3"/>
        <v>0</v>
      </c>
      <c r="AH16" s="17">
        <f t="shared" ca="1" si="4"/>
        <v>0</v>
      </c>
      <c r="AI16" s="17">
        <f t="shared" ca="1" si="4"/>
        <v>0</v>
      </c>
      <c r="AJ16" s="17">
        <f t="shared" ca="1" si="4"/>
        <v>0</v>
      </c>
      <c r="AK16" s="17">
        <f t="shared" ca="1" si="4"/>
        <v>0</v>
      </c>
      <c r="AL16" s="17">
        <f t="shared" ca="1" si="4"/>
        <v>0</v>
      </c>
      <c r="AM16" s="17">
        <f t="shared" ca="1" si="4"/>
        <v>0</v>
      </c>
      <c r="AN16" s="17">
        <f t="shared" ca="1" si="4"/>
        <v>0</v>
      </c>
      <c r="AO16" s="17">
        <f t="shared" ca="1" si="4"/>
        <v>0</v>
      </c>
      <c r="AP16" s="17">
        <f t="shared" ca="1" si="4"/>
        <v>0</v>
      </c>
      <c r="AQ16" s="17">
        <f t="shared" ca="1" si="4"/>
        <v>0</v>
      </c>
      <c r="AR16" s="17">
        <f t="shared" ca="1" si="4"/>
        <v>0</v>
      </c>
      <c r="AS16" s="17">
        <f t="shared" ca="1" si="4"/>
        <v>0</v>
      </c>
      <c r="AT16" s="17">
        <f t="shared" ca="1" si="4"/>
        <v>0</v>
      </c>
      <c r="AU16" s="17">
        <f t="shared" ca="1" si="4"/>
        <v>0</v>
      </c>
      <c r="AV16" s="17">
        <f t="shared" ca="1" si="4"/>
        <v>0</v>
      </c>
      <c r="AX16" s="17" t="str" cm="1">
        <f t="array" aca="1" ref="AX16" ca="1">IF(INDIRECT(AX$1&amp;"!C24")=$A16,AX$2,"")</f>
        <v/>
      </c>
      <c r="AY16" s="17" t="str" cm="1">
        <f t="array" aca="1" ref="AY16" ca="1">IF(INDIRECT(AY$1&amp;"!C24")=$A16,AY$2,"")</f>
        <v/>
      </c>
      <c r="AZ16" s="17" t="str" cm="1">
        <f t="array" aca="1" ref="AZ16" ca="1">IF(INDIRECT(AZ$1&amp;"!C24")=$A16,AZ$2,"")</f>
        <v/>
      </c>
      <c r="BA16" s="17" t="str" cm="1">
        <f t="array" aca="1" ref="BA16" ca="1">IF(INDIRECT(BA$1&amp;"!C24")=$A16,BA$2,"")</f>
        <v/>
      </c>
      <c r="BB16" s="17" t="str" cm="1">
        <f t="array" aca="1" ref="BB16" ca="1">IF(INDIRECT(BB$1&amp;"!C24")=$A16,BB$2,"")</f>
        <v/>
      </c>
      <c r="BC16" s="17" t="str" cm="1">
        <f t="array" aca="1" ref="BC16" ca="1">IF(INDIRECT(BC$1&amp;"!C24")=$A16,BC$2,"")</f>
        <v/>
      </c>
      <c r="BD16" s="17" t="str" cm="1">
        <f t="array" aca="1" ref="BD16" ca="1">IF(INDIRECT(BD$1&amp;"!C24")=$A16,BD$2,"")</f>
        <v/>
      </c>
      <c r="BE16" s="17" t="str" cm="1">
        <f t="array" aca="1" ref="BE16" ca="1">IF(INDIRECT(BE$1&amp;"!C24")=$A16,BE$2,"")</f>
        <v/>
      </c>
      <c r="BF16" s="17" t="str" cm="1">
        <f t="array" aca="1" ref="BF16" ca="1">IF(INDIRECT(BF$1&amp;"!C24")=$A16,BF$2,"")</f>
        <v/>
      </c>
      <c r="BG16" s="17" t="str" cm="1">
        <f t="array" aca="1" ref="BG16" ca="1">IF(INDIRECT(BG$1&amp;"!C24")=$A16,BG$2,"")</f>
        <v/>
      </c>
      <c r="BH16" s="17" cm="1">
        <f t="array" aca="1" ref="BH16" ca="1">IF(INDIRECT(BH$1&amp;"!C24")=$A16,BH$2,"")</f>
        <v>46153</v>
      </c>
      <c r="BI16" s="17" t="str" cm="1">
        <f t="array" aca="1" ref="BI16" ca="1">IF(INDIRECT(BI$1&amp;"!C24")=$A16,BI$2,"")</f>
        <v/>
      </c>
      <c r="BJ16" s="17" t="str" cm="1">
        <f t="array" aca="1" ref="BJ16" ca="1">IF(INDIRECT(BJ$1&amp;"!C24")=$A16,BJ$2,"")</f>
        <v/>
      </c>
      <c r="BK16" s="17" t="str" cm="1">
        <f t="array" aca="1" ref="BK16" ca="1">IF(INDIRECT(BK$1&amp;"!C24")=$A16,BK$2,"")</f>
        <v/>
      </c>
      <c r="BL16" s="17" t="str" cm="1">
        <f t="array" aca="1" ref="BL16" ca="1">IF(INDIRECT(BL$1&amp;"!C24")=$A16,BL$2,"")</f>
        <v/>
      </c>
      <c r="BM16" s="17" t="str" cm="1">
        <f t="array" aca="1" ref="BM16" ca="1">IF(INDIRECT(BM$1&amp;"!C24")=$A16,BM$2,"")</f>
        <v/>
      </c>
      <c r="BN16" s="17" t="str" cm="1">
        <f t="array" aca="1" ref="BN16" ca="1">IF(INDIRECT(BN$1&amp;"!C24")=$A16,BN$2,"")</f>
        <v/>
      </c>
      <c r="BO16" s="17" t="str" cm="1">
        <f t="array" aca="1" ref="BO16" ca="1">IF(INDIRECT(BO$1&amp;"!C24")=$A16,BO$2,"")</f>
        <v/>
      </c>
      <c r="BP16" s="17" t="str" cm="1">
        <f t="array" aca="1" ref="BP16" ca="1">IF(INDIRECT(BP$1&amp;"!C24")=$A16,BP$2,"")</f>
        <v/>
      </c>
      <c r="BQ16" s="17" t="str" cm="1">
        <f t="array" aca="1" ref="BQ16" ca="1">IF(INDIRECT(BQ$1&amp;"!C24")=$A16,BQ$2,"")</f>
        <v/>
      </c>
      <c r="BR16" s="17" t="str" cm="1">
        <f t="array" aca="1" ref="BR16" ca="1">IF(INDIRECT(BR$1&amp;"!C24")=$A16,BR$2,"")</f>
        <v/>
      </c>
      <c r="BS16" s="17" t="str" cm="1">
        <f t="array" aca="1" ref="BS16" ca="1">IF(INDIRECT(BS$1&amp;"!C24")=$A16,BS$2,"")</f>
        <v/>
      </c>
      <c r="BT16" s="17" t="str" cm="1">
        <f t="array" aca="1" ref="BT16" ca="1">IF(INDIRECT(BT$1&amp;"!C24")=$A16,BT$2,"")</f>
        <v/>
      </c>
      <c r="BU16" s="17" t="str" cm="1">
        <f t="array" aca="1" ref="BU16" ca="1">IF(INDIRECT(BU$1&amp;"!C24")=$A16,BU$2,"")</f>
        <v/>
      </c>
      <c r="BV16" s="17" t="str" cm="1">
        <f t="array" aca="1" ref="BV16" ca="1">IF(INDIRECT(BV$1&amp;"!C24")=$A16,BV$2,"")</f>
        <v/>
      </c>
      <c r="BW16" s="17" t="str" cm="1">
        <f t="array" aca="1" ref="BW16" ca="1">IF(INDIRECT(BW$1&amp;"!C24")=$A16,BW$2,"")</f>
        <v/>
      </c>
      <c r="BX16" s="17" t="str" cm="1">
        <f t="array" aca="1" ref="BX16" ca="1">IF(INDIRECT(BX$1&amp;"!C24")=$A16,BX$2,"")</f>
        <v/>
      </c>
      <c r="BY16" s="17" t="str" cm="1">
        <f t="array" aca="1" ref="BY16" ca="1">IF(INDIRECT(BY$1&amp;"!C24")=$A16,BY$2,"")</f>
        <v/>
      </c>
      <c r="BZ16" s="17" t="str" cm="1">
        <f t="array" aca="1" ref="BZ16" ca="1">IF(INDIRECT(BZ$1&amp;"!C24")=$A16,BZ$2,"")</f>
        <v/>
      </c>
      <c r="CA16" s="17" t="str" cm="1">
        <f t="array" aca="1" ref="CA16" ca="1">IF(INDIRECT(CA$1&amp;"!C24")=$A16,CA$2,"")</f>
        <v/>
      </c>
      <c r="CB16" s="17" t="str" cm="1">
        <f t="array" aca="1" ref="CB16" ca="1">IF(INDIRECT(CB$1&amp;"!C24")=$A16,CB$2,"")</f>
        <v/>
      </c>
    </row>
    <row r="17" spans="1:80">
      <c r="A17" s="163">
        <v>15</v>
      </c>
      <c r="B17" s="163" t="str">
        <v>李仕詮</v>
      </c>
      <c r="C17" s="163" cm="1">
        <f t="array" aca="1" ref="C17" ca="1">IF(SUMPRODUCT(COUNTIF(INDIRECT(工作表[工作表]&amp;"!C10"),$A17))=0,"",SUMPRODUCT(COUNTIF(INDIRECT(工作表[工作表]&amp;"!C10"),$A17)))</f>
        <v>1</v>
      </c>
      <c r="D17" s="163" cm="1">
        <f t="array" aca="1" ref="D17" ca="1">IF(SUMPRODUCT(COUNTIF(INDIRECT(工作表[工作表]&amp;"!C12"),$A17))=0,"",SUMPRODUCT(COUNTIF(INDIRECT(工作表[工作表]&amp;"!C12"),$A17)))</f>
        <v>1</v>
      </c>
      <c r="E17" s="163" cm="1">
        <f t="array" aca="1" ref="E17" ca="1">IF(SUMPRODUCT(COUNTIF(INDIRECT(工作表[工作表]&amp;"!C14"),$A17))=0,"",SUMPRODUCT(COUNTIF(INDIRECT(工作表[工作表]&amp;"!C14"),$A17)))</f>
        <v>2</v>
      </c>
      <c r="F17" s="163" t="str" cm="1">
        <f t="array" aca="1" ref="F17" ca="1">IF(SUMPRODUCT(COUNTIF(INDIRECT(工作表[工作表]&amp;"!C16"),$A17))=0,"",SUMPRODUCT(COUNTIF(INDIRECT(工作表[工作表]&amp;"!C16"),$A17)))</f>
        <v/>
      </c>
      <c r="G17" s="163" cm="1">
        <f t="array" aca="1" ref="G17" ca="1">IF(SUMPRODUCT(COUNTIF(INDIRECT(工作表[工作表]&amp;"!C18"),$A17))=0,"",SUMPRODUCT(COUNTIF(INDIRECT(工作表[工作表]&amp;"!C18"),$A17)))</f>
        <v>1</v>
      </c>
      <c r="H17" s="163" t="str" cm="1">
        <f t="array" aca="1" ref="H17" ca="1">IF(SUMPRODUCT(COUNTIF(INDIRECT(工作表[工作表]&amp;"!C20"),$A17))=0,"",SUMPRODUCT(COUNTIF(INDIRECT(工作表[工作表]&amp;"!C20"),$A17)))</f>
        <v/>
      </c>
      <c r="I17" s="163" t="str" cm="1">
        <f t="array" aca="1" ref="I17" ca="1">IF(SUMPRODUCT(COUNTIF(INDIRECT(工作表[工作表]&amp;"!C22"),$A17))=0,"",SUMPRODUCT(COUNTIF(INDIRECT(工作表[工作表]&amp;"!C22"),$A17)))</f>
        <v/>
      </c>
      <c r="J17" s="163" cm="1">
        <f t="array" aca="1" ref="J17" ca="1">IF(SUMPRODUCT(COUNTIF(INDIRECT(工作表[工作表]&amp;"!C24"),$A17))=0,"",SUMPRODUCT(COUNTIF(INDIRECT(工作表[工作表]&amp;"!C24"),$A17)))</f>
        <v>1</v>
      </c>
      <c r="K17" s="163" t="str" cm="1">
        <f t="array" aca="1" ref="K17" ca="1">IF(MAX(IF($AX17:$CB17&lt;$K$1,$AX17:$CB17,"0"))=0,"",$K$1-MAX(IF($AX17:$CB17&lt;$K$1,$AX17:$CB17,"0"))&amp;"天")</f>
        <v>1天</v>
      </c>
      <c r="M17" s="163">
        <f t="shared" ca="1" si="1"/>
        <v>38</v>
      </c>
      <c r="N17" s="163">
        <f>COUNTIF(_xlfn.XLOOKUP(B17,輪休基準表!$E$5:$AF$5,輪休基準表!$E$6:$AF$36,""),"")</f>
        <v>12</v>
      </c>
      <c r="O17" s="167">
        <f t="shared" ca="1" si="2"/>
        <v>3.1666666666666665</v>
      </c>
      <c r="Q17" s="17" t="s">
        <v>262</v>
      </c>
      <c r="R17" s="17">
        <f t="shared" ca="1" si="3"/>
        <v>0</v>
      </c>
      <c r="S17" s="17">
        <f t="shared" ca="1" si="3"/>
        <v>0</v>
      </c>
      <c r="T17" s="17">
        <f t="shared" ca="1" si="3"/>
        <v>6</v>
      </c>
      <c r="U17" s="17">
        <f t="shared" ca="1" si="3"/>
        <v>0</v>
      </c>
      <c r="V17" s="17">
        <f t="shared" ca="1" si="3"/>
        <v>6</v>
      </c>
      <c r="W17" s="17">
        <f t="shared" ca="1" si="3"/>
        <v>0</v>
      </c>
      <c r="X17" s="17">
        <f t="shared" ca="1" si="3"/>
        <v>8</v>
      </c>
      <c r="Y17" s="17">
        <f t="shared" ca="1" si="3"/>
        <v>0</v>
      </c>
      <c r="Z17" s="17">
        <f t="shared" ca="1" si="3"/>
        <v>6</v>
      </c>
      <c r="AA17" s="17">
        <f t="shared" ca="1" si="3"/>
        <v>0</v>
      </c>
      <c r="AB17" s="17">
        <f t="shared" ca="1" si="3"/>
        <v>0</v>
      </c>
      <c r="AC17" s="17">
        <f t="shared" ca="1" si="3"/>
        <v>0</v>
      </c>
      <c r="AD17" s="17">
        <f t="shared" ca="1" si="3"/>
        <v>0</v>
      </c>
      <c r="AE17" s="17">
        <f t="shared" ca="1" si="3"/>
        <v>0</v>
      </c>
      <c r="AF17" s="17">
        <f t="shared" ca="1" si="3"/>
        <v>6</v>
      </c>
      <c r="AG17" s="17">
        <f t="shared" ca="1" si="3"/>
        <v>0</v>
      </c>
      <c r="AH17" s="17">
        <f t="shared" ca="1" si="4"/>
        <v>0</v>
      </c>
      <c r="AI17" s="17">
        <f t="shared" ca="1" si="4"/>
        <v>6</v>
      </c>
      <c r="AJ17" s="17">
        <f t="shared" ca="1" si="4"/>
        <v>0</v>
      </c>
      <c r="AK17" s="17">
        <f t="shared" ca="1" si="4"/>
        <v>0</v>
      </c>
      <c r="AL17" s="17">
        <f t="shared" ca="1" si="4"/>
        <v>0</v>
      </c>
      <c r="AM17" s="17">
        <f t="shared" ca="1" si="4"/>
        <v>0</v>
      </c>
      <c r="AN17" s="17">
        <f t="shared" ca="1" si="4"/>
        <v>0</v>
      </c>
      <c r="AO17" s="17">
        <f t="shared" ca="1" si="4"/>
        <v>0</v>
      </c>
      <c r="AP17" s="17">
        <f t="shared" ca="1" si="4"/>
        <v>0</v>
      </c>
      <c r="AQ17" s="17">
        <f t="shared" ca="1" si="4"/>
        <v>0</v>
      </c>
      <c r="AR17" s="17">
        <f t="shared" ca="1" si="4"/>
        <v>0</v>
      </c>
      <c r="AS17" s="17">
        <f t="shared" ca="1" si="4"/>
        <v>0</v>
      </c>
      <c r="AT17" s="17">
        <f t="shared" ca="1" si="4"/>
        <v>0</v>
      </c>
      <c r="AU17" s="17">
        <f t="shared" ca="1" si="4"/>
        <v>0</v>
      </c>
      <c r="AV17" s="17">
        <f t="shared" ca="1" si="4"/>
        <v>0</v>
      </c>
      <c r="AX17" s="17" t="str" cm="1">
        <f t="array" aca="1" ref="AX17" ca="1">IF(INDIRECT(AX$1&amp;"!C24")=$A17,AX$2,"")</f>
        <v/>
      </c>
      <c r="AY17" s="17" t="str" cm="1">
        <f t="array" aca="1" ref="AY17" ca="1">IF(INDIRECT(AY$1&amp;"!C24")=$A17,AY$2,"")</f>
        <v/>
      </c>
      <c r="AZ17" s="17" t="str" cm="1">
        <f t="array" aca="1" ref="AZ17" ca="1">IF(INDIRECT(AZ$1&amp;"!C24")=$A17,AZ$2,"")</f>
        <v/>
      </c>
      <c r="BA17" s="17" t="str" cm="1">
        <f t="array" aca="1" ref="BA17" ca="1">IF(INDIRECT(BA$1&amp;"!C24")=$A17,BA$2,"")</f>
        <v/>
      </c>
      <c r="BB17" s="17" t="str" cm="1">
        <f t="array" aca="1" ref="BB17" ca="1">IF(INDIRECT(BB$1&amp;"!C24")=$A17,BB$2,"")</f>
        <v/>
      </c>
      <c r="BC17" s="17" t="str" cm="1">
        <f t="array" aca="1" ref="BC17" ca="1">IF(INDIRECT(BC$1&amp;"!C24")=$A17,BC$2,"")</f>
        <v/>
      </c>
      <c r="BD17" s="17" t="str" cm="1">
        <f t="array" aca="1" ref="BD17" ca="1">IF(INDIRECT(BD$1&amp;"!C24")=$A17,BD$2,"")</f>
        <v/>
      </c>
      <c r="BE17" s="17" t="str" cm="1">
        <f t="array" aca="1" ref="BE17" ca="1">IF(INDIRECT(BE$1&amp;"!C24")=$A17,BE$2,"")</f>
        <v/>
      </c>
      <c r="BF17" s="17" t="str" cm="1">
        <f t="array" aca="1" ref="BF17" ca="1">IF(INDIRECT(BF$1&amp;"!C24")=$A17,BF$2,"")</f>
        <v/>
      </c>
      <c r="BG17" s="17" t="str" cm="1">
        <f t="array" aca="1" ref="BG17" ca="1">IF(INDIRECT(BG$1&amp;"!C24")=$A17,BG$2,"")</f>
        <v/>
      </c>
      <c r="BH17" s="17" t="str" cm="1">
        <f t="array" aca="1" ref="BH17" ca="1">IF(INDIRECT(BH$1&amp;"!C24")=$A17,BH$2,"")</f>
        <v/>
      </c>
      <c r="BI17" s="17" t="str" cm="1">
        <f t="array" aca="1" ref="BI17" ca="1">IF(INDIRECT(BI$1&amp;"!C24")=$A17,BI$2,"")</f>
        <v/>
      </c>
      <c r="BJ17" s="17" t="str" cm="1">
        <f t="array" aca="1" ref="BJ17" ca="1">IF(INDIRECT(BJ$1&amp;"!C24")=$A17,BJ$2,"")</f>
        <v/>
      </c>
      <c r="BK17" s="17" t="str" cm="1">
        <f t="array" aca="1" ref="BK17" ca="1">IF(INDIRECT(BK$1&amp;"!C24")=$A17,BK$2,"")</f>
        <v/>
      </c>
      <c r="BL17" s="17" cm="1">
        <f t="array" aca="1" ref="BL17" ca="1">IF(INDIRECT(BL$1&amp;"!C24")=$A17,BL$2,"")</f>
        <v>46157</v>
      </c>
      <c r="BM17" s="17" t="str" cm="1">
        <f t="array" aca="1" ref="BM17" ca="1">IF(INDIRECT(BM$1&amp;"!C24")=$A17,BM$2,"")</f>
        <v/>
      </c>
      <c r="BN17" s="17" t="str" cm="1">
        <f t="array" aca="1" ref="BN17" ca="1">IF(INDIRECT(BN$1&amp;"!C24")=$A17,BN$2,"")</f>
        <v/>
      </c>
      <c r="BO17" s="17" t="str" cm="1">
        <f t="array" aca="1" ref="BO17" ca="1">IF(INDIRECT(BO$1&amp;"!C24")=$A17,BO$2,"")</f>
        <v/>
      </c>
      <c r="BP17" s="17" t="str" cm="1">
        <f t="array" aca="1" ref="BP17" ca="1">IF(INDIRECT(BP$1&amp;"!C24")=$A17,BP$2,"")</f>
        <v/>
      </c>
      <c r="BQ17" s="17" t="str" cm="1">
        <f t="array" aca="1" ref="BQ17" ca="1">IF(INDIRECT(BQ$1&amp;"!C24")=$A17,BQ$2,"")</f>
        <v/>
      </c>
      <c r="BR17" s="17" t="str" cm="1">
        <f t="array" aca="1" ref="BR17" ca="1">IF(INDIRECT(BR$1&amp;"!C24")=$A17,BR$2,"")</f>
        <v/>
      </c>
      <c r="BS17" s="17" t="str" cm="1">
        <f t="array" aca="1" ref="BS17" ca="1">IF(INDIRECT(BS$1&amp;"!C24")=$A17,BS$2,"")</f>
        <v/>
      </c>
      <c r="BT17" s="17" t="str" cm="1">
        <f t="array" aca="1" ref="BT17" ca="1">IF(INDIRECT(BT$1&amp;"!C24")=$A17,BT$2,"")</f>
        <v/>
      </c>
      <c r="BU17" s="17" t="str" cm="1">
        <f t="array" aca="1" ref="BU17" ca="1">IF(INDIRECT(BU$1&amp;"!C24")=$A17,BU$2,"")</f>
        <v/>
      </c>
      <c r="BV17" s="17" t="str" cm="1">
        <f t="array" aca="1" ref="BV17" ca="1">IF(INDIRECT(BV$1&amp;"!C24")=$A17,BV$2,"")</f>
        <v/>
      </c>
      <c r="BW17" s="17" t="str" cm="1">
        <f t="array" aca="1" ref="BW17" ca="1">IF(INDIRECT(BW$1&amp;"!C24")=$A17,BW$2,"")</f>
        <v/>
      </c>
      <c r="BX17" s="17" t="str" cm="1">
        <f t="array" aca="1" ref="BX17" ca="1">IF(INDIRECT(BX$1&amp;"!C24")=$A17,BX$2,"")</f>
        <v/>
      </c>
      <c r="BY17" s="17" t="str" cm="1">
        <f t="array" aca="1" ref="BY17" ca="1">IF(INDIRECT(BY$1&amp;"!C24")=$A17,BY$2,"")</f>
        <v/>
      </c>
      <c r="BZ17" s="17" t="str" cm="1">
        <f t="array" aca="1" ref="BZ17" ca="1">IF(INDIRECT(BZ$1&amp;"!C24")=$A17,BZ$2,"")</f>
        <v/>
      </c>
      <c r="CA17" s="17" t="str" cm="1">
        <f t="array" aca="1" ref="CA17" ca="1">IF(INDIRECT(CA$1&amp;"!C24")=$A17,CA$2,"")</f>
        <v/>
      </c>
      <c r="CB17" s="17" t="str" cm="1">
        <f t="array" aca="1" ref="CB17" ca="1">IF(INDIRECT(CB$1&amp;"!C24")=$A17,CB$2,"")</f>
        <v/>
      </c>
    </row>
    <row r="18" spans="1:80">
      <c r="A18" s="163">
        <v>16</v>
      </c>
      <c r="B18" s="163" t="str">
        <v>楊弘宇</v>
      </c>
      <c r="C18" s="163" cm="1">
        <f t="array" aca="1" ref="C18" ca="1">IF(SUMPRODUCT(COUNTIF(INDIRECT(工作表[工作表]&amp;"!C10"),$A18))=0,"",SUMPRODUCT(COUNTIF(INDIRECT(工作表[工作表]&amp;"!C10"),$A18)))</f>
        <v>1</v>
      </c>
      <c r="D18" s="163" cm="1">
        <f t="array" aca="1" ref="D18" ca="1">IF(SUMPRODUCT(COUNTIF(INDIRECT(工作表[工作表]&amp;"!C12"),$A18))=0,"",SUMPRODUCT(COUNTIF(INDIRECT(工作表[工作表]&amp;"!C12"),$A18)))</f>
        <v>2</v>
      </c>
      <c r="E18" s="163" t="str" cm="1">
        <f t="array" aca="1" ref="E18" ca="1">IF(SUMPRODUCT(COUNTIF(INDIRECT(工作表[工作表]&amp;"!C14"),$A18))=0,"",SUMPRODUCT(COUNTIF(INDIRECT(工作表[工作表]&amp;"!C14"),$A18)))</f>
        <v/>
      </c>
      <c r="F18" s="163" cm="1">
        <f t="array" aca="1" ref="F18" ca="1">IF(SUMPRODUCT(COUNTIF(INDIRECT(工作表[工作表]&amp;"!C16"),$A18))=0,"",SUMPRODUCT(COUNTIF(INDIRECT(工作表[工作表]&amp;"!C16"),$A18)))</f>
        <v>1</v>
      </c>
      <c r="G18" s="163" cm="1">
        <f t="array" aca="1" ref="G18" ca="1">IF(SUMPRODUCT(COUNTIF(INDIRECT(工作表[工作表]&amp;"!C18"),$A18))=0,"",SUMPRODUCT(COUNTIF(INDIRECT(工作表[工作表]&amp;"!C18"),$A18)))</f>
        <v>1</v>
      </c>
      <c r="H18" s="163" t="str" cm="1">
        <f t="array" aca="1" ref="H18" ca="1">IF(SUMPRODUCT(COUNTIF(INDIRECT(工作表[工作表]&amp;"!C20"),$A18))=0,"",SUMPRODUCT(COUNTIF(INDIRECT(工作表[工作表]&amp;"!C20"),$A18)))</f>
        <v/>
      </c>
      <c r="I18" s="163" cm="1">
        <f t="array" aca="1" ref="I18" ca="1">IF(SUMPRODUCT(COUNTIF(INDIRECT(工作表[工作表]&amp;"!C22"),$A18))=0,"",SUMPRODUCT(COUNTIF(INDIRECT(工作表[工作表]&amp;"!C22"),$A18)))</f>
        <v>2</v>
      </c>
      <c r="J18" s="163" cm="1">
        <f t="array" aca="1" ref="J18" ca="1">IF(SUMPRODUCT(COUNTIF(INDIRECT(工作表[工作表]&amp;"!C24"),$A18))=0,"",SUMPRODUCT(COUNTIF(INDIRECT(工作表[工作表]&amp;"!C24"),$A18)))</f>
        <v>1</v>
      </c>
      <c r="K18" s="163" t="str" cm="1">
        <f t="array" aca="1" ref="K18" ca="1">IF(MAX(IF($AX18:$CB18&lt;$K$1,$AX18:$CB18,"0"))=0,"",$K$1-MAX(IF($AX18:$CB18&lt;$K$1,$AX18:$CB18,"0"))&amp;"天")</f>
        <v>7天</v>
      </c>
      <c r="M18" s="163">
        <f t="shared" ca="1" si="1"/>
        <v>58</v>
      </c>
      <c r="N18" s="163">
        <f>COUNTIF(_xlfn.XLOOKUP(B18,輪休基準表!$E$5:$AF$5,輪休基準表!$E$6:$AF$36,""),"")</f>
        <v>13</v>
      </c>
      <c r="O18" s="167">
        <f t="shared" ca="1" si="2"/>
        <v>4.4615384615384617</v>
      </c>
      <c r="Q18" s="17" t="s">
        <v>263</v>
      </c>
      <c r="R18" s="17">
        <f t="shared" ca="1" si="3"/>
        <v>8</v>
      </c>
      <c r="S18" s="17">
        <f t="shared" ca="1" si="3"/>
        <v>8</v>
      </c>
      <c r="T18" s="17">
        <f t="shared" ca="1" si="3"/>
        <v>0</v>
      </c>
      <c r="U18" s="17">
        <f t="shared" ca="1" si="3"/>
        <v>8</v>
      </c>
      <c r="V18" s="17">
        <f t="shared" ca="1" si="3"/>
        <v>0</v>
      </c>
      <c r="W18" s="17">
        <f t="shared" ca="1" si="3"/>
        <v>0</v>
      </c>
      <c r="X18" s="17">
        <f t="shared" ca="1" si="3"/>
        <v>0</v>
      </c>
      <c r="Y18" s="17">
        <f t="shared" ca="1" si="3"/>
        <v>0</v>
      </c>
      <c r="Z18" s="17">
        <f t="shared" ca="1" si="3"/>
        <v>6</v>
      </c>
      <c r="AA18" s="17">
        <f t="shared" ca="1" si="3"/>
        <v>0</v>
      </c>
      <c r="AB18" s="17">
        <f t="shared" ca="1" si="3"/>
        <v>0</v>
      </c>
      <c r="AC18" s="17">
        <f t="shared" ca="1" si="3"/>
        <v>0</v>
      </c>
      <c r="AD18" s="17">
        <f t="shared" ca="1" si="3"/>
        <v>6</v>
      </c>
      <c r="AE18" s="17">
        <f t="shared" ca="1" si="3"/>
        <v>0</v>
      </c>
      <c r="AF18" s="17">
        <f t="shared" ca="1" si="3"/>
        <v>6</v>
      </c>
      <c r="AG18" s="17">
        <f t="shared" ca="1" si="3"/>
        <v>0</v>
      </c>
      <c r="AH18" s="17">
        <f t="shared" ca="1" si="4"/>
        <v>8</v>
      </c>
      <c r="AI18" s="17">
        <f t="shared" ca="1" si="4"/>
        <v>8</v>
      </c>
      <c r="AJ18" s="17">
        <f t="shared" ca="1" si="4"/>
        <v>0</v>
      </c>
      <c r="AK18" s="17">
        <f t="shared" ca="1" si="4"/>
        <v>0</v>
      </c>
      <c r="AL18" s="17">
        <f t="shared" ca="1" si="4"/>
        <v>0</v>
      </c>
      <c r="AM18" s="17">
        <f t="shared" ca="1" si="4"/>
        <v>0</v>
      </c>
      <c r="AN18" s="17">
        <f t="shared" ca="1" si="4"/>
        <v>0</v>
      </c>
      <c r="AO18" s="17">
        <f t="shared" ca="1" si="4"/>
        <v>0</v>
      </c>
      <c r="AP18" s="17">
        <f t="shared" ca="1" si="4"/>
        <v>0</v>
      </c>
      <c r="AQ18" s="17">
        <f t="shared" ca="1" si="4"/>
        <v>0</v>
      </c>
      <c r="AR18" s="17">
        <f t="shared" ca="1" si="4"/>
        <v>0</v>
      </c>
      <c r="AS18" s="17">
        <f t="shared" ca="1" si="4"/>
        <v>0</v>
      </c>
      <c r="AT18" s="17">
        <f t="shared" ca="1" si="4"/>
        <v>0</v>
      </c>
      <c r="AU18" s="17">
        <f t="shared" ca="1" si="4"/>
        <v>0</v>
      </c>
      <c r="AV18" s="17">
        <f t="shared" ca="1" si="4"/>
        <v>0</v>
      </c>
      <c r="AX18" s="17" t="str" cm="1">
        <f t="array" aca="1" ref="AX18" ca="1">IF(INDIRECT(AX$1&amp;"!C24")=$A18,AX$2,"")</f>
        <v/>
      </c>
      <c r="AY18" s="17" t="str" cm="1">
        <f t="array" aca="1" ref="AY18" ca="1">IF(INDIRECT(AY$1&amp;"!C24")=$A18,AY$2,"")</f>
        <v/>
      </c>
      <c r="AZ18" s="17" t="str" cm="1">
        <f t="array" aca="1" ref="AZ18" ca="1">IF(INDIRECT(AZ$1&amp;"!C24")=$A18,AZ$2,"")</f>
        <v/>
      </c>
      <c r="BA18" s="17" t="str" cm="1">
        <f t="array" aca="1" ref="BA18" ca="1">IF(INDIRECT(BA$1&amp;"!C24")=$A18,BA$2,"")</f>
        <v/>
      </c>
      <c r="BB18" s="17" t="str" cm="1">
        <f t="array" aca="1" ref="BB18" ca="1">IF(INDIRECT(BB$1&amp;"!C24")=$A18,BB$2,"")</f>
        <v/>
      </c>
      <c r="BC18" s="17" t="str" cm="1">
        <f t="array" aca="1" ref="BC18" ca="1">IF(INDIRECT(BC$1&amp;"!C24")=$A18,BC$2,"")</f>
        <v/>
      </c>
      <c r="BD18" s="17" t="str" cm="1">
        <f t="array" aca="1" ref="BD18" ca="1">IF(INDIRECT(BD$1&amp;"!C24")=$A18,BD$2,"")</f>
        <v/>
      </c>
      <c r="BE18" s="17" t="str" cm="1">
        <f t="array" aca="1" ref="BE18" ca="1">IF(INDIRECT(BE$1&amp;"!C24")=$A18,BE$2,"")</f>
        <v/>
      </c>
      <c r="BF18" s="17" cm="1">
        <f t="array" aca="1" ref="BF18" ca="1">IF(INDIRECT(BF$1&amp;"!C24")=$A18,BF$2,"")</f>
        <v>46151</v>
      </c>
      <c r="BG18" s="17" t="str" cm="1">
        <f t="array" aca="1" ref="BG18" ca="1">IF(INDIRECT(BG$1&amp;"!C24")=$A18,BG$2,"")</f>
        <v/>
      </c>
      <c r="BH18" s="17" t="str" cm="1">
        <f t="array" aca="1" ref="BH18" ca="1">IF(INDIRECT(BH$1&amp;"!C24")=$A18,BH$2,"")</f>
        <v/>
      </c>
      <c r="BI18" s="17" t="str" cm="1">
        <f t="array" aca="1" ref="BI18" ca="1">IF(INDIRECT(BI$1&amp;"!C24")=$A18,BI$2,"")</f>
        <v/>
      </c>
      <c r="BJ18" s="17" t="str" cm="1">
        <f t="array" aca="1" ref="BJ18" ca="1">IF(INDIRECT(BJ$1&amp;"!C24")=$A18,BJ$2,"")</f>
        <v/>
      </c>
      <c r="BK18" s="17" t="str" cm="1">
        <f t="array" aca="1" ref="BK18" ca="1">IF(INDIRECT(BK$1&amp;"!C24")=$A18,BK$2,"")</f>
        <v/>
      </c>
      <c r="BL18" s="17" t="str" cm="1">
        <f t="array" aca="1" ref="BL18" ca="1">IF(INDIRECT(BL$1&amp;"!C24")=$A18,BL$2,"")</f>
        <v/>
      </c>
      <c r="BM18" s="17" t="str" cm="1">
        <f t="array" aca="1" ref="BM18" ca="1">IF(INDIRECT(BM$1&amp;"!C24")=$A18,BM$2,"")</f>
        <v/>
      </c>
      <c r="BN18" s="17" t="str" cm="1">
        <f t="array" aca="1" ref="BN18" ca="1">IF(INDIRECT(BN$1&amp;"!C24")=$A18,BN$2,"")</f>
        <v/>
      </c>
      <c r="BO18" s="17" t="str" cm="1">
        <f t="array" aca="1" ref="BO18" ca="1">IF(INDIRECT(BO$1&amp;"!C24")=$A18,BO$2,"")</f>
        <v/>
      </c>
      <c r="BP18" s="17" t="str" cm="1">
        <f t="array" aca="1" ref="BP18" ca="1">IF(INDIRECT(BP$1&amp;"!C24")=$A18,BP$2,"")</f>
        <v/>
      </c>
      <c r="BQ18" s="17" t="str" cm="1">
        <f t="array" aca="1" ref="BQ18" ca="1">IF(INDIRECT(BQ$1&amp;"!C24")=$A18,BQ$2,"")</f>
        <v/>
      </c>
      <c r="BR18" s="17" t="str" cm="1">
        <f t="array" aca="1" ref="BR18" ca="1">IF(INDIRECT(BR$1&amp;"!C24")=$A18,BR$2,"")</f>
        <v/>
      </c>
      <c r="BS18" s="17" t="str" cm="1">
        <f t="array" aca="1" ref="BS18" ca="1">IF(INDIRECT(BS$1&amp;"!C24")=$A18,BS$2,"")</f>
        <v/>
      </c>
      <c r="BT18" s="17" t="str" cm="1">
        <f t="array" aca="1" ref="BT18" ca="1">IF(INDIRECT(BT$1&amp;"!C24")=$A18,BT$2,"")</f>
        <v/>
      </c>
      <c r="BU18" s="17" t="str" cm="1">
        <f t="array" aca="1" ref="BU18" ca="1">IF(INDIRECT(BU$1&amp;"!C24")=$A18,BU$2,"")</f>
        <v/>
      </c>
      <c r="BV18" s="17" t="str" cm="1">
        <f t="array" aca="1" ref="BV18" ca="1">IF(INDIRECT(BV$1&amp;"!C24")=$A18,BV$2,"")</f>
        <v/>
      </c>
      <c r="BW18" s="17" t="str" cm="1">
        <f t="array" aca="1" ref="BW18" ca="1">IF(INDIRECT(BW$1&amp;"!C24")=$A18,BW$2,"")</f>
        <v/>
      </c>
      <c r="BX18" s="17" t="str" cm="1">
        <f t="array" aca="1" ref="BX18" ca="1">IF(INDIRECT(BX$1&amp;"!C24")=$A18,BX$2,"")</f>
        <v/>
      </c>
      <c r="BY18" s="17" t="str" cm="1">
        <f t="array" aca="1" ref="BY18" ca="1">IF(INDIRECT(BY$1&amp;"!C24")=$A18,BY$2,"")</f>
        <v/>
      </c>
      <c r="BZ18" s="17" t="str" cm="1">
        <f t="array" aca="1" ref="BZ18" ca="1">IF(INDIRECT(BZ$1&amp;"!C24")=$A18,BZ$2,"")</f>
        <v/>
      </c>
      <c r="CA18" s="17" t="str" cm="1">
        <f t="array" aca="1" ref="CA18" ca="1">IF(INDIRECT(CA$1&amp;"!C24")=$A18,CA$2,"")</f>
        <v/>
      </c>
      <c r="CB18" s="17" t="str" cm="1">
        <f t="array" aca="1" ref="CB18" ca="1">IF(INDIRECT(CB$1&amp;"!C24")=$A18,CB$2,"")</f>
        <v/>
      </c>
    </row>
    <row r="19" spans="1:80">
      <c r="A19" s="163">
        <v>17</v>
      </c>
      <c r="B19" s="163" t="str">
        <v>楊仲豪</v>
      </c>
      <c r="C19" s="163" cm="1">
        <f t="array" aca="1" ref="C19" ca="1">IF(SUMPRODUCT(COUNTIF(INDIRECT(工作表[工作表]&amp;"!C10"),$A19))=0,"",SUMPRODUCT(COUNTIF(INDIRECT(工作表[工作表]&amp;"!C10"),$A19)))</f>
        <v>1</v>
      </c>
      <c r="D19" s="163" cm="1">
        <f t="array" aca="1" ref="D19" ca="1">IF(SUMPRODUCT(COUNTIF(INDIRECT(工作表[工作表]&amp;"!C12"),$A19))=0,"",SUMPRODUCT(COUNTIF(INDIRECT(工作表[工作表]&amp;"!C12"),$A19)))</f>
        <v>1</v>
      </c>
      <c r="E19" s="163" t="str" cm="1">
        <f t="array" aca="1" ref="E19" ca="1">IF(SUMPRODUCT(COUNTIF(INDIRECT(工作表[工作表]&amp;"!C14"),$A19))=0,"",SUMPRODUCT(COUNTIF(INDIRECT(工作表[工作表]&amp;"!C14"),$A19)))</f>
        <v/>
      </c>
      <c r="F19" s="163" cm="1">
        <f t="array" aca="1" ref="F19" ca="1">IF(SUMPRODUCT(COUNTIF(INDIRECT(工作表[工作表]&amp;"!C16"),$A19))=0,"",SUMPRODUCT(COUNTIF(INDIRECT(工作表[工作表]&amp;"!C16"),$A19)))</f>
        <v>1</v>
      </c>
      <c r="G19" s="163" cm="1">
        <f t="array" aca="1" ref="G19" ca="1">IF(SUMPRODUCT(COUNTIF(INDIRECT(工作表[工作表]&amp;"!C18"),$A19))=0,"",SUMPRODUCT(COUNTIF(INDIRECT(工作表[工作表]&amp;"!C18"),$A19)))</f>
        <v>1</v>
      </c>
      <c r="H19" s="163" t="str" cm="1">
        <f t="array" aca="1" ref="H19" ca="1">IF(SUMPRODUCT(COUNTIF(INDIRECT(工作表[工作表]&amp;"!C20"),$A19))=0,"",SUMPRODUCT(COUNTIF(INDIRECT(工作表[工作表]&amp;"!C20"),$A19)))</f>
        <v/>
      </c>
      <c r="I19" s="163" t="str" cm="1">
        <f t="array" aca="1" ref="I19" ca="1">IF(SUMPRODUCT(COUNTIF(INDIRECT(工作表[工作表]&amp;"!C22"),$A19))=0,"",SUMPRODUCT(COUNTIF(INDIRECT(工作表[工作表]&amp;"!C22"),$A19)))</f>
        <v/>
      </c>
      <c r="J19" s="163" cm="1">
        <f t="array" aca="1" ref="J19" ca="1">IF(SUMPRODUCT(COUNTIF(INDIRECT(工作表[工作表]&amp;"!C24"),$A19))=0,"",SUMPRODUCT(COUNTIF(INDIRECT(工作表[工作表]&amp;"!C24"),$A19)))</f>
        <v>1</v>
      </c>
      <c r="K19" s="163" t="str" cm="1">
        <f t="array" aca="1" ref="K19" ca="1">IF(MAX(IF($AX19:$CB19&lt;$K$1,$AX19:$CB19,"0"))=0,"",$K$1-MAX(IF($AX19:$CB19&lt;$K$1,$AX19:$CB19,"0"))&amp;"天")</f>
        <v/>
      </c>
      <c r="M19" s="163">
        <f t="shared" ca="1" si="1"/>
        <v>34</v>
      </c>
      <c r="N19" s="163">
        <f>COUNTIF(_xlfn.XLOOKUP(B19,輪休基準表!$E$5:$AF$5,輪休基準表!$E$6:$AF$36,""),"")</f>
        <v>10</v>
      </c>
      <c r="O19" s="167">
        <f t="shared" ca="1" si="2"/>
        <v>3.4</v>
      </c>
      <c r="Q19" s="17" t="s">
        <v>264</v>
      </c>
      <c r="R19" s="17">
        <f t="shared" ca="1" si="3"/>
        <v>0</v>
      </c>
      <c r="S19" s="17">
        <f t="shared" ca="1" si="3"/>
        <v>0</v>
      </c>
      <c r="T19" s="17">
        <f t="shared" ca="1" si="3"/>
        <v>0</v>
      </c>
      <c r="U19" s="17">
        <f t="shared" ca="1" si="3"/>
        <v>8</v>
      </c>
      <c r="V19" s="17">
        <f t="shared" ca="1" si="3"/>
        <v>0</v>
      </c>
      <c r="W19" s="17">
        <f t="shared" ca="1" si="3"/>
        <v>8</v>
      </c>
      <c r="X19" s="17">
        <f t="shared" ca="1" si="3"/>
        <v>0</v>
      </c>
      <c r="Y19" s="17">
        <f t="shared" ca="1" si="3"/>
        <v>6</v>
      </c>
      <c r="Z19" s="17">
        <f t="shared" ca="1" si="3"/>
        <v>0</v>
      </c>
      <c r="AA19" s="17">
        <f t="shared" ca="1" si="3"/>
        <v>0</v>
      </c>
      <c r="AB19" s="17">
        <f t="shared" ca="1" si="3"/>
        <v>0</v>
      </c>
      <c r="AC19" s="17">
        <f t="shared" ca="1" si="3"/>
        <v>6</v>
      </c>
      <c r="AD19" s="17">
        <f t="shared" ca="1" si="3"/>
        <v>0</v>
      </c>
      <c r="AE19" s="17">
        <f t="shared" ca="1" si="3"/>
        <v>0</v>
      </c>
      <c r="AF19" s="17">
        <f t="shared" ca="1" si="3"/>
        <v>0</v>
      </c>
      <c r="AG19" s="17">
        <f t="shared" ca="1" si="3"/>
        <v>6</v>
      </c>
      <c r="AH19" s="17">
        <f t="shared" ca="1" si="4"/>
        <v>0</v>
      </c>
      <c r="AI19" s="17">
        <f t="shared" ca="1" si="4"/>
        <v>0</v>
      </c>
      <c r="AJ19" s="17">
        <f t="shared" ca="1" si="4"/>
        <v>0</v>
      </c>
      <c r="AK19" s="17">
        <f t="shared" ca="1" si="4"/>
        <v>0</v>
      </c>
      <c r="AL19" s="17">
        <f t="shared" ca="1" si="4"/>
        <v>0</v>
      </c>
      <c r="AM19" s="17">
        <f t="shared" ca="1" si="4"/>
        <v>0</v>
      </c>
      <c r="AN19" s="17">
        <f t="shared" ca="1" si="4"/>
        <v>0</v>
      </c>
      <c r="AO19" s="17">
        <f t="shared" ca="1" si="4"/>
        <v>0</v>
      </c>
      <c r="AP19" s="17">
        <f t="shared" ca="1" si="4"/>
        <v>0</v>
      </c>
      <c r="AQ19" s="17">
        <f t="shared" ca="1" si="4"/>
        <v>0</v>
      </c>
      <c r="AR19" s="17">
        <f t="shared" ca="1" si="4"/>
        <v>0</v>
      </c>
      <c r="AS19" s="17">
        <f t="shared" ca="1" si="4"/>
        <v>0</v>
      </c>
      <c r="AT19" s="17">
        <f t="shared" ca="1" si="4"/>
        <v>0</v>
      </c>
      <c r="AU19" s="17">
        <f t="shared" ca="1" si="4"/>
        <v>0</v>
      </c>
      <c r="AV19" s="17">
        <f t="shared" ca="1" si="4"/>
        <v>0</v>
      </c>
      <c r="AX19" s="17" t="str" cm="1">
        <f t="array" aca="1" ref="AX19" ca="1">IF(INDIRECT(AX$1&amp;"!C24")=$A19,AX$2,"")</f>
        <v/>
      </c>
      <c r="AY19" s="17" t="str" cm="1">
        <f t="array" aca="1" ref="AY19" ca="1">IF(INDIRECT(AY$1&amp;"!C24")=$A19,AY$2,"")</f>
        <v/>
      </c>
      <c r="AZ19" s="17" t="str" cm="1">
        <f t="array" aca="1" ref="AZ19" ca="1">IF(INDIRECT(AZ$1&amp;"!C24")=$A19,AZ$2,"")</f>
        <v/>
      </c>
      <c r="BA19" s="17" t="str" cm="1">
        <f t="array" aca="1" ref="BA19" ca="1">IF(INDIRECT(BA$1&amp;"!C24")=$A19,BA$2,"")</f>
        <v/>
      </c>
      <c r="BB19" s="17" t="str" cm="1">
        <f t="array" aca="1" ref="BB19" ca="1">IF(INDIRECT(BB$1&amp;"!C24")=$A19,BB$2,"")</f>
        <v/>
      </c>
      <c r="BC19" s="17" t="str" cm="1">
        <f t="array" aca="1" ref="BC19" ca="1">IF(INDIRECT(BC$1&amp;"!C24")=$A19,BC$2,"")</f>
        <v/>
      </c>
      <c r="BD19" s="17" t="str" cm="1">
        <f t="array" aca="1" ref="BD19" ca="1">IF(INDIRECT(BD$1&amp;"!C24")=$A19,BD$2,"")</f>
        <v/>
      </c>
      <c r="BE19" s="17" t="str" cm="1">
        <f t="array" aca="1" ref="BE19" ca="1">IF(INDIRECT(BE$1&amp;"!C24")=$A19,BE$2,"")</f>
        <v/>
      </c>
      <c r="BF19" s="17" t="str" cm="1">
        <f t="array" aca="1" ref="BF19" ca="1">IF(INDIRECT(BF$1&amp;"!C24")=$A19,BF$2,"")</f>
        <v/>
      </c>
      <c r="BG19" s="17" t="str" cm="1">
        <f t="array" aca="1" ref="BG19" ca="1">IF(INDIRECT(BG$1&amp;"!C24")=$A19,BG$2,"")</f>
        <v/>
      </c>
      <c r="BH19" s="17" t="str" cm="1">
        <f t="array" aca="1" ref="BH19" ca="1">IF(INDIRECT(BH$1&amp;"!C24")=$A19,BH$2,"")</f>
        <v/>
      </c>
      <c r="BI19" s="17" t="str" cm="1">
        <f t="array" aca="1" ref="BI19" ca="1">IF(INDIRECT(BI$1&amp;"!C24")=$A19,BI$2,"")</f>
        <v/>
      </c>
      <c r="BJ19" s="17" t="str" cm="1">
        <f t="array" aca="1" ref="BJ19" ca="1">IF(INDIRECT(BJ$1&amp;"!C24")=$A19,BJ$2,"")</f>
        <v/>
      </c>
      <c r="BK19" s="17" t="str" cm="1">
        <f t="array" aca="1" ref="BK19" ca="1">IF(INDIRECT(BK$1&amp;"!C24")=$A19,BK$2,"")</f>
        <v/>
      </c>
      <c r="BL19" s="17" t="str" cm="1">
        <f t="array" aca="1" ref="BL19" ca="1">IF(INDIRECT(BL$1&amp;"!C24")=$A19,BL$2,"")</f>
        <v/>
      </c>
      <c r="BM19" s="17" cm="1">
        <f t="array" aca="1" ref="BM19" ca="1">IF(INDIRECT(BM$1&amp;"!C24")=$A19,BM$2,"")</f>
        <v>46158</v>
      </c>
      <c r="BN19" s="17" t="str" cm="1">
        <f t="array" aca="1" ref="BN19" ca="1">IF(INDIRECT(BN$1&amp;"!C24")=$A19,BN$2,"")</f>
        <v/>
      </c>
      <c r="BO19" s="17" t="str" cm="1">
        <f t="array" aca="1" ref="BO19" ca="1">IF(INDIRECT(BO$1&amp;"!C24")=$A19,BO$2,"")</f>
        <v/>
      </c>
      <c r="BP19" s="17" t="str" cm="1">
        <f t="array" aca="1" ref="BP19" ca="1">IF(INDIRECT(BP$1&amp;"!C24")=$A19,BP$2,"")</f>
        <v/>
      </c>
      <c r="BQ19" s="17" t="str" cm="1">
        <f t="array" aca="1" ref="BQ19" ca="1">IF(INDIRECT(BQ$1&amp;"!C24")=$A19,BQ$2,"")</f>
        <v/>
      </c>
      <c r="BR19" s="17" t="str" cm="1">
        <f t="array" aca="1" ref="BR19" ca="1">IF(INDIRECT(BR$1&amp;"!C24")=$A19,BR$2,"")</f>
        <v/>
      </c>
      <c r="BS19" s="17" t="str" cm="1">
        <f t="array" aca="1" ref="BS19" ca="1">IF(INDIRECT(BS$1&amp;"!C24")=$A19,BS$2,"")</f>
        <v/>
      </c>
      <c r="BT19" s="17" t="str" cm="1">
        <f t="array" aca="1" ref="BT19" ca="1">IF(INDIRECT(BT$1&amp;"!C24")=$A19,BT$2,"")</f>
        <v/>
      </c>
      <c r="BU19" s="17" t="str" cm="1">
        <f t="array" aca="1" ref="BU19" ca="1">IF(INDIRECT(BU$1&amp;"!C24")=$A19,BU$2,"")</f>
        <v/>
      </c>
      <c r="BV19" s="17" t="str" cm="1">
        <f t="array" aca="1" ref="BV19" ca="1">IF(INDIRECT(BV$1&amp;"!C24")=$A19,BV$2,"")</f>
        <v/>
      </c>
      <c r="BW19" s="17" t="str" cm="1">
        <f t="array" aca="1" ref="BW19" ca="1">IF(INDIRECT(BW$1&amp;"!C24")=$A19,BW$2,"")</f>
        <v/>
      </c>
      <c r="BX19" s="17" t="str" cm="1">
        <f t="array" aca="1" ref="BX19" ca="1">IF(INDIRECT(BX$1&amp;"!C24")=$A19,BX$2,"")</f>
        <v/>
      </c>
      <c r="BY19" s="17" t="str" cm="1">
        <f t="array" aca="1" ref="BY19" ca="1">IF(INDIRECT(BY$1&amp;"!C24")=$A19,BY$2,"")</f>
        <v/>
      </c>
      <c r="BZ19" s="17" t="str" cm="1">
        <f t="array" aca="1" ref="BZ19" ca="1">IF(INDIRECT(BZ$1&amp;"!C24")=$A19,BZ$2,"")</f>
        <v/>
      </c>
      <c r="CA19" s="17" t="str" cm="1">
        <f t="array" aca="1" ref="CA19" ca="1">IF(INDIRECT(CA$1&amp;"!C24")=$A19,CA$2,"")</f>
        <v/>
      </c>
      <c r="CB19" s="17" t="str" cm="1">
        <f t="array" aca="1" ref="CB19" ca="1">IF(INDIRECT(CB$1&amp;"!C24")=$A19,CB$2,"")</f>
        <v/>
      </c>
    </row>
    <row r="20" spans="1:80">
      <c r="A20" s="163">
        <v>18</v>
      </c>
      <c r="B20" s="163" t="str">
        <v>林志偉</v>
      </c>
      <c r="C20" s="163" t="str" cm="1">
        <f t="array" aca="1" ref="C20" ca="1">IF(SUMPRODUCT(COUNTIF(INDIRECT(工作表[工作表]&amp;"!C10"),$A20))=0,"",SUMPRODUCT(COUNTIF(INDIRECT(工作表[工作表]&amp;"!C10"),$A20)))</f>
        <v/>
      </c>
      <c r="D20" s="163" cm="1">
        <f t="array" aca="1" ref="D20" ca="1">IF(SUMPRODUCT(COUNTIF(INDIRECT(工作表[工作表]&amp;"!C12"),$A20))=0,"",SUMPRODUCT(COUNTIF(INDIRECT(工作表[工作表]&amp;"!C12"),$A20)))</f>
        <v>1</v>
      </c>
      <c r="E20" s="163" cm="1">
        <f t="array" aca="1" ref="E20" ca="1">IF(SUMPRODUCT(COUNTIF(INDIRECT(工作表[工作表]&amp;"!C14"),$A20))=0,"",SUMPRODUCT(COUNTIF(INDIRECT(工作表[工作表]&amp;"!C14"),$A20)))</f>
        <v>2</v>
      </c>
      <c r="F20" s="163" cm="1">
        <f t="array" aca="1" ref="F20" ca="1">IF(SUMPRODUCT(COUNTIF(INDIRECT(工作表[工作表]&amp;"!C16"),$A20))=0,"",SUMPRODUCT(COUNTIF(INDIRECT(工作表[工作表]&amp;"!C16"),$A20)))</f>
        <v>1</v>
      </c>
      <c r="G20" s="163" cm="1">
        <f t="array" aca="1" ref="G20" ca="1">IF(SUMPRODUCT(COUNTIF(INDIRECT(工作表[工作表]&amp;"!C18"),$A20))=0,"",SUMPRODUCT(COUNTIF(INDIRECT(工作表[工作表]&amp;"!C18"),$A20)))</f>
        <v>1</v>
      </c>
      <c r="H20" s="163" t="str" cm="1">
        <f t="array" aca="1" ref="H20" ca="1">IF(SUMPRODUCT(COUNTIF(INDIRECT(工作表[工作表]&amp;"!C20"),$A20))=0,"",SUMPRODUCT(COUNTIF(INDIRECT(工作表[工作表]&amp;"!C20"),$A20)))</f>
        <v/>
      </c>
      <c r="I20" s="163" cm="1">
        <f t="array" aca="1" ref="I20" ca="1">IF(SUMPRODUCT(COUNTIF(INDIRECT(工作表[工作表]&amp;"!C22"),$A20))=0,"",SUMPRODUCT(COUNTIF(INDIRECT(工作表[工作表]&amp;"!C22"),$A20)))</f>
        <v>1</v>
      </c>
      <c r="J20" s="163" t="str" cm="1">
        <f t="array" aca="1" ref="J20" ca="1">IF(SUMPRODUCT(COUNTIF(INDIRECT(工作表[工作表]&amp;"!C24"),$A20))=0,"",SUMPRODUCT(COUNTIF(INDIRECT(工作表[工作表]&amp;"!C24"),$A20)))</f>
        <v/>
      </c>
      <c r="K20" s="163" t="str" cm="1">
        <f t="array" aca="1" ref="K20" ca="1">IF(MAX(IF($AX20:$CB20&lt;$K$1,$AX20:$CB20,"0"))=0,"",$K$1-MAX(IF($AX20:$CB20&lt;$K$1,$AX20:$CB20,"0"))&amp;"天")</f>
        <v/>
      </c>
      <c r="M20" s="163">
        <f t="shared" ca="1" si="1"/>
        <v>42</v>
      </c>
      <c r="N20" s="163">
        <f>COUNTIF(_xlfn.XLOOKUP(B20,輪休基準表!$E$5:$AF$5,輪休基準表!$E$6:$AF$36,""),"")</f>
        <v>11</v>
      </c>
      <c r="O20" s="167">
        <f t="shared" ca="1" si="2"/>
        <v>3.8181818181818183</v>
      </c>
      <c r="Q20" s="17" t="s">
        <v>265</v>
      </c>
      <c r="R20" s="17">
        <f t="shared" ca="1" si="3"/>
        <v>6</v>
      </c>
      <c r="S20" s="17">
        <f t="shared" ca="1" si="3"/>
        <v>0</v>
      </c>
      <c r="T20" s="17">
        <f t="shared" ca="1" si="3"/>
        <v>0</v>
      </c>
      <c r="U20" s="17">
        <f t="shared" ca="1" si="3"/>
        <v>6</v>
      </c>
      <c r="V20" s="17">
        <f t="shared" ca="1" si="3"/>
        <v>0</v>
      </c>
      <c r="W20" s="17">
        <f t="shared" ca="1" si="3"/>
        <v>0</v>
      </c>
      <c r="X20" s="17">
        <f t="shared" ca="1" si="3"/>
        <v>0</v>
      </c>
      <c r="Y20" s="17">
        <f t="shared" ca="1" si="3"/>
        <v>0</v>
      </c>
      <c r="Z20" s="17">
        <f t="shared" ca="1" si="3"/>
        <v>0</v>
      </c>
      <c r="AA20" s="17">
        <f t="shared" ca="1" si="3"/>
        <v>0</v>
      </c>
      <c r="AB20" s="17">
        <f t="shared" ca="1" si="3"/>
        <v>0</v>
      </c>
      <c r="AC20" s="17">
        <f t="shared" ca="1" si="3"/>
        <v>0</v>
      </c>
      <c r="AD20" s="17">
        <f t="shared" ca="1" si="3"/>
        <v>8</v>
      </c>
      <c r="AE20" s="17">
        <f t="shared" ca="1" si="3"/>
        <v>6</v>
      </c>
      <c r="AF20" s="17">
        <f t="shared" ca="1" si="3"/>
        <v>0</v>
      </c>
      <c r="AG20" s="17">
        <f t="shared" ca="1" si="3"/>
        <v>0</v>
      </c>
      <c r="AH20" s="17">
        <f t="shared" ca="1" si="4"/>
        <v>8</v>
      </c>
      <c r="AI20" s="17">
        <f t="shared" ca="1" si="4"/>
        <v>8</v>
      </c>
      <c r="AJ20" s="17">
        <f t="shared" ca="1" si="4"/>
        <v>0</v>
      </c>
      <c r="AK20" s="17">
        <f t="shared" ca="1" si="4"/>
        <v>0</v>
      </c>
      <c r="AL20" s="17">
        <f t="shared" ca="1" si="4"/>
        <v>0</v>
      </c>
      <c r="AM20" s="17">
        <f t="shared" ca="1" si="4"/>
        <v>0</v>
      </c>
      <c r="AN20" s="17">
        <f t="shared" ca="1" si="4"/>
        <v>0</v>
      </c>
      <c r="AO20" s="17">
        <f t="shared" ca="1" si="4"/>
        <v>0</v>
      </c>
      <c r="AP20" s="17">
        <f t="shared" ca="1" si="4"/>
        <v>0</v>
      </c>
      <c r="AQ20" s="17">
        <f t="shared" ca="1" si="4"/>
        <v>0</v>
      </c>
      <c r="AR20" s="17">
        <f t="shared" ca="1" si="4"/>
        <v>0</v>
      </c>
      <c r="AS20" s="17">
        <f t="shared" ca="1" si="4"/>
        <v>0</v>
      </c>
      <c r="AT20" s="17">
        <f t="shared" ca="1" si="4"/>
        <v>0</v>
      </c>
      <c r="AU20" s="17">
        <f t="shared" ca="1" si="4"/>
        <v>0</v>
      </c>
      <c r="AV20" s="17">
        <f t="shared" ca="1" si="4"/>
        <v>0</v>
      </c>
      <c r="AX20" s="17" t="str" cm="1">
        <f t="array" aca="1" ref="AX20" ca="1">IF(INDIRECT(AX$1&amp;"!C24")=$A20,AX$2,"")</f>
        <v/>
      </c>
      <c r="AY20" s="17" t="str" cm="1">
        <f t="array" aca="1" ref="AY20" ca="1">IF(INDIRECT(AY$1&amp;"!C24")=$A20,AY$2,"")</f>
        <v/>
      </c>
      <c r="AZ20" s="17" t="str" cm="1">
        <f t="array" aca="1" ref="AZ20" ca="1">IF(INDIRECT(AZ$1&amp;"!C24")=$A20,AZ$2,"")</f>
        <v/>
      </c>
      <c r="BA20" s="17" t="str" cm="1">
        <f t="array" aca="1" ref="BA20" ca="1">IF(INDIRECT(BA$1&amp;"!C24")=$A20,BA$2,"")</f>
        <v/>
      </c>
      <c r="BB20" s="17" t="str" cm="1">
        <f t="array" aca="1" ref="BB20" ca="1">IF(INDIRECT(BB$1&amp;"!C24")=$A20,BB$2,"")</f>
        <v/>
      </c>
      <c r="BC20" s="17" t="str" cm="1">
        <f t="array" aca="1" ref="BC20" ca="1">IF(INDIRECT(BC$1&amp;"!C24")=$A20,BC$2,"")</f>
        <v/>
      </c>
      <c r="BD20" s="17" t="str" cm="1">
        <f t="array" aca="1" ref="BD20" ca="1">IF(INDIRECT(BD$1&amp;"!C24")=$A20,BD$2,"")</f>
        <v/>
      </c>
      <c r="BE20" s="17" t="str" cm="1">
        <f t="array" aca="1" ref="BE20" ca="1">IF(INDIRECT(BE$1&amp;"!C24")=$A20,BE$2,"")</f>
        <v/>
      </c>
      <c r="BF20" s="17" t="str" cm="1">
        <f t="array" aca="1" ref="BF20" ca="1">IF(INDIRECT(BF$1&amp;"!C24")=$A20,BF$2,"")</f>
        <v/>
      </c>
      <c r="BG20" s="17" t="str" cm="1">
        <f t="array" aca="1" ref="BG20" ca="1">IF(INDIRECT(BG$1&amp;"!C24")=$A20,BG$2,"")</f>
        <v/>
      </c>
      <c r="BH20" s="17" t="str" cm="1">
        <f t="array" aca="1" ref="BH20" ca="1">IF(INDIRECT(BH$1&amp;"!C24")=$A20,BH$2,"")</f>
        <v/>
      </c>
      <c r="BI20" s="17" t="str" cm="1">
        <f t="array" aca="1" ref="BI20" ca="1">IF(INDIRECT(BI$1&amp;"!C24")=$A20,BI$2,"")</f>
        <v/>
      </c>
      <c r="BJ20" s="17" t="str" cm="1">
        <f t="array" aca="1" ref="BJ20" ca="1">IF(INDIRECT(BJ$1&amp;"!C24")=$A20,BJ$2,"")</f>
        <v/>
      </c>
      <c r="BK20" s="17" t="str" cm="1">
        <f t="array" aca="1" ref="BK20" ca="1">IF(INDIRECT(BK$1&amp;"!C24")=$A20,BK$2,"")</f>
        <v/>
      </c>
      <c r="BL20" s="17" t="str" cm="1">
        <f t="array" aca="1" ref="BL20" ca="1">IF(INDIRECT(BL$1&amp;"!C24")=$A20,BL$2,"")</f>
        <v/>
      </c>
      <c r="BM20" s="17" t="str" cm="1">
        <f t="array" aca="1" ref="BM20" ca="1">IF(INDIRECT(BM$1&amp;"!C24")=$A20,BM$2,"")</f>
        <v/>
      </c>
      <c r="BN20" s="17" t="str" cm="1">
        <f t="array" aca="1" ref="BN20" ca="1">IF(INDIRECT(BN$1&amp;"!C24")=$A20,BN$2,"")</f>
        <v/>
      </c>
      <c r="BO20" s="17" t="str" cm="1">
        <f t="array" aca="1" ref="BO20" ca="1">IF(INDIRECT(BO$1&amp;"!C24")=$A20,BO$2,"")</f>
        <v/>
      </c>
      <c r="BP20" s="17" t="str" cm="1">
        <f t="array" aca="1" ref="BP20" ca="1">IF(INDIRECT(BP$1&amp;"!C24")=$A20,BP$2,"")</f>
        <v/>
      </c>
      <c r="BQ20" s="17" t="str" cm="1">
        <f t="array" aca="1" ref="BQ20" ca="1">IF(INDIRECT(BQ$1&amp;"!C24")=$A20,BQ$2,"")</f>
        <v/>
      </c>
      <c r="BR20" s="17" t="str" cm="1">
        <f t="array" aca="1" ref="BR20" ca="1">IF(INDIRECT(BR$1&amp;"!C24")=$A20,BR$2,"")</f>
        <v/>
      </c>
      <c r="BS20" s="17" t="str" cm="1">
        <f t="array" aca="1" ref="BS20" ca="1">IF(INDIRECT(BS$1&amp;"!C24")=$A20,BS$2,"")</f>
        <v/>
      </c>
      <c r="BT20" s="17" t="str" cm="1">
        <f t="array" aca="1" ref="BT20" ca="1">IF(INDIRECT(BT$1&amp;"!C24")=$A20,BT$2,"")</f>
        <v/>
      </c>
      <c r="BU20" s="17" t="str" cm="1">
        <f t="array" aca="1" ref="BU20" ca="1">IF(INDIRECT(BU$1&amp;"!C24")=$A20,BU$2,"")</f>
        <v/>
      </c>
      <c r="BV20" s="17" t="str" cm="1">
        <f t="array" aca="1" ref="BV20" ca="1">IF(INDIRECT(BV$1&amp;"!C24")=$A20,BV$2,"")</f>
        <v/>
      </c>
      <c r="BW20" s="17" t="str" cm="1">
        <f t="array" aca="1" ref="BW20" ca="1">IF(INDIRECT(BW$1&amp;"!C24")=$A20,BW$2,"")</f>
        <v/>
      </c>
      <c r="BX20" s="17" t="str" cm="1">
        <f t="array" aca="1" ref="BX20" ca="1">IF(INDIRECT(BX$1&amp;"!C24")=$A20,BX$2,"")</f>
        <v/>
      </c>
      <c r="BY20" s="17" t="str" cm="1">
        <f t="array" aca="1" ref="BY20" ca="1">IF(INDIRECT(BY$1&amp;"!C24")=$A20,BY$2,"")</f>
        <v/>
      </c>
      <c r="BZ20" s="17" t="str" cm="1">
        <f t="array" aca="1" ref="BZ20" ca="1">IF(INDIRECT(BZ$1&amp;"!C24")=$A20,BZ$2,"")</f>
        <v/>
      </c>
      <c r="CA20" s="17" t="str" cm="1">
        <f t="array" aca="1" ref="CA20" ca="1">IF(INDIRECT(CA$1&amp;"!C24")=$A20,CA$2,"")</f>
        <v/>
      </c>
      <c r="CB20" s="17" t="str" cm="1">
        <f t="array" aca="1" ref="CB20" ca="1">IF(INDIRECT(CB$1&amp;"!C24")=$A20,CB$2,"")</f>
        <v/>
      </c>
    </row>
    <row r="21" spans="1:80">
      <c r="A21" s="163">
        <v>19</v>
      </c>
      <c r="B21" s="163" t="str">
        <v>劉家誠</v>
      </c>
      <c r="C21" s="163" t="str" cm="1">
        <f t="array" aca="1" ref="C21" ca="1">IF(SUMPRODUCT(COUNTIF(INDIRECT(工作表[工作表]&amp;"!C10"),$A21))=0,"",SUMPRODUCT(COUNTIF(INDIRECT(工作表[工作表]&amp;"!C10"),$A21)))</f>
        <v/>
      </c>
      <c r="D21" s="163" cm="1">
        <f t="array" aca="1" ref="D21" ca="1">IF(SUMPRODUCT(COUNTIF(INDIRECT(工作表[工作表]&amp;"!C12"),$A21))=0,"",SUMPRODUCT(COUNTIF(INDIRECT(工作表[工作表]&amp;"!C12"),$A21)))</f>
        <v>2</v>
      </c>
      <c r="E21" s="163" cm="1">
        <f t="array" aca="1" ref="E21" ca="1">IF(SUMPRODUCT(COUNTIF(INDIRECT(工作表[工作表]&amp;"!C14"),$A21))=0,"",SUMPRODUCT(COUNTIF(INDIRECT(工作表[工作表]&amp;"!C14"),$A21)))</f>
        <v>1</v>
      </c>
      <c r="F21" s="163" cm="1">
        <f t="array" aca="1" ref="F21" ca="1">IF(SUMPRODUCT(COUNTIF(INDIRECT(工作表[工作表]&amp;"!C16"),$A21))=0,"",SUMPRODUCT(COUNTIF(INDIRECT(工作表[工作表]&amp;"!C16"),$A21)))</f>
        <v>1</v>
      </c>
      <c r="G21" s="163" cm="1">
        <f t="array" aca="1" ref="G21" ca="1">IF(SUMPRODUCT(COUNTIF(INDIRECT(工作表[工作表]&amp;"!C18"),$A21))=0,"",SUMPRODUCT(COUNTIF(INDIRECT(工作表[工作表]&amp;"!C18"),$A21)))</f>
        <v>2</v>
      </c>
      <c r="H21" s="163" t="str" cm="1">
        <f t="array" aca="1" ref="H21" ca="1">IF(SUMPRODUCT(COUNTIF(INDIRECT(工作表[工作表]&amp;"!C20"),$A21))=0,"",SUMPRODUCT(COUNTIF(INDIRECT(工作表[工作表]&amp;"!C20"),$A21)))</f>
        <v/>
      </c>
      <c r="I21" s="163" cm="1">
        <f t="array" aca="1" ref="I21" ca="1">IF(SUMPRODUCT(COUNTIF(INDIRECT(工作表[工作表]&amp;"!C22"),$A21))=0,"",SUMPRODUCT(COUNTIF(INDIRECT(工作表[工作表]&amp;"!C22"),$A21)))</f>
        <v>1</v>
      </c>
      <c r="J21" s="163" t="str" cm="1">
        <f t="array" aca="1" ref="J21" ca="1">IF(SUMPRODUCT(COUNTIF(INDIRECT(工作表[工作表]&amp;"!C24"),$A21))=0,"",SUMPRODUCT(COUNTIF(INDIRECT(工作表[工作表]&amp;"!C24"),$A21)))</f>
        <v/>
      </c>
      <c r="K21" s="163" t="str" cm="1">
        <f t="array" aca="1" ref="K21" ca="1">IF(MAX(IF($AX21:$CB21&lt;$K$1,$AX21:$CB21,"0"))=0,"",$K$1-MAX(IF($AX21:$CB21&lt;$K$1,$AX21:$CB21,"0"))&amp;"天")</f>
        <v/>
      </c>
      <c r="M21" s="163">
        <f t="shared" ca="1" si="1"/>
        <v>50</v>
      </c>
      <c r="N21" s="163">
        <f>COUNTIF(_xlfn.XLOOKUP(B21,輪休基準表!$E$5:$AF$5,輪休基準表!$E$6:$AF$36,""),"")</f>
        <v>11</v>
      </c>
      <c r="O21" s="167">
        <f t="shared" ca="1" si="2"/>
        <v>4.5454545454545459</v>
      </c>
      <c r="Q21" s="17" t="s">
        <v>266</v>
      </c>
      <c r="R21" s="17">
        <f t="shared" ca="1" si="3"/>
        <v>0</v>
      </c>
      <c r="S21" s="17">
        <f t="shared" ca="1" si="3"/>
        <v>8</v>
      </c>
      <c r="T21" s="17">
        <f t="shared" ca="1" si="3"/>
        <v>0</v>
      </c>
      <c r="U21" s="17">
        <f t="shared" ca="1" si="3"/>
        <v>6</v>
      </c>
      <c r="V21" s="17">
        <f t="shared" ca="1" si="3"/>
        <v>0</v>
      </c>
      <c r="W21" s="17">
        <f t="shared" ca="1" si="3"/>
        <v>0</v>
      </c>
      <c r="X21" s="17">
        <f t="shared" ca="1" si="3"/>
        <v>0</v>
      </c>
      <c r="Y21" s="17">
        <f t="shared" ca="1" si="3"/>
        <v>8</v>
      </c>
      <c r="Z21" s="17">
        <f t="shared" ca="1" si="3"/>
        <v>0</v>
      </c>
      <c r="AA21" s="17">
        <f t="shared" ca="1" si="3"/>
        <v>6</v>
      </c>
      <c r="AB21" s="17">
        <f t="shared" ca="1" si="3"/>
        <v>0</v>
      </c>
      <c r="AC21" s="17">
        <f t="shared" ca="1" si="3"/>
        <v>8</v>
      </c>
      <c r="AD21" s="17">
        <f t="shared" ca="1" si="3"/>
        <v>0</v>
      </c>
      <c r="AE21" s="17">
        <f t="shared" ca="1" si="3"/>
        <v>8</v>
      </c>
      <c r="AF21" s="17">
        <f t="shared" ca="1" si="3"/>
        <v>0</v>
      </c>
      <c r="AG21" s="17">
        <f t="shared" ca="1" si="3"/>
        <v>0</v>
      </c>
      <c r="AH21" s="17">
        <f t="shared" ca="1" si="4"/>
        <v>0</v>
      </c>
      <c r="AI21" s="17">
        <f t="shared" ca="1" si="4"/>
        <v>6</v>
      </c>
      <c r="AJ21" s="17">
        <f t="shared" ca="1" si="4"/>
        <v>0</v>
      </c>
      <c r="AK21" s="17">
        <f t="shared" ca="1" si="4"/>
        <v>0</v>
      </c>
      <c r="AL21" s="17">
        <f t="shared" ca="1" si="4"/>
        <v>0</v>
      </c>
      <c r="AM21" s="17">
        <f t="shared" ca="1" si="4"/>
        <v>0</v>
      </c>
      <c r="AN21" s="17">
        <f t="shared" ca="1" si="4"/>
        <v>0</v>
      </c>
      <c r="AO21" s="17">
        <f t="shared" ca="1" si="4"/>
        <v>0</v>
      </c>
      <c r="AP21" s="17">
        <f t="shared" ca="1" si="4"/>
        <v>0</v>
      </c>
      <c r="AQ21" s="17">
        <f t="shared" ca="1" si="4"/>
        <v>0</v>
      </c>
      <c r="AR21" s="17">
        <f t="shared" ca="1" si="4"/>
        <v>0</v>
      </c>
      <c r="AS21" s="17">
        <f t="shared" ca="1" si="4"/>
        <v>0</v>
      </c>
      <c r="AT21" s="17">
        <f t="shared" ca="1" si="4"/>
        <v>0</v>
      </c>
      <c r="AU21" s="17">
        <f t="shared" ca="1" si="4"/>
        <v>0</v>
      </c>
      <c r="AV21" s="17">
        <f t="shared" ca="1" si="4"/>
        <v>0</v>
      </c>
      <c r="AX21" s="17" t="str" cm="1">
        <f t="array" aca="1" ref="AX21" ca="1">IF(INDIRECT(AX$1&amp;"!C24")=$A21,AX$2,"")</f>
        <v/>
      </c>
      <c r="AY21" s="17" t="str" cm="1">
        <f t="array" aca="1" ref="AY21" ca="1">IF(INDIRECT(AY$1&amp;"!C24")=$A21,AY$2,"")</f>
        <v/>
      </c>
      <c r="AZ21" s="17" t="str" cm="1">
        <f t="array" aca="1" ref="AZ21" ca="1">IF(INDIRECT(AZ$1&amp;"!C24")=$A21,AZ$2,"")</f>
        <v/>
      </c>
      <c r="BA21" s="17" t="str" cm="1">
        <f t="array" aca="1" ref="BA21" ca="1">IF(INDIRECT(BA$1&amp;"!C24")=$A21,BA$2,"")</f>
        <v/>
      </c>
      <c r="BB21" s="17" t="str" cm="1">
        <f t="array" aca="1" ref="BB21" ca="1">IF(INDIRECT(BB$1&amp;"!C24")=$A21,BB$2,"")</f>
        <v/>
      </c>
      <c r="BC21" s="17" t="str" cm="1">
        <f t="array" aca="1" ref="BC21" ca="1">IF(INDIRECT(BC$1&amp;"!C24")=$A21,BC$2,"")</f>
        <v/>
      </c>
      <c r="BD21" s="17" t="str" cm="1">
        <f t="array" aca="1" ref="BD21" ca="1">IF(INDIRECT(BD$1&amp;"!C24")=$A21,BD$2,"")</f>
        <v/>
      </c>
      <c r="BE21" s="17" t="str" cm="1">
        <f t="array" aca="1" ref="BE21" ca="1">IF(INDIRECT(BE$1&amp;"!C24")=$A21,BE$2,"")</f>
        <v/>
      </c>
      <c r="BF21" s="17" t="str" cm="1">
        <f t="array" aca="1" ref="BF21" ca="1">IF(INDIRECT(BF$1&amp;"!C24")=$A21,BF$2,"")</f>
        <v/>
      </c>
      <c r="BG21" s="17" t="str" cm="1">
        <f t="array" aca="1" ref="BG21" ca="1">IF(INDIRECT(BG$1&amp;"!C24")=$A21,BG$2,"")</f>
        <v/>
      </c>
      <c r="BH21" s="17" t="str" cm="1">
        <f t="array" aca="1" ref="BH21" ca="1">IF(INDIRECT(BH$1&amp;"!C24")=$A21,BH$2,"")</f>
        <v/>
      </c>
      <c r="BI21" s="17" t="str" cm="1">
        <f t="array" aca="1" ref="BI21" ca="1">IF(INDIRECT(BI$1&amp;"!C24")=$A21,BI$2,"")</f>
        <v/>
      </c>
      <c r="BJ21" s="17" t="str" cm="1">
        <f t="array" aca="1" ref="BJ21" ca="1">IF(INDIRECT(BJ$1&amp;"!C24")=$A21,BJ$2,"")</f>
        <v/>
      </c>
      <c r="BK21" s="17" t="str" cm="1">
        <f t="array" aca="1" ref="BK21" ca="1">IF(INDIRECT(BK$1&amp;"!C24")=$A21,BK$2,"")</f>
        <v/>
      </c>
      <c r="BL21" s="17" t="str" cm="1">
        <f t="array" aca="1" ref="BL21" ca="1">IF(INDIRECT(BL$1&amp;"!C24")=$A21,BL$2,"")</f>
        <v/>
      </c>
      <c r="BM21" s="17" t="str" cm="1">
        <f t="array" aca="1" ref="BM21" ca="1">IF(INDIRECT(BM$1&amp;"!C24")=$A21,BM$2,"")</f>
        <v/>
      </c>
      <c r="BN21" s="17" t="str" cm="1">
        <f t="array" aca="1" ref="BN21" ca="1">IF(INDIRECT(BN$1&amp;"!C24")=$A21,BN$2,"")</f>
        <v/>
      </c>
      <c r="BO21" s="17" t="str" cm="1">
        <f t="array" aca="1" ref="BO21" ca="1">IF(INDIRECT(BO$1&amp;"!C24")=$A21,BO$2,"")</f>
        <v/>
      </c>
      <c r="BP21" s="17" t="str" cm="1">
        <f t="array" aca="1" ref="BP21" ca="1">IF(INDIRECT(BP$1&amp;"!C24")=$A21,BP$2,"")</f>
        <v/>
      </c>
      <c r="BQ21" s="17" t="str" cm="1">
        <f t="array" aca="1" ref="BQ21" ca="1">IF(INDIRECT(BQ$1&amp;"!C24")=$A21,BQ$2,"")</f>
        <v/>
      </c>
      <c r="BR21" s="17" t="str" cm="1">
        <f t="array" aca="1" ref="BR21" ca="1">IF(INDIRECT(BR$1&amp;"!C24")=$A21,BR$2,"")</f>
        <v/>
      </c>
      <c r="BS21" s="17" t="str" cm="1">
        <f t="array" aca="1" ref="BS21" ca="1">IF(INDIRECT(BS$1&amp;"!C24")=$A21,BS$2,"")</f>
        <v/>
      </c>
      <c r="BT21" s="17" t="str" cm="1">
        <f t="array" aca="1" ref="BT21" ca="1">IF(INDIRECT(BT$1&amp;"!C24")=$A21,BT$2,"")</f>
        <v/>
      </c>
      <c r="BU21" s="17" t="str" cm="1">
        <f t="array" aca="1" ref="BU21" ca="1">IF(INDIRECT(BU$1&amp;"!C24")=$A21,BU$2,"")</f>
        <v/>
      </c>
      <c r="BV21" s="17" t="str" cm="1">
        <f t="array" aca="1" ref="BV21" ca="1">IF(INDIRECT(BV$1&amp;"!C24")=$A21,BV$2,"")</f>
        <v/>
      </c>
      <c r="BW21" s="17" t="str" cm="1">
        <f t="array" aca="1" ref="BW21" ca="1">IF(INDIRECT(BW$1&amp;"!C24")=$A21,BW$2,"")</f>
        <v/>
      </c>
      <c r="BX21" s="17" t="str" cm="1">
        <f t="array" aca="1" ref="BX21" ca="1">IF(INDIRECT(BX$1&amp;"!C24")=$A21,BX$2,"")</f>
        <v/>
      </c>
      <c r="BY21" s="17" t="str" cm="1">
        <f t="array" aca="1" ref="BY21" ca="1">IF(INDIRECT(BY$1&amp;"!C24")=$A21,BY$2,"")</f>
        <v/>
      </c>
      <c r="BZ21" s="17" t="str" cm="1">
        <f t="array" aca="1" ref="BZ21" ca="1">IF(INDIRECT(BZ$1&amp;"!C24")=$A21,BZ$2,"")</f>
        <v/>
      </c>
      <c r="CA21" s="17" t="str" cm="1">
        <f t="array" aca="1" ref="CA21" ca="1">IF(INDIRECT(CA$1&amp;"!C24")=$A21,CA$2,"")</f>
        <v/>
      </c>
      <c r="CB21" s="17" t="str" cm="1">
        <f t="array" aca="1" ref="CB21" ca="1">IF(INDIRECT(CB$1&amp;"!C24")=$A21,CB$2,"")</f>
        <v/>
      </c>
    </row>
    <row r="22" spans="1:80">
      <c r="A22" s="163">
        <v>20</v>
      </c>
      <c r="B22" s="163" t="str">
        <v>呂奇霈</v>
      </c>
      <c r="C22" s="163" t="str" cm="1">
        <f t="array" aca="1" ref="C22" ca="1">IF(SUMPRODUCT(COUNTIF(INDIRECT(工作表[工作表]&amp;"!C10"),$A22))=0,"",SUMPRODUCT(COUNTIF(INDIRECT(工作表[工作表]&amp;"!C10"),$A22)))</f>
        <v/>
      </c>
      <c r="D22" s="163" t="str" cm="1">
        <f t="array" aca="1" ref="D22" ca="1">IF(SUMPRODUCT(COUNTIF(INDIRECT(工作表[工作表]&amp;"!C12"),$A22))=0,"",SUMPRODUCT(COUNTIF(INDIRECT(工作表[工作表]&amp;"!C12"),$A22)))</f>
        <v/>
      </c>
      <c r="E22" s="163" t="str" cm="1">
        <f t="array" aca="1" ref="E22" ca="1">IF(SUMPRODUCT(COUNTIF(INDIRECT(工作表[工作表]&amp;"!C14"),$A22))=0,"",SUMPRODUCT(COUNTIF(INDIRECT(工作表[工作表]&amp;"!C14"),$A22)))</f>
        <v/>
      </c>
      <c r="F22" s="163" t="str" cm="1">
        <f t="array" aca="1" ref="F22" ca="1">IF(SUMPRODUCT(COUNTIF(INDIRECT(工作表[工作表]&amp;"!C16"),$A22))=0,"",SUMPRODUCT(COUNTIF(INDIRECT(工作表[工作表]&amp;"!C16"),$A22)))</f>
        <v/>
      </c>
      <c r="G22" s="163" t="str" cm="1">
        <f t="array" aca="1" ref="G22" ca="1">IF(SUMPRODUCT(COUNTIF(INDIRECT(工作表[工作表]&amp;"!C18"),$A22))=0,"",SUMPRODUCT(COUNTIF(INDIRECT(工作表[工作表]&amp;"!C18"),$A22)))</f>
        <v/>
      </c>
      <c r="H22" s="163" t="str" cm="1">
        <f t="array" aca="1" ref="H22" ca="1">IF(SUMPRODUCT(COUNTIF(INDIRECT(工作表[工作表]&amp;"!C20"),$A22))=0,"",SUMPRODUCT(COUNTIF(INDIRECT(工作表[工作表]&amp;"!C20"),$A22)))</f>
        <v/>
      </c>
      <c r="I22" s="163" t="str" cm="1">
        <f t="array" aca="1" ref="I22" ca="1">IF(SUMPRODUCT(COUNTIF(INDIRECT(工作表[工作表]&amp;"!C22"),$A22))=0,"",SUMPRODUCT(COUNTIF(INDIRECT(工作表[工作表]&amp;"!C22"),$A22)))</f>
        <v/>
      </c>
      <c r="J22" s="163" t="str" cm="1">
        <f t="array" aca="1" ref="J22" ca="1">IF(SUMPRODUCT(COUNTIF(INDIRECT(工作表[工作表]&amp;"!C24"),$A22))=0,"",SUMPRODUCT(COUNTIF(INDIRECT(工作表[工作表]&amp;"!C24"),$A22)))</f>
        <v/>
      </c>
      <c r="K22" s="163" t="str" cm="1">
        <f t="array" aca="1" ref="K22" ca="1">IF(MAX(IF($AX22:$CB22&lt;$K$1,$AX22:$CB22,"0"))=0,"",$K$1-MAX(IF($AX22:$CB22&lt;$K$1,$AX22:$CB22,"0"))&amp;"天")</f>
        <v/>
      </c>
      <c r="M22" s="163">
        <f t="shared" ca="1" si="1"/>
        <v>0</v>
      </c>
      <c r="N22" s="163">
        <f>COUNTIF(_xlfn.XLOOKUP(B22,輪休基準表!$E$5:$AF$5,輪休基準表!$E$6:$AF$36,""),"")</f>
        <v>0</v>
      </c>
      <c r="O22" s="167" t="e">
        <f t="shared" ca="1" si="2"/>
        <v>#DIV/0!</v>
      </c>
      <c r="Q22" s="17" t="s">
        <v>267</v>
      </c>
      <c r="R22" s="17">
        <f t="shared" ca="1" si="3"/>
        <v>0</v>
      </c>
      <c r="S22" s="17">
        <f t="shared" ca="1" si="3"/>
        <v>0</v>
      </c>
      <c r="T22" s="17">
        <f t="shared" ca="1" si="3"/>
        <v>0</v>
      </c>
      <c r="U22" s="17">
        <f t="shared" ca="1" si="3"/>
        <v>0</v>
      </c>
      <c r="V22" s="17">
        <f t="shared" ca="1" si="3"/>
        <v>0</v>
      </c>
      <c r="W22" s="17">
        <f t="shared" ca="1" si="3"/>
        <v>0</v>
      </c>
      <c r="X22" s="17">
        <f t="shared" ca="1" si="3"/>
        <v>0</v>
      </c>
      <c r="Y22" s="17">
        <f t="shared" ca="1" si="3"/>
        <v>0</v>
      </c>
      <c r="Z22" s="17">
        <f t="shared" ca="1" si="3"/>
        <v>0</v>
      </c>
      <c r="AA22" s="17">
        <f t="shared" ca="1" si="3"/>
        <v>0</v>
      </c>
      <c r="AB22" s="17">
        <f t="shared" ca="1" si="3"/>
        <v>0</v>
      </c>
      <c r="AC22" s="17">
        <f t="shared" ca="1" si="3"/>
        <v>0</v>
      </c>
      <c r="AD22" s="17">
        <f t="shared" ca="1" si="3"/>
        <v>0</v>
      </c>
      <c r="AE22" s="17">
        <f t="shared" ca="1" si="3"/>
        <v>0</v>
      </c>
      <c r="AF22" s="17">
        <f t="shared" ca="1" si="3"/>
        <v>0</v>
      </c>
      <c r="AG22" s="17">
        <f t="shared" ca="1" si="3"/>
        <v>0</v>
      </c>
      <c r="AH22" s="17">
        <f t="shared" ca="1" si="4"/>
        <v>0</v>
      </c>
      <c r="AI22" s="17">
        <f t="shared" ca="1" si="4"/>
        <v>0</v>
      </c>
      <c r="AJ22" s="17">
        <f t="shared" ca="1" si="4"/>
        <v>0</v>
      </c>
      <c r="AK22" s="17">
        <f t="shared" ca="1" si="4"/>
        <v>0</v>
      </c>
      <c r="AL22" s="17">
        <f t="shared" ca="1" si="4"/>
        <v>0</v>
      </c>
      <c r="AM22" s="17">
        <f t="shared" ca="1" si="4"/>
        <v>0</v>
      </c>
      <c r="AN22" s="17">
        <f t="shared" ca="1" si="4"/>
        <v>0</v>
      </c>
      <c r="AO22" s="17">
        <f t="shared" ca="1" si="4"/>
        <v>0</v>
      </c>
      <c r="AP22" s="17">
        <f t="shared" ca="1" si="4"/>
        <v>0</v>
      </c>
      <c r="AQ22" s="17">
        <f t="shared" ca="1" si="4"/>
        <v>0</v>
      </c>
      <c r="AR22" s="17">
        <f t="shared" ca="1" si="4"/>
        <v>0</v>
      </c>
      <c r="AS22" s="17">
        <f t="shared" ca="1" si="4"/>
        <v>0</v>
      </c>
      <c r="AT22" s="17">
        <f t="shared" ca="1" si="4"/>
        <v>0</v>
      </c>
      <c r="AU22" s="17">
        <f t="shared" ca="1" si="4"/>
        <v>0</v>
      </c>
      <c r="AV22" s="17">
        <f t="shared" ca="1" si="4"/>
        <v>0</v>
      </c>
      <c r="AX22" s="17" t="str" cm="1">
        <f t="array" aca="1" ref="AX22" ca="1">IF(INDIRECT(AX$1&amp;"!C24")=$A22,AX$2,"")</f>
        <v/>
      </c>
      <c r="AY22" s="17" t="str" cm="1">
        <f t="array" aca="1" ref="AY22" ca="1">IF(INDIRECT(AY$1&amp;"!C24")=$A22,AY$2,"")</f>
        <v/>
      </c>
      <c r="AZ22" s="17" t="str" cm="1">
        <f t="array" aca="1" ref="AZ22" ca="1">IF(INDIRECT(AZ$1&amp;"!C24")=$A22,AZ$2,"")</f>
        <v/>
      </c>
      <c r="BA22" s="17" t="str" cm="1">
        <f t="array" aca="1" ref="BA22" ca="1">IF(INDIRECT(BA$1&amp;"!C24")=$A22,BA$2,"")</f>
        <v/>
      </c>
      <c r="BB22" s="17" t="str" cm="1">
        <f t="array" aca="1" ref="BB22" ca="1">IF(INDIRECT(BB$1&amp;"!C24")=$A22,BB$2,"")</f>
        <v/>
      </c>
      <c r="BC22" s="17" t="str" cm="1">
        <f t="array" aca="1" ref="BC22" ca="1">IF(INDIRECT(BC$1&amp;"!C24")=$A22,BC$2,"")</f>
        <v/>
      </c>
      <c r="BD22" s="17" t="str" cm="1">
        <f t="array" aca="1" ref="BD22" ca="1">IF(INDIRECT(BD$1&amp;"!C24")=$A22,BD$2,"")</f>
        <v/>
      </c>
      <c r="BE22" s="17" t="str" cm="1">
        <f t="array" aca="1" ref="BE22" ca="1">IF(INDIRECT(BE$1&amp;"!C24")=$A22,BE$2,"")</f>
        <v/>
      </c>
      <c r="BF22" s="17" t="str" cm="1">
        <f t="array" aca="1" ref="BF22" ca="1">IF(INDIRECT(BF$1&amp;"!C24")=$A22,BF$2,"")</f>
        <v/>
      </c>
      <c r="BG22" s="17" t="str" cm="1">
        <f t="array" aca="1" ref="BG22" ca="1">IF(INDIRECT(BG$1&amp;"!C24")=$A22,BG$2,"")</f>
        <v/>
      </c>
      <c r="BH22" s="17" t="str" cm="1">
        <f t="array" aca="1" ref="BH22" ca="1">IF(INDIRECT(BH$1&amp;"!C24")=$A22,BH$2,"")</f>
        <v/>
      </c>
      <c r="BI22" s="17" t="str" cm="1">
        <f t="array" aca="1" ref="BI22" ca="1">IF(INDIRECT(BI$1&amp;"!C24")=$A22,BI$2,"")</f>
        <v/>
      </c>
      <c r="BJ22" s="17" t="str" cm="1">
        <f t="array" aca="1" ref="BJ22" ca="1">IF(INDIRECT(BJ$1&amp;"!C24")=$A22,BJ$2,"")</f>
        <v/>
      </c>
      <c r="BK22" s="17" t="str" cm="1">
        <f t="array" aca="1" ref="BK22" ca="1">IF(INDIRECT(BK$1&amp;"!C24")=$A22,BK$2,"")</f>
        <v/>
      </c>
      <c r="BL22" s="17" t="str" cm="1">
        <f t="array" aca="1" ref="BL22" ca="1">IF(INDIRECT(BL$1&amp;"!C24")=$A22,BL$2,"")</f>
        <v/>
      </c>
      <c r="BM22" s="17" t="str" cm="1">
        <f t="array" aca="1" ref="BM22" ca="1">IF(INDIRECT(BM$1&amp;"!C24")=$A22,BM$2,"")</f>
        <v/>
      </c>
      <c r="BN22" s="17" t="str" cm="1">
        <f t="array" aca="1" ref="BN22" ca="1">IF(INDIRECT(BN$1&amp;"!C24")=$A22,BN$2,"")</f>
        <v/>
      </c>
      <c r="BO22" s="17" t="str" cm="1">
        <f t="array" aca="1" ref="BO22" ca="1">IF(INDIRECT(BO$1&amp;"!C24")=$A22,BO$2,"")</f>
        <v/>
      </c>
      <c r="BP22" s="17" t="str" cm="1">
        <f t="array" aca="1" ref="BP22" ca="1">IF(INDIRECT(BP$1&amp;"!C24")=$A22,BP$2,"")</f>
        <v/>
      </c>
      <c r="BQ22" s="17" t="str" cm="1">
        <f t="array" aca="1" ref="BQ22" ca="1">IF(INDIRECT(BQ$1&amp;"!C24")=$A22,BQ$2,"")</f>
        <v/>
      </c>
      <c r="BR22" s="17" t="str" cm="1">
        <f t="array" aca="1" ref="BR22" ca="1">IF(INDIRECT(BR$1&amp;"!C24")=$A22,BR$2,"")</f>
        <v/>
      </c>
      <c r="BS22" s="17" t="str" cm="1">
        <f t="array" aca="1" ref="BS22" ca="1">IF(INDIRECT(BS$1&amp;"!C24")=$A22,BS$2,"")</f>
        <v/>
      </c>
      <c r="BT22" s="17" t="str" cm="1">
        <f t="array" aca="1" ref="BT22" ca="1">IF(INDIRECT(BT$1&amp;"!C24")=$A22,BT$2,"")</f>
        <v/>
      </c>
      <c r="BU22" s="17" t="str" cm="1">
        <f t="array" aca="1" ref="BU22" ca="1">IF(INDIRECT(BU$1&amp;"!C24")=$A22,BU$2,"")</f>
        <v/>
      </c>
      <c r="BV22" s="17" t="str" cm="1">
        <f t="array" aca="1" ref="BV22" ca="1">IF(INDIRECT(BV$1&amp;"!C24")=$A22,BV$2,"")</f>
        <v/>
      </c>
      <c r="BW22" s="17" t="str" cm="1">
        <f t="array" aca="1" ref="BW22" ca="1">IF(INDIRECT(BW$1&amp;"!C24")=$A22,BW$2,"")</f>
        <v/>
      </c>
      <c r="BX22" s="17" t="str" cm="1">
        <f t="array" aca="1" ref="BX22" ca="1">IF(INDIRECT(BX$1&amp;"!C24")=$A22,BX$2,"")</f>
        <v/>
      </c>
      <c r="BY22" s="17" t="str" cm="1">
        <f t="array" aca="1" ref="BY22" ca="1">IF(INDIRECT(BY$1&amp;"!C24")=$A22,BY$2,"")</f>
        <v/>
      </c>
      <c r="BZ22" s="17" t="str" cm="1">
        <f t="array" aca="1" ref="BZ22" ca="1">IF(INDIRECT(BZ$1&amp;"!C24")=$A22,BZ$2,"")</f>
        <v/>
      </c>
      <c r="CA22" s="17" t="str" cm="1">
        <f t="array" aca="1" ref="CA22" ca="1">IF(INDIRECT(CA$1&amp;"!C24")=$A22,CA$2,"")</f>
        <v/>
      </c>
      <c r="CB22" s="17" t="str" cm="1">
        <f t="array" aca="1" ref="CB22" ca="1">IF(INDIRECT(CB$1&amp;"!C24")=$A22,CB$2,"")</f>
        <v/>
      </c>
    </row>
    <row r="23" spans="1:80">
      <c r="A23" s="163">
        <v>21</v>
      </c>
      <c r="B23" s="163" t="str">
        <v>張家和</v>
      </c>
      <c r="C23" s="163" t="str" cm="1">
        <f t="array" aca="1" ref="C23" ca="1">IF(SUMPRODUCT(COUNTIF(INDIRECT(工作表[工作表]&amp;"!C10"),$A23))=0,"",SUMPRODUCT(COUNTIF(INDIRECT(工作表[工作表]&amp;"!C10"),$A23)))</f>
        <v/>
      </c>
      <c r="D23" s="163" t="str" cm="1">
        <f t="array" aca="1" ref="D23" ca="1">IF(SUMPRODUCT(COUNTIF(INDIRECT(工作表[工作表]&amp;"!C12"),$A23))=0,"",SUMPRODUCT(COUNTIF(INDIRECT(工作表[工作表]&amp;"!C12"),$A23)))</f>
        <v/>
      </c>
      <c r="E23" s="163" cm="1">
        <f t="array" aca="1" ref="E23" ca="1">IF(SUMPRODUCT(COUNTIF(INDIRECT(工作表[工作表]&amp;"!C14"),$A23))=0,"",SUMPRODUCT(COUNTIF(INDIRECT(工作表[工作表]&amp;"!C14"),$A23)))</f>
        <v>1</v>
      </c>
      <c r="F23" s="163" cm="1">
        <f t="array" aca="1" ref="F23" ca="1">IF(SUMPRODUCT(COUNTIF(INDIRECT(工作表[工作表]&amp;"!C16"),$A23))=0,"",SUMPRODUCT(COUNTIF(INDIRECT(工作表[工作表]&amp;"!C16"),$A23)))</f>
        <v>1</v>
      </c>
      <c r="G23" s="163" cm="1">
        <f t="array" aca="1" ref="G23" ca="1">IF(SUMPRODUCT(COUNTIF(INDIRECT(工作表[工作表]&amp;"!C18"),$A23))=0,"",SUMPRODUCT(COUNTIF(INDIRECT(工作表[工作表]&amp;"!C18"),$A23)))</f>
        <v>1</v>
      </c>
      <c r="H23" s="163" t="str" cm="1">
        <f t="array" aca="1" ref="H23" ca="1">IF(SUMPRODUCT(COUNTIF(INDIRECT(工作表[工作表]&amp;"!C20"),$A23))=0,"",SUMPRODUCT(COUNTIF(INDIRECT(工作表[工作表]&amp;"!C20"),$A23)))</f>
        <v/>
      </c>
      <c r="I23" s="163" cm="1">
        <f t="array" aca="1" ref="I23" ca="1">IF(SUMPRODUCT(COUNTIF(INDIRECT(工作表[工作表]&amp;"!C22"),$A23))=0,"",SUMPRODUCT(COUNTIF(INDIRECT(工作表[工作表]&amp;"!C22"),$A23)))</f>
        <v>2</v>
      </c>
      <c r="J23" s="163" cm="1">
        <f t="array" aca="1" ref="J23" ca="1">IF(SUMPRODUCT(COUNTIF(INDIRECT(工作表[工作表]&amp;"!C24"),$A23))=0,"",SUMPRODUCT(COUNTIF(INDIRECT(工作表[工作表]&amp;"!C24"),$A23)))</f>
        <v>1</v>
      </c>
      <c r="K23" s="163" t="str" cm="1">
        <f t="array" aca="1" ref="K23" ca="1">IF(MAX(IF($AX23:$CB23&lt;$K$1,$AX23:$CB23,"0"))=0,"",$K$1-MAX(IF($AX23:$CB23&lt;$K$1,$AX23:$CB23,"0"))&amp;"天")</f>
        <v>2天</v>
      </c>
      <c r="M23" s="163">
        <f t="shared" ca="1" si="1"/>
        <v>42</v>
      </c>
      <c r="N23" s="163">
        <f>COUNTIF(_xlfn.XLOOKUP(B23,輪休基準表!$E$5:$AF$5,輪休基準表!$E$6:$AF$36,""),"")</f>
        <v>11</v>
      </c>
      <c r="O23" s="167">
        <f t="shared" ca="1" si="2"/>
        <v>3.8181818181818183</v>
      </c>
      <c r="Q23" s="17" t="s">
        <v>268</v>
      </c>
      <c r="R23" s="17">
        <f t="shared" ca="1" si="3"/>
        <v>0</v>
      </c>
      <c r="S23" s="17">
        <f t="shared" ca="1" si="3"/>
        <v>0</v>
      </c>
      <c r="T23" s="17">
        <f t="shared" ca="1" si="3"/>
        <v>0</v>
      </c>
      <c r="U23" s="17">
        <f t="shared" ca="1" si="3"/>
        <v>0</v>
      </c>
      <c r="V23" s="17">
        <f t="shared" ca="1" si="3"/>
        <v>0</v>
      </c>
      <c r="W23" s="17">
        <f t="shared" ca="1" si="3"/>
        <v>6</v>
      </c>
      <c r="X23" s="17">
        <f t="shared" ca="1" si="3"/>
        <v>0</v>
      </c>
      <c r="Y23" s="17">
        <f t="shared" ca="1" si="3"/>
        <v>0</v>
      </c>
      <c r="Z23" s="17">
        <f t="shared" ca="1" si="3"/>
        <v>8</v>
      </c>
      <c r="AA23" s="17">
        <f t="shared" ca="1" si="3"/>
        <v>8</v>
      </c>
      <c r="AB23" s="17">
        <f t="shared" ca="1" si="3"/>
        <v>0</v>
      </c>
      <c r="AC23" s="17">
        <f t="shared" ca="1" si="3"/>
        <v>0</v>
      </c>
      <c r="AD23" s="17">
        <f t="shared" ca="1" si="3"/>
        <v>0</v>
      </c>
      <c r="AE23" s="17">
        <f t="shared" ca="1" si="3"/>
        <v>6</v>
      </c>
      <c r="AF23" s="17">
        <f t="shared" ca="1" si="3"/>
        <v>0</v>
      </c>
      <c r="AG23" s="17">
        <f t="shared" ca="1" si="3"/>
        <v>8</v>
      </c>
      <c r="AH23" s="17">
        <f t="shared" ca="1" si="4"/>
        <v>6</v>
      </c>
      <c r="AI23" s="17">
        <f t="shared" ca="1" si="4"/>
        <v>0</v>
      </c>
      <c r="AJ23" s="17">
        <f t="shared" ca="1" si="4"/>
        <v>0</v>
      </c>
      <c r="AK23" s="17">
        <f t="shared" ca="1" si="4"/>
        <v>0</v>
      </c>
      <c r="AL23" s="17">
        <f t="shared" ca="1" si="4"/>
        <v>0</v>
      </c>
      <c r="AM23" s="17">
        <f t="shared" ca="1" si="4"/>
        <v>0</v>
      </c>
      <c r="AN23" s="17">
        <f t="shared" ca="1" si="4"/>
        <v>0</v>
      </c>
      <c r="AO23" s="17">
        <f t="shared" ca="1" si="4"/>
        <v>0</v>
      </c>
      <c r="AP23" s="17">
        <f t="shared" ca="1" si="4"/>
        <v>0</v>
      </c>
      <c r="AQ23" s="17">
        <f t="shared" ca="1" si="4"/>
        <v>0</v>
      </c>
      <c r="AR23" s="17">
        <f t="shared" ca="1" si="4"/>
        <v>0</v>
      </c>
      <c r="AS23" s="17">
        <f t="shared" ca="1" si="4"/>
        <v>0</v>
      </c>
      <c r="AT23" s="17">
        <f t="shared" ca="1" si="4"/>
        <v>0</v>
      </c>
      <c r="AU23" s="17">
        <f t="shared" ca="1" si="4"/>
        <v>0</v>
      </c>
      <c r="AV23" s="17">
        <f t="shared" ca="1" si="4"/>
        <v>0</v>
      </c>
      <c r="AX23" s="17" t="str" cm="1">
        <f t="array" aca="1" ref="AX23" ca="1">IF(INDIRECT(AX$1&amp;"!C24")=$A23,AX$2,"")</f>
        <v/>
      </c>
      <c r="AY23" s="17" t="str" cm="1">
        <f t="array" aca="1" ref="AY23" ca="1">IF(INDIRECT(AY$1&amp;"!C24")=$A23,AY$2,"")</f>
        <v/>
      </c>
      <c r="AZ23" s="17" t="str" cm="1">
        <f t="array" aca="1" ref="AZ23" ca="1">IF(INDIRECT(AZ$1&amp;"!C24")=$A23,AZ$2,"")</f>
        <v/>
      </c>
      <c r="BA23" s="17" t="str" cm="1">
        <f t="array" aca="1" ref="BA23" ca="1">IF(INDIRECT(BA$1&amp;"!C24")=$A23,BA$2,"")</f>
        <v/>
      </c>
      <c r="BB23" s="17" t="str" cm="1">
        <f t="array" aca="1" ref="BB23" ca="1">IF(INDIRECT(BB$1&amp;"!C24")=$A23,BB$2,"")</f>
        <v/>
      </c>
      <c r="BC23" s="17" t="str" cm="1">
        <f t="array" aca="1" ref="BC23" ca="1">IF(INDIRECT(BC$1&amp;"!C24")=$A23,BC$2,"")</f>
        <v/>
      </c>
      <c r="BD23" s="17" t="str" cm="1">
        <f t="array" aca="1" ref="BD23" ca="1">IF(INDIRECT(BD$1&amp;"!C24")=$A23,BD$2,"")</f>
        <v/>
      </c>
      <c r="BE23" s="17" t="str" cm="1">
        <f t="array" aca="1" ref="BE23" ca="1">IF(INDIRECT(BE$1&amp;"!C24")=$A23,BE$2,"")</f>
        <v/>
      </c>
      <c r="BF23" s="17" t="str" cm="1">
        <f t="array" aca="1" ref="BF23" ca="1">IF(INDIRECT(BF$1&amp;"!C24")=$A23,BF$2,"")</f>
        <v/>
      </c>
      <c r="BG23" s="17" t="str" cm="1">
        <f t="array" aca="1" ref="BG23" ca="1">IF(INDIRECT(BG$1&amp;"!C24")=$A23,BG$2,"")</f>
        <v/>
      </c>
      <c r="BH23" s="17" t="str" cm="1">
        <f t="array" aca="1" ref="BH23" ca="1">IF(INDIRECT(BH$1&amp;"!C24")=$A23,BH$2,"")</f>
        <v/>
      </c>
      <c r="BI23" s="17" t="str" cm="1">
        <f t="array" aca="1" ref="BI23" ca="1">IF(INDIRECT(BI$1&amp;"!C24")=$A23,BI$2,"")</f>
        <v/>
      </c>
      <c r="BJ23" s="17" t="str" cm="1">
        <f t="array" aca="1" ref="BJ23" ca="1">IF(INDIRECT(BJ$1&amp;"!C24")=$A23,BJ$2,"")</f>
        <v/>
      </c>
      <c r="BK23" s="17" cm="1">
        <f t="array" aca="1" ref="BK23" ca="1">IF(INDIRECT(BK$1&amp;"!C24")=$A23,BK$2,"")</f>
        <v>46156</v>
      </c>
      <c r="BL23" s="17" t="str" cm="1">
        <f t="array" aca="1" ref="BL23" ca="1">IF(INDIRECT(BL$1&amp;"!C24")=$A23,BL$2,"")</f>
        <v/>
      </c>
      <c r="BM23" s="17" t="str" cm="1">
        <f t="array" aca="1" ref="BM23" ca="1">IF(INDIRECT(BM$1&amp;"!C24")=$A23,BM$2,"")</f>
        <v/>
      </c>
      <c r="BN23" s="17" t="str" cm="1">
        <f t="array" aca="1" ref="BN23" ca="1">IF(INDIRECT(BN$1&amp;"!C24")=$A23,BN$2,"")</f>
        <v/>
      </c>
      <c r="BO23" s="17" t="str" cm="1">
        <f t="array" aca="1" ref="BO23" ca="1">IF(INDIRECT(BO$1&amp;"!C24")=$A23,BO$2,"")</f>
        <v/>
      </c>
      <c r="BP23" s="17" t="str" cm="1">
        <f t="array" aca="1" ref="BP23" ca="1">IF(INDIRECT(BP$1&amp;"!C24")=$A23,BP$2,"")</f>
        <v/>
      </c>
      <c r="BQ23" s="17" t="str" cm="1">
        <f t="array" aca="1" ref="BQ23" ca="1">IF(INDIRECT(BQ$1&amp;"!C24")=$A23,BQ$2,"")</f>
        <v/>
      </c>
      <c r="BR23" s="17" t="str" cm="1">
        <f t="array" aca="1" ref="BR23" ca="1">IF(INDIRECT(BR$1&amp;"!C24")=$A23,BR$2,"")</f>
        <v/>
      </c>
      <c r="BS23" s="17" t="str" cm="1">
        <f t="array" aca="1" ref="BS23" ca="1">IF(INDIRECT(BS$1&amp;"!C24")=$A23,BS$2,"")</f>
        <v/>
      </c>
      <c r="BT23" s="17" t="str" cm="1">
        <f t="array" aca="1" ref="BT23" ca="1">IF(INDIRECT(BT$1&amp;"!C24")=$A23,BT$2,"")</f>
        <v/>
      </c>
      <c r="BU23" s="17" t="str" cm="1">
        <f t="array" aca="1" ref="BU23" ca="1">IF(INDIRECT(BU$1&amp;"!C24")=$A23,BU$2,"")</f>
        <v/>
      </c>
      <c r="BV23" s="17" t="str" cm="1">
        <f t="array" aca="1" ref="BV23" ca="1">IF(INDIRECT(BV$1&amp;"!C24")=$A23,BV$2,"")</f>
        <v/>
      </c>
      <c r="BW23" s="17" t="str" cm="1">
        <f t="array" aca="1" ref="BW23" ca="1">IF(INDIRECT(BW$1&amp;"!C24")=$A23,BW$2,"")</f>
        <v/>
      </c>
      <c r="BX23" s="17" t="str" cm="1">
        <f t="array" aca="1" ref="BX23" ca="1">IF(INDIRECT(BX$1&amp;"!C24")=$A23,BX$2,"")</f>
        <v/>
      </c>
      <c r="BY23" s="17" t="str" cm="1">
        <f t="array" aca="1" ref="BY23" ca="1">IF(INDIRECT(BY$1&amp;"!C24")=$A23,BY$2,"")</f>
        <v/>
      </c>
      <c r="BZ23" s="17" t="str" cm="1">
        <f t="array" aca="1" ref="BZ23" ca="1">IF(INDIRECT(BZ$1&amp;"!C24")=$A23,BZ$2,"")</f>
        <v/>
      </c>
      <c r="CA23" s="17" t="str" cm="1">
        <f t="array" aca="1" ref="CA23" ca="1">IF(INDIRECT(CA$1&amp;"!C24")=$A23,CA$2,"")</f>
        <v/>
      </c>
      <c r="CB23" s="17" t="str" cm="1">
        <f t="array" aca="1" ref="CB23" ca="1">IF(INDIRECT(CB$1&amp;"!C24")=$A23,CB$2,"")</f>
        <v/>
      </c>
    </row>
    <row r="24" spans="1:80">
      <c r="A24" s="163">
        <v>22</v>
      </c>
      <c r="B24" s="163" t="str">
        <v>陳俊瑋</v>
      </c>
      <c r="C24" s="163" t="str" cm="1">
        <f t="array" aca="1" ref="C24" ca="1">IF(SUMPRODUCT(COUNTIF(INDIRECT(工作表[工作表]&amp;"!C10"),$A24))=0,"",SUMPRODUCT(COUNTIF(INDIRECT(工作表[工作表]&amp;"!C10"),$A24)))</f>
        <v/>
      </c>
      <c r="D24" s="163" t="str" cm="1">
        <f t="array" aca="1" ref="D24" ca="1">IF(SUMPRODUCT(COUNTIF(INDIRECT(工作表[工作表]&amp;"!C12"),$A24))=0,"",SUMPRODUCT(COUNTIF(INDIRECT(工作表[工作表]&amp;"!C12"),$A24)))</f>
        <v/>
      </c>
      <c r="E24" s="163" t="str" cm="1">
        <f t="array" aca="1" ref="E24" ca="1">IF(SUMPRODUCT(COUNTIF(INDIRECT(工作表[工作表]&amp;"!C14"),$A24))=0,"",SUMPRODUCT(COUNTIF(INDIRECT(工作表[工作表]&amp;"!C14"),$A24)))</f>
        <v/>
      </c>
      <c r="F24" s="163" t="str" cm="1">
        <f t="array" aca="1" ref="F24" ca="1">IF(SUMPRODUCT(COUNTIF(INDIRECT(工作表[工作表]&amp;"!C16"),$A24))=0,"",SUMPRODUCT(COUNTIF(INDIRECT(工作表[工作表]&amp;"!C16"),$A24)))</f>
        <v/>
      </c>
      <c r="G24" s="163" t="str" cm="1">
        <f t="array" aca="1" ref="G24" ca="1">IF(SUMPRODUCT(COUNTIF(INDIRECT(工作表[工作表]&amp;"!C18"),$A24))=0,"",SUMPRODUCT(COUNTIF(INDIRECT(工作表[工作表]&amp;"!C18"),$A24)))</f>
        <v/>
      </c>
      <c r="H24" s="163" t="str" cm="1">
        <f t="array" aca="1" ref="H24" ca="1">IF(SUMPRODUCT(COUNTIF(INDIRECT(工作表[工作表]&amp;"!C20"),$A24))=0,"",SUMPRODUCT(COUNTIF(INDIRECT(工作表[工作表]&amp;"!C20"),$A24)))</f>
        <v/>
      </c>
      <c r="I24" s="163" t="str" cm="1">
        <f t="array" aca="1" ref="I24" ca="1">IF(SUMPRODUCT(COUNTIF(INDIRECT(工作表[工作表]&amp;"!C22"),$A24))=0,"",SUMPRODUCT(COUNTIF(INDIRECT(工作表[工作表]&amp;"!C22"),$A24)))</f>
        <v/>
      </c>
      <c r="J24" s="163" t="str" cm="1">
        <f t="array" aca="1" ref="J24" ca="1">IF(SUMPRODUCT(COUNTIF(INDIRECT(工作表[工作表]&amp;"!C24"),$A24))=0,"",SUMPRODUCT(COUNTIF(INDIRECT(工作表[工作表]&amp;"!C24"),$A24)))</f>
        <v/>
      </c>
      <c r="K24" s="163" t="str" cm="1">
        <f t="array" aca="1" ref="K24" ca="1">IF(MAX(IF($AX24:$CB24&lt;$K$1,$AX24:$CB24,"0"))=0,"",$K$1-MAX(IF($AX24:$CB24&lt;$K$1,$AX24:$CB24,"0"))&amp;"天")</f>
        <v/>
      </c>
      <c r="M24" s="163">
        <f t="shared" ca="1" si="1"/>
        <v>0</v>
      </c>
      <c r="N24" s="163">
        <f>COUNTIF(_xlfn.XLOOKUP(B24,輪休基準表!$E$5:$AF$5,輪休基準表!$E$6:$AF$36,""),"")</f>
        <v>0</v>
      </c>
      <c r="O24" s="167" t="e">
        <f t="shared" ca="1" si="2"/>
        <v>#DIV/0!</v>
      </c>
      <c r="Q24" s="17" t="s">
        <v>269</v>
      </c>
      <c r="R24" s="17">
        <f t="shared" ca="1" si="3"/>
        <v>0</v>
      </c>
      <c r="S24" s="17">
        <f t="shared" ca="1" si="3"/>
        <v>0</v>
      </c>
      <c r="T24" s="17">
        <f t="shared" ca="1" si="3"/>
        <v>0</v>
      </c>
      <c r="U24" s="17">
        <f t="shared" ca="1" si="3"/>
        <v>0</v>
      </c>
      <c r="V24" s="17">
        <f t="shared" ca="1" si="3"/>
        <v>0</v>
      </c>
      <c r="W24" s="17">
        <f t="shared" ca="1" si="3"/>
        <v>0</v>
      </c>
      <c r="X24" s="17">
        <f t="shared" ca="1" si="3"/>
        <v>0</v>
      </c>
      <c r="Y24" s="17">
        <f t="shared" ca="1" si="3"/>
        <v>0</v>
      </c>
      <c r="Z24" s="17">
        <f t="shared" ca="1" si="3"/>
        <v>0</v>
      </c>
      <c r="AA24" s="17">
        <f t="shared" ca="1" si="3"/>
        <v>0</v>
      </c>
      <c r="AB24" s="17">
        <f t="shared" ca="1" si="3"/>
        <v>0</v>
      </c>
      <c r="AC24" s="17">
        <f t="shared" ca="1" si="3"/>
        <v>0</v>
      </c>
      <c r="AD24" s="17">
        <f t="shared" ca="1" si="3"/>
        <v>0</v>
      </c>
      <c r="AE24" s="17">
        <f t="shared" ca="1" si="3"/>
        <v>0</v>
      </c>
      <c r="AF24" s="17">
        <f t="shared" ca="1" si="3"/>
        <v>0</v>
      </c>
      <c r="AG24" s="17">
        <f t="shared" ca="1" si="3"/>
        <v>0</v>
      </c>
      <c r="AH24" s="17">
        <f t="shared" ca="1" si="4"/>
        <v>0</v>
      </c>
      <c r="AI24" s="17">
        <f t="shared" ca="1" si="4"/>
        <v>0</v>
      </c>
      <c r="AJ24" s="17">
        <f t="shared" ca="1" si="4"/>
        <v>0</v>
      </c>
      <c r="AK24" s="17">
        <f t="shared" ca="1" si="4"/>
        <v>0</v>
      </c>
      <c r="AL24" s="17">
        <f t="shared" ca="1" si="4"/>
        <v>0</v>
      </c>
      <c r="AM24" s="17">
        <f t="shared" ca="1" si="4"/>
        <v>0</v>
      </c>
      <c r="AN24" s="17">
        <f t="shared" ca="1" si="4"/>
        <v>0</v>
      </c>
      <c r="AO24" s="17">
        <f t="shared" ca="1" si="4"/>
        <v>0</v>
      </c>
      <c r="AP24" s="17">
        <f t="shared" ca="1" si="4"/>
        <v>0</v>
      </c>
      <c r="AQ24" s="17">
        <f t="shared" ca="1" si="4"/>
        <v>0</v>
      </c>
      <c r="AR24" s="17">
        <f t="shared" ca="1" si="4"/>
        <v>0</v>
      </c>
      <c r="AS24" s="17">
        <f t="shared" ca="1" si="4"/>
        <v>0</v>
      </c>
      <c r="AT24" s="17">
        <f t="shared" ca="1" si="4"/>
        <v>0</v>
      </c>
      <c r="AU24" s="17">
        <f t="shared" ca="1" si="4"/>
        <v>0</v>
      </c>
      <c r="AV24" s="17">
        <f t="shared" ca="1" si="4"/>
        <v>0</v>
      </c>
      <c r="AX24" s="17" t="str" cm="1">
        <f t="array" aca="1" ref="AX24" ca="1">IF(INDIRECT(AX$1&amp;"!C24")=$A24,AX$2,"")</f>
        <v/>
      </c>
      <c r="AY24" s="17" t="str" cm="1">
        <f t="array" aca="1" ref="AY24" ca="1">IF(INDIRECT(AY$1&amp;"!C24")=$A24,AY$2,"")</f>
        <v/>
      </c>
      <c r="AZ24" s="17" t="str" cm="1">
        <f t="array" aca="1" ref="AZ24" ca="1">IF(INDIRECT(AZ$1&amp;"!C24")=$A24,AZ$2,"")</f>
        <v/>
      </c>
      <c r="BA24" s="17" t="str" cm="1">
        <f t="array" aca="1" ref="BA24" ca="1">IF(INDIRECT(BA$1&amp;"!C24")=$A24,BA$2,"")</f>
        <v/>
      </c>
      <c r="BB24" s="17" t="str" cm="1">
        <f t="array" aca="1" ref="BB24" ca="1">IF(INDIRECT(BB$1&amp;"!C24")=$A24,BB$2,"")</f>
        <v/>
      </c>
      <c r="BC24" s="17" t="str" cm="1">
        <f t="array" aca="1" ref="BC24" ca="1">IF(INDIRECT(BC$1&amp;"!C24")=$A24,BC$2,"")</f>
        <v/>
      </c>
      <c r="BD24" s="17" t="str" cm="1">
        <f t="array" aca="1" ref="BD24" ca="1">IF(INDIRECT(BD$1&amp;"!C24")=$A24,BD$2,"")</f>
        <v/>
      </c>
      <c r="BE24" s="17" t="str" cm="1">
        <f t="array" aca="1" ref="BE24" ca="1">IF(INDIRECT(BE$1&amp;"!C24")=$A24,BE$2,"")</f>
        <v/>
      </c>
      <c r="BF24" s="17" t="str" cm="1">
        <f t="array" aca="1" ref="BF24" ca="1">IF(INDIRECT(BF$1&amp;"!C24")=$A24,BF$2,"")</f>
        <v/>
      </c>
      <c r="BG24" s="17" t="str" cm="1">
        <f t="array" aca="1" ref="BG24" ca="1">IF(INDIRECT(BG$1&amp;"!C24")=$A24,BG$2,"")</f>
        <v/>
      </c>
      <c r="BH24" s="17" t="str" cm="1">
        <f t="array" aca="1" ref="BH24" ca="1">IF(INDIRECT(BH$1&amp;"!C24")=$A24,BH$2,"")</f>
        <v/>
      </c>
      <c r="BI24" s="17" t="str" cm="1">
        <f t="array" aca="1" ref="BI24" ca="1">IF(INDIRECT(BI$1&amp;"!C24")=$A24,BI$2,"")</f>
        <v/>
      </c>
      <c r="BJ24" s="17" t="str" cm="1">
        <f t="array" aca="1" ref="BJ24" ca="1">IF(INDIRECT(BJ$1&amp;"!C24")=$A24,BJ$2,"")</f>
        <v/>
      </c>
      <c r="BK24" s="17" t="str" cm="1">
        <f t="array" aca="1" ref="BK24" ca="1">IF(INDIRECT(BK$1&amp;"!C24")=$A24,BK$2,"")</f>
        <v/>
      </c>
      <c r="BL24" s="17" t="str" cm="1">
        <f t="array" aca="1" ref="BL24" ca="1">IF(INDIRECT(BL$1&amp;"!C24")=$A24,BL$2,"")</f>
        <v/>
      </c>
      <c r="BM24" s="17" t="str" cm="1">
        <f t="array" aca="1" ref="BM24" ca="1">IF(INDIRECT(BM$1&amp;"!C24")=$A24,BM$2,"")</f>
        <v/>
      </c>
      <c r="BN24" s="17" t="str" cm="1">
        <f t="array" aca="1" ref="BN24" ca="1">IF(INDIRECT(BN$1&amp;"!C24")=$A24,BN$2,"")</f>
        <v/>
      </c>
      <c r="BO24" s="17" t="str" cm="1">
        <f t="array" aca="1" ref="BO24" ca="1">IF(INDIRECT(BO$1&amp;"!C24")=$A24,BO$2,"")</f>
        <v/>
      </c>
      <c r="BP24" s="17" t="str" cm="1">
        <f t="array" aca="1" ref="BP24" ca="1">IF(INDIRECT(BP$1&amp;"!C24")=$A24,BP$2,"")</f>
        <v/>
      </c>
      <c r="BQ24" s="17" t="str" cm="1">
        <f t="array" aca="1" ref="BQ24" ca="1">IF(INDIRECT(BQ$1&amp;"!C24")=$A24,BQ$2,"")</f>
        <v/>
      </c>
      <c r="BR24" s="17" t="str" cm="1">
        <f t="array" aca="1" ref="BR24" ca="1">IF(INDIRECT(BR$1&amp;"!C24")=$A24,BR$2,"")</f>
        <v/>
      </c>
      <c r="BS24" s="17" t="str" cm="1">
        <f t="array" aca="1" ref="BS24" ca="1">IF(INDIRECT(BS$1&amp;"!C24")=$A24,BS$2,"")</f>
        <v/>
      </c>
      <c r="BT24" s="17" t="str" cm="1">
        <f t="array" aca="1" ref="BT24" ca="1">IF(INDIRECT(BT$1&amp;"!C24")=$A24,BT$2,"")</f>
        <v/>
      </c>
      <c r="BU24" s="17" t="str" cm="1">
        <f t="array" aca="1" ref="BU24" ca="1">IF(INDIRECT(BU$1&amp;"!C24")=$A24,BU$2,"")</f>
        <v/>
      </c>
      <c r="BV24" s="17" t="str" cm="1">
        <f t="array" aca="1" ref="BV24" ca="1">IF(INDIRECT(BV$1&amp;"!C24")=$A24,BV$2,"")</f>
        <v/>
      </c>
      <c r="BW24" s="17" t="str" cm="1">
        <f t="array" aca="1" ref="BW24" ca="1">IF(INDIRECT(BW$1&amp;"!C24")=$A24,BW$2,"")</f>
        <v/>
      </c>
      <c r="BX24" s="17" t="str" cm="1">
        <f t="array" aca="1" ref="BX24" ca="1">IF(INDIRECT(BX$1&amp;"!C24")=$A24,BX$2,"")</f>
        <v/>
      </c>
      <c r="BY24" s="17" t="str" cm="1">
        <f t="array" aca="1" ref="BY24" ca="1">IF(INDIRECT(BY$1&amp;"!C24")=$A24,BY$2,"")</f>
        <v/>
      </c>
      <c r="BZ24" s="17" t="str" cm="1">
        <f t="array" aca="1" ref="BZ24" ca="1">IF(INDIRECT(BZ$1&amp;"!C24")=$A24,BZ$2,"")</f>
        <v/>
      </c>
      <c r="CA24" s="17" t="str" cm="1">
        <f t="array" aca="1" ref="CA24" ca="1">IF(INDIRECT(CA$1&amp;"!C24")=$A24,CA$2,"")</f>
        <v/>
      </c>
      <c r="CB24" s="17" t="str" cm="1">
        <f t="array" aca="1" ref="CB24" ca="1">IF(INDIRECT(CB$1&amp;"!C24")=$A24,CB$2,"")</f>
        <v/>
      </c>
    </row>
    <row r="25" spans="1:80">
      <c r="A25" s="163">
        <v>23</v>
      </c>
      <c r="B25" s="163" t="str">
        <v>陳俊翰</v>
      </c>
      <c r="C25" s="163" cm="1">
        <f t="array" aca="1" ref="C25" ca="1">IF(SUMPRODUCT(COUNTIF(INDIRECT(工作表[工作表]&amp;"!C10"),$A25))=0,"",SUMPRODUCT(COUNTIF(INDIRECT(工作表[工作表]&amp;"!C10"),$A25)))</f>
        <v>1</v>
      </c>
      <c r="D25" s="163" cm="1">
        <f t="array" aca="1" ref="D25" ca="1">IF(SUMPRODUCT(COUNTIF(INDIRECT(工作表[工作表]&amp;"!C12"),$A25))=0,"",SUMPRODUCT(COUNTIF(INDIRECT(工作表[工作表]&amp;"!C12"),$A25)))</f>
        <v>1</v>
      </c>
      <c r="E25" s="163" cm="1">
        <f t="array" aca="1" ref="E25" ca="1">IF(SUMPRODUCT(COUNTIF(INDIRECT(工作表[工作表]&amp;"!C14"),$A25))=0,"",SUMPRODUCT(COUNTIF(INDIRECT(工作表[工作表]&amp;"!C14"),$A25)))</f>
        <v>1</v>
      </c>
      <c r="F25" s="163" cm="1">
        <f t="array" aca="1" ref="F25" ca="1">IF(SUMPRODUCT(COUNTIF(INDIRECT(工作表[工作表]&amp;"!C16"),$A25))=0,"",SUMPRODUCT(COUNTIF(INDIRECT(工作表[工作表]&amp;"!C16"),$A25)))</f>
        <v>1</v>
      </c>
      <c r="G25" s="163" cm="1">
        <f t="array" aca="1" ref="G25" ca="1">IF(SUMPRODUCT(COUNTIF(INDIRECT(工作表[工作表]&amp;"!C18"),$A25))=0,"",SUMPRODUCT(COUNTIF(INDIRECT(工作表[工作表]&amp;"!C18"),$A25)))</f>
        <v>1</v>
      </c>
      <c r="H25" s="163" t="str" cm="1">
        <f t="array" aca="1" ref="H25" ca="1">IF(SUMPRODUCT(COUNTIF(INDIRECT(工作表[工作表]&amp;"!C20"),$A25))=0,"",SUMPRODUCT(COUNTIF(INDIRECT(工作表[工作表]&amp;"!C20"),$A25)))</f>
        <v/>
      </c>
      <c r="I25" s="163" cm="1">
        <f t="array" aca="1" ref="I25" ca="1">IF(SUMPRODUCT(COUNTIF(INDIRECT(工作表[工作表]&amp;"!C22"),$A25))=0,"",SUMPRODUCT(COUNTIF(INDIRECT(工作表[工作表]&amp;"!C22"),$A25)))</f>
        <v>1</v>
      </c>
      <c r="J25" s="163" t="str" cm="1">
        <f t="array" aca="1" ref="J25" ca="1">IF(SUMPRODUCT(COUNTIF(INDIRECT(工作表[工作表]&amp;"!C24"),$A25))=0,"",SUMPRODUCT(COUNTIF(INDIRECT(工作表[工作表]&amp;"!C24"),$A25)))</f>
        <v/>
      </c>
      <c r="K25" s="163" t="str" cm="1">
        <f t="array" aca="1" ref="K25" ca="1">IF(MAX(IF($AX25:$CB25&lt;$K$1,$AX25:$CB25,"0"))=0,"",$K$1-MAX(IF($AX25:$CB25&lt;$K$1,$AX25:$CB25,"0"))&amp;"天")</f>
        <v/>
      </c>
      <c r="M25" s="163">
        <f t="shared" ca="1" si="1"/>
        <v>42</v>
      </c>
      <c r="N25" s="163">
        <f>COUNTIF(_xlfn.XLOOKUP(B25,輪休基準表!$E$5:$AF$5,輪休基準表!$E$6:$AF$36,""),"")</f>
        <v>11</v>
      </c>
      <c r="O25" s="167">
        <f t="shared" ca="1" si="2"/>
        <v>3.8181818181818183</v>
      </c>
      <c r="Q25" s="17" t="s">
        <v>270</v>
      </c>
      <c r="R25" s="17">
        <f t="shared" ca="1" si="3"/>
        <v>0</v>
      </c>
      <c r="S25" s="17">
        <f t="shared" ca="1" si="3"/>
        <v>0</v>
      </c>
      <c r="T25" s="17">
        <f t="shared" ca="1" si="3"/>
        <v>0</v>
      </c>
      <c r="U25" s="17">
        <f t="shared" ca="1" si="3"/>
        <v>6</v>
      </c>
      <c r="V25" s="17">
        <f t="shared" ca="1" si="3"/>
        <v>0</v>
      </c>
      <c r="W25" s="17">
        <f t="shared" ca="1" si="3"/>
        <v>0</v>
      </c>
      <c r="X25" s="17">
        <f t="shared" ca="1" si="3"/>
        <v>6</v>
      </c>
      <c r="Y25" s="17">
        <f t="shared" ca="1" si="3"/>
        <v>0</v>
      </c>
      <c r="Z25" s="17">
        <f t="shared" ca="1" si="3"/>
        <v>0</v>
      </c>
      <c r="AA25" s="17">
        <f t="shared" ca="1" si="3"/>
        <v>0</v>
      </c>
      <c r="AB25" s="17">
        <f t="shared" ca="1" si="3"/>
        <v>0</v>
      </c>
      <c r="AC25" s="17">
        <f t="shared" ca="1" si="3"/>
        <v>6</v>
      </c>
      <c r="AD25" s="17">
        <f t="shared" ca="1" si="3"/>
        <v>0</v>
      </c>
      <c r="AE25" s="17">
        <f t="shared" ca="1" si="3"/>
        <v>8</v>
      </c>
      <c r="AF25" s="17">
        <f t="shared" ca="1" si="3"/>
        <v>0</v>
      </c>
      <c r="AG25" s="17">
        <f t="shared" ca="1" si="3"/>
        <v>8</v>
      </c>
      <c r="AH25" s="17">
        <f t="shared" ca="1" si="4"/>
        <v>0</v>
      </c>
      <c r="AI25" s="17">
        <f t="shared" ca="1" si="4"/>
        <v>8</v>
      </c>
      <c r="AJ25" s="17">
        <f t="shared" ca="1" si="4"/>
        <v>0</v>
      </c>
      <c r="AK25" s="17">
        <f t="shared" ca="1" si="4"/>
        <v>0</v>
      </c>
      <c r="AL25" s="17">
        <f t="shared" ca="1" si="4"/>
        <v>0</v>
      </c>
      <c r="AM25" s="17">
        <f t="shared" ca="1" si="4"/>
        <v>0</v>
      </c>
      <c r="AN25" s="17">
        <f t="shared" ca="1" si="4"/>
        <v>0</v>
      </c>
      <c r="AO25" s="17">
        <f t="shared" ca="1" si="4"/>
        <v>0</v>
      </c>
      <c r="AP25" s="17">
        <f t="shared" ca="1" si="4"/>
        <v>0</v>
      </c>
      <c r="AQ25" s="17">
        <f t="shared" ca="1" si="4"/>
        <v>0</v>
      </c>
      <c r="AR25" s="17">
        <f t="shared" ca="1" si="4"/>
        <v>0</v>
      </c>
      <c r="AS25" s="17">
        <f t="shared" ca="1" si="4"/>
        <v>0</v>
      </c>
      <c r="AT25" s="17">
        <f t="shared" ca="1" si="4"/>
        <v>0</v>
      </c>
      <c r="AU25" s="17">
        <f t="shared" ca="1" si="4"/>
        <v>0</v>
      </c>
      <c r="AV25" s="17">
        <f t="shared" ca="1" si="4"/>
        <v>0</v>
      </c>
      <c r="AX25" s="17" t="str" cm="1">
        <f t="array" aca="1" ref="AX25" ca="1">IF(INDIRECT(AX$1&amp;"!C24")=$A25,AX$2,"")</f>
        <v/>
      </c>
      <c r="AY25" s="17" t="str" cm="1">
        <f t="array" aca="1" ref="AY25" ca="1">IF(INDIRECT(AY$1&amp;"!C24")=$A25,AY$2,"")</f>
        <v/>
      </c>
      <c r="AZ25" s="17" t="str" cm="1">
        <f t="array" aca="1" ref="AZ25" ca="1">IF(INDIRECT(AZ$1&amp;"!C24")=$A25,AZ$2,"")</f>
        <v/>
      </c>
      <c r="BA25" s="17" t="str" cm="1">
        <f t="array" aca="1" ref="BA25" ca="1">IF(INDIRECT(BA$1&amp;"!C24")=$A25,BA$2,"")</f>
        <v/>
      </c>
      <c r="BB25" s="17" t="str" cm="1">
        <f t="array" aca="1" ref="BB25" ca="1">IF(INDIRECT(BB$1&amp;"!C24")=$A25,BB$2,"")</f>
        <v/>
      </c>
      <c r="BC25" s="17" t="str" cm="1">
        <f t="array" aca="1" ref="BC25" ca="1">IF(INDIRECT(BC$1&amp;"!C24")=$A25,BC$2,"")</f>
        <v/>
      </c>
      <c r="BD25" s="17" t="str" cm="1">
        <f t="array" aca="1" ref="BD25" ca="1">IF(INDIRECT(BD$1&amp;"!C24")=$A25,BD$2,"")</f>
        <v/>
      </c>
      <c r="BE25" s="17" t="str" cm="1">
        <f t="array" aca="1" ref="BE25" ca="1">IF(INDIRECT(BE$1&amp;"!C24")=$A25,BE$2,"")</f>
        <v/>
      </c>
      <c r="BF25" s="17" t="str" cm="1">
        <f t="array" aca="1" ref="BF25" ca="1">IF(INDIRECT(BF$1&amp;"!C24")=$A25,BF$2,"")</f>
        <v/>
      </c>
      <c r="BG25" s="17" t="str" cm="1">
        <f t="array" aca="1" ref="BG25" ca="1">IF(INDIRECT(BG$1&amp;"!C24")=$A25,BG$2,"")</f>
        <v/>
      </c>
      <c r="BH25" s="17" t="str" cm="1">
        <f t="array" aca="1" ref="BH25" ca="1">IF(INDIRECT(BH$1&amp;"!C24")=$A25,BH$2,"")</f>
        <v/>
      </c>
      <c r="BI25" s="17" t="str" cm="1">
        <f t="array" aca="1" ref="BI25" ca="1">IF(INDIRECT(BI$1&amp;"!C24")=$A25,BI$2,"")</f>
        <v/>
      </c>
      <c r="BJ25" s="17" t="str" cm="1">
        <f t="array" aca="1" ref="BJ25" ca="1">IF(INDIRECT(BJ$1&amp;"!C24")=$A25,BJ$2,"")</f>
        <v/>
      </c>
      <c r="BK25" s="17" t="str" cm="1">
        <f t="array" aca="1" ref="BK25" ca="1">IF(INDIRECT(BK$1&amp;"!C24")=$A25,BK$2,"")</f>
        <v/>
      </c>
      <c r="BL25" s="17" t="str" cm="1">
        <f t="array" aca="1" ref="BL25" ca="1">IF(INDIRECT(BL$1&amp;"!C24")=$A25,BL$2,"")</f>
        <v/>
      </c>
      <c r="BM25" s="17" t="str" cm="1">
        <f t="array" aca="1" ref="BM25" ca="1">IF(INDIRECT(BM$1&amp;"!C24")=$A25,BM$2,"")</f>
        <v/>
      </c>
      <c r="BN25" s="17" t="str" cm="1">
        <f t="array" aca="1" ref="BN25" ca="1">IF(INDIRECT(BN$1&amp;"!C24")=$A25,BN$2,"")</f>
        <v/>
      </c>
      <c r="BO25" s="17" t="str" cm="1">
        <f t="array" aca="1" ref="BO25" ca="1">IF(INDIRECT(BO$1&amp;"!C24")=$A25,BO$2,"")</f>
        <v/>
      </c>
      <c r="BP25" s="17" t="str" cm="1">
        <f t="array" aca="1" ref="BP25" ca="1">IF(INDIRECT(BP$1&amp;"!C24")=$A25,BP$2,"")</f>
        <v/>
      </c>
      <c r="BQ25" s="17" t="str" cm="1">
        <f t="array" aca="1" ref="BQ25" ca="1">IF(INDIRECT(BQ$1&amp;"!C24")=$A25,BQ$2,"")</f>
        <v/>
      </c>
      <c r="BR25" s="17" t="str" cm="1">
        <f t="array" aca="1" ref="BR25" ca="1">IF(INDIRECT(BR$1&amp;"!C24")=$A25,BR$2,"")</f>
        <v/>
      </c>
      <c r="BS25" s="17" t="str" cm="1">
        <f t="array" aca="1" ref="BS25" ca="1">IF(INDIRECT(BS$1&amp;"!C24")=$A25,BS$2,"")</f>
        <v/>
      </c>
      <c r="BT25" s="17" t="str" cm="1">
        <f t="array" aca="1" ref="BT25" ca="1">IF(INDIRECT(BT$1&amp;"!C24")=$A25,BT$2,"")</f>
        <v/>
      </c>
      <c r="BU25" s="17" t="str" cm="1">
        <f t="array" aca="1" ref="BU25" ca="1">IF(INDIRECT(BU$1&amp;"!C24")=$A25,BU$2,"")</f>
        <v/>
      </c>
      <c r="BV25" s="17" t="str" cm="1">
        <f t="array" aca="1" ref="BV25" ca="1">IF(INDIRECT(BV$1&amp;"!C24")=$A25,BV$2,"")</f>
        <v/>
      </c>
      <c r="BW25" s="17" t="str" cm="1">
        <f t="array" aca="1" ref="BW25" ca="1">IF(INDIRECT(BW$1&amp;"!C24")=$A25,BW$2,"")</f>
        <v/>
      </c>
      <c r="BX25" s="17" t="str" cm="1">
        <f t="array" aca="1" ref="BX25" ca="1">IF(INDIRECT(BX$1&amp;"!C24")=$A25,BX$2,"")</f>
        <v/>
      </c>
      <c r="BY25" s="17" t="str" cm="1">
        <f t="array" aca="1" ref="BY25" ca="1">IF(INDIRECT(BY$1&amp;"!C24")=$A25,BY$2,"")</f>
        <v/>
      </c>
      <c r="BZ25" s="17" t="str" cm="1">
        <f t="array" aca="1" ref="BZ25" ca="1">IF(INDIRECT(BZ$1&amp;"!C24")=$A25,BZ$2,"")</f>
        <v/>
      </c>
      <c r="CA25" s="17" t="str" cm="1">
        <f t="array" aca="1" ref="CA25" ca="1">IF(INDIRECT(CA$1&amp;"!C24")=$A25,CA$2,"")</f>
        <v/>
      </c>
      <c r="CB25" s="17" t="str" cm="1">
        <f t="array" aca="1" ref="CB25" ca="1">IF(INDIRECT(CB$1&amp;"!C24")=$A25,CB$2,"")</f>
        <v/>
      </c>
    </row>
    <row r="26" spans="1:80">
      <c r="A26" s="163">
        <v>24</v>
      </c>
      <c r="B26" s="163" t="str">
        <v>賴俊豪</v>
      </c>
      <c r="C26" s="163" t="str" cm="1">
        <f t="array" aca="1" ref="C26" ca="1">IF(SUMPRODUCT(COUNTIF(INDIRECT(工作表[工作表]&amp;"!C10"),$A26))=0,"",SUMPRODUCT(COUNTIF(INDIRECT(工作表[工作表]&amp;"!C10"),$A26)))</f>
        <v/>
      </c>
      <c r="D26" s="163" t="str" cm="1">
        <f t="array" aca="1" ref="D26" ca="1">IF(SUMPRODUCT(COUNTIF(INDIRECT(工作表[工作表]&amp;"!C12"),$A26))=0,"",SUMPRODUCT(COUNTIF(INDIRECT(工作表[工作表]&amp;"!C12"),$A26)))</f>
        <v/>
      </c>
      <c r="E26" s="163" t="str" cm="1">
        <f t="array" aca="1" ref="E26" ca="1">IF(SUMPRODUCT(COUNTIF(INDIRECT(工作表[工作表]&amp;"!C14"),$A26))=0,"",SUMPRODUCT(COUNTIF(INDIRECT(工作表[工作表]&amp;"!C14"),$A26)))</f>
        <v/>
      </c>
      <c r="F26" s="163" cm="1">
        <f t="array" aca="1" ref="F26" ca="1">IF(SUMPRODUCT(COUNTIF(INDIRECT(工作表[工作表]&amp;"!C16"),$A26))=0,"",SUMPRODUCT(COUNTIF(INDIRECT(工作表[工作表]&amp;"!C16"),$A26)))</f>
        <v>1</v>
      </c>
      <c r="G26" s="163" t="str" cm="1">
        <f t="array" aca="1" ref="G26" ca="1">IF(SUMPRODUCT(COUNTIF(INDIRECT(工作表[工作表]&amp;"!C18"),$A26))=0,"",SUMPRODUCT(COUNTIF(INDIRECT(工作表[工作表]&amp;"!C18"),$A26)))</f>
        <v/>
      </c>
      <c r="H26" s="163" t="str" cm="1">
        <f t="array" aca="1" ref="H26" ca="1">IF(SUMPRODUCT(COUNTIF(INDIRECT(工作表[工作表]&amp;"!C20"),$A26))=0,"",SUMPRODUCT(COUNTIF(INDIRECT(工作表[工作表]&amp;"!C20"),$A26)))</f>
        <v/>
      </c>
      <c r="I26" s="163" cm="1">
        <f t="array" aca="1" ref="I26" ca="1">IF(SUMPRODUCT(COUNTIF(INDIRECT(工作表[工作表]&amp;"!C22"),$A26))=0,"",SUMPRODUCT(COUNTIF(INDIRECT(工作表[工作表]&amp;"!C22"),$A26)))</f>
        <v>1</v>
      </c>
      <c r="J26" s="163" cm="1">
        <f t="array" aca="1" ref="J26" ca="1">IF(SUMPRODUCT(COUNTIF(INDIRECT(工作表[工作表]&amp;"!C24"),$A26))=0,"",SUMPRODUCT(COUNTIF(INDIRECT(工作表[工作表]&amp;"!C24"),$A26)))</f>
        <v>1</v>
      </c>
      <c r="K26" s="163" t="str" cm="1">
        <f t="array" aca="1" ref="K26" ca="1">IF(MAX(IF($AX26:$CB26&lt;$K$1,$AX26:$CB26,"0"))=0,"",$K$1-MAX(IF($AX26:$CB26&lt;$K$1,$AX26:$CB26,"0"))&amp;"天")</f>
        <v>11天</v>
      </c>
      <c r="M26" s="163">
        <f t="shared" ca="1" si="1"/>
        <v>22</v>
      </c>
      <c r="N26" s="163">
        <f>COUNTIF(_xlfn.XLOOKUP(B26,輪休基準表!$E$5:$AF$5,輪休基準表!$E$6:$AF$36,""),"")</f>
        <v>6</v>
      </c>
      <c r="O26" s="167">
        <f t="shared" ca="1" si="2"/>
        <v>3.6666666666666665</v>
      </c>
      <c r="Q26" s="17" t="s">
        <v>271</v>
      </c>
      <c r="R26" s="17">
        <f t="shared" ca="1" si="3"/>
        <v>0</v>
      </c>
      <c r="S26" s="17">
        <f t="shared" ca="1" si="3"/>
        <v>8</v>
      </c>
      <c r="T26" s="17">
        <f t="shared" ca="1" si="3"/>
        <v>8</v>
      </c>
      <c r="U26" s="17">
        <f t="shared" ca="1" si="3"/>
        <v>0</v>
      </c>
      <c r="V26" s="17">
        <f t="shared" ca="1" si="3"/>
        <v>6</v>
      </c>
      <c r="W26" s="17">
        <f t="shared" ca="1" si="3"/>
        <v>0</v>
      </c>
      <c r="X26" s="17">
        <f t="shared" ca="1" si="3"/>
        <v>0</v>
      </c>
      <c r="Y26" s="17">
        <f t="shared" ca="1" si="3"/>
        <v>0</v>
      </c>
      <c r="Z26" s="17">
        <f t="shared" ca="1" si="3"/>
        <v>0</v>
      </c>
      <c r="AA26" s="17">
        <f t="shared" ca="1" si="3"/>
        <v>0</v>
      </c>
      <c r="AB26" s="17">
        <f t="shared" ca="1" si="3"/>
        <v>0</v>
      </c>
      <c r="AC26" s="17">
        <f t="shared" ca="1" si="3"/>
        <v>0</v>
      </c>
      <c r="AD26" s="17">
        <f t="shared" ca="1" si="3"/>
        <v>0</v>
      </c>
      <c r="AE26" s="17">
        <f t="shared" ca="1" si="3"/>
        <v>0</v>
      </c>
      <c r="AF26" s="17">
        <f t="shared" ca="1" si="3"/>
        <v>0</v>
      </c>
      <c r="AG26" s="17">
        <f t="shared" ca="1" si="3"/>
        <v>0</v>
      </c>
      <c r="AH26" s="17">
        <f t="shared" ca="1" si="4"/>
        <v>0</v>
      </c>
      <c r="AI26" s="17">
        <f t="shared" ca="1" si="4"/>
        <v>0</v>
      </c>
      <c r="AJ26" s="17">
        <f t="shared" ca="1" si="4"/>
        <v>0</v>
      </c>
      <c r="AK26" s="17">
        <f t="shared" ca="1" si="4"/>
        <v>0</v>
      </c>
      <c r="AL26" s="17">
        <f t="shared" ca="1" si="4"/>
        <v>0</v>
      </c>
      <c r="AM26" s="17">
        <f t="shared" ca="1" si="4"/>
        <v>0</v>
      </c>
      <c r="AN26" s="17">
        <f t="shared" ca="1" si="4"/>
        <v>0</v>
      </c>
      <c r="AO26" s="17">
        <f t="shared" ca="1" si="4"/>
        <v>0</v>
      </c>
      <c r="AP26" s="17">
        <f t="shared" ca="1" si="4"/>
        <v>0</v>
      </c>
      <c r="AQ26" s="17">
        <f t="shared" ca="1" si="4"/>
        <v>0</v>
      </c>
      <c r="AR26" s="17">
        <f t="shared" ca="1" si="4"/>
        <v>0</v>
      </c>
      <c r="AS26" s="17">
        <f t="shared" ca="1" si="4"/>
        <v>0</v>
      </c>
      <c r="AT26" s="17">
        <f t="shared" ca="1" si="4"/>
        <v>0</v>
      </c>
      <c r="AU26" s="17">
        <f t="shared" ca="1" si="4"/>
        <v>0</v>
      </c>
      <c r="AV26" s="17">
        <f t="shared" ca="1" si="4"/>
        <v>0</v>
      </c>
      <c r="AX26" s="17" t="str" cm="1">
        <f t="array" aca="1" ref="AX26" ca="1">IF(INDIRECT(AX$1&amp;"!C24")=$A26,AX$2,"")</f>
        <v/>
      </c>
      <c r="AY26" s="17" t="str" cm="1">
        <f t="array" aca="1" ref="AY26" ca="1">IF(INDIRECT(AY$1&amp;"!C24")=$A26,AY$2,"")</f>
        <v/>
      </c>
      <c r="AZ26" s="17" t="str" cm="1">
        <f t="array" aca="1" ref="AZ26" ca="1">IF(INDIRECT(AZ$1&amp;"!C24")=$A26,AZ$2,"")</f>
        <v/>
      </c>
      <c r="BA26" s="17" t="str" cm="1">
        <f t="array" aca="1" ref="BA26" ca="1">IF(INDIRECT(BA$1&amp;"!C24")=$A26,BA$2,"")</f>
        <v/>
      </c>
      <c r="BB26" s="17" cm="1">
        <f t="array" aca="1" ref="BB26" ca="1">IF(INDIRECT(BB$1&amp;"!C24")=$A26,BB$2,"")</f>
        <v>46147</v>
      </c>
      <c r="BC26" s="17" t="str" cm="1">
        <f t="array" aca="1" ref="BC26" ca="1">IF(INDIRECT(BC$1&amp;"!C24")=$A26,BC$2,"")</f>
        <v/>
      </c>
      <c r="BD26" s="17" t="str" cm="1">
        <f t="array" aca="1" ref="BD26" ca="1">IF(INDIRECT(BD$1&amp;"!C24")=$A26,BD$2,"")</f>
        <v/>
      </c>
      <c r="BE26" s="17" t="str" cm="1">
        <f t="array" aca="1" ref="BE26" ca="1">IF(INDIRECT(BE$1&amp;"!C24")=$A26,BE$2,"")</f>
        <v/>
      </c>
      <c r="BF26" s="17" t="str" cm="1">
        <f t="array" aca="1" ref="BF26" ca="1">IF(INDIRECT(BF$1&amp;"!C24")=$A26,BF$2,"")</f>
        <v/>
      </c>
      <c r="BG26" s="17" t="str" cm="1">
        <f t="array" aca="1" ref="BG26" ca="1">IF(INDIRECT(BG$1&amp;"!C24")=$A26,BG$2,"")</f>
        <v/>
      </c>
      <c r="BH26" s="17" t="str" cm="1">
        <f t="array" aca="1" ref="BH26" ca="1">IF(INDIRECT(BH$1&amp;"!C24")=$A26,BH$2,"")</f>
        <v/>
      </c>
      <c r="BI26" s="17" t="str" cm="1">
        <f t="array" aca="1" ref="BI26" ca="1">IF(INDIRECT(BI$1&amp;"!C24")=$A26,BI$2,"")</f>
        <v/>
      </c>
      <c r="BJ26" s="17" t="str" cm="1">
        <f t="array" aca="1" ref="BJ26" ca="1">IF(INDIRECT(BJ$1&amp;"!C24")=$A26,BJ$2,"")</f>
        <v/>
      </c>
      <c r="BK26" s="17" t="str" cm="1">
        <f t="array" aca="1" ref="BK26" ca="1">IF(INDIRECT(BK$1&amp;"!C24")=$A26,BK$2,"")</f>
        <v/>
      </c>
      <c r="BL26" s="17" t="str" cm="1">
        <f t="array" aca="1" ref="BL26" ca="1">IF(INDIRECT(BL$1&amp;"!C24")=$A26,BL$2,"")</f>
        <v/>
      </c>
      <c r="BM26" s="17" t="str" cm="1">
        <f t="array" aca="1" ref="BM26" ca="1">IF(INDIRECT(BM$1&amp;"!C24")=$A26,BM$2,"")</f>
        <v/>
      </c>
      <c r="BN26" s="17" t="str" cm="1">
        <f t="array" aca="1" ref="BN26" ca="1">IF(INDIRECT(BN$1&amp;"!C24")=$A26,BN$2,"")</f>
        <v/>
      </c>
      <c r="BO26" s="17" t="str" cm="1">
        <f t="array" aca="1" ref="BO26" ca="1">IF(INDIRECT(BO$1&amp;"!C24")=$A26,BO$2,"")</f>
        <v/>
      </c>
      <c r="BP26" s="17" t="str" cm="1">
        <f t="array" aca="1" ref="BP26" ca="1">IF(INDIRECT(BP$1&amp;"!C24")=$A26,BP$2,"")</f>
        <v/>
      </c>
      <c r="BQ26" s="17" t="str" cm="1">
        <f t="array" aca="1" ref="BQ26" ca="1">IF(INDIRECT(BQ$1&amp;"!C24")=$A26,BQ$2,"")</f>
        <v/>
      </c>
      <c r="BR26" s="17" t="str" cm="1">
        <f t="array" aca="1" ref="BR26" ca="1">IF(INDIRECT(BR$1&amp;"!C24")=$A26,BR$2,"")</f>
        <v/>
      </c>
      <c r="BS26" s="17" t="str" cm="1">
        <f t="array" aca="1" ref="BS26" ca="1">IF(INDIRECT(BS$1&amp;"!C24")=$A26,BS$2,"")</f>
        <v/>
      </c>
      <c r="BT26" s="17" t="str" cm="1">
        <f t="array" aca="1" ref="BT26" ca="1">IF(INDIRECT(BT$1&amp;"!C24")=$A26,BT$2,"")</f>
        <v/>
      </c>
      <c r="BU26" s="17" t="str" cm="1">
        <f t="array" aca="1" ref="BU26" ca="1">IF(INDIRECT(BU$1&amp;"!C24")=$A26,BU$2,"")</f>
        <v/>
      </c>
      <c r="BV26" s="17" t="str" cm="1">
        <f t="array" aca="1" ref="BV26" ca="1">IF(INDIRECT(BV$1&amp;"!C24")=$A26,BV$2,"")</f>
        <v/>
      </c>
      <c r="BW26" s="17" t="str" cm="1">
        <f t="array" aca="1" ref="BW26" ca="1">IF(INDIRECT(BW$1&amp;"!C24")=$A26,BW$2,"")</f>
        <v/>
      </c>
      <c r="BX26" s="17" t="str" cm="1">
        <f t="array" aca="1" ref="BX26" ca="1">IF(INDIRECT(BX$1&amp;"!C24")=$A26,BX$2,"")</f>
        <v/>
      </c>
      <c r="BY26" s="17" t="str" cm="1">
        <f t="array" aca="1" ref="BY26" ca="1">IF(INDIRECT(BY$1&amp;"!C24")=$A26,BY$2,"")</f>
        <v/>
      </c>
      <c r="BZ26" s="17" t="str" cm="1">
        <f t="array" aca="1" ref="BZ26" ca="1">IF(INDIRECT(BZ$1&amp;"!C24")=$A26,BZ$2,"")</f>
        <v/>
      </c>
      <c r="CA26" s="17" t="str" cm="1">
        <f t="array" aca="1" ref="CA26" ca="1">IF(INDIRECT(CA$1&amp;"!C24")=$A26,CA$2,"")</f>
        <v/>
      </c>
      <c r="CB26" s="17" t="str" cm="1">
        <f t="array" aca="1" ref="CB26" ca="1">IF(INDIRECT(CB$1&amp;"!C24")=$A26,CB$2,"")</f>
        <v/>
      </c>
    </row>
    <row r="27" spans="1:80">
      <c r="A27" s="163">
        <v>25</v>
      </c>
      <c r="B27" s="163" t="str">
        <v>郭國偵</v>
      </c>
      <c r="C27" s="163" cm="1">
        <f t="array" aca="1" ref="C27" ca="1">IF(SUMPRODUCT(COUNTIF(INDIRECT(工作表[工作表]&amp;"!C10"),$A27))=0,"",SUMPRODUCT(COUNTIF(INDIRECT(工作表[工作表]&amp;"!C10"),$A27)))</f>
        <v>2</v>
      </c>
      <c r="D27" s="163" cm="1">
        <f t="array" aca="1" ref="D27" ca="1">IF(SUMPRODUCT(COUNTIF(INDIRECT(工作表[工作表]&amp;"!C12"),$A27))=0,"",SUMPRODUCT(COUNTIF(INDIRECT(工作表[工作表]&amp;"!C12"),$A27)))</f>
        <v>1</v>
      </c>
      <c r="E27" s="163" cm="1">
        <f t="array" aca="1" ref="E27" ca="1">IF(SUMPRODUCT(COUNTIF(INDIRECT(工作表[工作表]&amp;"!C14"),$A27))=0,"",SUMPRODUCT(COUNTIF(INDIRECT(工作表[工作表]&amp;"!C14"),$A27)))</f>
        <v>1</v>
      </c>
      <c r="F27" s="163" cm="1">
        <f t="array" aca="1" ref="F27" ca="1">IF(SUMPRODUCT(COUNTIF(INDIRECT(工作表[工作表]&amp;"!C16"),$A27))=0,"",SUMPRODUCT(COUNTIF(INDIRECT(工作表[工作表]&amp;"!C16"),$A27)))</f>
        <v>1</v>
      </c>
      <c r="G27" s="163" t="str" cm="1">
        <f t="array" aca="1" ref="G27" ca="1">IF(SUMPRODUCT(COUNTIF(INDIRECT(工作表[工作表]&amp;"!C18"),$A27))=0,"",SUMPRODUCT(COUNTIF(INDIRECT(工作表[工作表]&amp;"!C18"),$A27)))</f>
        <v/>
      </c>
      <c r="H27" s="163" t="str" cm="1">
        <f t="array" aca="1" ref="H27" ca="1">IF(SUMPRODUCT(COUNTIF(INDIRECT(工作表[工作表]&amp;"!C20"),$A27))=0,"",SUMPRODUCT(COUNTIF(INDIRECT(工作表[工作表]&amp;"!C20"),$A27)))</f>
        <v/>
      </c>
      <c r="I27" s="163" cm="1">
        <f t="array" aca="1" ref="I27" ca="1">IF(SUMPRODUCT(COUNTIF(INDIRECT(工作表[工作表]&amp;"!C22"),$A27))=0,"",SUMPRODUCT(COUNTIF(INDIRECT(工作表[工作表]&amp;"!C22"),$A27)))</f>
        <v>1</v>
      </c>
      <c r="J27" s="163" cm="1">
        <f t="array" aca="1" ref="J27" ca="1">IF(SUMPRODUCT(COUNTIF(INDIRECT(工作表[工作表]&amp;"!C24"),$A27))=0,"",SUMPRODUCT(COUNTIF(INDIRECT(工作表[工作表]&amp;"!C24"),$A27)))</f>
        <v>1</v>
      </c>
      <c r="K27" s="163" t="str" cm="1">
        <f t="array" aca="1" ref="K27" ca="1">IF(MAX(IF($AX27:$CB27&lt;$K$1,$AX27:$CB27,"0"))=0,"",$K$1-MAX(IF($AX27:$CB27&lt;$K$1,$AX27:$CB27,"0"))&amp;"天")</f>
        <v>12天</v>
      </c>
      <c r="M27" s="163">
        <f t="shared" ca="1" si="1"/>
        <v>48</v>
      </c>
      <c r="N27" s="163">
        <f>COUNTIF(_xlfn.XLOOKUP(B27,輪休基準表!$E$5:$AF$5,輪休基準表!$E$6:$AF$36,""),"")</f>
        <v>11</v>
      </c>
      <c r="O27" s="167">
        <f t="shared" ca="1" si="2"/>
        <v>4.3636363636363633</v>
      </c>
      <c r="Q27" s="17" t="s">
        <v>272</v>
      </c>
      <c r="R27" s="17">
        <f t="shared" ca="1" si="3"/>
        <v>0</v>
      </c>
      <c r="S27" s="17">
        <f t="shared" ca="1" si="3"/>
        <v>6</v>
      </c>
      <c r="T27" s="17">
        <f t="shared" ca="1" si="3"/>
        <v>0</v>
      </c>
      <c r="U27" s="17">
        <f t="shared" ca="1" si="3"/>
        <v>6</v>
      </c>
      <c r="V27" s="17">
        <f t="shared" ca="1" si="3"/>
        <v>0</v>
      </c>
      <c r="W27" s="17">
        <f t="shared" ca="1" si="3"/>
        <v>8</v>
      </c>
      <c r="X27" s="17">
        <f t="shared" ca="1" si="3"/>
        <v>0</v>
      </c>
      <c r="Y27" s="17">
        <f t="shared" ref="Y27:AN28" ca="1" si="5">COUNTIF(_xlfn.XLOOKUP("駕",INDIRECT(Y$1&amp;"!$A$7:$AN$7"),INDIRECT(Y$1&amp;"!$A$10:$AN$33"),""),$A27)+COUNTIF(_xlfn.XLOOKUP("護",INDIRECT(Y$1&amp;"!$A$7:$AN$7"),INDIRECT(Y$1&amp;"!$A$10:$AN$33"),""),$A27)</f>
        <v>0</v>
      </c>
      <c r="Z27" s="17">
        <f t="shared" ca="1" si="5"/>
        <v>0</v>
      </c>
      <c r="AA27" s="17">
        <f t="shared" ca="1" si="5"/>
        <v>0</v>
      </c>
      <c r="AB27" s="17">
        <f t="shared" ca="1" si="5"/>
        <v>8</v>
      </c>
      <c r="AC27" s="17">
        <f t="shared" ca="1" si="5"/>
        <v>0</v>
      </c>
      <c r="AD27" s="17">
        <f t="shared" ca="1" si="5"/>
        <v>0</v>
      </c>
      <c r="AE27" s="17">
        <f t="shared" ca="1" si="5"/>
        <v>6</v>
      </c>
      <c r="AF27" s="17">
        <f t="shared" ca="1" si="5"/>
        <v>0</v>
      </c>
      <c r="AG27" s="17">
        <f t="shared" ca="1" si="5"/>
        <v>6</v>
      </c>
      <c r="AH27" s="17">
        <f t="shared" ca="1" si="5"/>
        <v>8</v>
      </c>
      <c r="AI27" s="17">
        <f t="shared" ca="1" si="5"/>
        <v>0</v>
      </c>
      <c r="AJ27" s="17">
        <f t="shared" ca="1" si="5"/>
        <v>0</v>
      </c>
      <c r="AK27" s="17">
        <f t="shared" ca="1" si="5"/>
        <v>0</v>
      </c>
      <c r="AL27" s="17">
        <f t="shared" ca="1" si="5"/>
        <v>0</v>
      </c>
      <c r="AM27" s="17">
        <f t="shared" ca="1" si="5"/>
        <v>0</v>
      </c>
      <c r="AN27" s="17">
        <f t="shared" ca="1" si="5"/>
        <v>0</v>
      </c>
      <c r="AO27" s="17">
        <f t="shared" ca="1" si="4"/>
        <v>0</v>
      </c>
      <c r="AP27" s="17">
        <f t="shared" ca="1" si="4"/>
        <v>0</v>
      </c>
      <c r="AQ27" s="17">
        <f t="shared" ca="1" si="4"/>
        <v>0</v>
      </c>
      <c r="AR27" s="17">
        <f t="shared" ca="1" si="4"/>
        <v>0</v>
      </c>
      <c r="AS27" s="17">
        <f t="shared" ca="1" si="4"/>
        <v>0</v>
      </c>
      <c r="AT27" s="17">
        <f t="shared" ca="1" si="4"/>
        <v>0</v>
      </c>
      <c r="AU27" s="17">
        <f t="shared" ca="1" si="4"/>
        <v>0</v>
      </c>
      <c r="AV27" s="17">
        <f t="shared" ca="1" si="4"/>
        <v>0</v>
      </c>
      <c r="AX27" s="17" t="str" cm="1">
        <f t="array" aca="1" ref="AX27" ca="1">IF(INDIRECT(AX$1&amp;"!C24")=$A27,AX$2,"")</f>
        <v/>
      </c>
      <c r="AY27" s="17" t="str" cm="1">
        <f t="array" aca="1" ref="AY27" ca="1">IF(INDIRECT(AY$1&amp;"!C24")=$A27,AY$2,"")</f>
        <v/>
      </c>
      <c r="AZ27" s="17" t="str" cm="1">
        <f t="array" aca="1" ref="AZ27" ca="1">IF(INDIRECT(AZ$1&amp;"!C24")=$A27,AZ$2,"")</f>
        <v/>
      </c>
      <c r="BA27" s="17" cm="1">
        <f t="array" aca="1" ref="BA27" ca="1">IF(INDIRECT(BA$1&amp;"!C24")=$A27,BA$2,"")</f>
        <v>46146</v>
      </c>
      <c r="BB27" s="17" t="str" cm="1">
        <f t="array" aca="1" ref="BB27" ca="1">IF(INDIRECT(BB$1&amp;"!C24")=$A27,BB$2,"")</f>
        <v/>
      </c>
      <c r="BC27" s="17" t="str" cm="1">
        <f t="array" aca="1" ref="BC27" ca="1">IF(INDIRECT(BC$1&amp;"!C24")=$A27,BC$2,"")</f>
        <v/>
      </c>
      <c r="BD27" s="17" t="str" cm="1">
        <f t="array" aca="1" ref="BD27" ca="1">IF(INDIRECT(BD$1&amp;"!C24")=$A27,BD$2,"")</f>
        <v/>
      </c>
      <c r="BE27" s="17" t="str" cm="1">
        <f t="array" aca="1" ref="BE27" ca="1">IF(INDIRECT(BE$1&amp;"!C24")=$A27,BE$2,"")</f>
        <v/>
      </c>
      <c r="BF27" s="17" t="str" cm="1">
        <f t="array" aca="1" ref="BF27" ca="1">IF(INDIRECT(BF$1&amp;"!C24")=$A27,BF$2,"")</f>
        <v/>
      </c>
      <c r="BG27" s="17" t="str" cm="1">
        <f t="array" aca="1" ref="BG27" ca="1">IF(INDIRECT(BG$1&amp;"!C24")=$A27,BG$2,"")</f>
        <v/>
      </c>
      <c r="BH27" s="17" t="str" cm="1">
        <f t="array" aca="1" ref="BH27" ca="1">IF(INDIRECT(BH$1&amp;"!C24")=$A27,BH$2,"")</f>
        <v/>
      </c>
      <c r="BI27" s="17" t="str" cm="1">
        <f t="array" aca="1" ref="BI27" ca="1">IF(INDIRECT(BI$1&amp;"!C24")=$A27,BI$2,"")</f>
        <v/>
      </c>
      <c r="BJ27" s="17" t="str" cm="1">
        <f t="array" aca="1" ref="BJ27" ca="1">IF(INDIRECT(BJ$1&amp;"!C24")=$A27,BJ$2,"")</f>
        <v/>
      </c>
      <c r="BK27" s="17" t="str" cm="1">
        <f t="array" aca="1" ref="BK27" ca="1">IF(INDIRECT(BK$1&amp;"!C24")=$A27,BK$2,"")</f>
        <v/>
      </c>
      <c r="BL27" s="17" t="str" cm="1">
        <f t="array" aca="1" ref="BL27" ca="1">IF(INDIRECT(BL$1&amp;"!C24")=$A27,BL$2,"")</f>
        <v/>
      </c>
      <c r="BM27" s="17" t="str" cm="1">
        <f t="array" aca="1" ref="BM27" ca="1">IF(INDIRECT(BM$1&amp;"!C24")=$A27,BM$2,"")</f>
        <v/>
      </c>
      <c r="BN27" s="17" t="str" cm="1">
        <f t="array" aca="1" ref="BN27" ca="1">IF(INDIRECT(BN$1&amp;"!C24")=$A27,BN$2,"")</f>
        <v/>
      </c>
      <c r="BO27" s="17" t="str" cm="1">
        <f t="array" aca="1" ref="BO27" ca="1">IF(INDIRECT(BO$1&amp;"!C24")=$A27,BO$2,"")</f>
        <v/>
      </c>
      <c r="BP27" s="17" t="str" cm="1">
        <f t="array" aca="1" ref="BP27" ca="1">IF(INDIRECT(BP$1&amp;"!C24")=$A27,BP$2,"")</f>
        <v/>
      </c>
      <c r="BQ27" s="17" t="str" cm="1">
        <f t="array" aca="1" ref="BQ27" ca="1">IF(INDIRECT(BQ$1&amp;"!C24")=$A27,BQ$2,"")</f>
        <v/>
      </c>
      <c r="BR27" s="17" t="str" cm="1">
        <f t="array" aca="1" ref="BR27" ca="1">IF(INDIRECT(BR$1&amp;"!C24")=$A27,BR$2,"")</f>
        <v/>
      </c>
      <c r="BS27" s="17" t="str" cm="1">
        <f t="array" aca="1" ref="BS27" ca="1">IF(INDIRECT(BS$1&amp;"!C24")=$A27,BS$2,"")</f>
        <v/>
      </c>
      <c r="BT27" s="17" t="str" cm="1">
        <f t="array" aca="1" ref="BT27" ca="1">IF(INDIRECT(BT$1&amp;"!C24")=$A27,BT$2,"")</f>
        <v/>
      </c>
      <c r="BU27" s="17" t="str" cm="1">
        <f t="array" aca="1" ref="BU27" ca="1">IF(INDIRECT(BU$1&amp;"!C24")=$A27,BU$2,"")</f>
        <v/>
      </c>
      <c r="BV27" s="17" t="str" cm="1">
        <f t="array" aca="1" ref="BV27" ca="1">IF(INDIRECT(BV$1&amp;"!C24")=$A27,BV$2,"")</f>
        <v/>
      </c>
      <c r="BW27" s="17" t="str" cm="1">
        <f t="array" aca="1" ref="BW27" ca="1">IF(INDIRECT(BW$1&amp;"!C24")=$A27,BW$2,"")</f>
        <v/>
      </c>
      <c r="BX27" s="17" t="str" cm="1">
        <f t="array" aca="1" ref="BX27" ca="1">IF(INDIRECT(BX$1&amp;"!C24")=$A27,BX$2,"")</f>
        <v/>
      </c>
      <c r="BY27" s="17" t="str" cm="1">
        <f t="array" aca="1" ref="BY27" ca="1">IF(INDIRECT(BY$1&amp;"!C24")=$A27,BY$2,"")</f>
        <v/>
      </c>
      <c r="BZ27" s="17" t="str" cm="1">
        <f t="array" aca="1" ref="BZ27" ca="1">IF(INDIRECT(BZ$1&amp;"!C24")=$A27,BZ$2,"")</f>
        <v/>
      </c>
      <c r="CA27" s="17" t="str" cm="1">
        <f t="array" aca="1" ref="CA27" ca="1">IF(INDIRECT(CA$1&amp;"!C24")=$A27,CA$2,"")</f>
        <v/>
      </c>
      <c r="CB27" s="17" t="str" cm="1">
        <f t="array" aca="1" ref="CB27" ca="1">IF(INDIRECT(CB$1&amp;"!C24")=$A27,CB$2,"")</f>
        <v/>
      </c>
    </row>
    <row r="28" spans="1:80">
      <c r="A28" s="163">
        <v>26</v>
      </c>
      <c r="B28" s="163" t="str">
        <v>楊紹文</v>
      </c>
      <c r="C28" s="163" t="str" cm="1">
        <f t="array" aca="1" ref="C28" ca="1">IF(SUMPRODUCT(COUNTIF(INDIRECT(工作表[工作表]&amp;"!C10"),$A28))=0,"",SUMPRODUCT(COUNTIF(INDIRECT(工作表[工作表]&amp;"!C10"),$A28)))</f>
        <v/>
      </c>
      <c r="D28" s="163" t="str" cm="1">
        <f t="array" aca="1" ref="D28" ca="1">IF(SUMPRODUCT(COUNTIF(INDIRECT(工作表[工作表]&amp;"!C12"),$A28))=0,"",SUMPRODUCT(COUNTIF(INDIRECT(工作表[工作表]&amp;"!C12"),$A28)))</f>
        <v/>
      </c>
      <c r="E28" s="163" cm="1">
        <f t="array" aca="1" ref="E28" ca="1">IF(SUMPRODUCT(COUNTIF(INDIRECT(工作表[工作表]&amp;"!C14"),$A28))=0,"",SUMPRODUCT(COUNTIF(INDIRECT(工作表[工作表]&amp;"!C14"),$A28)))</f>
        <v>1</v>
      </c>
      <c r="F28" s="163" cm="1">
        <f t="array" aca="1" ref="F28" ca="1">IF(SUMPRODUCT(COUNTIF(INDIRECT(工作表[工作表]&amp;"!C16"),$A28))=0,"",SUMPRODUCT(COUNTIF(INDIRECT(工作表[工作表]&amp;"!C16"),$A28)))</f>
        <v>2</v>
      </c>
      <c r="G28" s="163" t="str" cm="1">
        <f t="array" aca="1" ref="G28" ca="1">IF(SUMPRODUCT(COUNTIF(INDIRECT(工作表[工作表]&amp;"!C18"),$A28))=0,"",SUMPRODUCT(COUNTIF(INDIRECT(工作表[工作表]&amp;"!C18"),$A28)))</f>
        <v/>
      </c>
      <c r="H28" s="163" t="str" cm="1">
        <f t="array" aca="1" ref="H28" ca="1">IF(SUMPRODUCT(COUNTIF(INDIRECT(工作表[工作表]&amp;"!C20"),$A28))=0,"",SUMPRODUCT(COUNTIF(INDIRECT(工作表[工作表]&amp;"!C20"),$A28)))</f>
        <v/>
      </c>
      <c r="I28" s="163" cm="1">
        <f t="array" aca="1" ref="I28" ca="1">IF(SUMPRODUCT(COUNTIF(INDIRECT(工作表[工作表]&amp;"!C22"),$A28))=0,"",SUMPRODUCT(COUNTIF(INDIRECT(工作表[工作表]&amp;"!C22"),$A28)))</f>
        <v>2</v>
      </c>
      <c r="J28" s="163" cm="1">
        <f t="array" aca="1" ref="J28" ca="1">IF(SUMPRODUCT(COUNTIF(INDIRECT(工作表[工作表]&amp;"!C24"),$A28))=0,"",SUMPRODUCT(COUNTIF(INDIRECT(工作表[工作表]&amp;"!C24"),$A28)))</f>
        <v>1</v>
      </c>
      <c r="K28" s="163" t="str" cm="1">
        <f t="array" aca="1" ref="K28" ca="1">IF(MAX(IF($AX28:$CB28&lt;$K$1,$AX28:$CB28,"0"))=0,"",$K$1-MAX(IF($AX28:$CB28&lt;$K$1,$AX28:$CB28,"0"))&amp;"天")</f>
        <v>14天</v>
      </c>
      <c r="M28" s="163">
        <f t="shared" ca="1" si="1"/>
        <v>42</v>
      </c>
      <c r="N28" s="163">
        <f>COUNTIF(_xlfn.XLOOKUP(B28,輪休基準表!$E$5:$AF$5,輪休基準表!$E$6:$AF$36,""),"")</f>
        <v>11</v>
      </c>
      <c r="O28" s="167">
        <f t="shared" ca="1" si="2"/>
        <v>3.8181818181818183</v>
      </c>
      <c r="Q28" s="17" t="s">
        <v>273</v>
      </c>
      <c r="R28" s="17">
        <f t="shared" ref="R28:AG29" ca="1" si="6">COUNTIF(_xlfn.XLOOKUP("駕",INDIRECT(R$1&amp;"!$A$7:$AN$7"),INDIRECT(R$1&amp;"!$A$10:$AN$33"),""),$A28)+COUNTIF(_xlfn.XLOOKUP("護",INDIRECT(R$1&amp;"!$A$7:$AN$7"),INDIRECT(R$1&amp;"!$A$10:$AN$33"),""),$A28)</f>
        <v>0</v>
      </c>
      <c r="S28" s="17">
        <f t="shared" ca="1" si="6"/>
        <v>6</v>
      </c>
      <c r="T28" s="17">
        <f t="shared" ca="1" si="6"/>
        <v>0</v>
      </c>
      <c r="U28" s="17">
        <f t="shared" ca="1" si="6"/>
        <v>0</v>
      </c>
      <c r="V28" s="17">
        <f t="shared" ca="1" si="6"/>
        <v>8</v>
      </c>
      <c r="W28" s="17">
        <f t="shared" ca="1" si="6"/>
        <v>8</v>
      </c>
      <c r="X28" s="17">
        <f t="shared" ca="1" si="6"/>
        <v>0</v>
      </c>
      <c r="Y28" s="17">
        <f t="shared" ca="1" si="6"/>
        <v>8</v>
      </c>
      <c r="Z28" s="17">
        <f t="shared" ca="1" si="6"/>
        <v>6</v>
      </c>
      <c r="AA28" s="17">
        <f t="shared" ca="1" si="6"/>
        <v>0</v>
      </c>
      <c r="AB28" s="17">
        <f t="shared" ca="1" si="6"/>
        <v>0</v>
      </c>
      <c r="AC28" s="17">
        <f t="shared" ca="1" si="6"/>
        <v>6</v>
      </c>
      <c r="AD28" s="17">
        <f t="shared" ca="1" si="6"/>
        <v>0</v>
      </c>
      <c r="AE28" s="17">
        <f t="shared" ca="1" si="6"/>
        <v>0</v>
      </c>
      <c r="AF28" s="17">
        <f t="shared" ca="1" si="6"/>
        <v>0</v>
      </c>
      <c r="AG28" s="17">
        <f t="shared" ca="1" si="6"/>
        <v>0</v>
      </c>
      <c r="AH28" s="17">
        <f t="shared" ca="1" si="5"/>
        <v>0</v>
      </c>
      <c r="AI28" s="17">
        <f t="shared" ca="1" si="5"/>
        <v>0</v>
      </c>
      <c r="AJ28" s="17">
        <f t="shared" ca="1" si="5"/>
        <v>0</v>
      </c>
      <c r="AK28" s="17">
        <f t="shared" ca="1" si="5"/>
        <v>0</v>
      </c>
      <c r="AL28" s="17">
        <f t="shared" ca="1" si="5"/>
        <v>0</v>
      </c>
      <c r="AM28" s="17">
        <f t="shared" ca="1" si="5"/>
        <v>0</v>
      </c>
      <c r="AN28" s="17">
        <f t="shared" ca="1" si="5"/>
        <v>0</v>
      </c>
      <c r="AO28" s="17">
        <f t="shared" ca="1" si="4"/>
        <v>0</v>
      </c>
      <c r="AP28" s="17">
        <f t="shared" ca="1" si="4"/>
        <v>0</v>
      </c>
      <c r="AQ28" s="17">
        <f t="shared" ca="1" si="4"/>
        <v>0</v>
      </c>
      <c r="AR28" s="17">
        <f t="shared" ca="1" si="4"/>
        <v>0</v>
      </c>
      <c r="AS28" s="17">
        <f t="shared" ca="1" si="4"/>
        <v>0</v>
      </c>
      <c r="AT28" s="17">
        <f t="shared" ca="1" si="4"/>
        <v>0</v>
      </c>
      <c r="AU28" s="17">
        <f t="shared" ca="1" si="4"/>
        <v>0</v>
      </c>
      <c r="AV28" s="17">
        <f t="shared" ref="S28:AV30" ca="1" si="7">COUNTIF(_xlfn.XLOOKUP("駕",INDIRECT(AV$1&amp;"!$A$7:$AN$7"),INDIRECT(AV$1&amp;"!$A$10:$AN$33"),""),$A28)+COUNTIF(_xlfn.XLOOKUP("護",INDIRECT(AV$1&amp;"!$A$7:$AN$7"),INDIRECT(AV$1&amp;"!$A$10:$AN$33"),""),$A28)</f>
        <v>0</v>
      </c>
      <c r="AX28" s="17" t="str" cm="1">
        <f t="array" aca="1" ref="AX28" ca="1">IF(INDIRECT(AX$1&amp;"!C24")=$A28,AX$2,"")</f>
        <v/>
      </c>
      <c r="AY28" s="17" cm="1">
        <f t="array" aca="1" ref="AY28" ca="1">IF(INDIRECT(AY$1&amp;"!C24")=$A28,AY$2,"")</f>
        <v>46144</v>
      </c>
      <c r="AZ28" s="17" t="str" cm="1">
        <f t="array" aca="1" ref="AZ28" ca="1">IF(INDIRECT(AZ$1&amp;"!C24")=$A28,AZ$2,"")</f>
        <v/>
      </c>
      <c r="BA28" s="17" t="str" cm="1">
        <f t="array" aca="1" ref="BA28" ca="1">IF(INDIRECT(BA$1&amp;"!C24")=$A28,BA$2,"")</f>
        <v/>
      </c>
      <c r="BB28" s="17" t="str" cm="1">
        <f t="array" aca="1" ref="BB28" ca="1">IF(INDIRECT(BB$1&amp;"!C24")=$A28,BB$2,"")</f>
        <v/>
      </c>
      <c r="BC28" s="17" t="str" cm="1">
        <f t="array" aca="1" ref="BC28" ca="1">IF(INDIRECT(BC$1&amp;"!C24")=$A28,BC$2,"")</f>
        <v/>
      </c>
      <c r="BD28" s="17" t="str" cm="1">
        <f t="array" aca="1" ref="BD28" ca="1">IF(INDIRECT(BD$1&amp;"!C24")=$A28,BD$2,"")</f>
        <v/>
      </c>
      <c r="BE28" s="17" t="str" cm="1">
        <f t="array" aca="1" ref="BE28" ca="1">IF(INDIRECT(BE$1&amp;"!C24")=$A28,BE$2,"")</f>
        <v/>
      </c>
      <c r="BF28" s="17" t="str" cm="1">
        <f t="array" aca="1" ref="BF28" ca="1">IF(INDIRECT(BF$1&amp;"!C24")=$A28,BF$2,"")</f>
        <v/>
      </c>
      <c r="BG28" s="17" t="str" cm="1">
        <f t="array" aca="1" ref="BG28" ca="1">IF(INDIRECT(BG$1&amp;"!C24")=$A28,BG$2,"")</f>
        <v/>
      </c>
      <c r="BH28" s="17" t="str" cm="1">
        <f t="array" aca="1" ref="BH28" ca="1">IF(INDIRECT(BH$1&amp;"!C24")=$A28,BH$2,"")</f>
        <v/>
      </c>
      <c r="BI28" s="17" t="str" cm="1">
        <f t="array" aca="1" ref="BI28" ca="1">IF(INDIRECT(BI$1&amp;"!C24")=$A28,BI$2,"")</f>
        <v/>
      </c>
      <c r="BJ28" s="17" t="str" cm="1">
        <f t="array" aca="1" ref="BJ28" ca="1">IF(INDIRECT(BJ$1&amp;"!C24")=$A28,BJ$2,"")</f>
        <v/>
      </c>
      <c r="BK28" s="17" t="str" cm="1">
        <f t="array" aca="1" ref="BK28" ca="1">IF(INDIRECT(BK$1&amp;"!C24")=$A28,BK$2,"")</f>
        <v/>
      </c>
      <c r="BL28" s="17" t="str" cm="1">
        <f t="array" aca="1" ref="BL28" ca="1">IF(INDIRECT(BL$1&amp;"!C24")=$A28,BL$2,"")</f>
        <v/>
      </c>
      <c r="BM28" s="17" t="str" cm="1">
        <f t="array" aca="1" ref="BM28" ca="1">IF(INDIRECT(BM$1&amp;"!C24")=$A28,BM$2,"")</f>
        <v/>
      </c>
      <c r="BN28" s="17" t="str" cm="1">
        <f t="array" aca="1" ref="BN28" ca="1">IF(INDIRECT(BN$1&amp;"!C24")=$A28,BN$2,"")</f>
        <v/>
      </c>
      <c r="BO28" s="17" t="str" cm="1">
        <f t="array" aca="1" ref="BO28" ca="1">IF(INDIRECT(BO$1&amp;"!C24")=$A28,BO$2,"")</f>
        <v/>
      </c>
      <c r="BP28" s="17" t="str" cm="1">
        <f t="array" aca="1" ref="BP28" ca="1">IF(INDIRECT(BP$1&amp;"!C24")=$A28,BP$2,"")</f>
        <v/>
      </c>
      <c r="BQ28" s="17" t="str" cm="1">
        <f t="array" aca="1" ref="BQ28" ca="1">IF(INDIRECT(BQ$1&amp;"!C24")=$A28,BQ$2,"")</f>
        <v/>
      </c>
      <c r="BR28" s="17" t="str" cm="1">
        <f t="array" aca="1" ref="BR28" ca="1">IF(INDIRECT(BR$1&amp;"!C24")=$A28,BR$2,"")</f>
        <v/>
      </c>
      <c r="BS28" s="17" t="str" cm="1">
        <f t="array" aca="1" ref="BS28" ca="1">IF(INDIRECT(BS$1&amp;"!C24")=$A28,BS$2,"")</f>
        <v/>
      </c>
      <c r="BT28" s="17" t="str" cm="1">
        <f t="array" aca="1" ref="BT28" ca="1">IF(INDIRECT(BT$1&amp;"!C24")=$A28,BT$2,"")</f>
        <v/>
      </c>
      <c r="BU28" s="17" t="str" cm="1">
        <f t="array" aca="1" ref="BU28" ca="1">IF(INDIRECT(BU$1&amp;"!C24")=$A28,BU$2,"")</f>
        <v/>
      </c>
      <c r="BV28" s="17" t="str" cm="1">
        <f t="array" aca="1" ref="BV28" ca="1">IF(INDIRECT(BV$1&amp;"!C24")=$A28,BV$2,"")</f>
        <v/>
      </c>
      <c r="BW28" s="17" t="str" cm="1">
        <f t="array" aca="1" ref="BW28" ca="1">IF(INDIRECT(BW$1&amp;"!C24")=$A28,BW$2,"")</f>
        <v/>
      </c>
      <c r="BX28" s="17" t="str" cm="1">
        <f t="array" aca="1" ref="BX28" ca="1">IF(INDIRECT(BX$1&amp;"!C24")=$A28,BX$2,"")</f>
        <v/>
      </c>
      <c r="BY28" s="17" t="str" cm="1">
        <f t="array" aca="1" ref="BY28" ca="1">IF(INDIRECT(BY$1&amp;"!C24")=$A28,BY$2,"")</f>
        <v/>
      </c>
      <c r="BZ28" s="17" t="str" cm="1">
        <f t="array" aca="1" ref="BZ28" ca="1">IF(INDIRECT(BZ$1&amp;"!C24")=$A28,BZ$2,"")</f>
        <v/>
      </c>
      <c r="CA28" s="17" t="str" cm="1">
        <f t="array" aca="1" ref="CA28" ca="1">IF(INDIRECT(CA$1&amp;"!C24")=$A28,CA$2,"")</f>
        <v/>
      </c>
      <c r="CB28" s="17" t="str" cm="1">
        <f t="array" aca="1" ref="CB28" ca="1">IF(INDIRECT(CB$1&amp;"!C24")=$A28,CB$2,"")</f>
        <v/>
      </c>
    </row>
    <row r="29" spans="1:80">
      <c r="A29" s="163">
        <v>27</v>
      </c>
      <c r="B29" s="163" t="str">
        <v>林宏為</v>
      </c>
      <c r="C29" s="163" cm="1">
        <f t="array" aca="1" ref="C29" ca="1">IF(SUMPRODUCT(COUNTIF(INDIRECT(工作表[工作表]&amp;"!C10"),$A29))=0,"",SUMPRODUCT(COUNTIF(INDIRECT(工作表[工作表]&amp;"!C10"),$A29)))</f>
        <v>1</v>
      </c>
      <c r="D29" s="163" cm="1">
        <f t="array" aca="1" ref="D29" ca="1">IF(SUMPRODUCT(COUNTIF(INDIRECT(工作表[工作表]&amp;"!C12"),$A29))=0,"",SUMPRODUCT(COUNTIF(INDIRECT(工作表[工作表]&amp;"!C12"),$A29)))</f>
        <v>1</v>
      </c>
      <c r="E29" s="163" cm="1">
        <f t="array" aca="1" ref="E29" ca="1">IF(SUMPRODUCT(COUNTIF(INDIRECT(工作表[工作表]&amp;"!C14"),$A29))=0,"",SUMPRODUCT(COUNTIF(INDIRECT(工作表[工作表]&amp;"!C14"),$A29)))</f>
        <v>1</v>
      </c>
      <c r="F29" s="163" t="str" cm="1">
        <f t="array" aca="1" ref="F29" ca="1">IF(SUMPRODUCT(COUNTIF(INDIRECT(工作表[工作表]&amp;"!C16"),$A29))=0,"",SUMPRODUCT(COUNTIF(INDIRECT(工作表[工作表]&amp;"!C16"),$A29)))</f>
        <v/>
      </c>
      <c r="G29" s="163" cm="1">
        <f t="array" aca="1" ref="G29" ca="1">IF(SUMPRODUCT(COUNTIF(INDIRECT(工作表[工作表]&amp;"!C18"),$A29))=0,"",SUMPRODUCT(COUNTIF(INDIRECT(工作表[工作表]&amp;"!C18"),$A29)))</f>
        <v>2</v>
      </c>
      <c r="H29" s="163" t="str" cm="1">
        <f t="array" aca="1" ref="H29" ca="1">IF(SUMPRODUCT(COUNTIF(INDIRECT(工作表[工作表]&amp;"!C20"),$A29))=0,"",SUMPRODUCT(COUNTIF(INDIRECT(工作表[工作表]&amp;"!C20"),$A29)))</f>
        <v/>
      </c>
      <c r="I29" s="163" cm="1">
        <f t="array" aca="1" ref="I29" ca="1">IF(SUMPRODUCT(COUNTIF(INDIRECT(工作表[工作表]&amp;"!C22"),$A29))=0,"",SUMPRODUCT(COUNTIF(INDIRECT(工作表[工作表]&amp;"!C22"),$A29)))</f>
        <v>1</v>
      </c>
      <c r="J29" s="163" t="str" cm="1">
        <f t="array" aca="1" ref="J29" ca="1">IF(SUMPRODUCT(COUNTIF(INDIRECT(工作表[工作表]&amp;"!C24"),$A29))=0,"",SUMPRODUCT(COUNTIF(INDIRECT(工作表[工作表]&amp;"!C24"),$A29)))</f>
        <v/>
      </c>
      <c r="K29" s="163" t="str" cm="1">
        <f t="array" aca="1" ref="K29" ca="1">IF(MAX(IF($AX29:$CB29&lt;$K$1,$AX29:$CB29,"0"))=0,"",$K$1-MAX(IF($AX29:$CB29&lt;$K$1,$AX29:$CB29,"0"))&amp;"天")</f>
        <v/>
      </c>
      <c r="M29" s="163">
        <f t="shared" ca="1" si="1"/>
        <v>40</v>
      </c>
      <c r="N29" s="163">
        <f>COUNTIF(_xlfn.XLOOKUP(B29,輪休基準表!$E$5:$AF$5,輪休基準表!$E$6:$AF$36,""),"")</f>
        <v>12</v>
      </c>
      <c r="O29" s="167">
        <f t="shared" ca="1" si="2"/>
        <v>3.3333333333333335</v>
      </c>
      <c r="Q29" s="17" t="s">
        <v>274</v>
      </c>
      <c r="R29" s="17">
        <f t="shared" ca="1" si="6"/>
        <v>6</v>
      </c>
      <c r="S29" s="17">
        <f t="shared" ca="1" si="7"/>
        <v>0</v>
      </c>
      <c r="T29" s="17">
        <f t="shared" ca="1" si="7"/>
        <v>8</v>
      </c>
      <c r="U29" s="17">
        <f t="shared" ca="1" si="7"/>
        <v>0</v>
      </c>
      <c r="V29" s="17">
        <f t="shared" ca="1" si="7"/>
        <v>6</v>
      </c>
      <c r="W29" s="17">
        <f t="shared" ca="1" si="7"/>
        <v>0</v>
      </c>
      <c r="X29" s="17">
        <f t="shared" ca="1" si="7"/>
        <v>0</v>
      </c>
      <c r="Y29" s="17">
        <f t="shared" ca="1" si="7"/>
        <v>6</v>
      </c>
      <c r="Z29" s="17">
        <f t="shared" ca="1" si="7"/>
        <v>0</v>
      </c>
      <c r="AA29" s="17">
        <f t="shared" ca="1" si="7"/>
        <v>6</v>
      </c>
      <c r="AB29" s="17">
        <f t="shared" ca="1" si="7"/>
        <v>0</v>
      </c>
      <c r="AC29" s="17">
        <f t="shared" ca="1" si="7"/>
        <v>8</v>
      </c>
      <c r="AD29" s="17">
        <f t="shared" ca="1" si="7"/>
        <v>0</v>
      </c>
      <c r="AE29" s="17">
        <f t="shared" ca="1" si="7"/>
        <v>0</v>
      </c>
      <c r="AF29" s="17">
        <f t="shared" ca="1" si="7"/>
        <v>0</v>
      </c>
      <c r="AG29" s="17">
        <f t="shared" ca="1" si="7"/>
        <v>0</v>
      </c>
      <c r="AH29" s="17">
        <f t="shared" ca="1" si="7"/>
        <v>0</v>
      </c>
      <c r="AI29" s="17">
        <f t="shared" ca="1" si="7"/>
        <v>0</v>
      </c>
      <c r="AJ29" s="17">
        <f t="shared" ca="1" si="7"/>
        <v>0</v>
      </c>
      <c r="AK29" s="17">
        <f t="shared" ca="1" si="7"/>
        <v>0</v>
      </c>
      <c r="AL29" s="17">
        <f t="shared" ca="1" si="7"/>
        <v>0</v>
      </c>
      <c r="AM29" s="17">
        <f t="shared" ca="1" si="7"/>
        <v>0</v>
      </c>
      <c r="AN29" s="17">
        <f t="shared" ca="1" si="7"/>
        <v>0</v>
      </c>
      <c r="AO29" s="17">
        <f t="shared" ca="1" si="7"/>
        <v>0</v>
      </c>
      <c r="AP29" s="17">
        <f t="shared" ca="1" si="7"/>
        <v>0</v>
      </c>
      <c r="AQ29" s="17">
        <f t="shared" ca="1" si="7"/>
        <v>0</v>
      </c>
      <c r="AR29" s="17">
        <f t="shared" ca="1" si="7"/>
        <v>0</v>
      </c>
      <c r="AS29" s="17">
        <f t="shared" ca="1" si="7"/>
        <v>0</v>
      </c>
      <c r="AT29" s="17">
        <f t="shared" ca="1" si="7"/>
        <v>0</v>
      </c>
      <c r="AU29" s="17">
        <f t="shared" ca="1" si="7"/>
        <v>0</v>
      </c>
      <c r="AV29" s="17">
        <f t="shared" ca="1" si="7"/>
        <v>0</v>
      </c>
      <c r="AX29" s="17" t="str" cm="1">
        <f t="array" aca="1" ref="AX29" ca="1">IF(INDIRECT(AX$1&amp;"!C24")=$A29,AX$2,"")</f>
        <v/>
      </c>
      <c r="AY29" s="17" t="str" cm="1">
        <f t="array" aca="1" ref="AY29" ca="1">IF(INDIRECT(AY$1&amp;"!C24")=$A29,AY$2,"")</f>
        <v/>
      </c>
      <c r="AZ29" s="17" t="str" cm="1">
        <f t="array" aca="1" ref="AZ29" ca="1">IF(INDIRECT(AZ$1&amp;"!C24")=$A29,AZ$2,"")</f>
        <v/>
      </c>
      <c r="BA29" s="17" t="str" cm="1">
        <f t="array" aca="1" ref="BA29" ca="1">IF(INDIRECT(BA$1&amp;"!C24")=$A29,BA$2,"")</f>
        <v/>
      </c>
      <c r="BB29" s="17" t="str" cm="1">
        <f t="array" aca="1" ref="BB29" ca="1">IF(INDIRECT(BB$1&amp;"!C24")=$A29,BB$2,"")</f>
        <v/>
      </c>
      <c r="BC29" s="17" t="str" cm="1">
        <f t="array" aca="1" ref="BC29" ca="1">IF(INDIRECT(BC$1&amp;"!C24")=$A29,BC$2,"")</f>
        <v/>
      </c>
      <c r="BD29" s="17" t="str" cm="1">
        <f t="array" aca="1" ref="BD29" ca="1">IF(INDIRECT(BD$1&amp;"!C24")=$A29,BD$2,"")</f>
        <v/>
      </c>
      <c r="BE29" s="17" t="str" cm="1">
        <f t="array" aca="1" ref="BE29" ca="1">IF(INDIRECT(BE$1&amp;"!C24")=$A29,BE$2,"")</f>
        <v/>
      </c>
      <c r="BF29" s="17" t="str" cm="1">
        <f t="array" aca="1" ref="BF29" ca="1">IF(INDIRECT(BF$1&amp;"!C24")=$A29,BF$2,"")</f>
        <v/>
      </c>
      <c r="BG29" s="17" t="str" cm="1">
        <f t="array" aca="1" ref="BG29" ca="1">IF(INDIRECT(BG$1&amp;"!C24")=$A29,BG$2,"")</f>
        <v/>
      </c>
      <c r="BH29" s="17" t="str" cm="1">
        <f t="array" aca="1" ref="BH29" ca="1">IF(INDIRECT(BH$1&amp;"!C24")=$A29,BH$2,"")</f>
        <v/>
      </c>
      <c r="BI29" s="17" t="str" cm="1">
        <f t="array" aca="1" ref="BI29" ca="1">IF(INDIRECT(BI$1&amp;"!C24")=$A29,BI$2,"")</f>
        <v/>
      </c>
      <c r="BJ29" s="17" t="str" cm="1">
        <f t="array" aca="1" ref="BJ29" ca="1">IF(INDIRECT(BJ$1&amp;"!C24")=$A29,BJ$2,"")</f>
        <v/>
      </c>
      <c r="BK29" s="17" t="str" cm="1">
        <f t="array" aca="1" ref="BK29" ca="1">IF(INDIRECT(BK$1&amp;"!C24")=$A29,BK$2,"")</f>
        <v/>
      </c>
      <c r="BL29" s="17" t="str" cm="1">
        <f t="array" aca="1" ref="BL29" ca="1">IF(INDIRECT(BL$1&amp;"!C24")=$A29,BL$2,"")</f>
        <v/>
      </c>
      <c r="BM29" s="17" t="str" cm="1">
        <f t="array" aca="1" ref="BM29" ca="1">IF(INDIRECT(BM$1&amp;"!C24")=$A29,BM$2,"")</f>
        <v/>
      </c>
      <c r="BN29" s="17" t="str" cm="1">
        <f t="array" aca="1" ref="BN29" ca="1">IF(INDIRECT(BN$1&amp;"!C24")=$A29,BN$2,"")</f>
        <v/>
      </c>
      <c r="BO29" s="17" t="str" cm="1">
        <f t="array" aca="1" ref="BO29" ca="1">IF(INDIRECT(BO$1&amp;"!C24")=$A29,BO$2,"")</f>
        <v/>
      </c>
      <c r="BP29" s="17" t="str" cm="1">
        <f t="array" aca="1" ref="BP29" ca="1">IF(INDIRECT(BP$1&amp;"!C24")=$A29,BP$2,"")</f>
        <v/>
      </c>
      <c r="BQ29" s="17" t="str" cm="1">
        <f t="array" aca="1" ref="BQ29" ca="1">IF(INDIRECT(BQ$1&amp;"!C24")=$A29,BQ$2,"")</f>
        <v/>
      </c>
      <c r="BR29" s="17" t="str" cm="1">
        <f t="array" aca="1" ref="BR29" ca="1">IF(INDIRECT(BR$1&amp;"!C24")=$A29,BR$2,"")</f>
        <v/>
      </c>
      <c r="BS29" s="17" t="str" cm="1">
        <f t="array" aca="1" ref="BS29" ca="1">IF(INDIRECT(BS$1&amp;"!C24")=$A29,BS$2,"")</f>
        <v/>
      </c>
      <c r="BT29" s="17" t="str" cm="1">
        <f t="array" aca="1" ref="BT29" ca="1">IF(INDIRECT(BT$1&amp;"!C24")=$A29,BT$2,"")</f>
        <v/>
      </c>
      <c r="BU29" s="17" t="str" cm="1">
        <f t="array" aca="1" ref="BU29" ca="1">IF(INDIRECT(BU$1&amp;"!C24")=$A29,BU$2,"")</f>
        <v/>
      </c>
      <c r="BV29" s="17" t="str" cm="1">
        <f t="array" aca="1" ref="BV29" ca="1">IF(INDIRECT(BV$1&amp;"!C24")=$A29,BV$2,"")</f>
        <v/>
      </c>
      <c r="BW29" s="17" t="str" cm="1">
        <f t="array" aca="1" ref="BW29" ca="1">IF(INDIRECT(BW$1&amp;"!C24")=$A29,BW$2,"")</f>
        <v/>
      </c>
      <c r="BX29" s="17" t="str" cm="1">
        <f t="array" aca="1" ref="BX29" ca="1">IF(INDIRECT(BX$1&amp;"!C24")=$A29,BX$2,"")</f>
        <v/>
      </c>
      <c r="BY29" s="17" t="str" cm="1">
        <f t="array" aca="1" ref="BY29" ca="1">IF(INDIRECT(BY$1&amp;"!C24")=$A29,BY$2,"")</f>
        <v/>
      </c>
      <c r="BZ29" s="17" t="str" cm="1">
        <f t="array" aca="1" ref="BZ29" ca="1">IF(INDIRECT(BZ$1&amp;"!C24")=$A29,BZ$2,"")</f>
        <v/>
      </c>
      <c r="CA29" s="17" t="str" cm="1">
        <f t="array" aca="1" ref="CA29" ca="1">IF(INDIRECT(CA$1&amp;"!C24")=$A29,CA$2,"")</f>
        <v/>
      </c>
      <c r="CB29" s="17" t="str" cm="1">
        <f t="array" aca="1" ref="CB29" ca="1">IF(INDIRECT(CB$1&amp;"!C24")=$A29,CB$2,"")</f>
        <v/>
      </c>
    </row>
    <row r="30" spans="1:80">
      <c r="A30" s="163">
        <v>28</v>
      </c>
      <c r="B30" s="163" t="str">
        <v>林宸彥</v>
      </c>
      <c r="C30" s="163" cm="1">
        <f t="array" aca="1" ref="C30" ca="1">IF(SUMPRODUCT(COUNTIF(INDIRECT(工作表[工作表]&amp;"!C10"),$A30))=0,"",SUMPRODUCT(COUNTIF(INDIRECT(工作表[工作表]&amp;"!C10"),$A30)))</f>
        <v>2</v>
      </c>
      <c r="D30" s="163" cm="1">
        <f t="array" aca="1" ref="D30" ca="1">IF(SUMPRODUCT(COUNTIF(INDIRECT(工作表[工作表]&amp;"!C12"),$A30))=0,"",SUMPRODUCT(COUNTIF(INDIRECT(工作表[工作表]&amp;"!C12"),$A30)))</f>
        <v>1</v>
      </c>
      <c r="E30" s="163" cm="1">
        <f t="array" aca="1" ref="E30" ca="1">IF(SUMPRODUCT(COUNTIF(INDIRECT(工作表[工作表]&amp;"!C14"),$A30))=0,"",SUMPRODUCT(COUNTIF(INDIRECT(工作表[工作表]&amp;"!C14"),$A30)))</f>
        <v>1</v>
      </c>
      <c r="F30" s="163" cm="1">
        <f t="array" aca="1" ref="F30" ca="1">IF(SUMPRODUCT(COUNTIF(INDIRECT(工作表[工作表]&amp;"!C16"),$A30))=0,"",SUMPRODUCT(COUNTIF(INDIRECT(工作表[工作表]&amp;"!C16"),$A30)))</f>
        <v>1</v>
      </c>
      <c r="G30" s="163" cm="1">
        <f t="array" aca="1" ref="G30" ca="1">IF(SUMPRODUCT(COUNTIF(INDIRECT(工作表[工作表]&amp;"!C18"),$A30))=0,"",SUMPRODUCT(COUNTIF(INDIRECT(工作表[工作表]&amp;"!C18"),$A30)))</f>
        <v>1</v>
      </c>
      <c r="H30" s="163" t="str" cm="1">
        <f t="array" aca="1" ref="H30" ca="1">IF(SUMPRODUCT(COUNTIF(INDIRECT(工作表[工作表]&amp;"!C20"),$A30))=0,"",SUMPRODUCT(COUNTIF(INDIRECT(工作表[工作表]&amp;"!C20"),$A30)))</f>
        <v/>
      </c>
      <c r="I30" s="163" cm="1">
        <f t="array" aca="1" ref="I30" ca="1">IF(SUMPRODUCT(COUNTIF(INDIRECT(工作表[工作表]&amp;"!C22"),$A30))=0,"",SUMPRODUCT(COUNTIF(INDIRECT(工作表[工作表]&amp;"!C22"),$A30)))</f>
        <v>1</v>
      </c>
      <c r="J30" s="163" cm="1">
        <f t="array" aca="1" ref="J30" ca="1">IF(SUMPRODUCT(COUNTIF(INDIRECT(工作表[工作表]&amp;"!C24"),$A30))=0,"",SUMPRODUCT(COUNTIF(INDIRECT(工作表[工作表]&amp;"!C24"),$A30)))</f>
        <v>1</v>
      </c>
      <c r="K30" s="163" t="str" cm="1">
        <f t="array" aca="1" ref="K30" ca="1">IF(MAX(IF($AX30:$CB30&lt;$K$1,$AX30:$CB30,"0"))=0,"",$K$1-MAX(IF($AX30:$CB30&lt;$K$1,$AX30:$CB30,"0"))&amp;"天")</f>
        <v>6天</v>
      </c>
      <c r="M30" s="163">
        <f t="shared" ca="1" si="1"/>
        <v>54</v>
      </c>
      <c r="N30" s="163">
        <f>COUNTIF(_xlfn.XLOOKUP(B30,輪休基準表!$E$5:$AF$5,輪休基準表!$E$6:$AF$36,""),"")</f>
        <v>12</v>
      </c>
      <c r="O30" s="167">
        <f t="shared" ca="1" si="2"/>
        <v>4.5</v>
      </c>
      <c r="Q30" s="17" t="s">
        <v>275</v>
      </c>
      <c r="R30" s="17">
        <f ca="1">COUNTIF(_xlfn.XLOOKUP("駕",INDIRECT(R$1&amp;"!$A$7:$AN$7"),INDIRECT(R$1&amp;"!$A$10:$AN$33"),""),$A30)+COUNTIF(_xlfn.XLOOKUP("護",INDIRECT(R$1&amp;"!$A$7:$AN$7"),INDIRECT(R$1&amp;"!$A$10:$AN$33"),""),$A30)</f>
        <v>8</v>
      </c>
      <c r="S30" s="17">
        <f t="shared" ca="1" si="7"/>
        <v>0</v>
      </c>
      <c r="T30" s="17">
        <f t="shared" ca="1" si="7"/>
        <v>6</v>
      </c>
      <c r="U30" s="17">
        <f t="shared" ca="1" si="7"/>
        <v>0</v>
      </c>
      <c r="V30" s="17">
        <f t="shared" ca="1" si="7"/>
        <v>0</v>
      </c>
      <c r="W30" s="17">
        <f t="shared" ca="1" si="7"/>
        <v>6</v>
      </c>
      <c r="X30" s="17">
        <f t="shared" ca="1" si="7"/>
        <v>0</v>
      </c>
      <c r="Y30" s="17">
        <f t="shared" ca="1" si="7"/>
        <v>0</v>
      </c>
      <c r="Z30" s="17">
        <f t="shared" ca="1" si="7"/>
        <v>0</v>
      </c>
      <c r="AA30" s="17">
        <f t="shared" ca="1" si="7"/>
        <v>6</v>
      </c>
      <c r="AB30" s="17">
        <f t="shared" ca="1" si="7"/>
        <v>0</v>
      </c>
      <c r="AC30" s="17">
        <f t="shared" ca="1" si="7"/>
        <v>8</v>
      </c>
      <c r="AD30" s="17">
        <f t="shared" ca="1" si="7"/>
        <v>0</v>
      </c>
      <c r="AE30" s="17">
        <f t="shared" ca="1" si="7"/>
        <v>8</v>
      </c>
      <c r="AF30" s="17">
        <f t="shared" ca="1" si="7"/>
        <v>0</v>
      </c>
      <c r="AG30" s="17">
        <f t="shared" ca="1" si="7"/>
        <v>6</v>
      </c>
      <c r="AH30" s="17">
        <f t="shared" ca="1" si="7"/>
        <v>0</v>
      </c>
      <c r="AI30" s="17">
        <f t="shared" ca="1" si="7"/>
        <v>6</v>
      </c>
      <c r="AJ30" s="17">
        <f t="shared" ca="1" si="7"/>
        <v>0</v>
      </c>
      <c r="AK30" s="17">
        <f t="shared" ca="1" si="7"/>
        <v>0</v>
      </c>
      <c r="AL30" s="17">
        <f t="shared" ca="1" si="7"/>
        <v>0</v>
      </c>
      <c r="AM30" s="17">
        <f t="shared" ca="1" si="7"/>
        <v>0</v>
      </c>
      <c r="AN30" s="17">
        <f t="shared" ca="1" si="7"/>
        <v>0</v>
      </c>
      <c r="AO30" s="17">
        <f t="shared" ca="1" si="7"/>
        <v>0</v>
      </c>
      <c r="AP30" s="17">
        <f t="shared" ca="1" si="7"/>
        <v>0</v>
      </c>
      <c r="AQ30" s="17">
        <f t="shared" ca="1" si="7"/>
        <v>0</v>
      </c>
      <c r="AR30" s="17">
        <f t="shared" ca="1" si="7"/>
        <v>0</v>
      </c>
      <c r="AS30" s="17">
        <f t="shared" ca="1" si="7"/>
        <v>0</v>
      </c>
      <c r="AT30" s="17">
        <f t="shared" ca="1" si="7"/>
        <v>0</v>
      </c>
      <c r="AU30" s="17">
        <f t="shared" ca="1" si="7"/>
        <v>0</v>
      </c>
      <c r="AV30" s="17">
        <f t="shared" ca="1" si="7"/>
        <v>0</v>
      </c>
      <c r="AX30" s="17" t="str" cm="1">
        <f t="array" aca="1" ref="AX30" ca="1">IF(INDIRECT(AX$1&amp;"!C24")=$A30,AX$2,"")</f>
        <v/>
      </c>
      <c r="AY30" s="17" t="str" cm="1">
        <f t="array" aca="1" ref="AY30" ca="1">IF(INDIRECT(AY$1&amp;"!C24")=$A30,AY$2,"")</f>
        <v/>
      </c>
      <c r="AZ30" s="17" t="str" cm="1">
        <f t="array" aca="1" ref="AZ30" ca="1">IF(INDIRECT(AZ$1&amp;"!C24")=$A30,AZ$2,"")</f>
        <v/>
      </c>
      <c r="BA30" s="17" t="str" cm="1">
        <f t="array" aca="1" ref="BA30" ca="1">IF(INDIRECT(BA$1&amp;"!C24")=$A30,BA$2,"")</f>
        <v/>
      </c>
      <c r="BB30" s="17" t="str" cm="1">
        <f t="array" aca="1" ref="BB30" ca="1">IF(INDIRECT(BB$1&amp;"!C24")=$A30,BB$2,"")</f>
        <v/>
      </c>
      <c r="BC30" s="17" t="str" cm="1">
        <f t="array" aca="1" ref="BC30" ca="1">IF(INDIRECT(BC$1&amp;"!C24")=$A30,BC$2,"")</f>
        <v/>
      </c>
      <c r="BD30" s="17" t="str" cm="1">
        <f t="array" aca="1" ref="BD30" ca="1">IF(INDIRECT(BD$1&amp;"!C24")=$A30,BD$2,"")</f>
        <v/>
      </c>
      <c r="BE30" s="17" t="str" cm="1">
        <f t="array" aca="1" ref="BE30" ca="1">IF(INDIRECT(BE$1&amp;"!C24")=$A30,BE$2,"")</f>
        <v/>
      </c>
      <c r="BF30" s="17" t="str" cm="1">
        <f t="array" aca="1" ref="BF30" ca="1">IF(INDIRECT(BF$1&amp;"!C24")=$A30,BF$2,"")</f>
        <v/>
      </c>
      <c r="BG30" s="17" cm="1">
        <f t="array" aca="1" ref="BG30" ca="1">IF(INDIRECT(BG$1&amp;"!C24")=$A30,BG$2,"")</f>
        <v>46152</v>
      </c>
      <c r="BH30" s="17" t="str" cm="1">
        <f t="array" aca="1" ref="BH30" ca="1">IF(INDIRECT(BH$1&amp;"!C24")=$A30,BH$2,"")</f>
        <v/>
      </c>
      <c r="BI30" s="17" t="str" cm="1">
        <f t="array" aca="1" ref="BI30" ca="1">IF(INDIRECT(BI$1&amp;"!C24")=$A30,BI$2,"")</f>
        <v/>
      </c>
      <c r="BJ30" s="17" t="str" cm="1">
        <f t="array" aca="1" ref="BJ30" ca="1">IF(INDIRECT(BJ$1&amp;"!C24")=$A30,BJ$2,"")</f>
        <v/>
      </c>
      <c r="BK30" s="17" t="str" cm="1">
        <f t="array" aca="1" ref="BK30" ca="1">IF(INDIRECT(BK$1&amp;"!C24")=$A30,BK$2,"")</f>
        <v/>
      </c>
      <c r="BL30" s="17" t="str" cm="1">
        <f t="array" aca="1" ref="BL30" ca="1">IF(INDIRECT(BL$1&amp;"!C24")=$A30,BL$2,"")</f>
        <v/>
      </c>
      <c r="BM30" s="17" t="str" cm="1">
        <f t="array" aca="1" ref="BM30" ca="1">IF(INDIRECT(BM$1&amp;"!C24")=$A30,BM$2,"")</f>
        <v/>
      </c>
      <c r="BN30" s="17" t="str" cm="1">
        <f t="array" aca="1" ref="BN30" ca="1">IF(INDIRECT(BN$1&amp;"!C24")=$A30,BN$2,"")</f>
        <v/>
      </c>
      <c r="BO30" s="17" t="str" cm="1">
        <f t="array" aca="1" ref="BO30" ca="1">IF(INDIRECT(BO$1&amp;"!C24")=$A30,BO$2,"")</f>
        <v/>
      </c>
      <c r="BP30" s="17" t="str" cm="1">
        <f t="array" aca="1" ref="BP30" ca="1">IF(INDIRECT(BP$1&amp;"!C24")=$A30,BP$2,"")</f>
        <v/>
      </c>
      <c r="BQ30" s="17" t="str" cm="1">
        <f t="array" aca="1" ref="BQ30" ca="1">IF(INDIRECT(BQ$1&amp;"!C24")=$A30,BQ$2,"")</f>
        <v/>
      </c>
      <c r="BR30" s="17" t="str" cm="1">
        <f t="array" aca="1" ref="BR30" ca="1">IF(INDIRECT(BR$1&amp;"!C24")=$A30,BR$2,"")</f>
        <v/>
      </c>
      <c r="BS30" s="17" t="str" cm="1">
        <f t="array" aca="1" ref="BS30" ca="1">IF(INDIRECT(BS$1&amp;"!C24")=$A30,BS$2,"")</f>
        <v/>
      </c>
      <c r="BT30" s="17" t="str" cm="1">
        <f t="array" aca="1" ref="BT30" ca="1">IF(INDIRECT(BT$1&amp;"!C24")=$A30,BT$2,"")</f>
        <v/>
      </c>
      <c r="BU30" s="17" t="str" cm="1">
        <f t="array" aca="1" ref="BU30" ca="1">IF(INDIRECT(BU$1&amp;"!C24")=$A30,BU$2,"")</f>
        <v/>
      </c>
      <c r="BV30" s="17" t="str" cm="1">
        <f t="array" aca="1" ref="BV30" ca="1">IF(INDIRECT(BV$1&amp;"!C24")=$A30,BV$2,"")</f>
        <v/>
      </c>
      <c r="BW30" s="17" t="str" cm="1">
        <f t="array" aca="1" ref="BW30" ca="1">IF(INDIRECT(BW$1&amp;"!C24")=$A30,BW$2,"")</f>
        <v/>
      </c>
      <c r="BX30" s="17" t="str" cm="1">
        <f t="array" aca="1" ref="BX30" ca="1">IF(INDIRECT(BX$1&amp;"!C24")=$A30,BX$2,"")</f>
        <v/>
      </c>
      <c r="BY30" s="17" t="str" cm="1">
        <f t="array" aca="1" ref="BY30" ca="1">IF(INDIRECT(BY$1&amp;"!C24")=$A30,BY$2,"")</f>
        <v/>
      </c>
      <c r="BZ30" s="17" t="str" cm="1">
        <f t="array" aca="1" ref="BZ30" ca="1">IF(INDIRECT(BZ$1&amp;"!C24")=$A30,BZ$2,"")</f>
        <v/>
      </c>
      <c r="CA30" s="17" t="str" cm="1">
        <f t="array" aca="1" ref="CA30" ca="1">IF(INDIRECT(CA$1&amp;"!C24")=$A30,CA$2,"")</f>
        <v/>
      </c>
      <c r="CB30" s="17" t="str" cm="1">
        <f t="array" aca="1" ref="CB30" ca="1">IF(INDIRECT(CB$1&amp;"!C24")=$A30,CB$2,"")</f>
        <v/>
      </c>
    </row>
    <row r="31" spans="1:80">
      <c r="Q31" s="17" t="s">
        <v>276</v>
      </c>
    </row>
    <row r="32" spans="1:80">
      <c r="Q32" s="17" t="s">
        <v>277</v>
      </c>
    </row>
  </sheetData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54FC9-325A-4744-9E3B-AE6E9C78D8B9}">
  <sheetPr codeName="工作表36">
    <tabColor rgb="FFFFC000"/>
  </sheetPr>
  <dimension ref="A1:N745"/>
  <sheetViews>
    <sheetView view="pageBreakPreview" topLeftCell="J1" zoomScaleNormal="85" zoomScaleSheetLayoutView="100" workbookViewId="0">
      <selection activeCell="M4" sqref="M4"/>
    </sheetView>
  </sheetViews>
  <sheetFormatPr defaultRowHeight="21"/>
  <cols>
    <col min="1" max="9" width="9" style="190" hidden="1" customWidth="1"/>
    <col min="10" max="10" width="4.5" style="190" customWidth="1"/>
    <col min="11" max="11" width="10.5" style="25" customWidth="1"/>
    <col min="12" max="14" width="12.625" style="25" customWidth="1"/>
    <col min="15" max="16384" width="9" style="190"/>
  </cols>
  <sheetData>
    <row r="1" spans="1:14" ht="45.75" customHeight="1">
      <c r="A1" s="190" t="str">
        <f>_xlfn.XLOOKUP($L$1,輪休基準表!$E$5:$AG$5,輪休基準表!$E$4:$AG$4,"無選定人員")</f>
        <v>無選定人員</v>
      </c>
      <c r="G1" s="191" t="s">
        <v>308</v>
      </c>
      <c r="H1" s="190" t="str">
        <f>_xlfn.XLOOKUP($L$1,輪休基準表!$E$5:$AG$5,輪休基準表!$E$37:$AG$37,"")</f>
        <v/>
      </c>
      <c r="I1" s="190" cm="1">
        <f t="array" aca="1" ref="I1" ca="1">SUMPRODUCT((K3:K32&lt;&gt;"")/COUNTIF(K3:K32, K3:K32&amp;""))</f>
        <v>0</v>
      </c>
      <c r="K1" s="192" t="s">
        <v>245</v>
      </c>
      <c r="L1" s="291"/>
      <c r="M1" s="291"/>
      <c r="N1" s="291"/>
    </row>
    <row r="2" spans="1:14" ht="30" customHeight="1">
      <c r="A2" s="190">
        <f>INT((ROW()-2)/24)+1</f>
        <v>1</v>
      </c>
      <c r="B2" s="193">
        <f>MOD(ROW()-2, 24)+10</f>
        <v>10</v>
      </c>
      <c r="C2" s="190" cm="1">
        <f t="array" aca="1" ref="C2" ca="1">VALUE(LEFT(TRIM(INDIRECT("'" &amp; INT((ROW()-2)/24)+1 &amp; "號'!B" &amp; MOD(ROW()-2,24)+10)), 2))</f>
        <v>8</v>
      </c>
      <c r="D2" s="190">
        <f ca="1">MAX(IFERROR(MATCH("*休息*", INDIRECT("'" &amp; A2 &amp; "號'!$5:$5"), 0), 0), IFERROR(MATCH("*休息*", INDIRECT("'" &amp; A2 &amp; "號'!$6:$6"), 0), 0), IFERROR(MATCH("*休息*", INDIRECT("'" &amp; A2 &amp; "號'!$7:$7"), 0), 0))</f>
        <v>7</v>
      </c>
      <c r="E2" s="190" t="str" cm="1">
        <f t="array" aca="1" ref="E2" ca="1">INDIRECT("'" &amp; A2 &amp; "號'!" &amp; ADDRESS(B2, D2))</f>
        <v>9,1</v>
      </c>
      <c r="F2" s="190">
        <f ca="1">IF(ISNUMBER(SEARCH(","&amp;$A$1&amp;",", ","&amp;SUBSTITUTE(SUBSTITUTE(E2," ",""),"，",",")&amp;",")), 1, 0)</f>
        <v>0</v>
      </c>
      <c r="G2" s="190">
        <f ca="1">IF(F2=0, 0, IF(F1=1, G1, MAX($G$1:G1)+1))</f>
        <v>0</v>
      </c>
      <c r="H2" s="194">
        <f xml:space="preserve"> A2</f>
        <v>1</v>
      </c>
      <c r="I2" s="191" t="s">
        <v>304</v>
      </c>
      <c r="J2" s="191"/>
      <c r="K2" s="195" t="s">
        <v>305</v>
      </c>
      <c r="L2" s="195" t="s">
        <v>306</v>
      </c>
      <c r="M2" s="195" t="s">
        <v>307</v>
      </c>
      <c r="N2" s="195" t="s">
        <v>284</v>
      </c>
    </row>
    <row r="3" spans="1:14" ht="30" customHeight="1">
      <c r="A3" s="190">
        <f t="shared" ref="A3:A66" si="0">INT((ROW()-2)/24)+1</f>
        <v>1</v>
      </c>
      <c r="B3" s="193">
        <f t="shared" ref="B3:B66" si="1">MOD(ROW()-2, 24)+10</f>
        <v>11</v>
      </c>
      <c r="C3" s="190" cm="1">
        <f t="array" aca="1" ref="C3" ca="1">VALUE(LEFT(TRIM(INDIRECT("'" &amp; INT((ROW()-2)/24)+1 &amp; "號'!B" &amp; MOD(ROW()-2,24)+10)), 2))</f>
        <v>9</v>
      </c>
      <c r="D3" s="190">
        <f t="shared" ref="D3:D66" ca="1" si="2">MAX(IFERROR(MATCH("*休息*", INDIRECT("'" &amp; A3 &amp; "號'!$5:$5"), 0), 0), IFERROR(MATCH("*休息*", INDIRECT("'" &amp; A3 &amp; "號'!$6:$6"), 0), 0), IFERROR(MATCH("*休息*", INDIRECT("'" &amp; A3 &amp; "號'!$7:$7"), 0), 0))</f>
        <v>7</v>
      </c>
      <c r="E3" s="190" t="str" cm="1">
        <f t="array" aca="1" ref="E3" ca="1">INDIRECT("'" &amp; A3 &amp; "號'!" &amp; ADDRESS(B3, D3))</f>
        <v>9,1</v>
      </c>
      <c r="F3" s="190">
        <f t="shared" ref="F3:F66" ca="1" si="3">IF(ISNUMBER(SEARCH(","&amp;$A$1&amp;",", ","&amp;SUBSTITUTE(SUBSTITUTE(E3," ",""),"，",",")&amp;",")), 1, 0)</f>
        <v>0</v>
      </c>
      <c r="G3" s="190">
        <f ca="1">IF(F3=0, 0, IF(AND(F2=1, C3&lt;&gt;8, OR(C3=C2+1, AND(C2=23, C3=0))), G2, MAX($G$1:G2)+1))</f>
        <v>0</v>
      </c>
      <c r="H3" s="194">
        <f t="shared" ref="H3:H66" si="4" xml:space="preserve"> A3</f>
        <v>1</v>
      </c>
      <c r="I3" s="190">
        <v>1</v>
      </c>
      <c r="K3" s="196" t="str">
        <f ca="1">IFERROR(TEXT(INDEX(A:A, MATCH(I3, G:G, 0)), "00"), "")</f>
        <v/>
      </c>
      <c r="L3" s="196" t="str">
        <f ca="1">IF(K3="","", IF(INDEX(C:C, MATCH(I3, G:G, 0)) &lt; 8, TEXT(DATE(班別參數!$D$2+1911, 班別參數!$E$2, VALUE(K3)+1), "dd")&amp;"日/ ", "") &amp; TEXT(INDEX(C:C, MATCH(I3, G:G, 0)), "00"))</f>
        <v/>
      </c>
      <c r="M3" s="196" t="str" cm="1">
        <f t="array" aca="1" ref="M3" ca="1">IF(K3="","", IF(OR(LOOKUP(2, 1/(G:G=I3), C:C)+1 &lt;= 8, INDEX(C:C, MATCH(I3, G:G, 0)) &gt; LOOKUP(2, 1/(G:G=I3), C:C)), TEXT(DATE(班別參數!$D$2+1911, 班別參數!$E$2, VALUE(K3)+1), "dd")&amp;"日/ ", "") &amp; IF(AND(LOOKUP(2, 1/(G:G=I3), C:C)+1=24, INDEX(C:C, MATCH(I3, G:G, 0)) &lt;= LOOKUP(2, 1/(G:G=I3), C:C)), "24", TEXT(MOD(LOOKUP(2, 1/(G:G=I3), C:C)+1, 24), "00")))</f>
        <v/>
      </c>
      <c r="N3" s="196" t="str">
        <f ca="1" xml:space="preserve"> IF(K3="","", COUNTIFS(G:G, I3))</f>
        <v/>
      </c>
    </row>
    <row r="4" spans="1:14" ht="30" customHeight="1">
      <c r="A4" s="190">
        <f t="shared" si="0"/>
        <v>1</v>
      </c>
      <c r="B4" s="193">
        <f t="shared" si="1"/>
        <v>12</v>
      </c>
      <c r="C4" s="190" cm="1">
        <f t="array" aca="1" ref="C4" ca="1">VALUE(LEFT(TRIM(INDIRECT("'" &amp; INT((ROW()-2)/24)+1 &amp; "號'!B" &amp; MOD(ROW()-2,24)+10)), 2))</f>
        <v>10</v>
      </c>
      <c r="D4" s="190">
        <f t="shared" ca="1" si="2"/>
        <v>7</v>
      </c>
      <c r="E4" s="190" t="str" cm="1">
        <f t="array" aca="1" ref="E4" ca="1">INDIRECT("'" &amp; A4 &amp; "號'!" &amp; ADDRESS(B4, D4))</f>
        <v>27</v>
      </c>
      <c r="F4" s="190">
        <f t="shared" ca="1" si="3"/>
        <v>0</v>
      </c>
      <c r="G4" s="190">
        <f ca="1">IF(F4=0, 0, IF(AND(F3=1, C4&lt;&gt;8, OR(C4=C3+1, AND(C3=23, C4=0))), G3, MAX($G$1:G3)+1))</f>
        <v>0</v>
      </c>
      <c r="H4" s="194">
        <f t="shared" si="4"/>
        <v>1</v>
      </c>
      <c r="I4" s="190">
        <v>2</v>
      </c>
      <c r="K4" s="196" t="str">
        <f t="shared" ref="K4:K32" ca="1" si="5">IFERROR(TEXT(INDEX(A:A, MATCH(I4, G:G, 0)), "00"), "")</f>
        <v/>
      </c>
      <c r="L4" s="196" t="str">
        <f ca="1">IF(K4="","", IF(INDEX(C:C, MATCH(I4, G:G, 0)) &lt; 8, TEXT(DATE(班別參數!$D$2+1911, 班別參數!$E$2, VALUE(K4)+1), "dd")&amp;"日/ ", "") &amp; TEXT(INDEX(C:C, MATCH(I4, G:G, 0)), "00"))</f>
        <v/>
      </c>
      <c r="M4" s="196" t="str" cm="1">
        <f t="array" aca="1" ref="M4" ca="1">IF(K4="","", IF(OR(LOOKUP(2, 1/(G:G=I4), C:C)+1 &lt;= 8, INDEX(C:C, MATCH(I4, G:G, 0)) &gt; LOOKUP(2, 1/(G:G=I4), C:C)), TEXT(DATE(班別參數!$D$2+1911, 班別參數!$E$2, VALUE(K4)+1), "dd")&amp;"日/ ", "") &amp; IF(AND(LOOKUP(2, 1/(G:G=I4), C:C)+1=24, INDEX(C:C, MATCH(I4, G:G, 0)) &lt;= LOOKUP(2, 1/(G:G=I4), C:C)), "24", TEXT(MOD(LOOKUP(2, 1/(G:G=I4), C:C)+1, 24), "00")))</f>
        <v/>
      </c>
      <c r="N4" s="196" t="str">
        <f t="shared" ref="N4:N32" ca="1" si="6" xml:space="preserve"> IF(K4="","", COUNTIFS(G:G, I4))</f>
        <v/>
      </c>
    </row>
    <row r="5" spans="1:14" ht="30" customHeight="1">
      <c r="A5" s="190">
        <f t="shared" si="0"/>
        <v>1</v>
      </c>
      <c r="B5" s="193">
        <f t="shared" si="1"/>
        <v>13</v>
      </c>
      <c r="C5" s="190" cm="1">
        <f t="array" aca="1" ref="C5" ca="1">VALUE(LEFT(TRIM(INDIRECT("'" &amp; INT((ROW()-2)/24)+1 &amp; "號'!B" &amp; MOD(ROW()-2,24)+10)), 2))</f>
        <v>11</v>
      </c>
      <c r="D5" s="190">
        <f t="shared" ca="1" si="2"/>
        <v>7</v>
      </c>
      <c r="E5" s="190" t="str" cm="1">
        <f t="array" aca="1" ref="E5" ca="1">INDIRECT("'" &amp; A5 &amp; "號'!" &amp; ADDRESS(B5, D5))</f>
        <v>27</v>
      </c>
      <c r="F5" s="190">
        <f t="shared" ca="1" si="3"/>
        <v>0</v>
      </c>
      <c r="G5" s="190">
        <f ca="1">IF(F5=0, 0, IF(AND(F4=1, C5&lt;&gt;8, OR(C5=C4+1, AND(C4=23, C5=0))), G4, MAX($G$1:G4)+1))</f>
        <v>0</v>
      </c>
      <c r="H5" s="194">
        <f t="shared" si="4"/>
        <v>1</v>
      </c>
      <c r="I5" s="190">
        <v>3</v>
      </c>
      <c r="K5" s="196" t="str">
        <f t="shared" ca="1" si="5"/>
        <v/>
      </c>
      <c r="L5" s="196" t="str">
        <f ca="1">IF(K5="","", IF(INDEX(C:C, MATCH(I5, G:G, 0)) &lt; 8, TEXT(DATE(班別參數!$D$2+1911, 班別參數!$E$2, VALUE(K5)+1), "dd")&amp;"日/ ", "") &amp; TEXT(INDEX(C:C, MATCH(I5, G:G, 0)), "00"))</f>
        <v/>
      </c>
      <c r="M5" s="196" t="str" cm="1">
        <f t="array" aca="1" ref="M5" ca="1">IF(K5="","", IF(OR(LOOKUP(2, 1/(G:G=I5), C:C)+1 &lt;= 8, INDEX(C:C, MATCH(I5, G:G, 0)) &gt; LOOKUP(2, 1/(G:G=I5), C:C)), TEXT(DATE(班別參數!$D$2+1911, 班別參數!$E$2, VALUE(K5)+1), "dd")&amp;"日/ ", "") &amp; IF(AND(LOOKUP(2, 1/(G:G=I5), C:C)+1=24, INDEX(C:C, MATCH(I5, G:G, 0)) &lt;= LOOKUP(2, 1/(G:G=I5), C:C)), "24", TEXT(MOD(LOOKUP(2, 1/(G:G=I5), C:C)+1, 24), "00")))</f>
        <v/>
      </c>
      <c r="N5" s="196" t="str">
        <f t="shared" ca="1" si="6"/>
        <v/>
      </c>
    </row>
    <row r="6" spans="1:14" ht="30" customHeight="1">
      <c r="A6" s="190">
        <f t="shared" si="0"/>
        <v>1</v>
      </c>
      <c r="B6" s="193">
        <f t="shared" si="1"/>
        <v>14</v>
      </c>
      <c r="C6" s="190" cm="1">
        <f t="array" aca="1" ref="C6" ca="1">VALUE(LEFT(TRIM(INDIRECT("'" &amp; INT((ROW()-2)/24)+1 &amp; "號'!B" &amp; MOD(ROW()-2,24)+10)), 2))</f>
        <v>12</v>
      </c>
      <c r="D6" s="190">
        <f t="shared" ca="1" si="2"/>
        <v>7</v>
      </c>
      <c r="E6" s="190" t="str" cm="1">
        <f t="array" aca="1" ref="E6" ca="1">INDIRECT("'" &amp; A6 &amp; "號'!" &amp; ADDRESS(B6, D6))</f>
        <v>16</v>
      </c>
      <c r="F6" s="190">
        <f t="shared" ca="1" si="3"/>
        <v>0</v>
      </c>
      <c r="G6" s="190">
        <f ca="1">IF(F6=0, 0, IF(AND(F5=1, C6&lt;&gt;8, OR(C6=C5+1, AND(C5=23, C6=0))), G5, MAX($G$1:G5)+1))</f>
        <v>0</v>
      </c>
      <c r="H6" s="194">
        <f t="shared" si="4"/>
        <v>1</v>
      </c>
      <c r="I6" s="190">
        <v>4</v>
      </c>
      <c r="K6" s="196" t="str">
        <f t="shared" ca="1" si="5"/>
        <v/>
      </c>
      <c r="L6" s="196" t="str">
        <f ca="1">IF(K6="","", IF(INDEX(C:C, MATCH(I6, G:G, 0)) &lt; 8, TEXT(DATE(班別參數!$D$2+1911, 班別參數!$E$2, VALUE(K6)+1), "dd")&amp;"日/ ", "") &amp; TEXT(INDEX(C:C, MATCH(I6, G:G, 0)), "00"))</f>
        <v/>
      </c>
      <c r="M6" s="196" t="str" cm="1">
        <f t="array" aca="1" ref="M6" ca="1">IF(K6="","", IF(OR(LOOKUP(2, 1/(G:G=I6), C:C)+1 &lt;= 8, INDEX(C:C, MATCH(I6, G:G, 0)) &gt; LOOKUP(2, 1/(G:G=I6), C:C)), TEXT(DATE(班別參數!$D$2+1911, 班別參數!$E$2, VALUE(K6)+1), "dd")&amp;"日/ ", "") &amp; IF(AND(LOOKUP(2, 1/(G:G=I6), C:C)+1=24, INDEX(C:C, MATCH(I6, G:G, 0)) &lt;= LOOKUP(2, 1/(G:G=I6), C:C)), "24", TEXT(MOD(LOOKUP(2, 1/(G:G=I6), C:C)+1, 24), "00")))</f>
        <v/>
      </c>
      <c r="N6" s="196" t="str">
        <f t="shared" ca="1" si="6"/>
        <v/>
      </c>
    </row>
    <row r="7" spans="1:14" ht="30" customHeight="1">
      <c r="A7" s="190">
        <f t="shared" si="0"/>
        <v>1</v>
      </c>
      <c r="B7" s="193">
        <f t="shared" si="1"/>
        <v>15</v>
      </c>
      <c r="C7" s="190" cm="1">
        <f t="array" aca="1" ref="C7" ca="1">VALUE(LEFT(TRIM(INDIRECT("'" &amp; INT((ROW()-2)/24)+1 &amp; "號'!B" &amp; MOD(ROW()-2,24)+10)), 2))</f>
        <v>13</v>
      </c>
      <c r="D7" s="190">
        <f t="shared" ca="1" si="2"/>
        <v>7</v>
      </c>
      <c r="E7" s="190" t="str" cm="1">
        <f t="array" aca="1" ref="E7" ca="1">INDIRECT("'" &amp; A7 &amp; "號'!" &amp; ADDRESS(B7, D7))</f>
        <v>16</v>
      </c>
      <c r="F7" s="190">
        <f t="shared" ca="1" si="3"/>
        <v>0</v>
      </c>
      <c r="G7" s="190">
        <f ca="1">IF(F7=0, 0, IF(AND(F6=1, C7&lt;&gt;8, OR(C7=C6+1, AND(C6=23, C7=0))), G6, MAX($G$1:G6)+1))</f>
        <v>0</v>
      </c>
      <c r="H7" s="194">
        <f t="shared" si="4"/>
        <v>1</v>
      </c>
      <c r="I7" s="190">
        <v>5</v>
      </c>
      <c r="K7" s="196" t="str">
        <f t="shared" ca="1" si="5"/>
        <v/>
      </c>
      <c r="L7" s="196" t="str">
        <f ca="1">IF(K7="","", IF(INDEX(C:C, MATCH(I7, G:G, 0)) &lt; 8, TEXT(DATE(班別參數!$D$2+1911, 班別參數!$E$2, VALUE(K7)+1), "dd")&amp;"日/ ", "") &amp; TEXT(INDEX(C:C, MATCH(I7, G:G, 0)), "00"))</f>
        <v/>
      </c>
      <c r="M7" s="196" t="str" cm="1">
        <f t="array" aca="1" ref="M7" ca="1">IF(K7="","", IF(OR(LOOKUP(2, 1/(G:G=I7), C:C)+1 &lt;= 8, INDEX(C:C, MATCH(I7, G:G, 0)) &gt; LOOKUP(2, 1/(G:G=I7), C:C)), TEXT(DATE(班別參數!$D$2+1911, 班別參數!$E$2, VALUE(K7)+1), "dd")&amp;"日/ ", "") &amp; IF(AND(LOOKUP(2, 1/(G:G=I7), C:C)+1=24, INDEX(C:C, MATCH(I7, G:G, 0)) &lt;= LOOKUP(2, 1/(G:G=I7), C:C)), "24", TEXT(MOD(LOOKUP(2, 1/(G:G=I7), C:C)+1, 24), "00")))</f>
        <v/>
      </c>
      <c r="N7" s="196" t="str">
        <f t="shared" ca="1" si="6"/>
        <v/>
      </c>
    </row>
    <row r="8" spans="1:14" ht="30" customHeight="1">
      <c r="A8" s="190">
        <f t="shared" si="0"/>
        <v>1</v>
      </c>
      <c r="B8" s="193">
        <f t="shared" si="1"/>
        <v>16</v>
      </c>
      <c r="C8" s="190" cm="1">
        <f t="array" aca="1" ref="C8" ca="1">VALUE(LEFT(TRIM(INDIRECT("'" &amp; INT((ROW()-2)/24)+1 &amp; "號'!B" &amp; MOD(ROW()-2,24)+10)), 2))</f>
        <v>14</v>
      </c>
      <c r="D8" s="190">
        <f t="shared" ca="1" si="2"/>
        <v>7</v>
      </c>
      <c r="E8" s="190" cm="1">
        <f t="array" aca="1" ref="E8" ca="1">INDIRECT("'" &amp; A8 &amp; "號'!" &amp; ADDRESS(B8, D8))</f>
        <v>0</v>
      </c>
      <c r="F8" s="190">
        <f t="shared" ca="1" si="3"/>
        <v>0</v>
      </c>
      <c r="G8" s="190">
        <f ca="1">IF(F8=0, 0, IF(AND(F7=1, C8&lt;&gt;8, OR(C8=C7+1, AND(C7=23, C8=0))), G7, MAX($G$1:G7)+1))</f>
        <v>0</v>
      </c>
      <c r="H8" s="194">
        <f t="shared" si="4"/>
        <v>1</v>
      </c>
      <c r="I8" s="190">
        <v>6</v>
      </c>
      <c r="K8" s="196" t="str">
        <f t="shared" ca="1" si="5"/>
        <v/>
      </c>
      <c r="L8" s="196" t="str">
        <f ca="1">IF(K8="","", IF(INDEX(C:C, MATCH(I8, G:G, 0)) &lt; 8, TEXT(DATE(班別參數!$D$2+1911, 班別參數!$E$2, VALUE(K8)+1), "dd")&amp;"日/ ", "") &amp; TEXT(INDEX(C:C, MATCH(I8, G:G, 0)), "00"))</f>
        <v/>
      </c>
      <c r="M8" s="196" t="str" cm="1">
        <f t="array" aca="1" ref="M8" ca="1">IF(K8="","", IF(OR(LOOKUP(2, 1/(G:G=I8), C:C)+1 &lt;= 8, INDEX(C:C, MATCH(I8, G:G, 0)) &gt; LOOKUP(2, 1/(G:G=I8), C:C)), TEXT(DATE(班別參數!$D$2+1911, 班別參數!$E$2, VALUE(K8)+1), "dd")&amp;"日/ ", "") &amp; IF(AND(LOOKUP(2, 1/(G:G=I8), C:C)+1=24, INDEX(C:C, MATCH(I8, G:G, 0)) &lt;= LOOKUP(2, 1/(G:G=I8), C:C)), "24", TEXT(MOD(LOOKUP(2, 1/(G:G=I8), C:C)+1, 24), "00")))</f>
        <v/>
      </c>
      <c r="N8" s="196" t="str">
        <f t="shared" ca="1" si="6"/>
        <v/>
      </c>
    </row>
    <row r="9" spans="1:14" ht="30" customHeight="1">
      <c r="A9" s="190">
        <f t="shared" si="0"/>
        <v>1</v>
      </c>
      <c r="B9" s="193">
        <f t="shared" si="1"/>
        <v>17</v>
      </c>
      <c r="C9" s="190" cm="1">
        <f t="array" aca="1" ref="C9" ca="1">VALUE(LEFT(TRIM(INDIRECT("'" &amp; INT((ROW()-2)/24)+1 &amp; "號'!B" &amp; MOD(ROW()-2,24)+10)), 2))</f>
        <v>15</v>
      </c>
      <c r="D9" s="190">
        <f t="shared" ca="1" si="2"/>
        <v>7</v>
      </c>
      <c r="E9" s="190" t="str" cm="1">
        <f t="array" aca="1" ref="E9" ca="1">INDIRECT("'" &amp; A9 &amp; "號'!" &amp; ADDRESS(B9, D9))</f>
        <v/>
      </c>
      <c r="F9" s="190">
        <f t="shared" ca="1" si="3"/>
        <v>0</v>
      </c>
      <c r="G9" s="190">
        <f ca="1">IF(F9=0, 0, IF(AND(F8=1, C9&lt;&gt;8, OR(C9=C8+1, AND(C8=23, C9=0))), G8, MAX($G$1:G8)+1))</f>
        <v>0</v>
      </c>
      <c r="H9" s="194">
        <f t="shared" si="4"/>
        <v>1</v>
      </c>
      <c r="I9" s="190">
        <v>7</v>
      </c>
      <c r="K9" s="196" t="str">
        <f t="shared" ca="1" si="5"/>
        <v/>
      </c>
      <c r="L9" s="196" t="str">
        <f ca="1">IF(K9="","", IF(INDEX(C:C, MATCH(I9, G:G, 0)) &lt; 8, TEXT(DATE(班別參數!$D$2+1911, 班別參數!$E$2, VALUE(K9)+1), "dd")&amp;"日/ ", "") &amp; TEXT(INDEX(C:C, MATCH(I9, G:G, 0)), "00"))</f>
        <v/>
      </c>
      <c r="M9" s="196" t="str" cm="1">
        <f t="array" aca="1" ref="M9" ca="1">IF(K9="","", IF(OR(LOOKUP(2, 1/(G:G=I9), C:C)+1 &lt;= 8, INDEX(C:C, MATCH(I9, G:G, 0)) &gt; LOOKUP(2, 1/(G:G=I9), C:C)), TEXT(DATE(班別參數!$D$2+1911, 班別參數!$E$2, VALUE(K9)+1), "dd")&amp;"日/ ", "") &amp; IF(AND(LOOKUP(2, 1/(G:G=I9), C:C)+1=24, INDEX(C:C, MATCH(I9, G:G, 0)) &lt;= LOOKUP(2, 1/(G:G=I9), C:C)), "24", TEXT(MOD(LOOKUP(2, 1/(G:G=I9), C:C)+1, 24), "00")))</f>
        <v/>
      </c>
      <c r="N9" s="196" t="str">
        <f t="shared" ca="1" si="6"/>
        <v/>
      </c>
    </row>
    <row r="10" spans="1:14" ht="30" customHeight="1">
      <c r="A10" s="190">
        <f t="shared" si="0"/>
        <v>1</v>
      </c>
      <c r="B10" s="193">
        <f t="shared" si="1"/>
        <v>18</v>
      </c>
      <c r="C10" s="190" cm="1">
        <f t="array" aca="1" ref="C10" ca="1">VALUE(LEFT(TRIM(INDIRECT("'" &amp; INT((ROW()-2)/24)+1 &amp; "號'!B" &amp; MOD(ROW()-2,24)+10)), 2))</f>
        <v>16</v>
      </c>
      <c r="D10" s="190">
        <f t="shared" ca="1" si="2"/>
        <v>7</v>
      </c>
      <c r="E10" s="190" t="str" cm="1">
        <f t="array" aca="1" ref="E10" ca="1">INDIRECT("'" &amp; A10 &amp; "號'!" &amp; ADDRESS(B10, D10))</f>
        <v>12</v>
      </c>
      <c r="F10" s="190">
        <f t="shared" ca="1" si="3"/>
        <v>0</v>
      </c>
      <c r="G10" s="190">
        <f ca="1">IF(F10=0, 0, IF(AND(F9=1, C10&lt;&gt;8, OR(C10=C9+1, AND(C9=23, C10=0))), G9, MAX($G$1:G9)+1))</f>
        <v>0</v>
      </c>
      <c r="H10" s="194">
        <f t="shared" si="4"/>
        <v>1</v>
      </c>
      <c r="I10" s="190">
        <v>8</v>
      </c>
      <c r="K10" s="196" t="str">
        <f t="shared" ca="1" si="5"/>
        <v/>
      </c>
      <c r="L10" s="196" t="str">
        <f ca="1">IF(K10="","", IF(INDEX(C:C, MATCH(I10, G:G, 0)) &lt; 8, TEXT(DATE(班別參數!$D$2+1911, 班別參數!$E$2, VALUE(K10)+1), "dd")&amp;"日/ ", "") &amp; TEXT(INDEX(C:C, MATCH(I10, G:G, 0)), "00"))</f>
        <v/>
      </c>
      <c r="M10" s="196" t="str" cm="1">
        <f t="array" aca="1" ref="M10" ca="1">IF(K10="","", IF(OR(LOOKUP(2, 1/(G:G=I10), C:C)+1 &lt;= 8, INDEX(C:C, MATCH(I10, G:G, 0)) &gt; LOOKUP(2, 1/(G:G=I10), C:C)), TEXT(DATE(班別參數!$D$2+1911, 班別參數!$E$2, VALUE(K10)+1), "dd")&amp;"日/ ", "") &amp; IF(AND(LOOKUP(2, 1/(G:G=I10), C:C)+1=24, INDEX(C:C, MATCH(I10, G:G, 0)) &lt;= LOOKUP(2, 1/(G:G=I10), C:C)), "24", TEXT(MOD(LOOKUP(2, 1/(G:G=I10), C:C)+1, 24), "00")))</f>
        <v/>
      </c>
      <c r="N10" s="196" t="str">
        <f t="shared" ca="1" si="6"/>
        <v/>
      </c>
    </row>
    <row r="11" spans="1:14" ht="30" customHeight="1">
      <c r="A11" s="190">
        <f t="shared" si="0"/>
        <v>1</v>
      </c>
      <c r="B11" s="193">
        <f t="shared" si="1"/>
        <v>19</v>
      </c>
      <c r="C11" s="190" cm="1">
        <f t="array" aca="1" ref="C11" ca="1">VALUE(LEFT(TRIM(INDIRECT("'" &amp; INT((ROW()-2)/24)+1 &amp; "號'!B" &amp; MOD(ROW()-2,24)+10)), 2))</f>
        <v>17</v>
      </c>
      <c r="D11" s="190">
        <f t="shared" ca="1" si="2"/>
        <v>7</v>
      </c>
      <c r="E11" s="190" t="str" cm="1">
        <f t="array" aca="1" ref="E11" ca="1">INDIRECT("'" &amp; A11 &amp; "號'!" &amp; ADDRESS(B11, D11))</f>
        <v>12</v>
      </c>
      <c r="F11" s="190">
        <f t="shared" ca="1" si="3"/>
        <v>0</v>
      </c>
      <c r="G11" s="190">
        <f ca="1">IF(F11=0, 0, IF(AND(F10=1, C11&lt;&gt;8, OR(C11=C10+1, AND(C10=23, C11=0))), G10, MAX($G$1:G10)+1))</f>
        <v>0</v>
      </c>
      <c r="H11" s="194">
        <f t="shared" si="4"/>
        <v>1</v>
      </c>
      <c r="I11" s="190">
        <v>9</v>
      </c>
      <c r="K11" s="196" t="str">
        <f t="shared" ca="1" si="5"/>
        <v/>
      </c>
      <c r="L11" s="196" t="str">
        <f ca="1">IF(K11="","", IF(INDEX(C:C, MATCH(I11, G:G, 0)) &lt; 8, TEXT(DATE(班別參數!$D$2+1911, 班別參數!$E$2, VALUE(K11)+1), "dd")&amp;"日/ ", "") &amp; TEXT(INDEX(C:C, MATCH(I11, G:G, 0)), "00"))</f>
        <v/>
      </c>
      <c r="M11" s="196" t="str" cm="1">
        <f t="array" aca="1" ref="M11" ca="1">IF(K11="","", IF(OR(LOOKUP(2, 1/(G:G=I11), C:C)+1 &lt;= 8, INDEX(C:C, MATCH(I11, G:G, 0)) &gt; LOOKUP(2, 1/(G:G=I11), C:C)), TEXT(DATE(班別參數!$D$2+1911, 班別參數!$E$2, VALUE(K11)+1), "dd")&amp;"日/ ", "") &amp; IF(AND(LOOKUP(2, 1/(G:G=I11), C:C)+1=24, INDEX(C:C, MATCH(I11, G:G, 0)) &lt;= LOOKUP(2, 1/(G:G=I11), C:C)), "24", TEXT(MOD(LOOKUP(2, 1/(G:G=I11), C:C)+1, 24), "00")))</f>
        <v/>
      </c>
      <c r="N11" s="196" t="str">
        <f t="shared" ca="1" si="6"/>
        <v/>
      </c>
    </row>
    <row r="12" spans="1:14" ht="30" customHeight="1">
      <c r="A12" s="190">
        <f t="shared" si="0"/>
        <v>1</v>
      </c>
      <c r="B12" s="193">
        <f t="shared" si="1"/>
        <v>20</v>
      </c>
      <c r="C12" s="190" cm="1">
        <f t="array" aca="1" ref="C12" ca="1">VALUE(LEFT(TRIM(INDIRECT("'" &amp; INT((ROW()-2)/24)+1 &amp; "號'!B" &amp; MOD(ROW()-2,24)+10)), 2))</f>
        <v>18</v>
      </c>
      <c r="D12" s="190">
        <f t="shared" ca="1" si="2"/>
        <v>7</v>
      </c>
      <c r="E12" s="190" t="str" cm="1">
        <f t="array" aca="1" ref="E12" ca="1">INDIRECT("'" &amp; A12 &amp; "號'!" &amp; ADDRESS(B12, D12))</f>
        <v>28</v>
      </c>
      <c r="F12" s="190">
        <f t="shared" ca="1" si="3"/>
        <v>0</v>
      </c>
      <c r="G12" s="190">
        <f ca="1">IF(F12=0, 0, IF(AND(F11=1, C12&lt;&gt;8, OR(C12=C11+1, AND(C11=23, C12=0))), G11, MAX($G$1:G11)+1))</f>
        <v>0</v>
      </c>
      <c r="H12" s="194">
        <f t="shared" si="4"/>
        <v>1</v>
      </c>
      <c r="I12" s="190">
        <v>10</v>
      </c>
      <c r="K12" s="196" t="str">
        <f t="shared" ca="1" si="5"/>
        <v/>
      </c>
      <c r="L12" s="196" t="str">
        <f ca="1">IF(K12="","", IF(INDEX(C:C, MATCH(I12, G:G, 0)) &lt; 8, TEXT(DATE(班別參數!$D$2+1911, 班別參數!$E$2, VALUE(K12)+1), "dd")&amp;"日/ ", "") &amp; TEXT(INDEX(C:C, MATCH(I12, G:G, 0)), "00"))</f>
        <v/>
      </c>
      <c r="M12" s="196" t="str" cm="1">
        <f t="array" aca="1" ref="M12" ca="1">IF(K12="","", IF(OR(LOOKUP(2, 1/(G:G=I12), C:C)+1 &lt;= 8, INDEX(C:C, MATCH(I12, G:G, 0)) &gt; LOOKUP(2, 1/(G:G=I12), C:C)), TEXT(DATE(班別參數!$D$2+1911, 班別參數!$E$2, VALUE(K12)+1), "dd")&amp;"日/ ", "") &amp; IF(AND(LOOKUP(2, 1/(G:G=I12), C:C)+1=24, INDEX(C:C, MATCH(I12, G:G, 0)) &lt;= LOOKUP(2, 1/(G:G=I12), C:C)), "24", TEXT(MOD(LOOKUP(2, 1/(G:G=I12), C:C)+1, 24), "00")))</f>
        <v/>
      </c>
      <c r="N12" s="196" t="str">
        <f t="shared" ca="1" si="6"/>
        <v/>
      </c>
    </row>
    <row r="13" spans="1:14" ht="30" customHeight="1">
      <c r="A13" s="190">
        <f t="shared" si="0"/>
        <v>1</v>
      </c>
      <c r="B13" s="193">
        <f t="shared" si="1"/>
        <v>21</v>
      </c>
      <c r="C13" s="190" cm="1">
        <f t="array" aca="1" ref="C13" ca="1">VALUE(LEFT(TRIM(INDIRECT("'" &amp; INT((ROW()-2)/24)+1 &amp; "號'!B" &amp; MOD(ROW()-2,24)+10)), 2))</f>
        <v>19</v>
      </c>
      <c r="D13" s="190">
        <f t="shared" ca="1" si="2"/>
        <v>7</v>
      </c>
      <c r="E13" s="190" t="str" cm="1">
        <f t="array" aca="1" ref="E13" ca="1">INDIRECT("'" &amp; A13 &amp; "號'!" &amp; ADDRESS(B13, D13))</f>
        <v>28</v>
      </c>
      <c r="F13" s="190">
        <f t="shared" ca="1" si="3"/>
        <v>0</v>
      </c>
      <c r="G13" s="190">
        <f ca="1">IF(F13=0, 0, IF(AND(F12=1, C13&lt;&gt;8, OR(C13=C12+1, AND(C12=23, C13=0))), G12, MAX($G$1:G12)+1))</f>
        <v>0</v>
      </c>
      <c r="H13" s="194">
        <f t="shared" si="4"/>
        <v>1</v>
      </c>
      <c r="I13" s="190">
        <v>11</v>
      </c>
      <c r="K13" s="196" t="str">
        <f t="shared" ca="1" si="5"/>
        <v/>
      </c>
      <c r="L13" s="196" t="str">
        <f ca="1">IF(K13="","", IF(INDEX(C:C, MATCH(I13, G:G, 0)) &lt; 8, TEXT(DATE(班別參數!$D$2+1911, 班別參數!$E$2, VALUE(K13)+1), "dd")&amp;"日/ ", "") &amp; TEXT(INDEX(C:C, MATCH(I13, G:G, 0)), "00"))</f>
        <v/>
      </c>
      <c r="M13" s="196" t="str" cm="1">
        <f t="array" aca="1" ref="M13" ca="1">IF(K13="","", IF(OR(LOOKUP(2, 1/(G:G=I13), C:C)+1 &lt;= 8, INDEX(C:C, MATCH(I13, G:G, 0)) &gt; LOOKUP(2, 1/(G:G=I13), C:C)), TEXT(DATE(班別參數!$D$2+1911, 班別參數!$E$2, VALUE(K13)+1), "dd")&amp;"日/ ", "") &amp; IF(AND(LOOKUP(2, 1/(G:G=I13), C:C)+1=24, INDEX(C:C, MATCH(I13, G:G, 0)) &lt;= LOOKUP(2, 1/(G:G=I13), C:C)), "24", TEXT(MOD(LOOKUP(2, 1/(G:G=I13), C:C)+1, 24), "00")))</f>
        <v/>
      </c>
      <c r="N13" s="196" t="str">
        <f t="shared" ca="1" si="6"/>
        <v/>
      </c>
    </row>
    <row r="14" spans="1:14" ht="30" customHeight="1">
      <c r="A14" s="190">
        <f t="shared" si="0"/>
        <v>1</v>
      </c>
      <c r="B14" s="193">
        <f t="shared" si="1"/>
        <v>22</v>
      </c>
      <c r="C14" s="190" cm="1">
        <f t="array" aca="1" ref="C14" ca="1">VALUE(LEFT(TRIM(INDIRECT("'" &amp; INT((ROW()-2)/24)+1 &amp; "號'!B" &amp; MOD(ROW()-2,24)+10)), 2))</f>
        <v>20</v>
      </c>
      <c r="D14" s="190">
        <f t="shared" ca="1" si="2"/>
        <v>7</v>
      </c>
      <c r="E14" s="190" t="str" cm="1">
        <f t="array" aca="1" ref="E14" ca="1">INDIRECT("'" &amp; A14 &amp; "號'!" &amp; ADDRESS(B14, D14))</f>
        <v>7</v>
      </c>
      <c r="F14" s="190">
        <f t="shared" ca="1" si="3"/>
        <v>0</v>
      </c>
      <c r="G14" s="190">
        <f ca="1">IF(F14=0, 0, IF(AND(F13=1, C14&lt;&gt;8, OR(C14=C13+1, AND(C13=23, C14=0))), G13, MAX($G$1:G13)+1))</f>
        <v>0</v>
      </c>
      <c r="H14" s="194">
        <f t="shared" si="4"/>
        <v>1</v>
      </c>
      <c r="I14" s="190">
        <v>12</v>
      </c>
      <c r="K14" s="196" t="str">
        <f t="shared" ca="1" si="5"/>
        <v/>
      </c>
      <c r="L14" s="196" t="str">
        <f ca="1">IF(K14="","", IF(INDEX(C:C, MATCH(I14, G:G, 0)) &lt; 8, TEXT(DATE(班別參數!$D$2+1911, 班別參數!$E$2, VALUE(K14)+1), "dd")&amp;"日/ ", "") &amp; TEXT(INDEX(C:C, MATCH(I14, G:G, 0)), "00"))</f>
        <v/>
      </c>
      <c r="M14" s="196" t="str" cm="1">
        <f t="array" aca="1" ref="M14" ca="1">IF(K14="","", IF(OR(LOOKUP(2, 1/(G:G=I14), C:C)+1 &lt;= 8, INDEX(C:C, MATCH(I14, G:G, 0)) &gt; LOOKUP(2, 1/(G:G=I14), C:C)), TEXT(DATE(班別參數!$D$2+1911, 班別參數!$E$2, VALUE(K14)+1), "dd")&amp;"日/ ", "") &amp; IF(AND(LOOKUP(2, 1/(G:G=I14), C:C)+1=24, INDEX(C:C, MATCH(I14, G:G, 0)) &lt;= LOOKUP(2, 1/(G:G=I14), C:C)), "24", TEXT(MOD(LOOKUP(2, 1/(G:G=I14), C:C)+1, 24), "00")))</f>
        <v/>
      </c>
      <c r="N14" s="196" t="str">
        <f t="shared" ca="1" si="6"/>
        <v/>
      </c>
    </row>
    <row r="15" spans="1:14" ht="30" customHeight="1">
      <c r="A15" s="190">
        <f t="shared" si="0"/>
        <v>1</v>
      </c>
      <c r="B15" s="193">
        <f t="shared" si="1"/>
        <v>23</v>
      </c>
      <c r="C15" s="190" cm="1">
        <f t="array" aca="1" ref="C15" ca="1">VALUE(LEFT(TRIM(INDIRECT("'" &amp; INT((ROW()-2)/24)+1 &amp; "號'!B" &amp; MOD(ROW()-2,24)+10)), 2))</f>
        <v>21</v>
      </c>
      <c r="D15" s="190">
        <f t="shared" ca="1" si="2"/>
        <v>7</v>
      </c>
      <c r="E15" s="190" t="str" cm="1">
        <f t="array" aca="1" ref="E15" ca="1">INDIRECT("'" &amp; A15 &amp; "號'!" &amp; ADDRESS(B15, D15))</f>
        <v>7</v>
      </c>
      <c r="F15" s="190">
        <f t="shared" ca="1" si="3"/>
        <v>0</v>
      </c>
      <c r="G15" s="190">
        <f ca="1">IF(F15=0, 0, IF(AND(F14=1, C15&lt;&gt;8, OR(C15=C14+1, AND(C14=23, C15=0))), G14, MAX($G$1:G14)+1))</f>
        <v>0</v>
      </c>
      <c r="H15" s="194">
        <f t="shared" si="4"/>
        <v>1</v>
      </c>
      <c r="I15" s="190">
        <v>13</v>
      </c>
      <c r="K15" s="196" t="str">
        <f t="shared" ca="1" si="5"/>
        <v/>
      </c>
      <c r="L15" s="196" t="str">
        <f ca="1">IF(K15="","", IF(INDEX(C:C, MATCH(I15, G:G, 0)) &lt; 8, TEXT(DATE(班別參數!$D$2+1911, 班別參數!$E$2, VALUE(K15)+1), "dd")&amp;"日/ ", "") &amp; TEXT(INDEX(C:C, MATCH(I15, G:G, 0)), "00"))</f>
        <v/>
      </c>
      <c r="M15" s="196" t="str" cm="1">
        <f t="array" aca="1" ref="M15" ca="1">IF(K15="","", IF(OR(LOOKUP(2, 1/(G:G=I15), C:C)+1 &lt;= 8, INDEX(C:C, MATCH(I15, G:G, 0)) &gt; LOOKUP(2, 1/(G:G=I15), C:C)), TEXT(DATE(班別參數!$D$2+1911, 班別參數!$E$2, VALUE(K15)+1), "dd")&amp;"日/ ", "") &amp; IF(AND(LOOKUP(2, 1/(G:G=I15), C:C)+1=24, INDEX(C:C, MATCH(I15, G:G, 0)) &lt;= LOOKUP(2, 1/(G:G=I15), C:C)), "24", TEXT(MOD(LOOKUP(2, 1/(G:G=I15), C:C)+1, 24), "00")))</f>
        <v/>
      </c>
      <c r="N15" s="196" t="str">
        <f t="shared" ca="1" si="6"/>
        <v/>
      </c>
    </row>
    <row r="16" spans="1:14" ht="30" customHeight="1">
      <c r="A16" s="190">
        <f t="shared" si="0"/>
        <v>1</v>
      </c>
      <c r="B16" s="193">
        <f t="shared" si="1"/>
        <v>24</v>
      </c>
      <c r="C16" s="190" cm="1">
        <f t="array" aca="1" ref="C16" ca="1">VALUE(LEFT(TRIM(INDIRECT("'" &amp; INT((ROW()-2)/24)+1 &amp; "號'!B" &amp; MOD(ROW()-2,24)+10)), 2))</f>
        <v>22</v>
      </c>
      <c r="D16" s="190">
        <f t="shared" ca="1" si="2"/>
        <v>7</v>
      </c>
      <c r="E16" s="190" cm="1">
        <f t="array" aca="1" ref="E16" ca="1">INDIRECT("'" &amp; A16 &amp; "號'!" &amp; ADDRESS(B16, D16))</f>
        <v>0</v>
      </c>
      <c r="F16" s="190">
        <f t="shared" ca="1" si="3"/>
        <v>0</v>
      </c>
      <c r="G16" s="190">
        <f ca="1">IF(F16=0, 0, IF(AND(F15=1, C16&lt;&gt;8, OR(C16=C15+1, AND(C15=23, C16=0))), G15, MAX($G$1:G15)+1))</f>
        <v>0</v>
      </c>
      <c r="H16" s="194">
        <f t="shared" si="4"/>
        <v>1</v>
      </c>
      <c r="I16" s="190">
        <v>14</v>
      </c>
      <c r="K16" s="196" t="str">
        <f t="shared" ca="1" si="5"/>
        <v/>
      </c>
      <c r="L16" s="196" t="str">
        <f ca="1">IF(K16="","", IF(INDEX(C:C, MATCH(I16, G:G, 0)) &lt; 8, TEXT(DATE(班別參數!$D$2+1911, 班別參數!$E$2, VALUE(K16)+1), "dd")&amp;"日/ ", "") &amp; TEXT(INDEX(C:C, MATCH(I16, G:G, 0)), "00"))</f>
        <v/>
      </c>
      <c r="M16" s="196" t="str" cm="1">
        <f t="array" aca="1" ref="M16" ca="1">IF(K16="","", IF(OR(LOOKUP(2, 1/(G:G=I16), C:C)+1 &lt;= 8, INDEX(C:C, MATCH(I16, G:G, 0)) &gt; LOOKUP(2, 1/(G:G=I16), C:C)), TEXT(DATE(班別參數!$D$2+1911, 班別參數!$E$2, VALUE(K16)+1), "dd")&amp;"日/ ", "") &amp; IF(AND(LOOKUP(2, 1/(G:G=I16), C:C)+1=24, INDEX(C:C, MATCH(I16, G:G, 0)) &lt;= LOOKUP(2, 1/(G:G=I16), C:C)), "24", TEXT(MOD(LOOKUP(2, 1/(G:G=I16), C:C)+1, 24), "00")))</f>
        <v/>
      </c>
      <c r="N16" s="196" t="str">
        <f t="shared" ca="1" si="6"/>
        <v/>
      </c>
    </row>
    <row r="17" spans="1:14" ht="30" customHeight="1">
      <c r="A17" s="190">
        <f t="shared" si="0"/>
        <v>1</v>
      </c>
      <c r="B17" s="193">
        <f t="shared" si="1"/>
        <v>25</v>
      </c>
      <c r="C17" s="190" cm="1">
        <f t="array" aca="1" ref="C17" ca="1">VALUE(LEFT(TRIM(INDIRECT("'" &amp; INT((ROW()-2)/24)+1 &amp; "號'!B" &amp; MOD(ROW()-2,24)+10)), 2))</f>
        <v>23</v>
      </c>
      <c r="D17" s="190">
        <f t="shared" ca="1" si="2"/>
        <v>7</v>
      </c>
      <c r="E17" s="190" t="str" cm="1">
        <f t="array" aca="1" ref="E17" ca="1">INDIRECT("'" &amp; A17 &amp; "號'!" &amp; ADDRESS(B17, D17))</f>
        <v/>
      </c>
      <c r="F17" s="190">
        <f t="shared" ca="1" si="3"/>
        <v>0</v>
      </c>
      <c r="G17" s="190">
        <f ca="1">IF(F17=0, 0, IF(AND(F16=1, C17&lt;&gt;8, OR(C17=C16+1, AND(C16=23, C17=0))), G16, MAX($G$1:G16)+1))</f>
        <v>0</v>
      </c>
      <c r="H17" s="194">
        <f t="shared" si="4"/>
        <v>1</v>
      </c>
      <c r="I17" s="190">
        <v>15</v>
      </c>
      <c r="K17" s="196" t="str">
        <f t="shared" ca="1" si="5"/>
        <v/>
      </c>
      <c r="L17" s="196" t="str">
        <f ca="1">IF(K17="","", IF(INDEX(C:C, MATCH(I17, G:G, 0)) &lt; 8, TEXT(DATE(班別參數!$D$2+1911, 班別參數!$E$2, VALUE(K17)+1), "dd")&amp;"日/ ", "") &amp; TEXT(INDEX(C:C, MATCH(I17, G:G, 0)), "00"))</f>
        <v/>
      </c>
      <c r="M17" s="196" t="str" cm="1">
        <f t="array" aca="1" ref="M17" ca="1">IF(K17="","", IF(OR(LOOKUP(2, 1/(G:G=I17), C:C)+1 &lt;= 8, INDEX(C:C, MATCH(I17, G:G, 0)) &gt; LOOKUP(2, 1/(G:G=I17), C:C)), TEXT(DATE(班別參數!$D$2+1911, 班別參數!$E$2, VALUE(K17)+1), "dd")&amp;"日/ ", "") &amp; IF(AND(LOOKUP(2, 1/(G:G=I17), C:C)+1=24, INDEX(C:C, MATCH(I17, G:G, 0)) &lt;= LOOKUP(2, 1/(G:G=I17), C:C)), "24", TEXT(MOD(LOOKUP(2, 1/(G:G=I17), C:C)+1, 24), "00")))</f>
        <v/>
      </c>
      <c r="N17" s="196" t="str">
        <f t="shared" ca="1" si="6"/>
        <v/>
      </c>
    </row>
    <row r="18" spans="1:14" ht="30" customHeight="1">
      <c r="A18" s="190">
        <f t="shared" si="0"/>
        <v>1</v>
      </c>
      <c r="B18" s="193">
        <f t="shared" si="1"/>
        <v>26</v>
      </c>
      <c r="C18" s="190" cm="1">
        <f t="array" aca="1" ref="C18" ca="1">VALUE(LEFT(TRIM(INDIRECT("'" &amp; INT((ROW()-2)/24)+1 &amp; "號'!B" &amp; MOD(ROW()-2,24)+10)), 2))</f>
        <v>0</v>
      </c>
      <c r="D18" s="190">
        <f t="shared" ca="1" si="2"/>
        <v>7</v>
      </c>
      <c r="E18" s="190" t="str" cm="1">
        <f t="array" aca="1" ref="E18" ca="1">INDIRECT("'" &amp; A18 &amp; "號'!" &amp; ADDRESS(B18, D18))</f>
        <v/>
      </c>
      <c r="F18" s="190">
        <f t="shared" ca="1" si="3"/>
        <v>0</v>
      </c>
      <c r="G18" s="190">
        <f ca="1">IF(F18=0, 0, IF(AND(F17=1, C18&lt;&gt;8, OR(C18=C17+1, AND(C17=23, C18=0))), G17, MAX($G$1:G17)+1))</f>
        <v>0</v>
      </c>
      <c r="H18" s="194">
        <f t="shared" si="4"/>
        <v>1</v>
      </c>
      <c r="I18" s="190">
        <v>16</v>
      </c>
      <c r="K18" s="196" t="str">
        <f t="shared" ca="1" si="5"/>
        <v/>
      </c>
      <c r="L18" s="196" t="str">
        <f ca="1">IF(K18="","", IF(INDEX(C:C, MATCH(I18, G:G, 0)) &lt; 8, TEXT(DATE(班別參數!$D$2+1911, 班別參數!$E$2, VALUE(K18)+1), "dd")&amp;"日/ ", "") &amp; TEXT(INDEX(C:C, MATCH(I18, G:G, 0)), "00"))</f>
        <v/>
      </c>
      <c r="M18" s="196" t="str" cm="1">
        <f t="array" aca="1" ref="M18" ca="1">IF(K18="","", IF(OR(LOOKUP(2, 1/(G:G=I18), C:C)+1 &lt;= 8, INDEX(C:C, MATCH(I18, G:G, 0)) &gt; LOOKUP(2, 1/(G:G=I18), C:C)), TEXT(DATE(班別參數!$D$2+1911, 班別參數!$E$2, VALUE(K18)+1), "dd")&amp;"日/ ", "") &amp; IF(AND(LOOKUP(2, 1/(G:G=I18), C:C)+1=24, INDEX(C:C, MATCH(I18, G:G, 0)) &lt;= LOOKUP(2, 1/(G:G=I18), C:C)), "24", TEXT(MOD(LOOKUP(2, 1/(G:G=I18), C:C)+1, 24), "00")))</f>
        <v/>
      </c>
      <c r="N18" s="196" t="str">
        <f t="shared" ca="1" si="6"/>
        <v/>
      </c>
    </row>
    <row r="19" spans="1:14" ht="30" customHeight="1">
      <c r="A19" s="190">
        <f t="shared" si="0"/>
        <v>1</v>
      </c>
      <c r="B19" s="193">
        <f t="shared" si="1"/>
        <v>27</v>
      </c>
      <c r="C19" s="190" cm="1">
        <f t="array" aca="1" ref="C19" ca="1">VALUE(LEFT(TRIM(INDIRECT("'" &amp; INT((ROW()-2)/24)+1 &amp; "號'!B" &amp; MOD(ROW()-2,24)+10)), 2))</f>
        <v>1</v>
      </c>
      <c r="D19" s="190">
        <f t="shared" ca="1" si="2"/>
        <v>7</v>
      </c>
      <c r="E19" s="190" t="str" cm="1">
        <f t="array" aca="1" ref="E19" ca="1">INDIRECT("'" &amp; A19 &amp; "號'!" &amp; ADDRESS(B19, D19))</f>
        <v/>
      </c>
      <c r="F19" s="190">
        <f t="shared" ca="1" si="3"/>
        <v>0</v>
      </c>
      <c r="G19" s="190">
        <f ca="1">IF(F19=0, 0, IF(AND(F18=1, C19&lt;&gt;8, OR(C19=C18+1, AND(C18=23, C19=0))), G18, MAX($G$1:G18)+1))</f>
        <v>0</v>
      </c>
      <c r="H19" s="194">
        <f t="shared" si="4"/>
        <v>1</v>
      </c>
      <c r="I19" s="190">
        <v>17</v>
      </c>
      <c r="K19" s="196" t="str">
        <f t="shared" ca="1" si="5"/>
        <v/>
      </c>
      <c r="L19" s="196" t="str">
        <f ca="1">IF(K19="","", IF(INDEX(C:C, MATCH(I19, G:G, 0)) &lt; 8, TEXT(DATE(班別參數!$D$2+1911, 班別參數!$E$2, VALUE(K19)+1), "dd")&amp;"日/ ", "") &amp; TEXT(INDEX(C:C, MATCH(I19, G:G, 0)), "00"))</f>
        <v/>
      </c>
      <c r="M19" s="196" t="str" cm="1">
        <f t="array" aca="1" ref="M19" ca="1">IF(K19="","", IF(OR(LOOKUP(2, 1/(G:G=I19), C:C)+1 &lt;= 8, INDEX(C:C, MATCH(I19, G:G, 0)) &gt; LOOKUP(2, 1/(G:G=I19), C:C)), TEXT(DATE(班別參數!$D$2+1911, 班別參數!$E$2, VALUE(K19)+1), "dd")&amp;"日/ ", "") &amp; IF(AND(LOOKUP(2, 1/(G:G=I19), C:C)+1=24, INDEX(C:C, MATCH(I19, G:G, 0)) &lt;= LOOKUP(2, 1/(G:G=I19), C:C)), "24", TEXT(MOD(LOOKUP(2, 1/(G:G=I19), C:C)+1, 24), "00")))</f>
        <v/>
      </c>
      <c r="N19" s="196" t="str">
        <f t="shared" ca="1" si="6"/>
        <v/>
      </c>
    </row>
    <row r="20" spans="1:14" ht="30" customHeight="1">
      <c r="A20" s="190">
        <f t="shared" si="0"/>
        <v>1</v>
      </c>
      <c r="B20" s="193">
        <f t="shared" si="1"/>
        <v>28</v>
      </c>
      <c r="C20" s="190" cm="1">
        <f t="array" aca="1" ref="C20" ca="1">VALUE(LEFT(TRIM(INDIRECT("'" &amp; INT((ROW()-2)/24)+1 &amp; "號'!B" &amp; MOD(ROW()-2,24)+10)), 2))</f>
        <v>2</v>
      </c>
      <c r="D20" s="190">
        <f t="shared" ca="1" si="2"/>
        <v>7</v>
      </c>
      <c r="E20" s="190" t="str" cm="1">
        <f t="array" aca="1" ref="E20" ca="1">INDIRECT("'" &amp; A20 &amp; "號'!" &amp; ADDRESS(B20, D20))</f>
        <v/>
      </c>
      <c r="F20" s="190">
        <f t="shared" ca="1" si="3"/>
        <v>0</v>
      </c>
      <c r="G20" s="190">
        <f ca="1">IF(F20=0, 0, IF(AND(F19=1, C20&lt;&gt;8, OR(C20=C19+1, AND(C19=23, C20=0))), G19, MAX($G$1:G19)+1))</f>
        <v>0</v>
      </c>
      <c r="H20" s="194">
        <f t="shared" si="4"/>
        <v>1</v>
      </c>
      <c r="I20" s="190">
        <v>18</v>
      </c>
      <c r="K20" s="196" t="str">
        <f t="shared" ca="1" si="5"/>
        <v/>
      </c>
      <c r="L20" s="196" t="str">
        <f ca="1">IF(K20="","", IF(INDEX(C:C, MATCH(I20, G:G, 0)) &lt; 8, TEXT(DATE(班別參數!$D$2+1911, 班別參數!$E$2, VALUE(K20)+1), "dd")&amp;"日/ ", "") &amp; TEXT(INDEX(C:C, MATCH(I20, G:G, 0)), "00"))</f>
        <v/>
      </c>
      <c r="M20" s="196" t="str" cm="1">
        <f t="array" aca="1" ref="M20" ca="1">IF(K20="","", IF(OR(LOOKUP(2, 1/(G:G=I20), C:C)+1 &lt;= 8, INDEX(C:C, MATCH(I20, G:G, 0)) &gt; LOOKUP(2, 1/(G:G=I20), C:C)), TEXT(DATE(班別參數!$D$2+1911, 班別參數!$E$2, VALUE(K20)+1), "dd")&amp;"日/ ", "") &amp; IF(AND(LOOKUP(2, 1/(G:G=I20), C:C)+1=24, INDEX(C:C, MATCH(I20, G:G, 0)) &lt;= LOOKUP(2, 1/(G:G=I20), C:C)), "24", TEXT(MOD(LOOKUP(2, 1/(G:G=I20), C:C)+1, 24), "00")))</f>
        <v/>
      </c>
      <c r="N20" s="196" t="str">
        <f t="shared" ca="1" si="6"/>
        <v/>
      </c>
    </row>
    <row r="21" spans="1:14" ht="30" customHeight="1">
      <c r="A21" s="190">
        <f t="shared" si="0"/>
        <v>1</v>
      </c>
      <c r="B21" s="193">
        <f t="shared" si="1"/>
        <v>29</v>
      </c>
      <c r="C21" s="190" cm="1">
        <f t="array" aca="1" ref="C21" ca="1">VALUE(LEFT(TRIM(INDIRECT("'" &amp; INT((ROW()-2)/24)+1 &amp; "號'!B" &amp; MOD(ROW()-2,24)+10)), 2))</f>
        <v>3</v>
      </c>
      <c r="D21" s="190">
        <f t="shared" ca="1" si="2"/>
        <v>7</v>
      </c>
      <c r="E21" s="190" t="str" cm="1">
        <f t="array" aca="1" ref="E21" ca="1">INDIRECT("'" &amp; A21 &amp; "號'!" &amp; ADDRESS(B21, D21))</f>
        <v/>
      </c>
      <c r="F21" s="190">
        <f t="shared" ca="1" si="3"/>
        <v>0</v>
      </c>
      <c r="G21" s="190">
        <f ca="1">IF(F21=0, 0, IF(AND(F20=1, C21&lt;&gt;8, OR(C21=C20+1, AND(C20=23, C21=0))), G20, MAX($G$1:G20)+1))</f>
        <v>0</v>
      </c>
      <c r="H21" s="194">
        <f t="shared" si="4"/>
        <v>1</v>
      </c>
      <c r="I21" s="190">
        <v>19</v>
      </c>
      <c r="K21" s="196" t="str">
        <f t="shared" ca="1" si="5"/>
        <v/>
      </c>
      <c r="L21" s="196" t="str">
        <f ca="1">IF(K21="","", IF(INDEX(C:C, MATCH(I21, G:G, 0)) &lt; 8, TEXT(DATE(班別參數!$D$2+1911, 班別參數!$E$2, VALUE(K21)+1), "dd")&amp;"日/ ", "") &amp; TEXT(INDEX(C:C, MATCH(I21, G:G, 0)), "00"))</f>
        <v/>
      </c>
      <c r="M21" s="196" t="str" cm="1">
        <f t="array" aca="1" ref="M21" ca="1">IF(K21="","", IF(OR(LOOKUP(2, 1/(G:G=I21), C:C)+1 &lt;= 8, INDEX(C:C, MATCH(I21, G:G, 0)) &gt; LOOKUP(2, 1/(G:G=I21), C:C)), TEXT(DATE(班別參數!$D$2+1911, 班別參數!$E$2, VALUE(K21)+1), "dd")&amp;"日/ ", "") &amp; IF(AND(LOOKUP(2, 1/(G:G=I21), C:C)+1=24, INDEX(C:C, MATCH(I21, G:G, 0)) &lt;= LOOKUP(2, 1/(G:G=I21), C:C)), "24", TEXT(MOD(LOOKUP(2, 1/(G:G=I21), C:C)+1, 24), "00")))</f>
        <v/>
      </c>
      <c r="N21" s="196" t="str">
        <f t="shared" ca="1" si="6"/>
        <v/>
      </c>
    </row>
    <row r="22" spans="1:14" ht="30" customHeight="1">
      <c r="A22" s="190">
        <f t="shared" si="0"/>
        <v>1</v>
      </c>
      <c r="B22" s="193">
        <f t="shared" si="1"/>
        <v>30</v>
      </c>
      <c r="C22" s="190" cm="1">
        <f t="array" aca="1" ref="C22" ca="1">VALUE(LEFT(TRIM(INDIRECT("'" &amp; INT((ROW()-2)/24)+1 &amp; "號'!B" &amp; MOD(ROW()-2,24)+10)), 2))</f>
        <v>4</v>
      </c>
      <c r="D22" s="190">
        <f t="shared" ca="1" si="2"/>
        <v>7</v>
      </c>
      <c r="E22" s="190" t="str" cm="1">
        <f t="array" aca="1" ref="E22" ca="1">INDIRECT("'" &amp; A22 &amp; "號'!" &amp; ADDRESS(B22, D22))</f>
        <v/>
      </c>
      <c r="F22" s="190">
        <f t="shared" ca="1" si="3"/>
        <v>0</v>
      </c>
      <c r="G22" s="190">
        <f ca="1">IF(F22=0, 0, IF(AND(F21=1, C22&lt;&gt;8, OR(C22=C21+1, AND(C21=23, C22=0))), G21, MAX($G$1:G21)+1))</f>
        <v>0</v>
      </c>
      <c r="H22" s="194">
        <f t="shared" si="4"/>
        <v>1</v>
      </c>
      <c r="I22" s="190">
        <v>20</v>
      </c>
      <c r="K22" s="196" t="str">
        <f t="shared" ca="1" si="5"/>
        <v/>
      </c>
      <c r="L22" s="196" t="str">
        <f ca="1">IF(K22="","", IF(INDEX(C:C, MATCH(I22, G:G, 0)) &lt; 8, TEXT(DATE(班別參數!$D$2+1911, 班別參數!$E$2, VALUE(K22)+1), "dd")&amp;"日/ ", "") &amp; TEXT(INDEX(C:C, MATCH(I22, G:G, 0)), "00"))</f>
        <v/>
      </c>
      <c r="M22" s="196" t="str" cm="1">
        <f t="array" aca="1" ref="M22" ca="1">IF(K22="","", IF(OR(LOOKUP(2, 1/(G:G=I22), C:C)+1 &lt;= 8, INDEX(C:C, MATCH(I22, G:G, 0)) &gt; LOOKUP(2, 1/(G:G=I22), C:C)), TEXT(DATE(班別參數!$D$2+1911, 班別參數!$E$2, VALUE(K22)+1), "dd")&amp;"日/ ", "") &amp; IF(AND(LOOKUP(2, 1/(G:G=I22), C:C)+1=24, INDEX(C:C, MATCH(I22, G:G, 0)) &lt;= LOOKUP(2, 1/(G:G=I22), C:C)), "24", TEXT(MOD(LOOKUP(2, 1/(G:G=I22), C:C)+1, 24), "00")))</f>
        <v/>
      </c>
      <c r="N22" s="196" t="str">
        <f t="shared" ca="1" si="6"/>
        <v/>
      </c>
    </row>
    <row r="23" spans="1:14" ht="30" customHeight="1">
      <c r="A23" s="190">
        <f t="shared" si="0"/>
        <v>1</v>
      </c>
      <c r="B23" s="193">
        <f t="shared" si="1"/>
        <v>31</v>
      </c>
      <c r="C23" s="190" cm="1">
        <f t="array" aca="1" ref="C23" ca="1">VALUE(LEFT(TRIM(INDIRECT("'" &amp; INT((ROW()-2)/24)+1 &amp; "號'!B" &amp; MOD(ROW()-2,24)+10)), 2))</f>
        <v>5</v>
      </c>
      <c r="D23" s="190">
        <f t="shared" ca="1" si="2"/>
        <v>7</v>
      </c>
      <c r="E23" s="190" t="str" cm="1">
        <f t="array" aca="1" ref="E23" ca="1">INDIRECT("'" &amp; A23 &amp; "號'!" &amp; ADDRESS(B23, D23))</f>
        <v/>
      </c>
      <c r="F23" s="190">
        <f t="shared" ca="1" si="3"/>
        <v>0</v>
      </c>
      <c r="G23" s="190">
        <f ca="1">IF(F23=0, 0, IF(AND(F22=1, C23&lt;&gt;8, OR(C23=C22+1, AND(C22=23, C23=0))), G22, MAX($G$1:G22)+1))</f>
        <v>0</v>
      </c>
      <c r="H23" s="194">
        <f t="shared" si="4"/>
        <v>1</v>
      </c>
      <c r="I23" s="190">
        <v>21</v>
      </c>
      <c r="K23" s="196" t="str">
        <f t="shared" ca="1" si="5"/>
        <v/>
      </c>
      <c r="L23" s="196" t="str">
        <f ca="1">IF(K23="","", IF(INDEX(C:C, MATCH(I23, G:G, 0)) &lt; 8, TEXT(DATE(班別參數!$D$2+1911, 班別參數!$E$2, VALUE(K23)+1), "dd")&amp;"日/ ", "") &amp; TEXT(INDEX(C:C, MATCH(I23, G:G, 0)), "00"))</f>
        <v/>
      </c>
      <c r="M23" s="196" t="str" cm="1">
        <f t="array" aca="1" ref="M23" ca="1">IF(K23="","", IF(OR(LOOKUP(2, 1/(G:G=I23), C:C)+1 &lt;= 8, INDEX(C:C, MATCH(I23, G:G, 0)) &gt; LOOKUP(2, 1/(G:G=I23), C:C)), TEXT(DATE(班別參數!$D$2+1911, 班別參數!$E$2, VALUE(K23)+1), "dd")&amp;"日/ ", "") &amp; IF(AND(LOOKUP(2, 1/(G:G=I23), C:C)+1=24, INDEX(C:C, MATCH(I23, G:G, 0)) &lt;= LOOKUP(2, 1/(G:G=I23), C:C)), "24", TEXT(MOD(LOOKUP(2, 1/(G:G=I23), C:C)+1, 24), "00")))</f>
        <v/>
      </c>
      <c r="N23" s="196" t="str">
        <f t="shared" ca="1" si="6"/>
        <v/>
      </c>
    </row>
    <row r="24" spans="1:14" ht="30" customHeight="1">
      <c r="A24" s="190">
        <f t="shared" si="0"/>
        <v>1</v>
      </c>
      <c r="B24" s="193">
        <f t="shared" si="1"/>
        <v>32</v>
      </c>
      <c r="C24" s="190" cm="1">
        <f t="array" aca="1" ref="C24" ca="1">VALUE(LEFT(TRIM(INDIRECT("'" &amp; INT((ROW()-2)/24)+1 &amp; "號'!B" &amp; MOD(ROW()-2,24)+10)), 2))</f>
        <v>6</v>
      </c>
      <c r="D24" s="190">
        <f t="shared" ca="1" si="2"/>
        <v>7</v>
      </c>
      <c r="E24" s="190" t="str" cm="1">
        <f t="array" aca="1" ref="E24" ca="1">INDIRECT("'" &amp; A24 &amp; "號'!" &amp; ADDRESS(B24, D24))</f>
        <v>18,3</v>
      </c>
      <c r="F24" s="190">
        <f t="shared" ca="1" si="3"/>
        <v>0</v>
      </c>
      <c r="G24" s="190">
        <f ca="1">IF(F24=0, 0, IF(AND(F23=1, C24&lt;&gt;8, OR(C24=C23+1, AND(C23=23, C24=0))), G23, MAX($G$1:G23)+1))</f>
        <v>0</v>
      </c>
      <c r="H24" s="194">
        <f t="shared" si="4"/>
        <v>1</v>
      </c>
      <c r="I24" s="190">
        <v>22</v>
      </c>
      <c r="K24" s="196" t="str">
        <f t="shared" ca="1" si="5"/>
        <v/>
      </c>
      <c r="L24" s="196" t="str">
        <f ca="1">IF(K24="","", IF(INDEX(C:C, MATCH(I24, G:G, 0)) &lt; 8, TEXT(DATE(班別參數!$D$2+1911, 班別參數!$E$2, VALUE(K24)+1), "dd")&amp;"日/ ", "") &amp; TEXT(INDEX(C:C, MATCH(I24, G:G, 0)), "00"))</f>
        <v/>
      </c>
      <c r="M24" s="196" t="str" cm="1">
        <f t="array" aca="1" ref="M24" ca="1">IF(K24="","", IF(OR(LOOKUP(2, 1/(G:G=I24), C:C)+1 &lt;= 8, INDEX(C:C, MATCH(I24, G:G, 0)) &gt; LOOKUP(2, 1/(G:G=I24), C:C)), TEXT(DATE(班別參數!$D$2+1911, 班別參數!$E$2, VALUE(K24)+1), "dd")&amp;"日/ ", "") &amp; IF(AND(LOOKUP(2, 1/(G:G=I24), C:C)+1=24, INDEX(C:C, MATCH(I24, G:G, 0)) &lt;= LOOKUP(2, 1/(G:G=I24), C:C)), "24", TEXT(MOD(LOOKUP(2, 1/(G:G=I24), C:C)+1, 24), "00")))</f>
        <v/>
      </c>
      <c r="N24" s="196" t="str">
        <f t="shared" ca="1" si="6"/>
        <v/>
      </c>
    </row>
    <row r="25" spans="1:14" ht="30" customHeight="1">
      <c r="A25" s="190">
        <f t="shared" si="0"/>
        <v>1</v>
      </c>
      <c r="B25" s="193">
        <f t="shared" si="1"/>
        <v>33</v>
      </c>
      <c r="C25" s="190" cm="1">
        <f t="array" aca="1" ref="C25" ca="1">VALUE(LEFT(TRIM(INDIRECT("'" &amp; INT((ROW()-2)/24)+1 &amp; "號'!B" &amp; MOD(ROW()-2,24)+10)), 2))</f>
        <v>7</v>
      </c>
      <c r="D25" s="190">
        <f t="shared" ca="1" si="2"/>
        <v>7</v>
      </c>
      <c r="E25" s="190" t="str" cm="1">
        <f t="array" aca="1" ref="E25" ca="1">INDIRECT("'" &amp; A25 &amp; "號'!" &amp; ADDRESS(B25, D25))</f>
        <v>18,3</v>
      </c>
      <c r="F25" s="190">
        <f t="shared" ca="1" si="3"/>
        <v>0</v>
      </c>
      <c r="G25" s="190">
        <f ca="1">IF(F25=0, 0, IF(AND(F24=1, C25&lt;&gt;8, OR(C25=C24+1, AND(C24=23, C25=0))), G24, MAX($G$1:G24)+1))</f>
        <v>0</v>
      </c>
      <c r="H25" s="194">
        <f t="shared" si="4"/>
        <v>1</v>
      </c>
      <c r="I25" s="190">
        <v>23</v>
      </c>
      <c r="K25" s="196" t="str">
        <f t="shared" ca="1" si="5"/>
        <v/>
      </c>
      <c r="L25" s="196" t="str">
        <f ca="1">IF(K25="","", IF(INDEX(C:C, MATCH(I25, G:G, 0)) &lt; 8, TEXT(DATE(班別參數!$D$2+1911, 班別參數!$E$2, VALUE(K25)+1), "dd")&amp;"日/ ", "") &amp; TEXT(INDEX(C:C, MATCH(I25, G:G, 0)), "00"))</f>
        <v/>
      </c>
      <c r="M25" s="196" t="str" cm="1">
        <f t="array" aca="1" ref="M25" ca="1">IF(K25="","", IF(OR(LOOKUP(2, 1/(G:G=I25), C:C)+1 &lt;= 8, INDEX(C:C, MATCH(I25, G:G, 0)) &gt; LOOKUP(2, 1/(G:G=I25), C:C)), TEXT(DATE(班別參數!$D$2+1911, 班別參數!$E$2, VALUE(K25)+1), "dd")&amp;"日/ ", "") &amp; IF(AND(LOOKUP(2, 1/(G:G=I25), C:C)+1=24, INDEX(C:C, MATCH(I25, G:G, 0)) &lt;= LOOKUP(2, 1/(G:G=I25), C:C)), "24", TEXT(MOD(LOOKUP(2, 1/(G:G=I25), C:C)+1, 24), "00")))</f>
        <v/>
      </c>
      <c r="N25" s="196" t="str">
        <f t="shared" ca="1" si="6"/>
        <v/>
      </c>
    </row>
    <row r="26" spans="1:14" ht="30" customHeight="1">
      <c r="A26" s="190">
        <f t="shared" si="0"/>
        <v>2</v>
      </c>
      <c r="B26" s="193">
        <f t="shared" si="1"/>
        <v>10</v>
      </c>
      <c r="C26" s="190" cm="1">
        <f t="array" aca="1" ref="C26" ca="1">VALUE(LEFT(TRIM(INDIRECT("'" &amp; INT((ROW()-2)/24)+1 &amp; "號'!B" &amp; MOD(ROW()-2,24)+10)), 2))</f>
        <v>8</v>
      </c>
      <c r="D26" s="190">
        <f t="shared" ca="1" si="2"/>
        <v>7</v>
      </c>
      <c r="E26" s="190" t="str" cm="1">
        <f t="array" aca="1" ref="E26" ca="1">INDIRECT("'" &amp; A26 &amp; "號'!" &amp; ADDRESS(B26, D26))</f>
        <v>26,4</v>
      </c>
      <c r="F26" s="190">
        <f t="shared" ca="1" si="3"/>
        <v>0</v>
      </c>
      <c r="G26" s="190">
        <f ca="1">IF(F26=0, 0, IF(AND(F25=1, C26&lt;&gt;8, OR(C26=C25+1, AND(C25=23, C26=0))), G25, MAX($G$1:G25)+1))</f>
        <v>0</v>
      </c>
      <c r="H26" s="194">
        <f t="shared" si="4"/>
        <v>2</v>
      </c>
      <c r="I26" s="190">
        <v>24</v>
      </c>
      <c r="K26" s="196" t="str">
        <f t="shared" ca="1" si="5"/>
        <v/>
      </c>
      <c r="L26" s="196" t="str">
        <f ca="1">IF(K26="","", IF(INDEX(C:C, MATCH(I26, G:G, 0)) &lt; 8, TEXT(DATE(班別參數!$D$2+1911, 班別參數!$E$2, VALUE(K26)+1), "dd")&amp;"日/ ", "") &amp; TEXT(INDEX(C:C, MATCH(I26, G:G, 0)), "00"))</f>
        <v/>
      </c>
      <c r="M26" s="196" t="str" cm="1">
        <f t="array" aca="1" ref="M26" ca="1">IF(K26="","", IF(OR(LOOKUP(2, 1/(G:G=I26), C:C)+1 &lt;= 8, INDEX(C:C, MATCH(I26, G:G, 0)) &gt; LOOKUP(2, 1/(G:G=I26), C:C)), TEXT(DATE(班別參數!$D$2+1911, 班別參數!$E$2, VALUE(K26)+1), "dd")&amp;"日/ ", "") &amp; IF(AND(LOOKUP(2, 1/(G:G=I26), C:C)+1=24, INDEX(C:C, MATCH(I26, G:G, 0)) &lt;= LOOKUP(2, 1/(G:G=I26), C:C)), "24", TEXT(MOD(LOOKUP(2, 1/(G:G=I26), C:C)+1, 24), "00")))</f>
        <v/>
      </c>
      <c r="N26" s="196" t="str">
        <f t="shared" ca="1" si="6"/>
        <v/>
      </c>
    </row>
    <row r="27" spans="1:14" ht="30" customHeight="1">
      <c r="A27" s="190">
        <f t="shared" si="0"/>
        <v>2</v>
      </c>
      <c r="B27" s="193">
        <f t="shared" si="1"/>
        <v>11</v>
      </c>
      <c r="C27" s="190" cm="1">
        <f t="array" aca="1" ref="C27" ca="1">VALUE(LEFT(TRIM(INDIRECT("'" &amp; INT((ROW()-2)/24)+1 &amp; "號'!B" &amp; MOD(ROW()-2,24)+10)), 2))</f>
        <v>9</v>
      </c>
      <c r="D27" s="190">
        <f t="shared" ca="1" si="2"/>
        <v>7</v>
      </c>
      <c r="E27" s="190" t="str" cm="1">
        <f t="array" aca="1" ref="E27" ca="1">INDIRECT("'" &amp; A27 &amp; "號'!" &amp; ADDRESS(B27, D27))</f>
        <v>26,4</v>
      </c>
      <c r="F27" s="190">
        <f t="shared" ca="1" si="3"/>
        <v>0</v>
      </c>
      <c r="G27" s="190">
        <f ca="1">IF(F27=0, 0, IF(AND(F26=1, C27&lt;&gt;8, OR(C27=C26+1, AND(C26=23, C27=0))), G26, MAX($G$1:G26)+1))</f>
        <v>0</v>
      </c>
      <c r="H27" s="194">
        <f t="shared" si="4"/>
        <v>2</v>
      </c>
      <c r="I27" s="190">
        <v>25</v>
      </c>
      <c r="K27" s="196" t="str">
        <f t="shared" ca="1" si="5"/>
        <v/>
      </c>
      <c r="L27" s="196" t="str">
        <f ca="1">IF(K27="","", IF(INDEX(C:C, MATCH(I27, G:G, 0)) &lt; 8, TEXT(DATE(班別參數!$D$2+1911, 班別參數!$E$2, VALUE(K27)+1), "dd")&amp;"日/ ", "") &amp; TEXT(INDEX(C:C, MATCH(I27, G:G, 0)), "00"))</f>
        <v/>
      </c>
      <c r="M27" s="196" t="str" cm="1">
        <f t="array" aca="1" ref="M27" ca="1">IF(K27="","", IF(OR(LOOKUP(2, 1/(G:G=I27), C:C)+1 &lt;= 8, INDEX(C:C, MATCH(I27, G:G, 0)) &gt; LOOKUP(2, 1/(G:G=I27), C:C)), TEXT(DATE(班別參數!$D$2+1911, 班別參數!$E$2, VALUE(K27)+1), "dd")&amp;"日/ ", "") &amp; IF(AND(LOOKUP(2, 1/(G:G=I27), C:C)+1=24, INDEX(C:C, MATCH(I27, G:G, 0)) &lt;= LOOKUP(2, 1/(G:G=I27), C:C)), "24", TEXT(MOD(LOOKUP(2, 1/(G:G=I27), C:C)+1, 24), "00")))</f>
        <v/>
      </c>
      <c r="N27" s="196" t="str">
        <f t="shared" ca="1" si="6"/>
        <v/>
      </c>
    </row>
    <row r="28" spans="1:14" ht="30" customHeight="1">
      <c r="A28" s="190">
        <f t="shared" si="0"/>
        <v>2</v>
      </c>
      <c r="B28" s="193">
        <f t="shared" si="1"/>
        <v>12</v>
      </c>
      <c r="C28" s="190" cm="1">
        <f t="array" aca="1" ref="C28" ca="1">VALUE(LEFT(TRIM(INDIRECT("'" &amp; INT((ROW()-2)/24)+1 &amp; "號'!B" &amp; MOD(ROW()-2,24)+10)), 2))</f>
        <v>10</v>
      </c>
      <c r="D28" s="190">
        <f t="shared" ca="1" si="2"/>
        <v>7</v>
      </c>
      <c r="E28" s="190" cm="1">
        <f t="array" aca="1" ref="E28" ca="1">INDIRECT("'" &amp; A28 &amp; "號'!" &amp; ADDRESS(B28, D28))</f>
        <v>26</v>
      </c>
      <c r="F28" s="190">
        <f t="shared" ca="1" si="3"/>
        <v>0</v>
      </c>
      <c r="G28" s="190">
        <f ca="1">IF(F28=0, 0, IF(AND(F27=1, C28&lt;&gt;8, OR(C28=C27+1, AND(C27=23, C28=0))), G27, MAX($G$1:G27)+1))</f>
        <v>0</v>
      </c>
      <c r="H28" s="194">
        <f t="shared" si="4"/>
        <v>2</v>
      </c>
      <c r="I28" s="190">
        <v>26</v>
      </c>
      <c r="K28" s="196" t="str">
        <f t="shared" ca="1" si="5"/>
        <v/>
      </c>
      <c r="L28" s="196" t="str">
        <f ca="1">IF(K28="","", IF(INDEX(C:C, MATCH(I28, G:G, 0)) &lt; 8, TEXT(DATE(班別參數!$D$2+1911, 班別參數!$E$2, VALUE(K28)+1), "dd")&amp;"日/ ", "") &amp; TEXT(INDEX(C:C, MATCH(I28, G:G, 0)), "00"))</f>
        <v/>
      </c>
      <c r="M28" s="196" t="str" cm="1">
        <f t="array" aca="1" ref="M28" ca="1">IF(K28="","", IF(OR(LOOKUP(2, 1/(G:G=I28), C:C)+1 &lt;= 8, INDEX(C:C, MATCH(I28, G:G, 0)) &gt; LOOKUP(2, 1/(G:G=I28), C:C)), TEXT(DATE(班別參數!$D$2+1911, 班別參數!$E$2, VALUE(K28)+1), "dd")&amp;"日/ ", "") &amp; IF(AND(LOOKUP(2, 1/(G:G=I28), C:C)+1=24, INDEX(C:C, MATCH(I28, G:G, 0)) &lt;= LOOKUP(2, 1/(G:G=I28), C:C)), "24", TEXT(MOD(LOOKUP(2, 1/(G:G=I28), C:C)+1, 24), "00")))</f>
        <v/>
      </c>
      <c r="N28" s="196" t="str">
        <f t="shared" ca="1" si="6"/>
        <v/>
      </c>
    </row>
    <row r="29" spans="1:14" ht="30" customHeight="1">
      <c r="A29" s="190">
        <f t="shared" si="0"/>
        <v>2</v>
      </c>
      <c r="B29" s="193">
        <f t="shared" si="1"/>
        <v>13</v>
      </c>
      <c r="C29" s="190" cm="1">
        <f t="array" aca="1" ref="C29" ca="1">VALUE(LEFT(TRIM(INDIRECT("'" &amp; INT((ROW()-2)/24)+1 &amp; "號'!B" &amp; MOD(ROW()-2,24)+10)), 2))</f>
        <v>11</v>
      </c>
      <c r="D29" s="190">
        <f t="shared" ca="1" si="2"/>
        <v>7</v>
      </c>
      <c r="E29" s="190" cm="1">
        <f t="array" aca="1" ref="E29" ca="1">INDIRECT("'" &amp; A29 &amp; "號'!" &amp; ADDRESS(B29, D29))</f>
        <v>26</v>
      </c>
      <c r="F29" s="190">
        <f t="shared" ca="1" si="3"/>
        <v>0</v>
      </c>
      <c r="G29" s="190">
        <f ca="1">IF(F29=0, 0, IF(AND(F28=1, C29&lt;&gt;8, OR(C29=C28+1, AND(C28=23, C29=0))), G28, MAX($G$1:G28)+1))</f>
        <v>0</v>
      </c>
      <c r="H29" s="194">
        <f t="shared" si="4"/>
        <v>2</v>
      </c>
      <c r="I29" s="190">
        <v>27</v>
      </c>
      <c r="K29" s="196" t="str">
        <f t="shared" ca="1" si="5"/>
        <v/>
      </c>
      <c r="L29" s="196" t="str">
        <f ca="1">IF(K29="","", IF(INDEX(C:C, MATCH(I29, G:G, 0)) &lt; 8, TEXT(DATE(班別參數!$D$2+1911, 班別參數!$E$2, VALUE(K29)+1), "dd")&amp;"日/ ", "") &amp; TEXT(INDEX(C:C, MATCH(I29, G:G, 0)), "00"))</f>
        <v/>
      </c>
      <c r="M29" s="196" t="str" cm="1">
        <f t="array" aca="1" ref="M29" ca="1">IF(K29="","", IF(OR(LOOKUP(2, 1/(G:G=I29), C:C)+1 &lt;= 8, INDEX(C:C, MATCH(I29, G:G, 0)) &gt; LOOKUP(2, 1/(G:G=I29), C:C)), TEXT(DATE(班別參數!$D$2+1911, 班別參數!$E$2, VALUE(K29)+1), "dd")&amp;"日/ ", "") &amp; IF(AND(LOOKUP(2, 1/(G:G=I29), C:C)+1=24, INDEX(C:C, MATCH(I29, G:G, 0)) &lt;= LOOKUP(2, 1/(G:G=I29), C:C)), "24", TEXT(MOD(LOOKUP(2, 1/(G:G=I29), C:C)+1, 24), "00")))</f>
        <v/>
      </c>
      <c r="N29" s="196" t="str">
        <f t="shared" ca="1" si="6"/>
        <v/>
      </c>
    </row>
    <row r="30" spans="1:14" ht="30" customHeight="1">
      <c r="A30" s="190">
        <f t="shared" si="0"/>
        <v>2</v>
      </c>
      <c r="B30" s="193">
        <f t="shared" si="1"/>
        <v>14</v>
      </c>
      <c r="C30" s="190" cm="1">
        <f t="array" aca="1" ref="C30" ca="1">VALUE(LEFT(TRIM(INDIRECT("'" &amp; INT((ROW()-2)/24)+1 &amp; "號'!B" &amp; MOD(ROW()-2,24)+10)), 2))</f>
        <v>12</v>
      </c>
      <c r="D30" s="190">
        <f t="shared" ca="1" si="2"/>
        <v>7</v>
      </c>
      <c r="E30" s="190" cm="1">
        <f t="array" aca="1" ref="E30" ca="1">INDIRECT("'" &amp; A30 &amp; "號'!" &amp; ADDRESS(B30, D30))</f>
        <v>24</v>
      </c>
      <c r="F30" s="190">
        <f t="shared" ca="1" si="3"/>
        <v>0</v>
      </c>
      <c r="G30" s="190">
        <f ca="1">IF(F30=0, 0, IF(AND(F29=1, C30&lt;&gt;8, OR(C30=C29+1, AND(C29=23, C30=0))), G29, MAX($G$1:G29)+1))</f>
        <v>0</v>
      </c>
      <c r="H30" s="194">
        <f t="shared" si="4"/>
        <v>2</v>
      </c>
      <c r="I30" s="190">
        <v>28</v>
      </c>
      <c r="K30" s="196" t="str">
        <f t="shared" ca="1" si="5"/>
        <v/>
      </c>
      <c r="L30" s="196" t="str">
        <f ca="1">IF(K30="","", IF(INDEX(C:C, MATCH(I30, G:G, 0)) &lt; 8, TEXT(DATE(班別參數!$D$2+1911, 班別參數!$E$2, VALUE(K30)+1), "dd")&amp;"日/ ", "") &amp; TEXT(INDEX(C:C, MATCH(I30, G:G, 0)), "00"))</f>
        <v/>
      </c>
      <c r="M30" s="196" t="str" cm="1">
        <f t="array" aca="1" ref="M30" ca="1">IF(K30="","", IF(OR(LOOKUP(2, 1/(G:G=I30), C:C)+1 &lt;= 8, INDEX(C:C, MATCH(I30, G:G, 0)) &gt; LOOKUP(2, 1/(G:G=I30), C:C)), TEXT(DATE(班別參數!$D$2+1911, 班別參數!$E$2, VALUE(K30)+1), "dd")&amp;"日/ ", "") &amp; IF(AND(LOOKUP(2, 1/(G:G=I30), C:C)+1=24, INDEX(C:C, MATCH(I30, G:G, 0)) &lt;= LOOKUP(2, 1/(G:G=I30), C:C)), "24", TEXT(MOD(LOOKUP(2, 1/(G:G=I30), C:C)+1, 24), "00")))</f>
        <v/>
      </c>
      <c r="N30" s="196" t="str">
        <f t="shared" ca="1" si="6"/>
        <v/>
      </c>
    </row>
    <row r="31" spans="1:14">
      <c r="A31" s="190">
        <f t="shared" si="0"/>
        <v>2</v>
      </c>
      <c r="B31" s="193">
        <f t="shared" si="1"/>
        <v>15</v>
      </c>
      <c r="C31" s="190" cm="1">
        <f t="array" aca="1" ref="C31" ca="1">VALUE(LEFT(TRIM(INDIRECT("'" &amp; INT((ROW()-2)/24)+1 &amp; "號'!B" &amp; MOD(ROW()-2,24)+10)), 2))</f>
        <v>13</v>
      </c>
      <c r="D31" s="190">
        <f t="shared" ca="1" si="2"/>
        <v>7</v>
      </c>
      <c r="E31" s="190" cm="1">
        <f t="array" aca="1" ref="E31" ca="1">INDIRECT("'" &amp; A31 &amp; "號'!" &amp; ADDRESS(B31, D31))</f>
        <v>24</v>
      </c>
      <c r="F31" s="190">
        <f t="shared" ca="1" si="3"/>
        <v>0</v>
      </c>
      <c r="G31" s="190">
        <f ca="1">IF(F31=0, 0, IF(AND(F30=1, C31&lt;&gt;8, OR(C31=C30+1, AND(C30=23, C31=0))), G30, MAX($G$1:G30)+1))</f>
        <v>0</v>
      </c>
      <c r="H31" s="194">
        <f t="shared" si="4"/>
        <v>2</v>
      </c>
      <c r="I31" s="190">
        <v>29</v>
      </c>
      <c r="K31" s="196" t="str">
        <f t="shared" ca="1" si="5"/>
        <v/>
      </c>
      <c r="L31" s="196" t="str">
        <f ca="1">IF(K31="","", IF(INDEX(C:C, MATCH(I31, G:G, 0)) &lt; 8, TEXT(DATE(班別參數!$D$2+1911, 班別參數!$E$2, VALUE(K31)+1), "dd")&amp;"日/ ", "") &amp; TEXT(INDEX(C:C, MATCH(I31, G:G, 0)), "00"))</f>
        <v/>
      </c>
      <c r="M31" s="196" t="str" cm="1">
        <f t="array" aca="1" ref="M31" ca="1">IF(K31="","", IF(OR(LOOKUP(2, 1/(G:G=I31), C:C)+1 &lt;= 8, INDEX(C:C, MATCH(I31, G:G, 0)) &gt; LOOKUP(2, 1/(G:G=I31), C:C)), TEXT(DATE(班別參數!$D$2+1911, 班別參數!$E$2, VALUE(K31)+1), "dd")&amp;"日/ ", "") &amp; IF(AND(LOOKUP(2, 1/(G:G=I31), C:C)+1=24, INDEX(C:C, MATCH(I31, G:G, 0)) &lt;= LOOKUP(2, 1/(G:G=I31), C:C)), "24", TEXT(MOD(LOOKUP(2, 1/(G:G=I31), C:C)+1, 24), "00")))</f>
        <v/>
      </c>
      <c r="N31" s="196" t="str">
        <f t="shared" ca="1" si="6"/>
        <v/>
      </c>
    </row>
    <row r="32" spans="1:14">
      <c r="A32" s="190">
        <f t="shared" si="0"/>
        <v>2</v>
      </c>
      <c r="B32" s="193">
        <f t="shared" si="1"/>
        <v>16</v>
      </c>
      <c r="C32" s="190" cm="1">
        <f t="array" aca="1" ref="C32" ca="1">VALUE(LEFT(TRIM(INDIRECT("'" &amp; INT((ROW()-2)/24)+1 &amp; "號'!B" &amp; MOD(ROW()-2,24)+10)), 2))</f>
        <v>14</v>
      </c>
      <c r="D32" s="190">
        <f t="shared" ca="1" si="2"/>
        <v>7</v>
      </c>
      <c r="E32" s="190" t="str" cm="1">
        <f t="array" aca="1" ref="E32" ca="1">INDIRECT("'" &amp; A32 &amp; "號'!" &amp; ADDRESS(B32, D32))</f>
        <v/>
      </c>
      <c r="F32" s="190">
        <f t="shared" ca="1" si="3"/>
        <v>0</v>
      </c>
      <c r="G32" s="190">
        <f ca="1">IF(F32=0, 0, IF(AND(F31=1, C32&lt;&gt;8, OR(C32=C31+1, AND(C31=23, C32=0))), G31, MAX($G$1:G31)+1))</f>
        <v>0</v>
      </c>
      <c r="H32" s="194">
        <f t="shared" si="4"/>
        <v>2</v>
      </c>
      <c r="I32" s="190">
        <v>30</v>
      </c>
      <c r="K32" s="196" t="str">
        <f t="shared" ca="1" si="5"/>
        <v/>
      </c>
      <c r="L32" s="196" t="str">
        <f ca="1">IF(K32="","", IF(INDEX(C:C, MATCH(I32, G:G, 0)) &lt; 8, TEXT(DATE(班別參數!$D$2+1911, 班別參數!$E$2, VALUE(K32)+1), "dd")&amp;"日/ ", "") &amp; TEXT(INDEX(C:C, MATCH(I32, G:G, 0)), "00"))</f>
        <v/>
      </c>
      <c r="M32" s="196" t="str" cm="1">
        <f t="array" aca="1" ref="M32" ca="1">IF(K32="","", IF(OR(LOOKUP(2, 1/(G:G=I32), C:C)+1 &lt;= 8, INDEX(C:C, MATCH(I32, G:G, 0)) &gt; LOOKUP(2, 1/(G:G=I32), C:C)), TEXT(DATE(班別參數!$D$2+1911, 班別參數!$E$2, VALUE(K32)+1), "dd")&amp;"日/ ", "") &amp; IF(AND(LOOKUP(2, 1/(G:G=I32), C:C)+1=24, INDEX(C:C, MATCH(I32, G:G, 0)) &lt;= LOOKUP(2, 1/(G:G=I32), C:C)), "24", TEXT(MOD(LOOKUP(2, 1/(G:G=I32), C:C)+1, 24), "00")))</f>
        <v/>
      </c>
      <c r="N32" s="196" t="str">
        <f t="shared" ca="1" si="6"/>
        <v/>
      </c>
    </row>
    <row r="33" spans="1:8">
      <c r="A33" s="190">
        <f t="shared" si="0"/>
        <v>2</v>
      </c>
      <c r="B33" s="193">
        <f t="shared" si="1"/>
        <v>17</v>
      </c>
      <c r="C33" s="190" cm="1">
        <f t="array" aca="1" ref="C33" ca="1">VALUE(LEFT(TRIM(INDIRECT("'" &amp; INT((ROW()-2)/24)+1 &amp; "號'!B" &amp; MOD(ROW()-2,24)+10)), 2))</f>
        <v>15</v>
      </c>
      <c r="D33" s="190">
        <f t="shared" ca="1" si="2"/>
        <v>7</v>
      </c>
      <c r="E33" s="190" t="str" cm="1">
        <f t="array" aca="1" ref="E33" ca="1">INDIRECT("'" &amp; A33 &amp; "號'!" &amp; ADDRESS(B33, D33))</f>
        <v/>
      </c>
      <c r="F33" s="190">
        <f t="shared" ca="1" si="3"/>
        <v>0</v>
      </c>
      <c r="G33" s="190">
        <f ca="1">IF(F33=0, 0, IF(AND(F32=1, C33&lt;&gt;8, OR(C33=C32+1, AND(C32=23, C33=0))), G32, MAX($G$1:G32)+1))</f>
        <v>0</v>
      </c>
      <c r="H33" s="194">
        <f t="shared" si="4"/>
        <v>2</v>
      </c>
    </row>
    <row r="34" spans="1:8">
      <c r="A34" s="190">
        <f t="shared" si="0"/>
        <v>2</v>
      </c>
      <c r="B34" s="193">
        <f t="shared" si="1"/>
        <v>18</v>
      </c>
      <c r="C34" s="190" cm="1">
        <f t="array" aca="1" ref="C34" ca="1">VALUE(LEFT(TRIM(INDIRECT("'" &amp; INT((ROW()-2)/24)+1 &amp; "號'!B" &amp; MOD(ROW()-2,24)+10)), 2))</f>
        <v>16</v>
      </c>
      <c r="D34" s="190">
        <f t="shared" ca="1" si="2"/>
        <v>7</v>
      </c>
      <c r="E34" s="190" t="str" cm="1">
        <f t="array" aca="1" ref="E34" ca="1">INDIRECT("'" &amp; A34 &amp; "號'!" &amp; ADDRESS(B34, D34))</f>
        <v>25</v>
      </c>
      <c r="F34" s="190">
        <f t="shared" ca="1" si="3"/>
        <v>0</v>
      </c>
      <c r="G34" s="190">
        <f ca="1">IF(F34=0, 0, IF(AND(F33=1, C34&lt;&gt;8, OR(C34=C33+1, AND(C33=23, C34=0))), G33, MAX($G$1:G33)+1))</f>
        <v>0</v>
      </c>
      <c r="H34" s="194">
        <f t="shared" si="4"/>
        <v>2</v>
      </c>
    </row>
    <row r="35" spans="1:8">
      <c r="A35" s="190">
        <f t="shared" si="0"/>
        <v>2</v>
      </c>
      <c r="B35" s="193">
        <f t="shared" si="1"/>
        <v>19</v>
      </c>
      <c r="C35" s="190" cm="1">
        <f t="array" aca="1" ref="C35" ca="1">VALUE(LEFT(TRIM(INDIRECT("'" &amp; INT((ROW()-2)/24)+1 &amp; "號'!B" &amp; MOD(ROW()-2,24)+10)), 2))</f>
        <v>17</v>
      </c>
      <c r="D35" s="190">
        <f t="shared" ca="1" si="2"/>
        <v>7</v>
      </c>
      <c r="E35" s="190" t="str" cm="1">
        <f t="array" aca="1" ref="E35" ca="1">INDIRECT("'" &amp; A35 &amp; "號'!" &amp; ADDRESS(B35, D35))</f>
        <v>25</v>
      </c>
      <c r="F35" s="190">
        <f t="shared" ca="1" si="3"/>
        <v>0</v>
      </c>
      <c r="G35" s="190">
        <f ca="1">IF(F35=0, 0, IF(AND(F34=1, C35&lt;&gt;8, OR(C35=C34+1, AND(C34=23, C35=0))), G34, MAX($G$1:G34)+1))</f>
        <v>0</v>
      </c>
      <c r="H35" s="194">
        <f t="shared" si="4"/>
        <v>2</v>
      </c>
    </row>
    <row r="36" spans="1:8">
      <c r="A36" s="190">
        <f t="shared" si="0"/>
        <v>2</v>
      </c>
      <c r="B36" s="193">
        <f t="shared" si="1"/>
        <v>20</v>
      </c>
      <c r="C36" s="190" cm="1">
        <f t="array" aca="1" ref="C36" ca="1">VALUE(LEFT(TRIM(INDIRECT("'" &amp; INT((ROW()-2)/24)+1 &amp; "號'!B" &amp; MOD(ROW()-2,24)+10)), 2))</f>
        <v>18</v>
      </c>
      <c r="D36" s="190">
        <f t="shared" ca="1" si="2"/>
        <v>7</v>
      </c>
      <c r="E36" s="190" t="str" cm="1">
        <f t="array" aca="1" ref="E36" ca="1">INDIRECT("'" &amp; A36 &amp; "號'!" &amp; ADDRESS(B36, D36))</f>
        <v>19</v>
      </c>
      <c r="F36" s="190">
        <f t="shared" ca="1" si="3"/>
        <v>0</v>
      </c>
      <c r="G36" s="190">
        <f ca="1">IF(F36=0, 0, IF(AND(F35=1, C36&lt;&gt;8, OR(C36=C35+1, AND(C35=23, C36=0))), G35, MAX($G$1:G35)+1))</f>
        <v>0</v>
      </c>
      <c r="H36" s="194">
        <f t="shared" si="4"/>
        <v>2</v>
      </c>
    </row>
    <row r="37" spans="1:8">
      <c r="A37" s="190">
        <f t="shared" si="0"/>
        <v>2</v>
      </c>
      <c r="B37" s="193">
        <f t="shared" si="1"/>
        <v>21</v>
      </c>
      <c r="C37" s="190" cm="1">
        <f t="array" aca="1" ref="C37" ca="1">VALUE(LEFT(TRIM(INDIRECT("'" &amp; INT((ROW()-2)/24)+1 &amp; "號'!B" &amp; MOD(ROW()-2,24)+10)), 2))</f>
        <v>19</v>
      </c>
      <c r="D37" s="190">
        <f t="shared" ca="1" si="2"/>
        <v>7</v>
      </c>
      <c r="E37" s="190" t="str" cm="1">
        <f t="array" aca="1" ref="E37" ca="1">INDIRECT("'" &amp; A37 &amp; "號'!" &amp; ADDRESS(B37, D37))</f>
        <v>19</v>
      </c>
      <c r="F37" s="190">
        <f t="shared" ca="1" si="3"/>
        <v>0</v>
      </c>
      <c r="G37" s="190">
        <f ca="1">IF(F37=0, 0, IF(AND(F36=1, C37&lt;&gt;8, OR(C37=C36+1, AND(C36=23, C37=0))), G36, MAX($G$1:G36)+1))</f>
        <v>0</v>
      </c>
      <c r="H37" s="194">
        <f t="shared" si="4"/>
        <v>2</v>
      </c>
    </row>
    <row r="38" spans="1:8">
      <c r="A38" s="190">
        <f t="shared" si="0"/>
        <v>2</v>
      </c>
      <c r="B38" s="193">
        <f t="shared" si="1"/>
        <v>22</v>
      </c>
      <c r="C38" s="190" cm="1">
        <f t="array" aca="1" ref="C38" ca="1">VALUE(LEFT(TRIM(INDIRECT("'" &amp; INT((ROW()-2)/24)+1 &amp; "號'!B" &amp; MOD(ROW()-2,24)+10)), 2))</f>
        <v>20</v>
      </c>
      <c r="D38" s="190">
        <f t="shared" ca="1" si="2"/>
        <v>7</v>
      </c>
      <c r="E38" s="190" t="str" cm="1">
        <f t="array" aca="1" ref="E38" ca="1">INDIRECT("'" &amp; A38 &amp; "號'!" &amp; ADDRESS(B38, D38))</f>
        <v>16</v>
      </c>
      <c r="F38" s="190">
        <f t="shared" ca="1" si="3"/>
        <v>0</v>
      </c>
      <c r="G38" s="190">
        <f ca="1">IF(F38=0, 0, IF(AND(F37=1, C38&lt;&gt;8, OR(C38=C37+1, AND(C37=23, C38=0))), G37, MAX($G$1:G37)+1))</f>
        <v>0</v>
      </c>
      <c r="H38" s="194">
        <f t="shared" si="4"/>
        <v>2</v>
      </c>
    </row>
    <row r="39" spans="1:8">
      <c r="A39" s="190">
        <f t="shared" si="0"/>
        <v>2</v>
      </c>
      <c r="B39" s="193">
        <f t="shared" si="1"/>
        <v>23</v>
      </c>
      <c r="C39" s="190" cm="1">
        <f t="array" aca="1" ref="C39" ca="1">VALUE(LEFT(TRIM(INDIRECT("'" &amp; INT((ROW()-2)/24)+1 &amp; "號'!B" &amp; MOD(ROW()-2,24)+10)), 2))</f>
        <v>21</v>
      </c>
      <c r="D39" s="190">
        <f t="shared" ca="1" si="2"/>
        <v>7</v>
      </c>
      <c r="E39" s="190" t="str" cm="1">
        <f t="array" aca="1" ref="E39" ca="1">INDIRECT("'" &amp; A39 &amp; "號'!" &amp; ADDRESS(B39, D39))</f>
        <v>16</v>
      </c>
      <c r="F39" s="190">
        <f t="shared" ca="1" si="3"/>
        <v>0</v>
      </c>
      <c r="G39" s="190">
        <f ca="1">IF(F39=0, 0, IF(AND(F38=1, C39&lt;&gt;8, OR(C39=C38+1, AND(C38=23, C39=0))), G38, MAX($G$1:G38)+1))</f>
        <v>0</v>
      </c>
      <c r="H39" s="194">
        <f t="shared" si="4"/>
        <v>2</v>
      </c>
    </row>
    <row r="40" spans="1:8">
      <c r="A40" s="190">
        <f t="shared" si="0"/>
        <v>2</v>
      </c>
      <c r="B40" s="193">
        <f t="shared" si="1"/>
        <v>24</v>
      </c>
      <c r="C40" s="190" cm="1">
        <f t="array" aca="1" ref="C40" ca="1">VALUE(LEFT(TRIM(INDIRECT("'" &amp; INT((ROW()-2)/24)+1 &amp; "號'!B" &amp; MOD(ROW()-2,24)+10)), 2))</f>
        <v>22</v>
      </c>
      <c r="D40" s="190">
        <f t="shared" ca="1" si="2"/>
        <v>7</v>
      </c>
      <c r="E40" s="190" cm="1">
        <f t="array" aca="1" ref="E40" ca="1">INDIRECT("'" &amp; A40 &amp; "號'!" &amp; ADDRESS(B40, D40))</f>
        <v>8</v>
      </c>
      <c r="F40" s="190">
        <f t="shared" ca="1" si="3"/>
        <v>0</v>
      </c>
      <c r="G40" s="190">
        <f ca="1">IF(F40=0, 0, IF(AND(F39=1, C40&lt;&gt;8, OR(C40=C39+1, AND(C39=23, C40=0))), G39, MAX($G$1:G39)+1))</f>
        <v>0</v>
      </c>
      <c r="H40" s="194">
        <f t="shared" si="4"/>
        <v>2</v>
      </c>
    </row>
    <row r="41" spans="1:8">
      <c r="A41" s="190">
        <f t="shared" si="0"/>
        <v>2</v>
      </c>
      <c r="B41" s="193">
        <f t="shared" si="1"/>
        <v>25</v>
      </c>
      <c r="C41" s="190" cm="1">
        <f t="array" aca="1" ref="C41" ca="1">VALUE(LEFT(TRIM(INDIRECT("'" &amp; INT((ROW()-2)/24)+1 &amp; "號'!B" &amp; MOD(ROW()-2,24)+10)), 2))</f>
        <v>23</v>
      </c>
      <c r="D41" s="190">
        <f t="shared" ca="1" si="2"/>
        <v>7</v>
      </c>
      <c r="E41" s="190" cm="1">
        <f t="array" aca="1" ref="E41" ca="1">INDIRECT("'" &amp; A41 &amp; "號'!" &amp; ADDRESS(B41, D41))</f>
        <v>8</v>
      </c>
      <c r="F41" s="190">
        <f t="shared" ca="1" si="3"/>
        <v>0</v>
      </c>
      <c r="G41" s="190">
        <f ca="1">IF(F41=0, 0, IF(AND(F40=1, C41&lt;&gt;8, OR(C41=C40+1, AND(C40=23, C41=0))), G40, MAX($G$1:G40)+1))</f>
        <v>0</v>
      </c>
      <c r="H41" s="194">
        <f t="shared" si="4"/>
        <v>2</v>
      </c>
    </row>
    <row r="42" spans="1:8">
      <c r="A42" s="190">
        <f t="shared" si="0"/>
        <v>2</v>
      </c>
      <c r="B42" s="193">
        <f t="shared" si="1"/>
        <v>26</v>
      </c>
      <c r="C42" s="190" cm="1">
        <f t="array" aca="1" ref="C42" ca="1">VALUE(LEFT(TRIM(INDIRECT("'" &amp; INT((ROW()-2)/24)+1 &amp; "號'!B" &amp; MOD(ROW()-2,24)+10)), 2))</f>
        <v>0</v>
      </c>
      <c r="D42" s="190">
        <f t="shared" ca="1" si="2"/>
        <v>7</v>
      </c>
      <c r="E42" s="190" t="str" cm="1">
        <f t="array" aca="1" ref="E42" ca="1">INDIRECT("'" &amp; A42 &amp; "號'!" &amp; ADDRESS(B42, D42))</f>
        <v/>
      </c>
      <c r="F42" s="190">
        <f t="shared" ca="1" si="3"/>
        <v>0</v>
      </c>
      <c r="G42" s="190">
        <f ca="1">IF(F42=0, 0, IF(AND(F41=1, C42&lt;&gt;8, OR(C42=C41+1, AND(C41=23, C42=0))), G41, MAX($G$1:G41)+1))</f>
        <v>0</v>
      </c>
      <c r="H42" s="194">
        <f t="shared" si="4"/>
        <v>2</v>
      </c>
    </row>
    <row r="43" spans="1:8">
      <c r="A43" s="190">
        <f t="shared" si="0"/>
        <v>2</v>
      </c>
      <c r="B43" s="193">
        <f t="shared" si="1"/>
        <v>27</v>
      </c>
      <c r="C43" s="190" cm="1">
        <f t="array" aca="1" ref="C43" ca="1">VALUE(LEFT(TRIM(INDIRECT("'" &amp; INT((ROW()-2)/24)+1 &amp; "號'!B" &amp; MOD(ROW()-2,24)+10)), 2))</f>
        <v>1</v>
      </c>
      <c r="D43" s="190">
        <f t="shared" ca="1" si="2"/>
        <v>7</v>
      </c>
      <c r="E43" s="190" t="str" cm="1">
        <f t="array" aca="1" ref="E43" ca="1">INDIRECT("'" &amp; A43 &amp; "號'!" &amp; ADDRESS(B43, D43))</f>
        <v/>
      </c>
      <c r="F43" s="190">
        <f t="shared" ca="1" si="3"/>
        <v>0</v>
      </c>
      <c r="G43" s="190">
        <f ca="1">IF(F43=0, 0, IF(AND(F42=1, C43&lt;&gt;8, OR(C43=C42+1, AND(C42=23, C43=0))), G42, MAX($G$1:G42)+1))</f>
        <v>0</v>
      </c>
      <c r="H43" s="194">
        <f t="shared" si="4"/>
        <v>2</v>
      </c>
    </row>
    <row r="44" spans="1:8">
      <c r="A44" s="190">
        <f t="shared" si="0"/>
        <v>2</v>
      </c>
      <c r="B44" s="193">
        <f t="shared" si="1"/>
        <v>28</v>
      </c>
      <c r="C44" s="190" cm="1">
        <f t="array" aca="1" ref="C44" ca="1">VALUE(LEFT(TRIM(INDIRECT("'" &amp; INT((ROW()-2)/24)+1 &amp; "號'!B" &amp; MOD(ROW()-2,24)+10)), 2))</f>
        <v>2</v>
      </c>
      <c r="D44" s="190">
        <f t="shared" ca="1" si="2"/>
        <v>7</v>
      </c>
      <c r="E44" s="190" t="str" cm="1">
        <f t="array" aca="1" ref="E44" ca="1">INDIRECT("'" &amp; A44 &amp; "號'!" &amp; ADDRESS(B44, D44))</f>
        <v/>
      </c>
      <c r="F44" s="190">
        <f t="shared" ca="1" si="3"/>
        <v>0</v>
      </c>
      <c r="G44" s="190">
        <f ca="1">IF(F44=0, 0, IF(AND(F43=1, C44&lt;&gt;8, OR(C44=C43+1, AND(C43=23, C44=0))), G43, MAX($G$1:G43)+1))</f>
        <v>0</v>
      </c>
      <c r="H44" s="194">
        <f t="shared" si="4"/>
        <v>2</v>
      </c>
    </row>
    <row r="45" spans="1:8">
      <c r="A45" s="190">
        <f t="shared" si="0"/>
        <v>2</v>
      </c>
      <c r="B45" s="193">
        <f t="shared" si="1"/>
        <v>29</v>
      </c>
      <c r="C45" s="190" cm="1">
        <f t="array" aca="1" ref="C45" ca="1">VALUE(LEFT(TRIM(INDIRECT("'" &amp; INT((ROW()-2)/24)+1 &amp; "號'!B" &amp; MOD(ROW()-2,24)+10)), 2))</f>
        <v>3</v>
      </c>
      <c r="D45" s="190">
        <f t="shared" ca="1" si="2"/>
        <v>7</v>
      </c>
      <c r="E45" s="190" t="str" cm="1">
        <f t="array" aca="1" ref="E45" ca="1">INDIRECT("'" &amp; A45 &amp; "號'!" &amp; ADDRESS(B45, D45))</f>
        <v/>
      </c>
      <c r="F45" s="190">
        <f t="shared" ca="1" si="3"/>
        <v>0</v>
      </c>
      <c r="G45" s="190">
        <f ca="1">IF(F45=0, 0, IF(AND(F44=1, C45&lt;&gt;8, OR(C45=C44+1, AND(C44=23, C45=0))), G44, MAX($G$1:G44)+1))</f>
        <v>0</v>
      </c>
      <c r="H45" s="194">
        <f t="shared" si="4"/>
        <v>2</v>
      </c>
    </row>
    <row r="46" spans="1:8">
      <c r="A46" s="190">
        <f t="shared" si="0"/>
        <v>2</v>
      </c>
      <c r="B46" s="193">
        <f t="shared" si="1"/>
        <v>30</v>
      </c>
      <c r="C46" s="190" cm="1">
        <f t="array" aca="1" ref="C46" ca="1">VALUE(LEFT(TRIM(INDIRECT("'" &amp; INT((ROW()-2)/24)+1 &amp; "號'!B" &amp; MOD(ROW()-2,24)+10)), 2))</f>
        <v>4</v>
      </c>
      <c r="D46" s="190">
        <f t="shared" ca="1" si="2"/>
        <v>7</v>
      </c>
      <c r="E46" s="190" t="str" cm="1">
        <f t="array" aca="1" ref="E46" ca="1">INDIRECT("'" &amp; A46 &amp; "號'!" &amp; ADDRESS(B46, D46))</f>
        <v/>
      </c>
      <c r="F46" s="190">
        <f t="shared" ca="1" si="3"/>
        <v>0</v>
      </c>
      <c r="G46" s="190">
        <f ca="1">IF(F46=0, 0, IF(AND(F45=1, C46&lt;&gt;8, OR(C46=C45+1, AND(C45=23, C46=0))), G45, MAX($G$1:G45)+1))</f>
        <v>0</v>
      </c>
      <c r="H46" s="194">
        <f t="shared" si="4"/>
        <v>2</v>
      </c>
    </row>
    <row r="47" spans="1:8">
      <c r="A47" s="190">
        <f t="shared" si="0"/>
        <v>2</v>
      </c>
      <c r="B47" s="193">
        <f t="shared" si="1"/>
        <v>31</v>
      </c>
      <c r="C47" s="190" cm="1">
        <f t="array" aca="1" ref="C47" ca="1">VALUE(LEFT(TRIM(INDIRECT("'" &amp; INT((ROW()-2)/24)+1 &amp; "號'!B" &amp; MOD(ROW()-2,24)+10)), 2))</f>
        <v>5</v>
      </c>
      <c r="D47" s="190">
        <f t="shared" ca="1" si="2"/>
        <v>7</v>
      </c>
      <c r="E47" s="190" t="str" cm="1">
        <f t="array" aca="1" ref="E47" ca="1">INDIRECT("'" &amp; A47 &amp; "號'!" &amp; ADDRESS(B47, D47))</f>
        <v/>
      </c>
      <c r="F47" s="190">
        <f t="shared" ca="1" si="3"/>
        <v>0</v>
      </c>
      <c r="G47" s="190">
        <f ca="1">IF(F47=0, 0, IF(AND(F46=1, C47&lt;&gt;8, OR(C47=C46+1, AND(C46=23, C47=0))), G46, MAX($G$1:G46)+1))</f>
        <v>0</v>
      </c>
      <c r="H47" s="194">
        <f t="shared" si="4"/>
        <v>2</v>
      </c>
    </row>
    <row r="48" spans="1:8">
      <c r="A48" s="190">
        <f t="shared" si="0"/>
        <v>2</v>
      </c>
      <c r="B48" s="193">
        <f t="shared" si="1"/>
        <v>32</v>
      </c>
      <c r="C48" s="190" cm="1">
        <f t="array" aca="1" ref="C48" ca="1">VALUE(LEFT(TRIM(INDIRECT("'" &amp; INT((ROW()-2)/24)+1 &amp; "號'!B" &amp; MOD(ROW()-2,24)+10)), 2))</f>
        <v>6</v>
      </c>
      <c r="D48" s="190">
        <f t="shared" ca="1" si="2"/>
        <v>7</v>
      </c>
      <c r="E48" s="190" t="str" cm="1">
        <f t="array" aca="1" ref="E48" ca="1">INDIRECT("'" &amp; A48 &amp; "號'!" &amp; ADDRESS(B48, D48))</f>
        <v>13,5</v>
      </c>
      <c r="F48" s="190">
        <f t="shared" ca="1" si="3"/>
        <v>0</v>
      </c>
      <c r="G48" s="190">
        <f ca="1">IF(F48=0, 0, IF(AND(F47=1, C48&lt;&gt;8, OR(C48=C47+1, AND(C47=23, C48=0))), G47, MAX($G$1:G47)+1))</f>
        <v>0</v>
      </c>
      <c r="H48" s="194">
        <f t="shared" si="4"/>
        <v>2</v>
      </c>
    </row>
    <row r="49" spans="1:8">
      <c r="A49" s="190">
        <f t="shared" si="0"/>
        <v>2</v>
      </c>
      <c r="B49" s="193">
        <f t="shared" si="1"/>
        <v>33</v>
      </c>
      <c r="C49" s="190" cm="1">
        <f t="array" aca="1" ref="C49" ca="1">VALUE(LEFT(TRIM(INDIRECT("'" &amp; INT((ROW()-2)/24)+1 &amp; "號'!B" &amp; MOD(ROW()-2,24)+10)), 2))</f>
        <v>7</v>
      </c>
      <c r="D49" s="190">
        <f t="shared" ca="1" si="2"/>
        <v>7</v>
      </c>
      <c r="E49" s="190" t="str" cm="1">
        <f t="array" aca="1" ref="E49" ca="1">INDIRECT("'" &amp; A49 &amp; "號'!" &amp; ADDRESS(B49, D49))</f>
        <v>13,5</v>
      </c>
      <c r="F49" s="190">
        <f t="shared" ca="1" si="3"/>
        <v>0</v>
      </c>
      <c r="G49" s="190">
        <f ca="1">IF(F49=0, 0, IF(AND(F48=1, C49&lt;&gt;8, OR(C49=C48+1, AND(C48=23, C49=0))), G48, MAX($G$1:G48)+1))</f>
        <v>0</v>
      </c>
      <c r="H49" s="194">
        <f t="shared" si="4"/>
        <v>2</v>
      </c>
    </row>
    <row r="50" spans="1:8">
      <c r="A50" s="190">
        <f t="shared" si="0"/>
        <v>3</v>
      </c>
      <c r="B50" s="193">
        <f t="shared" si="1"/>
        <v>10</v>
      </c>
      <c r="C50" s="190" cm="1">
        <f t="array" aca="1" ref="C50" ca="1">VALUE(LEFT(TRIM(INDIRECT("'" &amp; INT((ROW()-2)/24)+1 &amp; "號'!B" &amp; MOD(ROW()-2,24)+10)), 2))</f>
        <v>8</v>
      </c>
      <c r="D50" s="190">
        <f t="shared" ca="1" si="2"/>
        <v>8</v>
      </c>
      <c r="E50" s="190" cm="1">
        <f t="array" aca="1" ref="E50" ca="1">INDIRECT("'" &amp; A50 &amp; "號'!" &amp; ADDRESS(B50, D50))</f>
        <v>0</v>
      </c>
      <c r="F50" s="190">
        <f t="shared" ca="1" si="3"/>
        <v>0</v>
      </c>
      <c r="G50" s="190">
        <f ca="1">IF(F50=0, 0, IF(AND(F49=1, C50&lt;&gt;8, OR(C50=C49+1, AND(C49=23, C50=0))), G49, MAX($G$1:G49)+1))</f>
        <v>0</v>
      </c>
      <c r="H50" s="194">
        <f t="shared" si="4"/>
        <v>3</v>
      </c>
    </row>
    <row r="51" spans="1:8">
      <c r="A51" s="190">
        <f t="shared" si="0"/>
        <v>3</v>
      </c>
      <c r="B51" s="193">
        <f t="shared" si="1"/>
        <v>11</v>
      </c>
      <c r="C51" s="190" cm="1">
        <f t="array" aca="1" ref="C51" ca="1">VALUE(LEFT(TRIM(INDIRECT("'" &amp; INT((ROW()-2)/24)+1 &amp; "號'!B" &amp; MOD(ROW()-2,24)+10)), 2))</f>
        <v>9</v>
      </c>
      <c r="D51" s="190">
        <f t="shared" ca="1" si="2"/>
        <v>8</v>
      </c>
      <c r="E51" s="190" cm="1">
        <f t="array" aca="1" ref="E51" ca="1">INDIRECT("'" &amp; A51 &amp; "號'!" &amp; ADDRESS(B51, D51))</f>
        <v>0</v>
      </c>
      <c r="F51" s="190">
        <f t="shared" ca="1" si="3"/>
        <v>0</v>
      </c>
      <c r="G51" s="190">
        <f ca="1">IF(F51=0, 0, IF(AND(F50=1, C51&lt;&gt;8, OR(C51=C50+1, AND(C50=23, C51=0))), G50, MAX($G$1:G50)+1))</f>
        <v>0</v>
      </c>
      <c r="H51" s="194">
        <f t="shared" si="4"/>
        <v>3</v>
      </c>
    </row>
    <row r="52" spans="1:8">
      <c r="A52" s="190">
        <f t="shared" si="0"/>
        <v>3</v>
      </c>
      <c r="B52" s="193">
        <f t="shared" si="1"/>
        <v>12</v>
      </c>
      <c r="C52" s="190" cm="1">
        <f t="array" aca="1" ref="C52" ca="1">VALUE(LEFT(TRIM(INDIRECT("'" &amp; INT((ROW()-2)/24)+1 &amp; "號'!B" &amp; MOD(ROW()-2,24)+10)), 2))</f>
        <v>10</v>
      </c>
      <c r="D52" s="190">
        <f t="shared" ca="1" si="2"/>
        <v>8</v>
      </c>
      <c r="E52" s="190" cm="1">
        <f t="array" aca="1" ref="E52" ca="1">INDIRECT("'" &amp; A52 &amp; "號'!" &amp; ADDRESS(B52, D52))</f>
        <v>0</v>
      </c>
      <c r="F52" s="190">
        <f t="shared" ca="1" si="3"/>
        <v>0</v>
      </c>
      <c r="G52" s="190">
        <f ca="1">IF(F52=0, 0, IF(AND(F51=1, C52&lt;&gt;8, OR(C52=C51+1, AND(C51=23, C52=0))), G51, MAX($G$1:G51)+1))</f>
        <v>0</v>
      </c>
      <c r="H52" s="194">
        <f t="shared" si="4"/>
        <v>3</v>
      </c>
    </row>
    <row r="53" spans="1:8">
      <c r="A53" s="190">
        <f t="shared" si="0"/>
        <v>3</v>
      </c>
      <c r="B53" s="193">
        <f t="shared" si="1"/>
        <v>13</v>
      </c>
      <c r="C53" s="190" cm="1">
        <f t="array" aca="1" ref="C53" ca="1">VALUE(LEFT(TRIM(INDIRECT("'" &amp; INT((ROW()-2)/24)+1 &amp; "號'!B" &amp; MOD(ROW()-2,24)+10)), 2))</f>
        <v>11</v>
      </c>
      <c r="D53" s="190">
        <f t="shared" ca="1" si="2"/>
        <v>8</v>
      </c>
      <c r="E53" s="190" cm="1">
        <f t="array" aca="1" ref="E53" ca="1">INDIRECT("'" &amp; A53 &amp; "號'!" &amp; ADDRESS(B53, D53))</f>
        <v>0</v>
      </c>
      <c r="F53" s="190">
        <f t="shared" ca="1" si="3"/>
        <v>0</v>
      </c>
      <c r="G53" s="190">
        <f ca="1">IF(F53=0, 0, IF(AND(F52=1, C53&lt;&gt;8, OR(C53=C52+1, AND(C52=23, C53=0))), G52, MAX($G$1:G52)+1))</f>
        <v>0</v>
      </c>
      <c r="H53" s="194">
        <f t="shared" si="4"/>
        <v>3</v>
      </c>
    </row>
    <row r="54" spans="1:8">
      <c r="A54" s="190">
        <f t="shared" si="0"/>
        <v>3</v>
      </c>
      <c r="B54" s="193">
        <f t="shared" si="1"/>
        <v>14</v>
      </c>
      <c r="C54" s="190" cm="1">
        <f t="array" aca="1" ref="C54" ca="1">VALUE(LEFT(TRIM(INDIRECT("'" &amp; INT((ROW()-2)/24)+1 &amp; "號'!B" &amp; MOD(ROW()-2,24)+10)), 2))</f>
        <v>12</v>
      </c>
      <c r="D54" s="190">
        <f t="shared" ca="1" si="2"/>
        <v>8</v>
      </c>
      <c r="E54" s="190" t="str" cm="1">
        <f t="array" aca="1" ref="E54" ca="1">INDIRECT("'" &amp; A54 &amp; "號'!" &amp; ADDRESS(B54, D54))</f>
        <v>27</v>
      </c>
      <c r="F54" s="190">
        <f t="shared" ca="1" si="3"/>
        <v>0</v>
      </c>
      <c r="G54" s="190">
        <f ca="1">IF(F54=0, 0, IF(AND(F53=1, C54&lt;&gt;8, OR(C54=C53+1, AND(C53=23, C54=0))), G53, MAX($G$1:G53)+1))</f>
        <v>0</v>
      </c>
      <c r="H54" s="194">
        <f t="shared" si="4"/>
        <v>3</v>
      </c>
    </row>
    <row r="55" spans="1:8">
      <c r="A55" s="190">
        <f t="shared" si="0"/>
        <v>3</v>
      </c>
      <c r="B55" s="193">
        <f t="shared" si="1"/>
        <v>15</v>
      </c>
      <c r="C55" s="190" cm="1">
        <f t="array" aca="1" ref="C55" ca="1">VALUE(LEFT(TRIM(INDIRECT("'" &amp; INT((ROW()-2)/24)+1 &amp; "號'!B" &amp; MOD(ROW()-2,24)+10)), 2))</f>
        <v>13</v>
      </c>
      <c r="D55" s="190">
        <f t="shared" ca="1" si="2"/>
        <v>8</v>
      </c>
      <c r="E55" s="190" t="str" cm="1">
        <f t="array" aca="1" ref="E55" ca="1">INDIRECT("'" &amp; A55 &amp; "號'!" &amp; ADDRESS(B55, D55))</f>
        <v>27</v>
      </c>
      <c r="F55" s="190">
        <f t="shared" ca="1" si="3"/>
        <v>0</v>
      </c>
      <c r="G55" s="190">
        <f ca="1">IF(F55=0, 0, IF(AND(F54=1, C55&lt;&gt;8, OR(C55=C54+1, AND(C54=23, C55=0))), G54, MAX($G$1:G54)+1))</f>
        <v>0</v>
      </c>
      <c r="H55" s="194">
        <f t="shared" si="4"/>
        <v>3</v>
      </c>
    </row>
    <row r="56" spans="1:8">
      <c r="A56" s="190">
        <f t="shared" si="0"/>
        <v>3</v>
      </c>
      <c r="B56" s="193">
        <f t="shared" si="1"/>
        <v>16</v>
      </c>
      <c r="C56" s="190" cm="1">
        <f t="array" aca="1" ref="C56" ca="1">VALUE(LEFT(TRIM(INDIRECT("'" &amp; INT((ROW()-2)/24)+1 &amp; "號'!B" &amp; MOD(ROW()-2,24)+10)), 2))</f>
        <v>14</v>
      </c>
      <c r="D56" s="190">
        <f t="shared" ca="1" si="2"/>
        <v>8</v>
      </c>
      <c r="E56" s="190" t="str" cm="1">
        <f t="array" aca="1" ref="E56" ca="1">INDIRECT("'" &amp; A56 &amp; "號'!" &amp; ADDRESS(B56, D56))</f>
        <v/>
      </c>
      <c r="F56" s="190">
        <f t="shared" ca="1" si="3"/>
        <v>0</v>
      </c>
      <c r="G56" s="190">
        <f ca="1">IF(F56=0, 0, IF(AND(F55=1, C56&lt;&gt;8, OR(C56=C55+1, AND(C55=23, C56=0))), G55, MAX($G$1:G55)+1))</f>
        <v>0</v>
      </c>
      <c r="H56" s="194">
        <f t="shared" si="4"/>
        <v>3</v>
      </c>
    </row>
    <row r="57" spans="1:8">
      <c r="A57" s="190">
        <f t="shared" si="0"/>
        <v>3</v>
      </c>
      <c r="B57" s="193">
        <f t="shared" si="1"/>
        <v>17</v>
      </c>
      <c r="C57" s="190" cm="1">
        <f t="array" aca="1" ref="C57" ca="1">VALUE(LEFT(TRIM(INDIRECT("'" &amp; INT((ROW()-2)/24)+1 &amp; "號'!B" &amp; MOD(ROW()-2,24)+10)), 2))</f>
        <v>15</v>
      </c>
      <c r="D57" s="190">
        <f t="shared" ca="1" si="2"/>
        <v>8</v>
      </c>
      <c r="E57" s="190" t="str" cm="1">
        <f t="array" aca="1" ref="E57" ca="1">INDIRECT("'" &amp; A57 &amp; "號'!" &amp; ADDRESS(B57, D57))</f>
        <v/>
      </c>
      <c r="F57" s="190">
        <f t="shared" ca="1" si="3"/>
        <v>0</v>
      </c>
      <c r="G57" s="190">
        <f ca="1">IF(F57=0, 0, IF(AND(F56=1, C57&lt;&gt;8, OR(C57=C56+1, AND(C56=23, C57=0))), G56, MAX($G$1:G56)+1))</f>
        <v>0</v>
      </c>
      <c r="H57" s="194">
        <f t="shared" si="4"/>
        <v>3</v>
      </c>
    </row>
    <row r="58" spans="1:8">
      <c r="A58" s="190">
        <f t="shared" si="0"/>
        <v>3</v>
      </c>
      <c r="B58" s="193">
        <f t="shared" si="1"/>
        <v>18</v>
      </c>
      <c r="C58" s="190" cm="1">
        <f t="array" aca="1" ref="C58" ca="1">VALUE(LEFT(TRIM(INDIRECT("'" &amp; INT((ROW()-2)/24)+1 &amp; "號'!B" &amp; MOD(ROW()-2,24)+10)), 2))</f>
        <v>16</v>
      </c>
      <c r="D58" s="190">
        <f t="shared" ca="1" si="2"/>
        <v>8</v>
      </c>
      <c r="E58" s="190" t="str" cm="1">
        <f t="array" aca="1" ref="E58" ca="1">INDIRECT("'" &amp; A58 &amp; "號'!" &amp; ADDRESS(B58, D58))</f>
        <v>28</v>
      </c>
      <c r="F58" s="190">
        <f t="shared" ca="1" si="3"/>
        <v>0</v>
      </c>
      <c r="G58" s="190">
        <f ca="1">IF(F58=0, 0, IF(AND(F57=1, C58&lt;&gt;8, OR(C58=C57+1, AND(C57=23, C58=0))), G57, MAX($G$1:G57)+1))</f>
        <v>0</v>
      </c>
      <c r="H58" s="194">
        <f t="shared" si="4"/>
        <v>3</v>
      </c>
    </row>
    <row r="59" spans="1:8">
      <c r="A59" s="190">
        <f t="shared" si="0"/>
        <v>3</v>
      </c>
      <c r="B59" s="193">
        <f t="shared" si="1"/>
        <v>19</v>
      </c>
      <c r="C59" s="190" cm="1">
        <f t="array" aca="1" ref="C59" ca="1">VALUE(LEFT(TRIM(INDIRECT("'" &amp; INT((ROW()-2)/24)+1 &amp; "號'!B" &amp; MOD(ROW()-2,24)+10)), 2))</f>
        <v>17</v>
      </c>
      <c r="D59" s="190">
        <f t="shared" ca="1" si="2"/>
        <v>8</v>
      </c>
      <c r="E59" s="190" t="str" cm="1">
        <f t="array" aca="1" ref="E59" ca="1">INDIRECT("'" &amp; A59 &amp; "號'!" &amp; ADDRESS(B59, D59))</f>
        <v>28</v>
      </c>
      <c r="F59" s="190">
        <f t="shared" ca="1" si="3"/>
        <v>0</v>
      </c>
      <c r="G59" s="190">
        <f ca="1">IF(F59=0, 0, IF(AND(F58=1, C59&lt;&gt;8, OR(C59=C58+1, AND(C58=23, C59=0))), G58, MAX($G$1:G58)+1))</f>
        <v>0</v>
      </c>
      <c r="H59" s="194">
        <f t="shared" si="4"/>
        <v>3</v>
      </c>
    </row>
    <row r="60" spans="1:8">
      <c r="A60" s="190">
        <f t="shared" si="0"/>
        <v>3</v>
      </c>
      <c r="B60" s="193">
        <f t="shared" si="1"/>
        <v>20</v>
      </c>
      <c r="C60" s="190" cm="1">
        <f t="array" aca="1" ref="C60" ca="1">VALUE(LEFT(TRIM(INDIRECT("'" &amp; INT((ROW()-2)/24)+1 &amp; "號'!B" &amp; MOD(ROW()-2,24)+10)), 2))</f>
        <v>18</v>
      </c>
      <c r="D60" s="190">
        <f t="shared" ca="1" si="2"/>
        <v>8</v>
      </c>
      <c r="E60" s="190" t="str" cm="1">
        <f t="array" aca="1" ref="E60" ca="1">INDIRECT("'" &amp; A60 &amp; "號'!" &amp; ADDRESS(B60, D60))</f>
        <v>14</v>
      </c>
      <c r="F60" s="190">
        <f t="shared" ca="1" si="3"/>
        <v>0</v>
      </c>
      <c r="G60" s="190">
        <f ca="1">IF(F60=0, 0, IF(AND(F59=1, C60&lt;&gt;8, OR(C60=C59+1, AND(C59=23, C60=0))), G59, MAX($G$1:G59)+1))</f>
        <v>0</v>
      </c>
      <c r="H60" s="194">
        <f t="shared" si="4"/>
        <v>3</v>
      </c>
    </row>
    <row r="61" spans="1:8">
      <c r="A61" s="190">
        <f t="shared" si="0"/>
        <v>3</v>
      </c>
      <c r="B61" s="193">
        <f t="shared" si="1"/>
        <v>21</v>
      </c>
      <c r="C61" s="190" cm="1">
        <f t="array" aca="1" ref="C61" ca="1">VALUE(LEFT(TRIM(INDIRECT("'" &amp; INT((ROW()-2)/24)+1 &amp; "號'!B" &amp; MOD(ROW()-2,24)+10)), 2))</f>
        <v>19</v>
      </c>
      <c r="D61" s="190">
        <f t="shared" ca="1" si="2"/>
        <v>8</v>
      </c>
      <c r="E61" s="190" t="str" cm="1">
        <f t="array" aca="1" ref="E61" ca="1">INDIRECT("'" &amp; A61 &amp; "號'!" &amp; ADDRESS(B61, D61))</f>
        <v>14</v>
      </c>
      <c r="F61" s="190">
        <f t="shared" ca="1" si="3"/>
        <v>0</v>
      </c>
      <c r="G61" s="190">
        <f ca="1">IF(F61=0, 0, IF(AND(F60=1, C61&lt;&gt;8, OR(C61=C60+1, AND(C60=23, C61=0))), G60, MAX($G$1:G60)+1))</f>
        <v>0</v>
      </c>
      <c r="H61" s="194">
        <f t="shared" si="4"/>
        <v>3</v>
      </c>
    </row>
    <row r="62" spans="1:8">
      <c r="A62" s="190">
        <f t="shared" si="0"/>
        <v>3</v>
      </c>
      <c r="B62" s="193">
        <f t="shared" si="1"/>
        <v>22</v>
      </c>
      <c r="C62" s="190" cm="1">
        <f t="array" aca="1" ref="C62" ca="1">VALUE(LEFT(TRIM(INDIRECT("'" &amp; INT((ROW()-2)/24)+1 &amp; "號'!B" &amp; MOD(ROW()-2,24)+10)), 2))</f>
        <v>20</v>
      </c>
      <c r="D62" s="190">
        <f t="shared" ca="1" si="2"/>
        <v>8</v>
      </c>
      <c r="E62" s="190" t="str" cm="1">
        <f t="array" aca="1" ref="E62" ca="1">INDIRECT("'" &amp; A62 &amp; "號'!" &amp; ADDRESS(B62, D62))</f>
        <v>11,24</v>
      </c>
      <c r="F62" s="190">
        <f t="shared" ca="1" si="3"/>
        <v>0</v>
      </c>
      <c r="G62" s="190">
        <f ca="1">IF(F62=0, 0, IF(AND(F61=1, C62&lt;&gt;8, OR(C62=C61+1, AND(C61=23, C62=0))), G61, MAX($G$1:G61)+1))</f>
        <v>0</v>
      </c>
      <c r="H62" s="194">
        <f t="shared" si="4"/>
        <v>3</v>
      </c>
    </row>
    <row r="63" spans="1:8">
      <c r="A63" s="190">
        <f t="shared" si="0"/>
        <v>3</v>
      </c>
      <c r="B63" s="193">
        <f t="shared" si="1"/>
        <v>23</v>
      </c>
      <c r="C63" s="190" cm="1">
        <f t="array" aca="1" ref="C63" ca="1">VALUE(LEFT(TRIM(INDIRECT("'" &amp; INT((ROW()-2)/24)+1 &amp; "號'!B" &amp; MOD(ROW()-2,24)+10)), 2))</f>
        <v>21</v>
      </c>
      <c r="D63" s="190">
        <f t="shared" ca="1" si="2"/>
        <v>8</v>
      </c>
      <c r="E63" s="190" t="str" cm="1">
        <f t="array" aca="1" ref="E63" ca="1">INDIRECT("'" &amp; A63 &amp; "號'!" &amp; ADDRESS(B63, D63))</f>
        <v>11,24</v>
      </c>
      <c r="F63" s="190">
        <f t="shared" ca="1" si="3"/>
        <v>0</v>
      </c>
      <c r="G63" s="190">
        <f ca="1">IF(F63=0, 0, IF(AND(F62=1, C63&lt;&gt;8, OR(C63=C62+1, AND(C62=23, C63=0))), G62, MAX($G$1:G62)+1))</f>
        <v>0</v>
      </c>
      <c r="H63" s="194">
        <f t="shared" si="4"/>
        <v>3</v>
      </c>
    </row>
    <row r="64" spans="1:8">
      <c r="A64" s="190">
        <f t="shared" si="0"/>
        <v>3</v>
      </c>
      <c r="B64" s="193">
        <f t="shared" si="1"/>
        <v>24</v>
      </c>
      <c r="C64" s="190" cm="1">
        <f t="array" aca="1" ref="C64" ca="1">VALUE(LEFT(TRIM(INDIRECT("'" &amp; INT((ROW()-2)/24)+1 &amp; "號'!B" &amp; MOD(ROW()-2,24)+10)), 2))</f>
        <v>22</v>
      </c>
      <c r="D64" s="190">
        <f t="shared" ca="1" si="2"/>
        <v>8</v>
      </c>
      <c r="E64" s="190" cm="1">
        <f t="array" aca="1" ref="E64" ca="1">INDIRECT("'" &amp; A64 &amp; "號'!" &amp; ADDRESS(B64, D64))</f>
        <v>13</v>
      </c>
      <c r="F64" s="190">
        <f t="shared" ca="1" si="3"/>
        <v>0</v>
      </c>
      <c r="G64" s="190">
        <f ca="1">IF(F64=0, 0, IF(AND(F63=1, C64&lt;&gt;8, OR(C64=C63+1, AND(C63=23, C64=0))), G63, MAX($G$1:G63)+1))</f>
        <v>0</v>
      </c>
      <c r="H64" s="194">
        <f t="shared" si="4"/>
        <v>3</v>
      </c>
    </row>
    <row r="65" spans="1:8">
      <c r="A65" s="190">
        <f t="shared" si="0"/>
        <v>3</v>
      </c>
      <c r="B65" s="193">
        <f t="shared" si="1"/>
        <v>25</v>
      </c>
      <c r="C65" s="190" cm="1">
        <f t="array" aca="1" ref="C65" ca="1">VALUE(LEFT(TRIM(INDIRECT("'" &amp; INT((ROW()-2)/24)+1 &amp; "號'!B" &amp; MOD(ROW()-2,24)+10)), 2))</f>
        <v>23</v>
      </c>
      <c r="D65" s="190">
        <f t="shared" ca="1" si="2"/>
        <v>8</v>
      </c>
      <c r="E65" s="190" cm="1">
        <f t="array" aca="1" ref="E65" ca="1">INDIRECT("'" &amp; A65 &amp; "號'!" &amp; ADDRESS(B65, D65))</f>
        <v>13</v>
      </c>
      <c r="F65" s="190">
        <f t="shared" ca="1" si="3"/>
        <v>0</v>
      </c>
      <c r="G65" s="190">
        <f ca="1">IF(F65=0, 0, IF(AND(F64=1, C65&lt;&gt;8, OR(C65=C64+1, AND(C64=23, C65=0))), G64, MAX($G$1:G64)+1))</f>
        <v>0</v>
      </c>
      <c r="H65" s="194">
        <f t="shared" si="4"/>
        <v>3</v>
      </c>
    </row>
    <row r="66" spans="1:8">
      <c r="A66" s="190">
        <f t="shared" si="0"/>
        <v>3</v>
      </c>
      <c r="B66" s="193">
        <f t="shared" si="1"/>
        <v>26</v>
      </c>
      <c r="C66" s="190" cm="1">
        <f t="array" aca="1" ref="C66" ca="1">VALUE(LEFT(TRIM(INDIRECT("'" &amp; INT((ROW()-2)/24)+1 &amp; "號'!B" &amp; MOD(ROW()-2,24)+10)), 2))</f>
        <v>0</v>
      </c>
      <c r="D66" s="190">
        <f t="shared" ca="1" si="2"/>
        <v>8</v>
      </c>
      <c r="E66" s="190" cm="1">
        <f t="array" aca="1" ref="E66" ca="1">INDIRECT("'" &amp; A66 &amp; "號'!" &amp; ADDRESS(B66, D66))</f>
        <v>3</v>
      </c>
      <c r="F66" s="190">
        <f t="shared" ca="1" si="3"/>
        <v>0</v>
      </c>
      <c r="G66" s="190">
        <f ca="1">IF(F66=0, 0, IF(AND(F65=1, C66&lt;&gt;8, OR(C66=C65+1, AND(C65=23, C66=0))), G65, MAX($G$1:G65)+1))</f>
        <v>0</v>
      </c>
      <c r="H66" s="194">
        <f t="shared" si="4"/>
        <v>3</v>
      </c>
    </row>
    <row r="67" spans="1:8">
      <c r="A67" s="190">
        <f t="shared" ref="A67:A130" si="7">INT((ROW()-2)/24)+1</f>
        <v>3</v>
      </c>
      <c r="B67" s="193">
        <f t="shared" ref="B67:B130" si="8">MOD(ROW()-2, 24)+10</f>
        <v>27</v>
      </c>
      <c r="C67" s="190" cm="1">
        <f t="array" aca="1" ref="C67" ca="1">VALUE(LEFT(TRIM(INDIRECT("'" &amp; INT((ROW()-2)/24)+1 &amp; "號'!B" &amp; MOD(ROW()-2,24)+10)), 2))</f>
        <v>1</v>
      </c>
      <c r="D67" s="190">
        <f t="shared" ref="D67:D130" ca="1" si="9">MAX(IFERROR(MATCH("*休息*", INDIRECT("'" &amp; A67 &amp; "號'!$5:$5"), 0), 0), IFERROR(MATCH("*休息*", INDIRECT("'" &amp; A67 &amp; "號'!$6:$6"), 0), 0), IFERROR(MATCH("*休息*", INDIRECT("'" &amp; A67 &amp; "號'!$7:$7"), 0), 0))</f>
        <v>8</v>
      </c>
      <c r="E67" s="190" cm="1">
        <f t="array" aca="1" ref="E67" ca="1">INDIRECT("'" &amp; A67 &amp; "號'!" &amp; ADDRESS(B67, D67))</f>
        <v>3</v>
      </c>
      <c r="F67" s="190">
        <f t="shared" ref="F67:F130" ca="1" si="10">IF(ISNUMBER(SEARCH(","&amp;$A$1&amp;",", ","&amp;SUBSTITUTE(SUBSTITUTE(E67," ",""),"，",",")&amp;",")), 1, 0)</f>
        <v>0</v>
      </c>
      <c r="G67" s="190">
        <f ca="1">IF(F67=0, 0, IF(AND(F66=1, C67&lt;&gt;8, OR(C67=C66+1, AND(C66=23, C67=0))), G66, MAX($G$1:G66)+1))</f>
        <v>0</v>
      </c>
      <c r="H67" s="194">
        <f t="shared" ref="H67:H130" si="11" xml:space="preserve"> A67</f>
        <v>3</v>
      </c>
    </row>
    <row r="68" spans="1:8">
      <c r="A68" s="190">
        <f t="shared" si="7"/>
        <v>3</v>
      </c>
      <c r="B68" s="193">
        <f t="shared" si="8"/>
        <v>28</v>
      </c>
      <c r="C68" s="190" cm="1">
        <f t="array" aca="1" ref="C68" ca="1">VALUE(LEFT(TRIM(INDIRECT("'" &amp; INT((ROW()-2)/24)+1 &amp; "號'!B" &amp; MOD(ROW()-2,24)+10)), 2))</f>
        <v>2</v>
      </c>
      <c r="D68" s="190">
        <f t="shared" ca="1" si="9"/>
        <v>8</v>
      </c>
      <c r="E68" s="190" t="str" cm="1">
        <f t="array" aca="1" ref="E68" ca="1">INDIRECT("'" &amp; A68 &amp; "號'!" &amp; ADDRESS(B68, D68))</f>
        <v/>
      </c>
      <c r="F68" s="190">
        <f t="shared" ca="1" si="10"/>
        <v>0</v>
      </c>
      <c r="G68" s="190">
        <f ca="1">IF(F68=0, 0, IF(AND(F67=1, C68&lt;&gt;8, OR(C68=C67+1, AND(C67=23, C68=0))), G67, MAX($G$1:G67)+1))</f>
        <v>0</v>
      </c>
      <c r="H68" s="194">
        <f t="shared" si="11"/>
        <v>3</v>
      </c>
    </row>
    <row r="69" spans="1:8">
      <c r="A69" s="190">
        <f t="shared" si="7"/>
        <v>3</v>
      </c>
      <c r="B69" s="193">
        <f t="shared" si="8"/>
        <v>29</v>
      </c>
      <c r="C69" s="190" cm="1">
        <f t="array" aca="1" ref="C69" ca="1">VALUE(LEFT(TRIM(INDIRECT("'" &amp; INT((ROW()-2)/24)+1 &amp; "號'!B" &amp; MOD(ROW()-2,24)+10)), 2))</f>
        <v>3</v>
      </c>
      <c r="D69" s="190">
        <f t="shared" ca="1" si="9"/>
        <v>8</v>
      </c>
      <c r="E69" s="190" t="str" cm="1">
        <f t="array" aca="1" ref="E69" ca="1">INDIRECT("'" &amp; A69 &amp; "號'!" &amp; ADDRESS(B69, D69))</f>
        <v/>
      </c>
      <c r="F69" s="190">
        <f t="shared" ca="1" si="10"/>
        <v>0</v>
      </c>
      <c r="G69" s="190">
        <f ca="1">IF(F69=0, 0, IF(AND(F68=1, C69&lt;&gt;8, OR(C69=C68+1, AND(C68=23, C69=0))), G68, MAX($G$1:G68)+1))</f>
        <v>0</v>
      </c>
      <c r="H69" s="194">
        <f t="shared" si="11"/>
        <v>3</v>
      </c>
    </row>
    <row r="70" spans="1:8">
      <c r="A70" s="190">
        <f t="shared" si="7"/>
        <v>3</v>
      </c>
      <c r="B70" s="193">
        <f t="shared" si="8"/>
        <v>30</v>
      </c>
      <c r="C70" s="190" cm="1">
        <f t="array" aca="1" ref="C70" ca="1">VALUE(LEFT(TRIM(INDIRECT("'" &amp; INT((ROW()-2)/24)+1 &amp; "號'!B" &amp; MOD(ROW()-2,24)+10)), 2))</f>
        <v>4</v>
      </c>
      <c r="D70" s="190">
        <f t="shared" ca="1" si="9"/>
        <v>8</v>
      </c>
      <c r="E70" s="190" t="str" cm="1">
        <f t="array" aca="1" ref="E70" ca="1">INDIRECT("'" &amp; A70 &amp; "號'!" &amp; ADDRESS(B70, D70))</f>
        <v/>
      </c>
      <c r="F70" s="190">
        <f t="shared" ca="1" si="10"/>
        <v>0</v>
      </c>
      <c r="G70" s="190">
        <f ca="1">IF(F70=0, 0, IF(AND(F69=1, C70&lt;&gt;8, OR(C70=C69+1, AND(C69=23, C70=0))), G69, MAX($G$1:G69)+1))</f>
        <v>0</v>
      </c>
      <c r="H70" s="194">
        <f t="shared" si="11"/>
        <v>3</v>
      </c>
    </row>
    <row r="71" spans="1:8">
      <c r="A71" s="190">
        <f t="shared" si="7"/>
        <v>3</v>
      </c>
      <c r="B71" s="193">
        <f t="shared" si="8"/>
        <v>31</v>
      </c>
      <c r="C71" s="190" cm="1">
        <f t="array" aca="1" ref="C71" ca="1">VALUE(LEFT(TRIM(INDIRECT("'" &amp; INT((ROW()-2)/24)+1 &amp; "號'!B" &amp; MOD(ROW()-2,24)+10)), 2))</f>
        <v>5</v>
      </c>
      <c r="D71" s="190">
        <f t="shared" ca="1" si="9"/>
        <v>8</v>
      </c>
      <c r="E71" s="190" t="str" cm="1">
        <f t="array" aca="1" ref="E71" ca="1">INDIRECT("'" &amp; A71 &amp; "號'!" &amp; ADDRESS(B71, D71))</f>
        <v/>
      </c>
      <c r="F71" s="190">
        <f t="shared" ca="1" si="10"/>
        <v>0</v>
      </c>
      <c r="G71" s="190">
        <f ca="1">IF(F71=0, 0, IF(AND(F70=1, C71&lt;&gt;8, OR(C71=C70+1, AND(C70=23, C71=0))), G70, MAX($G$1:G70)+1))</f>
        <v>0</v>
      </c>
      <c r="H71" s="194">
        <f t="shared" si="11"/>
        <v>3</v>
      </c>
    </row>
    <row r="72" spans="1:8">
      <c r="A72" s="190">
        <f t="shared" si="7"/>
        <v>3</v>
      </c>
      <c r="B72" s="193">
        <f t="shared" si="8"/>
        <v>32</v>
      </c>
      <c r="C72" s="190" cm="1">
        <f t="array" aca="1" ref="C72" ca="1">VALUE(LEFT(TRIM(INDIRECT("'" &amp; INT((ROW()-2)/24)+1 &amp; "號'!B" &amp; MOD(ROW()-2,24)+10)), 2))</f>
        <v>6</v>
      </c>
      <c r="D72" s="190">
        <f t="shared" ca="1" si="9"/>
        <v>8</v>
      </c>
      <c r="E72" s="190" t="str" cm="1">
        <f t="array" aca="1" ref="E72" ca="1">INDIRECT("'" &amp; A72 &amp; "號'!" &amp; ADDRESS(B72, D72))</f>
        <v>15,1</v>
      </c>
      <c r="F72" s="190">
        <f t="shared" ca="1" si="10"/>
        <v>0</v>
      </c>
      <c r="G72" s="190">
        <f ca="1">IF(F72=0, 0, IF(AND(F71=1, C72&lt;&gt;8, OR(C72=C71+1, AND(C71=23, C72=0))), G71, MAX($G$1:G71)+1))</f>
        <v>0</v>
      </c>
      <c r="H72" s="194">
        <f t="shared" si="11"/>
        <v>3</v>
      </c>
    </row>
    <row r="73" spans="1:8">
      <c r="A73" s="190">
        <f t="shared" si="7"/>
        <v>3</v>
      </c>
      <c r="B73" s="193">
        <f t="shared" si="8"/>
        <v>33</v>
      </c>
      <c r="C73" s="190" cm="1">
        <f t="array" aca="1" ref="C73" ca="1">VALUE(LEFT(TRIM(INDIRECT("'" &amp; INT((ROW()-2)/24)+1 &amp; "號'!B" &amp; MOD(ROW()-2,24)+10)), 2))</f>
        <v>7</v>
      </c>
      <c r="D73" s="190">
        <f t="shared" ca="1" si="9"/>
        <v>8</v>
      </c>
      <c r="E73" s="190" t="str" cm="1">
        <f t="array" aca="1" ref="E73" ca="1">INDIRECT("'" &amp; A73 &amp; "號'!" &amp; ADDRESS(B73, D73))</f>
        <v>15,1</v>
      </c>
      <c r="F73" s="190">
        <f t="shared" ca="1" si="10"/>
        <v>0</v>
      </c>
      <c r="G73" s="190">
        <f ca="1">IF(F73=0, 0, IF(AND(F72=1, C73&lt;&gt;8, OR(C73=C72+1, AND(C72=23, C73=0))), G72, MAX($G$1:G72)+1))</f>
        <v>0</v>
      </c>
      <c r="H73" s="194">
        <f t="shared" si="11"/>
        <v>3</v>
      </c>
    </row>
    <row r="74" spans="1:8">
      <c r="A74" s="190">
        <f t="shared" si="7"/>
        <v>4</v>
      </c>
      <c r="B74" s="193">
        <f t="shared" si="8"/>
        <v>10</v>
      </c>
      <c r="C74" s="190" cm="1">
        <f t="array" aca="1" ref="C74" ca="1">VALUE(LEFT(TRIM(INDIRECT("'" &amp; INT((ROW()-2)/24)+1 &amp; "號'!B" &amp; MOD(ROW()-2,24)+10)), 2))</f>
        <v>8</v>
      </c>
      <c r="D74" s="190">
        <f t="shared" ca="1" si="9"/>
        <v>7</v>
      </c>
      <c r="E74" s="190" t="str" cm="1">
        <f t="array" aca="1" ref="E74" ca="1">INDIRECT("'" &amp; A74 &amp; "號'!" &amp; ADDRESS(B74, D74))</f>
        <v>25,4</v>
      </c>
      <c r="F74" s="190">
        <f t="shared" ca="1" si="10"/>
        <v>0</v>
      </c>
      <c r="G74" s="190">
        <f ca="1">IF(F74=0, 0, IF(AND(F73=1, C74&lt;&gt;8, OR(C74=C73+1, AND(C73=23, C74=0))), G73, MAX($G$1:G73)+1))</f>
        <v>0</v>
      </c>
      <c r="H74" s="194">
        <f t="shared" si="11"/>
        <v>4</v>
      </c>
    </row>
    <row r="75" spans="1:8">
      <c r="A75" s="190">
        <f t="shared" si="7"/>
        <v>4</v>
      </c>
      <c r="B75" s="193">
        <f t="shared" si="8"/>
        <v>11</v>
      </c>
      <c r="C75" s="190" cm="1">
        <f t="array" aca="1" ref="C75" ca="1">VALUE(LEFT(TRIM(INDIRECT("'" &amp; INT((ROW()-2)/24)+1 &amp; "號'!B" &amp; MOD(ROW()-2,24)+10)), 2))</f>
        <v>9</v>
      </c>
      <c r="D75" s="190">
        <f t="shared" ca="1" si="9"/>
        <v>7</v>
      </c>
      <c r="E75" s="190" t="str" cm="1">
        <f t="array" aca="1" ref="E75" ca="1">INDIRECT("'" &amp; A75 &amp; "號'!" &amp; ADDRESS(B75, D75))</f>
        <v>25,4</v>
      </c>
      <c r="F75" s="190">
        <f t="shared" ca="1" si="10"/>
        <v>0</v>
      </c>
      <c r="G75" s="190">
        <f ca="1">IF(F75=0, 0, IF(AND(F74=1, C75&lt;&gt;8, OR(C75=C74+1, AND(C74=23, C75=0))), G74, MAX($G$1:G74)+1))</f>
        <v>0</v>
      </c>
      <c r="H75" s="194">
        <f t="shared" si="11"/>
        <v>4</v>
      </c>
    </row>
    <row r="76" spans="1:8">
      <c r="A76" s="190">
        <f t="shared" si="7"/>
        <v>4</v>
      </c>
      <c r="B76" s="193">
        <f t="shared" si="8"/>
        <v>12</v>
      </c>
      <c r="C76" s="190" cm="1">
        <f t="array" aca="1" ref="C76" ca="1">VALUE(LEFT(TRIM(INDIRECT("'" &amp; INT((ROW()-2)/24)+1 &amp; "號'!B" &amp; MOD(ROW()-2,24)+10)), 2))</f>
        <v>10</v>
      </c>
      <c r="D76" s="190">
        <f t="shared" ca="1" si="9"/>
        <v>7</v>
      </c>
      <c r="E76" s="190" cm="1">
        <f t="array" aca="1" ref="E76" ca="1">INDIRECT("'" &amp; A76 &amp; "號'!" &amp; ADDRESS(B76, D76))</f>
        <v>25</v>
      </c>
      <c r="F76" s="190">
        <f t="shared" ca="1" si="10"/>
        <v>0</v>
      </c>
      <c r="G76" s="190">
        <f ca="1">IF(F76=0, 0, IF(AND(F75=1, C76&lt;&gt;8, OR(C76=C75+1, AND(C75=23, C76=0))), G75, MAX($G$1:G75)+1))</f>
        <v>0</v>
      </c>
      <c r="H76" s="194">
        <f t="shared" si="11"/>
        <v>4</v>
      </c>
    </row>
    <row r="77" spans="1:8">
      <c r="A77" s="190">
        <f t="shared" si="7"/>
        <v>4</v>
      </c>
      <c r="B77" s="193">
        <f t="shared" si="8"/>
        <v>13</v>
      </c>
      <c r="C77" s="190" cm="1">
        <f t="array" aca="1" ref="C77" ca="1">VALUE(LEFT(TRIM(INDIRECT("'" &amp; INT((ROW()-2)/24)+1 &amp; "號'!B" &amp; MOD(ROW()-2,24)+10)), 2))</f>
        <v>11</v>
      </c>
      <c r="D77" s="190">
        <f t="shared" ca="1" si="9"/>
        <v>7</v>
      </c>
      <c r="E77" s="190" cm="1">
        <f t="array" aca="1" ref="E77" ca="1">INDIRECT("'" &amp; A77 &amp; "號'!" &amp; ADDRESS(B77, D77))</f>
        <v>25</v>
      </c>
      <c r="F77" s="190">
        <f t="shared" ca="1" si="10"/>
        <v>0</v>
      </c>
      <c r="G77" s="190">
        <f ca="1">IF(F77=0, 0, IF(AND(F76=1, C77&lt;&gt;8, OR(C77=C76+1, AND(C76=23, C77=0))), G76, MAX($G$1:G76)+1))</f>
        <v>0</v>
      </c>
      <c r="H77" s="194">
        <f t="shared" si="11"/>
        <v>4</v>
      </c>
    </row>
    <row r="78" spans="1:8">
      <c r="A78" s="190">
        <f t="shared" si="7"/>
        <v>4</v>
      </c>
      <c r="B78" s="193">
        <f t="shared" si="8"/>
        <v>14</v>
      </c>
      <c r="C78" s="190" cm="1">
        <f t="array" aca="1" ref="C78" ca="1">VALUE(LEFT(TRIM(INDIRECT("'" &amp; INT((ROW()-2)/24)+1 &amp; "號'!B" &amp; MOD(ROW()-2,24)+10)), 2))</f>
        <v>12</v>
      </c>
      <c r="D78" s="190">
        <f t="shared" ca="1" si="9"/>
        <v>7</v>
      </c>
      <c r="E78" s="190" t="str" cm="1">
        <f t="array" aca="1" ref="E78" ca="1">INDIRECT("'" &amp; A78 &amp; "號'!" &amp; ADDRESS(B78, D78))</f>
        <v>9</v>
      </c>
      <c r="F78" s="190">
        <f t="shared" ca="1" si="10"/>
        <v>0</v>
      </c>
      <c r="G78" s="190">
        <f ca="1">IF(F78=0, 0, IF(AND(F77=1, C78&lt;&gt;8, OR(C78=C77+1, AND(C77=23, C78=0))), G77, MAX($G$1:G77)+1))</f>
        <v>0</v>
      </c>
      <c r="H78" s="194">
        <f t="shared" si="11"/>
        <v>4</v>
      </c>
    </row>
    <row r="79" spans="1:8">
      <c r="A79" s="190">
        <f t="shared" si="7"/>
        <v>4</v>
      </c>
      <c r="B79" s="193">
        <f t="shared" si="8"/>
        <v>15</v>
      </c>
      <c r="C79" s="190" cm="1">
        <f t="array" aca="1" ref="C79" ca="1">VALUE(LEFT(TRIM(INDIRECT("'" &amp; INT((ROW()-2)/24)+1 &amp; "號'!B" &amp; MOD(ROW()-2,24)+10)), 2))</f>
        <v>13</v>
      </c>
      <c r="D79" s="190">
        <f t="shared" ca="1" si="9"/>
        <v>7</v>
      </c>
      <c r="E79" s="190" t="str" cm="1">
        <f t="array" aca="1" ref="E79" ca="1">INDIRECT("'" &amp; A79 &amp; "號'!" &amp; ADDRESS(B79, D79))</f>
        <v>9</v>
      </c>
      <c r="F79" s="190">
        <f t="shared" ca="1" si="10"/>
        <v>0</v>
      </c>
      <c r="G79" s="190">
        <f ca="1">IF(F79=0, 0, IF(AND(F78=1, C79&lt;&gt;8, OR(C79=C78+1, AND(C78=23, C79=0))), G78, MAX($G$1:G78)+1))</f>
        <v>0</v>
      </c>
      <c r="H79" s="194">
        <f t="shared" si="11"/>
        <v>4</v>
      </c>
    </row>
    <row r="80" spans="1:8">
      <c r="A80" s="190">
        <f t="shared" si="7"/>
        <v>4</v>
      </c>
      <c r="B80" s="193">
        <f t="shared" si="8"/>
        <v>16</v>
      </c>
      <c r="C80" s="190" cm="1">
        <f t="array" aca="1" ref="C80" ca="1">VALUE(LEFT(TRIM(INDIRECT("'" &amp; INT((ROW()-2)/24)+1 &amp; "號'!B" &amp; MOD(ROW()-2,24)+10)), 2))</f>
        <v>14</v>
      </c>
      <c r="D80" s="190">
        <f t="shared" ca="1" si="9"/>
        <v>7</v>
      </c>
      <c r="E80" s="190" t="str" cm="1">
        <f t="array" aca="1" ref="E80" ca="1">INDIRECT("'" &amp; A80 &amp; "號'!" &amp; ADDRESS(B80, D80))</f>
        <v/>
      </c>
      <c r="F80" s="190">
        <f t="shared" ca="1" si="10"/>
        <v>0</v>
      </c>
      <c r="G80" s="190">
        <f ca="1">IF(F80=0, 0, IF(AND(F79=1, C80&lt;&gt;8, OR(C80=C79+1, AND(C79=23, C80=0))), G79, MAX($G$1:G79)+1))</f>
        <v>0</v>
      </c>
      <c r="H80" s="194">
        <f t="shared" si="11"/>
        <v>4</v>
      </c>
    </row>
    <row r="81" spans="1:8">
      <c r="A81" s="190">
        <f t="shared" si="7"/>
        <v>4</v>
      </c>
      <c r="B81" s="193">
        <f t="shared" si="8"/>
        <v>17</v>
      </c>
      <c r="C81" s="190" cm="1">
        <f t="array" aca="1" ref="C81" ca="1">VALUE(LEFT(TRIM(INDIRECT("'" &amp; INT((ROW()-2)/24)+1 &amp; "號'!B" &amp; MOD(ROW()-2,24)+10)), 2))</f>
        <v>15</v>
      </c>
      <c r="D81" s="190">
        <f t="shared" ca="1" si="9"/>
        <v>7</v>
      </c>
      <c r="E81" s="190" t="str" cm="1">
        <f t="array" aca="1" ref="E81" ca="1">INDIRECT("'" &amp; A81 &amp; "號'!" &amp; ADDRESS(B81, D81))</f>
        <v/>
      </c>
      <c r="F81" s="190">
        <f t="shared" ca="1" si="10"/>
        <v>0</v>
      </c>
      <c r="G81" s="190">
        <f ca="1">IF(F81=0, 0, IF(AND(F80=1, C81&lt;&gt;8, OR(C81=C80+1, AND(C80=23, C81=0))), G80, MAX($G$1:G80)+1))</f>
        <v>0</v>
      </c>
      <c r="H81" s="194">
        <f t="shared" si="11"/>
        <v>4</v>
      </c>
    </row>
    <row r="82" spans="1:8">
      <c r="A82" s="190">
        <f t="shared" si="7"/>
        <v>4</v>
      </c>
      <c r="B82" s="193">
        <f t="shared" si="8"/>
        <v>18</v>
      </c>
      <c r="C82" s="190" cm="1">
        <f t="array" aca="1" ref="C82" ca="1">VALUE(LEFT(TRIM(INDIRECT("'" &amp; INT((ROW()-2)/24)+1 &amp; "號'!B" &amp; MOD(ROW()-2,24)+10)), 2))</f>
        <v>16</v>
      </c>
      <c r="D82" s="190">
        <f t="shared" ca="1" si="9"/>
        <v>7</v>
      </c>
      <c r="E82" s="190" t="str" cm="1">
        <f t="array" aca="1" ref="E82" ca="1">INDIRECT("'" &amp; A82 &amp; "號'!" &amp; ADDRESS(B82, D82))</f>
        <v>23</v>
      </c>
      <c r="F82" s="190">
        <f t="shared" ca="1" si="10"/>
        <v>0</v>
      </c>
      <c r="G82" s="190">
        <f ca="1">IF(F82=0, 0, IF(AND(F81=1, C82&lt;&gt;8, OR(C82=C81+1, AND(C81=23, C82=0))), G81, MAX($G$1:G81)+1))</f>
        <v>0</v>
      </c>
      <c r="H82" s="194">
        <f t="shared" si="11"/>
        <v>4</v>
      </c>
    </row>
    <row r="83" spans="1:8">
      <c r="A83" s="190">
        <f t="shared" si="7"/>
        <v>4</v>
      </c>
      <c r="B83" s="193">
        <f t="shared" si="8"/>
        <v>19</v>
      </c>
      <c r="C83" s="190" cm="1">
        <f t="array" aca="1" ref="C83" ca="1">VALUE(LEFT(TRIM(INDIRECT("'" &amp; INT((ROW()-2)/24)+1 &amp; "號'!B" &amp; MOD(ROW()-2,24)+10)), 2))</f>
        <v>17</v>
      </c>
      <c r="D83" s="190">
        <f t="shared" ca="1" si="9"/>
        <v>7</v>
      </c>
      <c r="E83" s="190" t="str" cm="1">
        <f t="array" aca="1" ref="E83" ca="1">INDIRECT("'" &amp; A83 &amp; "號'!" &amp; ADDRESS(B83, D83))</f>
        <v>23</v>
      </c>
      <c r="F83" s="190">
        <f t="shared" ca="1" si="10"/>
        <v>0</v>
      </c>
      <c r="G83" s="190">
        <f ca="1">IF(F83=0, 0, IF(AND(F82=1, C83&lt;&gt;8, OR(C83=C82+1, AND(C82=23, C83=0))), G82, MAX($G$1:G82)+1))</f>
        <v>0</v>
      </c>
      <c r="H83" s="194">
        <f t="shared" si="11"/>
        <v>4</v>
      </c>
    </row>
    <row r="84" spans="1:8">
      <c r="A84" s="190">
        <f t="shared" si="7"/>
        <v>4</v>
      </c>
      <c r="B84" s="193">
        <f t="shared" si="8"/>
        <v>20</v>
      </c>
      <c r="C84" s="190" cm="1">
        <f t="array" aca="1" ref="C84" ca="1">VALUE(LEFT(TRIM(INDIRECT("'" &amp; INT((ROW()-2)/24)+1 &amp; "號'!B" &amp; MOD(ROW()-2,24)+10)), 2))</f>
        <v>18</v>
      </c>
      <c r="D84" s="190">
        <f t="shared" ca="1" si="9"/>
        <v>7</v>
      </c>
      <c r="E84" s="190" t="str" cm="1">
        <f t="array" aca="1" ref="E84" ca="1">INDIRECT("'" &amp; A84 &amp; "號'!" &amp; ADDRESS(B84, D84))</f>
        <v>16</v>
      </c>
      <c r="F84" s="190">
        <f t="shared" ca="1" si="10"/>
        <v>0</v>
      </c>
      <c r="G84" s="190">
        <f ca="1">IF(F84=0, 0, IF(AND(F83=1, C84&lt;&gt;8, OR(C84=C83+1, AND(C83=23, C84=0))), G83, MAX($G$1:G83)+1))</f>
        <v>0</v>
      </c>
      <c r="H84" s="194">
        <f t="shared" si="11"/>
        <v>4</v>
      </c>
    </row>
    <row r="85" spans="1:8">
      <c r="A85" s="190">
        <f t="shared" si="7"/>
        <v>4</v>
      </c>
      <c r="B85" s="193">
        <f t="shared" si="8"/>
        <v>21</v>
      </c>
      <c r="C85" s="190" cm="1">
        <f t="array" aca="1" ref="C85" ca="1">VALUE(LEFT(TRIM(INDIRECT("'" &amp; INT((ROW()-2)/24)+1 &amp; "號'!B" &amp; MOD(ROW()-2,24)+10)), 2))</f>
        <v>19</v>
      </c>
      <c r="D85" s="190">
        <f t="shared" ca="1" si="9"/>
        <v>7</v>
      </c>
      <c r="E85" s="190" t="str" cm="1">
        <f t="array" aca="1" ref="E85" ca="1">INDIRECT("'" &amp; A85 &amp; "號'!" &amp; ADDRESS(B85, D85))</f>
        <v>16</v>
      </c>
      <c r="F85" s="190">
        <f t="shared" ca="1" si="10"/>
        <v>0</v>
      </c>
      <c r="G85" s="190">
        <f ca="1">IF(F85=0, 0, IF(AND(F84=1, C85&lt;&gt;8, OR(C85=C84+1, AND(C84=23, C85=0))), G84, MAX($G$1:G84)+1))</f>
        <v>0</v>
      </c>
      <c r="H85" s="194">
        <f t="shared" si="11"/>
        <v>4</v>
      </c>
    </row>
    <row r="86" spans="1:8">
      <c r="A86" s="190">
        <f t="shared" si="7"/>
        <v>4</v>
      </c>
      <c r="B86" s="193">
        <f t="shared" si="8"/>
        <v>22</v>
      </c>
      <c r="C86" s="190" cm="1">
        <f t="array" aca="1" ref="C86" ca="1">VALUE(LEFT(TRIM(INDIRECT("'" &amp; INT((ROW()-2)/24)+1 &amp; "號'!B" &amp; MOD(ROW()-2,24)+10)), 2))</f>
        <v>20</v>
      </c>
      <c r="D86" s="190">
        <f t="shared" ca="1" si="9"/>
        <v>7</v>
      </c>
      <c r="E86" s="190" t="str" cm="1">
        <f t="array" aca="1" ref="E86" ca="1">INDIRECT("'" &amp; A86 &amp; "號'!" &amp; ADDRESS(B86, D86))</f>
        <v>17</v>
      </c>
      <c r="F86" s="190">
        <f t="shared" ca="1" si="10"/>
        <v>0</v>
      </c>
      <c r="G86" s="190">
        <f ca="1">IF(F86=0, 0, IF(AND(F85=1, C86&lt;&gt;8, OR(C86=C85+1, AND(C85=23, C86=0))), G85, MAX($G$1:G85)+1))</f>
        <v>0</v>
      </c>
      <c r="H86" s="194">
        <f t="shared" si="11"/>
        <v>4</v>
      </c>
    </row>
    <row r="87" spans="1:8">
      <c r="A87" s="190">
        <f t="shared" si="7"/>
        <v>4</v>
      </c>
      <c r="B87" s="193">
        <f t="shared" si="8"/>
        <v>23</v>
      </c>
      <c r="C87" s="190" cm="1">
        <f t="array" aca="1" ref="C87" ca="1">VALUE(LEFT(TRIM(INDIRECT("'" &amp; INT((ROW()-2)/24)+1 &amp; "號'!B" &amp; MOD(ROW()-2,24)+10)), 2))</f>
        <v>21</v>
      </c>
      <c r="D87" s="190">
        <f t="shared" ca="1" si="9"/>
        <v>7</v>
      </c>
      <c r="E87" s="190" t="str" cm="1">
        <f t="array" aca="1" ref="E87" ca="1">INDIRECT("'" &amp; A87 &amp; "號'!" &amp; ADDRESS(B87, D87))</f>
        <v>17</v>
      </c>
      <c r="F87" s="190">
        <f t="shared" ca="1" si="10"/>
        <v>0</v>
      </c>
      <c r="G87" s="190">
        <f ca="1">IF(F87=0, 0, IF(AND(F86=1, C87&lt;&gt;8, OR(C87=C86+1, AND(C86=23, C87=0))), G86, MAX($G$1:G86)+1))</f>
        <v>0</v>
      </c>
      <c r="H87" s="194">
        <f t="shared" si="11"/>
        <v>4</v>
      </c>
    </row>
    <row r="88" spans="1:8">
      <c r="A88" s="190">
        <f t="shared" si="7"/>
        <v>4</v>
      </c>
      <c r="B88" s="193">
        <f t="shared" si="8"/>
        <v>24</v>
      </c>
      <c r="C88" s="190" cm="1">
        <f t="array" aca="1" ref="C88" ca="1">VALUE(LEFT(TRIM(INDIRECT("'" &amp; INT((ROW()-2)/24)+1 &amp; "號'!B" &amp; MOD(ROW()-2,24)+10)), 2))</f>
        <v>22</v>
      </c>
      <c r="D88" s="190">
        <f t="shared" ca="1" si="9"/>
        <v>7</v>
      </c>
      <c r="E88" s="190" cm="1">
        <f t="array" aca="1" ref="E88" ca="1">INDIRECT("'" &amp; A88 &amp; "號'!" &amp; ADDRESS(B88, D88))</f>
        <v>19</v>
      </c>
      <c r="F88" s="190">
        <f t="shared" ca="1" si="10"/>
        <v>0</v>
      </c>
      <c r="G88" s="190">
        <f ca="1">IF(F88=0, 0, IF(AND(F87=1, C88&lt;&gt;8, OR(C88=C87+1, AND(C87=23, C88=0))), G87, MAX($G$1:G87)+1))</f>
        <v>0</v>
      </c>
      <c r="H88" s="194">
        <f t="shared" si="11"/>
        <v>4</v>
      </c>
    </row>
    <row r="89" spans="1:8">
      <c r="A89" s="190">
        <f t="shared" si="7"/>
        <v>4</v>
      </c>
      <c r="B89" s="193">
        <f t="shared" si="8"/>
        <v>25</v>
      </c>
      <c r="C89" s="190" cm="1">
        <f t="array" aca="1" ref="C89" ca="1">VALUE(LEFT(TRIM(INDIRECT("'" &amp; INT((ROW()-2)/24)+1 &amp; "號'!B" &amp; MOD(ROW()-2,24)+10)), 2))</f>
        <v>23</v>
      </c>
      <c r="D89" s="190">
        <f t="shared" ca="1" si="9"/>
        <v>7</v>
      </c>
      <c r="E89" s="190" cm="1">
        <f t="array" aca="1" ref="E89" ca="1">INDIRECT("'" &amp; A89 &amp; "號'!" &amp; ADDRESS(B89, D89))</f>
        <v>19</v>
      </c>
      <c r="F89" s="190">
        <f t="shared" ca="1" si="10"/>
        <v>0</v>
      </c>
      <c r="G89" s="190">
        <f ca="1">IF(F89=0, 0, IF(AND(F88=1, C89&lt;&gt;8, OR(C89=C88+1, AND(C88=23, C89=0))), G88, MAX($G$1:G88)+1))</f>
        <v>0</v>
      </c>
      <c r="H89" s="194">
        <f t="shared" si="11"/>
        <v>4</v>
      </c>
    </row>
    <row r="90" spans="1:8">
      <c r="A90" s="190">
        <f t="shared" si="7"/>
        <v>4</v>
      </c>
      <c r="B90" s="193">
        <f t="shared" si="8"/>
        <v>26</v>
      </c>
      <c r="C90" s="190" cm="1">
        <f t="array" aca="1" ref="C90" ca="1">VALUE(LEFT(TRIM(INDIRECT("'" &amp; INT((ROW()-2)/24)+1 &amp; "號'!B" &amp; MOD(ROW()-2,24)+10)), 2))</f>
        <v>0</v>
      </c>
      <c r="D90" s="190">
        <f t="shared" ca="1" si="9"/>
        <v>7</v>
      </c>
      <c r="E90" s="190" t="str" cm="1">
        <f t="array" aca="1" ref="E90" ca="1">INDIRECT("'" &amp; A90 &amp; "號'!" &amp; ADDRESS(B90, D90))</f>
        <v/>
      </c>
      <c r="F90" s="190">
        <f t="shared" ca="1" si="10"/>
        <v>0</v>
      </c>
      <c r="G90" s="190">
        <f ca="1">IF(F90=0, 0, IF(AND(F89=1, C90&lt;&gt;8, OR(C90=C89+1, AND(C89=23, C90=0))), G89, MAX($G$1:G89)+1))</f>
        <v>0</v>
      </c>
      <c r="H90" s="194">
        <f t="shared" si="11"/>
        <v>4</v>
      </c>
    </row>
    <row r="91" spans="1:8">
      <c r="A91" s="190">
        <f t="shared" si="7"/>
        <v>4</v>
      </c>
      <c r="B91" s="193">
        <f t="shared" si="8"/>
        <v>27</v>
      </c>
      <c r="C91" s="190" cm="1">
        <f t="array" aca="1" ref="C91" ca="1">VALUE(LEFT(TRIM(INDIRECT("'" &amp; INT((ROW()-2)/24)+1 &amp; "號'!B" &amp; MOD(ROW()-2,24)+10)), 2))</f>
        <v>1</v>
      </c>
      <c r="D91" s="190">
        <f t="shared" ca="1" si="9"/>
        <v>7</v>
      </c>
      <c r="E91" s="190" t="str" cm="1">
        <f t="array" aca="1" ref="E91" ca="1">INDIRECT("'" &amp; A91 &amp; "號'!" &amp; ADDRESS(B91, D91))</f>
        <v/>
      </c>
      <c r="F91" s="190">
        <f t="shared" ca="1" si="10"/>
        <v>0</v>
      </c>
      <c r="G91" s="190">
        <f ca="1">IF(F91=0, 0, IF(AND(F90=1, C91&lt;&gt;8, OR(C91=C90+1, AND(C90=23, C91=0))), G90, MAX($G$1:G90)+1))</f>
        <v>0</v>
      </c>
      <c r="H91" s="194">
        <f t="shared" si="11"/>
        <v>4</v>
      </c>
    </row>
    <row r="92" spans="1:8">
      <c r="A92" s="190">
        <f t="shared" si="7"/>
        <v>4</v>
      </c>
      <c r="B92" s="193">
        <f t="shared" si="8"/>
        <v>28</v>
      </c>
      <c r="C92" s="190" cm="1">
        <f t="array" aca="1" ref="C92" ca="1">VALUE(LEFT(TRIM(INDIRECT("'" &amp; INT((ROW()-2)/24)+1 &amp; "號'!B" &amp; MOD(ROW()-2,24)+10)), 2))</f>
        <v>2</v>
      </c>
      <c r="D92" s="190">
        <f t="shared" ca="1" si="9"/>
        <v>7</v>
      </c>
      <c r="E92" s="190" t="str" cm="1">
        <f t="array" aca="1" ref="E92" ca="1">INDIRECT("'" &amp; A92 &amp; "號'!" &amp; ADDRESS(B92, D92))</f>
        <v/>
      </c>
      <c r="F92" s="190">
        <f t="shared" ca="1" si="10"/>
        <v>0</v>
      </c>
      <c r="G92" s="190">
        <f ca="1">IF(F92=0, 0, IF(AND(F91=1, C92&lt;&gt;8, OR(C92=C91+1, AND(C91=23, C92=0))), G91, MAX($G$1:G91)+1))</f>
        <v>0</v>
      </c>
      <c r="H92" s="194">
        <f t="shared" si="11"/>
        <v>4</v>
      </c>
    </row>
    <row r="93" spans="1:8">
      <c r="A93" s="190">
        <f t="shared" si="7"/>
        <v>4</v>
      </c>
      <c r="B93" s="193">
        <f t="shared" si="8"/>
        <v>29</v>
      </c>
      <c r="C93" s="190" cm="1">
        <f t="array" aca="1" ref="C93" ca="1">VALUE(LEFT(TRIM(INDIRECT("'" &amp; INT((ROW()-2)/24)+1 &amp; "號'!B" &amp; MOD(ROW()-2,24)+10)), 2))</f>
        <v>3</v>
      </c>
      <c r="D93" s="190">
        <f t="shared" ca="1" si="9"/>
        <v>7</v>
      </c>
      <c r="E93" s="190" t="str" cm="1">
        <f t="array" aca="1" ref="E93" ca="1">INDIRECT("'" &amp; A93 &amp; "號'!" &amp; ADDRESS(B93, D93))</f>
        <v/>
      </c>
      <c r="F93" s="190">
        <f t="shared" ca="1" si="10"/>
        <v>0</v>
      </c>
      <c r="G93" s="190">
        <f ca="1">IF(F93=0, 0, IF(AND(F92=1, C93&lt;&gt;8, OR(C93=C92+1, AND(C92=23, C93=0))), G92, MAX($G$1:G92)+1))</f>
        <v>0</v>
      </c>
      <c r="H93" s="194">
        <f t="shared" si="11"/>
        <v>4</v>
      </c>
    </row>
    <row r="94" spans="1:8">
      <c r="A94" s="190">
        <f t="shared" si="7"/>
        <v>4</v>
      </c>
      <c r="B94" s="193">
        <f t="shared" si="8"/>
        <v>30</v>
      </c>
      <c r="C94" s="190" cm="1">
        <f t="array" aca="1" ref="C94" ca="1">VALUE(LEFT(TRIM(INDIRECT("'" &amp; INT((ROW()-2)/24)+1 &amp; "號'!B" &amp; MOD(ROW()-2,24)+10)), 2))</f>
        <v>4</v>
      </c>
      <c r="D94" s="190">
        <f t="shared" ca="1" si="9"/>
        <v>7</v>
      </c>
      <c r="E94" s="190" t="str" cm="1">
        <f t="array" aca="1" ref="E94" ca="1">INDIRECT("'" &amp; A94 &amp; "號'!" &amp; ADDRESS(B94, D94))</f>
        <v/>
      </c>
      <c r="F94" s="190">
        <f t="shared" ca="1" si="10"/>
        <v>0</v>
      </c>
      <c r="G94" s="190">
        <f ca="1">IF(F94=0, 0, IF(AND(F93=1, C94&lt;&gt;8, OR(C94=C93+1, AND(C93=23, C94=0))), G93, MAX($G$1:G93)+1))</f>
        <v>0</v>
      </c>
      <c r="H94" s="194">
        <f t="shared" si="11"/>
        <v>4</v>
      </c>
    </row>
    <row r="95" spans="1:8">
      <c r="A95" s="190">
        <f t="shared" si="7"/>
        <v>4</v>
      </c>
      <c r="B95" s="193">
        <f t="shared" si="8"/>
        <v>31</v>
      </c>
      <c r="C95" s="190" cm="1">
        <f t="array" aca="1" ref="C95" ca="1">VALUE(LEFT(TRIM(INDIRECT("'" &amp; INT((ROW()-2)/24)+1 &amp; "號'!B" &amp; MOD(ROW()-2,24)+10)), 2))</f>
        <v>5</v>
      </c>
      <c r="D95" s="190">
        <f t="shared" ca="1" si="9"/>
        <v>7</v>
      </c>
      <c r="E95" s="190" t="str" cm="1">
        <f t="array" aca="1" ref="E95" ca="1">INDIRECT("'" &amp; A95 &amp; "號'!" &amp; ADDRESS(B95, D95))</f>
        <v/>
      </c>
      <c r="F95" s="190">
        <f t="shared" ca="1" si="10"/>
        <v>0</v>
      </c>
      <c r="G95" s="190">
        <f ca="1">IF(F95=0, 0, IF(AND(F94=1, C95&lt;&gt;8, OR(C95=C94+1, AND(C94=23, C95=0))), G94, MAX($G$1:G94)+1))</f>
        <v>0</v>
      </c>
      <c r="H95" s="194">
        <f t="shared" si="11"/>
        <v>4</v>
      </c>
    </row>
    <row r="96" spans="1:8">
      <c r="A96" s="190">
        <f t="shared" si="7"/>
        <v>4</v>
      </c>
      <c r="B96" s="193">
        <f t="shared" si="8"/>
        <v>32</v>
      </c>
      <c r="C96" s="190" cm="1">
        <f t="array" aca="1" ref="C96" ca="1">VALUE(LEFT(TRIM(INDIRECT("'" &amp; INT((ROW()-2)/24)+1 &amp; "號'!B" &amp; MOD(ROW()-2,24)+10)), 2))</f>
        <v>6</v>
      </c>
      <c r="D96" s="190">
        <f t="shared" ca="1" si="9"/>
        <v>7</v>
      </c>
      <c r="E96" s="190" t="str" cm="1">
        <f t="array" aca="1" ref="E96" ca="1">INDIRECT("'" &amp; A96 &amp; "號'!" &amp; ADDRESS(B96, D96))</f>
        <v>18,5</v>
      </c>
      <c r="F96" s="190">
        <f t="shared" ca="1" si="10"/>
        <v>0</v>
      </c>
      <c r="G96" s="190">
        <f ca="1">IF(F96=0, 0, IF(AND(F95=1, C96&lt;&gt;8, OR(C96=C95+1, AND(C95=23, C96=0))), G95, MAX($G$1:G95)+1))</f>
        <v>0</v>
      </c>
      <c r="H96" s="194">
        <f t="shared" si="11"/>
        <v>4</v>
      </c>
    </row>
    <row r="97" spans="1:8">
      <c r="A97" s="190">
        <f t="shared" si="7"/>
        <v>4</v>
      </c>
      <c r="B97" s="193">
        <f t="shared" si="8"/>
        <v>33</v>
      </c>
      <c r="C97" s="190" cm="1">
        <f t="array" aca="1" ref="C97" ca="1">VALUE(LEFT(TRIM(INDIRECT("'" &amp; INT((ROW()-2)/24)+1 &amp; "號'!B" &amp; MOD(ROW()-2,24)+10)), 2))</f>
        <v>7</v>
      </c>
      <c r="D97" s="190">
        <f t="shared" ca="1" si="9"/>
        <v>7</v>
      </c>
      <c r="E97" s="190" t="str" cm="1">
        <f t="array" aca="1" ref="E97" ca="1">INDIRECT("'" &amp; A97 &amp; "號'!" &amp; ADDRESS(B97, D97))</f>
        <v>18,5</v>
      </c>
      <c r="F97" s="190">
        <f t="shared" ca="1" si="10"/>
        <v>0</v>
      </c>
      <c r="G97" s="190">
        <f ca="1">IF(F97=0, 0, IF(AND(F96=1, C97&lt;&gt;8, OR(C97=C96+1, AND(C96=23, C97=0))), G96, MAX($G$1:G96)+1))</f>
        <v>0</v>
      </c>
      <c r="H97" s="194">
        <f t="shared" si="11"/>
        <v>4</v>
      </c>
    </row>
    <row r="98" spans="1:8">
      <c r="A98" s="190">
        <f t="shared" si="7"/>
        <v>5</v>
      </c>
      <c r="B98" s="193">
        <f t="shared" si="8"/>
        <v>10</v>
      </c>
      <c r="C98" s="190" cm="1">
        <f t="array" aca="1" ref="C98" ca="1">VALUE(LEFT(TRIM(INDIRECT("'" &amp; INT((ROW()-2)/24)+1 &amp; "號'!B" &amp; MOD(ROW()-2,24)+10)), 2))</f>
        <v>8</v>
      </c>
      <c r="D98" s="190">
        <f t="shared" ca="1" si="9"/>
        <v>7</v>
      </c>
      <c r="E98" s="190" cm="1">
        <f t="array" aca="1" ref="E98" ca="1">INDIRECT("'" &amp; A98 &amp; "號'!" &amp; ADDRESS(B98, D98))</f>
        <v>24</v>
      </c>
      <c r="F98" s="190">
        <f t="shared" ca="1" si="10"/>
        <v>0</v>
      </c>
      <c r="G98" s="190">
        <f ca="1">IF(F98=0, 0, IF(AND(F97=1, C98&lt;&gt;8, OR(C98=C97+1, AND(C97=23, C98=0))), G97, MAX($G$1:G97)+1))</f>
        <v>0</v>
      </c>
      <c r="H98" s="194">
        <f t="shared" si="11"/>
        <v>5</v>
      </c>
    </row>
    <row r="99" spans="1:8">
      <c r="A99" s="190">
        <f t="shared" si="7"/>
        <v>5</v>
      </c>
      <c r="B99" s="193">
        <f t="shared" si="8"/>
        <v>11</v>
      </c>
      <c r="C99" s="190" cm="1">
        <f t="array" aca="1" ref="C99" ca="1">VALUE(LEFT(TRIM(INDIRECT("'" &amp; INT((ROW()-2)/24)+1 &amp; "號'!B" &amp; MOD(ROW()-2,24)+10)), 2))</f>
        <v>9</v>
      </c>
      <c r="D99" s="190">
        <f t="shared" ca="1" si="9"/>
        <v>7</v>
      </c>
      <c r="E99" s="190" cm="1">
        <f t="array" aca="1" ref="E99" ca="1">INDIRECT("'" &amp; A99 &amp; "號'!" &amp; ADDRESS(B99, D99))</f>
        <v>24</v>
      </c>
      <c r="F99" s="190">
        <f t="shared" ca="1" si="10"/>
        <v>0</v>
      </c>
      <c r="G99" s="190">
        <f ca="1">IF(F99=0, 0, IF(AND(F98=1, C99&lt;&gt;8, OR(C99=C98+1, AND(C98=23, C99=0))), G98, MAX($G$1:G98)+1))</f>
        <v>0</v>
      </c>
      <c r="H99" s="194">
        <f t="shared" si="11"/>
        <v>5</v>
      </c>
    </row>
    <row r="100" spans="1:8">
      <c r="A100" s="190">
        <f t="shared" si="7"/>
        <v>5</v>
      </c>
      <c r="B100" s="193">
        <f t="shared" si="8"/>
        <v>12</v>
      </c>
      <c r="C100" s="190" cm="1">
        <f t="array" aca="1" ref="C100" ca="1">VALUE(LEFT(TRIM(INDIRECT("'" &amp; INT((ROW()-2)/24)+1 &amp; "號'!B" &amp; MOD(ROW()-2,24)+10)), 2))</f>
        <v>10</v>
      </c>
      <c r="D100" s="190">
        <f t="shared" ca="1" si="9"/>
        <v>7</v>
      </c>
      <c r="E100" s="190" cm="1">
        <f t="array" aca="1" ref="E100" ca="1">INDIRECT("'" &amp; A100 &amp; "號'!" &amp; ADDRESS(B100, D100))</f>
        <v>24</v>
      </c>
      <c r="F100" s="190">
        <f t="shared" ca="1" si="10"/>
        <v>0</v>
      </c>
      <c r="G100" s="190">
        <f ca="1">IF(F100=0, 0, IF(AND(F99=1, C100&lt;&gt;8, OR(C100=C99+1, AND(C99=23, C100=0))), G99, MAX($G$1:G99)+1))</f>
        <v>0</v>
      </c>
      <c r="H100" s="194">
        <f t="shared" si="11"/>
        <v>5</v>
      </c>
    </row>
    <row r="101" spans="1:8">
      <c r="A101" s="190">
        <f t="shared" si="7"/>
        <v>5</v>
      </c>
      <c r="B101" s="193">
        <f t="shared" si="8"/>
        <v>13</v>
      </c>
      <c r="C101" s="190" cm="1">
        <f t="array" aca="1" ref="C101" ca="1">VALUE(LEFT(TRIM(INDIRECT("'" &amp; INT((ROW()-2)/24)+1 &amp; "號'!B" &amp; MOD(ROW()-2,24)+10)), 2))</f>
        <v>11</v>
      </c>
      <c r="D101" s="190">
        <f t="shared" ca="1" si="9"/>
        <v>7</v>
      </c>
      <c r="E101" s="190" cm="1">
        <f t="array" aca="1" ref="E101" ca="1">INDIRECT("'" &amp; A101 &amp; "號'!" &amp; ADDRESS(B101, D101))</f>
        <v>24</v>
      </c>
      <c r="F101" s="190">
        <f t="shared" ca="1" si="10"/>
        <v>0</v>
      </c>
      <c r="G101" s="190">
        <f ca="1">IF(F101=0, 0, IF(AND(F100=1, C101&lt;&gt;8, OR(C101=C100+1, AND(C100=23, C101=0))), G100, MAX($G$1:G100)+1))</f>
        <v>0</v>
      </c>
      <c r="H101" s="194">
        <f t="shared" si="11"/>
        <v>5</v>
      </c>
    </row>
    <row r="102" spans="1:8">
      <c r="A102" s="190">
        <f t="shared" si="7"/>
        <v>5</v>
      </c>
      <c r="B102" s="193">
        <f t="shared" si="8"/>
        <v>14</v>
      </c>
      <c r="C102" s="190" cm="1">
        <f t="array" aca="1" ref="C102" ca="1">VALUE(LEFT(TRIM(INDIRECT("'" &amp; INT((ROW()-2)/24)+1 &amp; "號'!B" &amp; MOD(ROW()-2,24)+10)), 2))</f>
        <v>12</v>
      </c>
      <c r="D102" s="190">
        <f t="shared" ca="1" si="9"/>
        <v>7</v>
      </c>
      <c r="E102" s="190" t="str" cm="1">
        <f t="array" aca="1" ref="E102" ca="1">INDIRECT("'" &amp; A102 &amp; "號'!" &amp; ADDRESS(B102, D102))</f>
        <v>26</v>
      </c>
      <c r="F102" s="190">
        <f t="shared" ca="1" si="10"/>
        <v>0</v>
      </c>
      <c r="G102" s="190">
        <f ca="1">IF(F102=0, 0, IF(AND(F101=1, C102&lt;&gt;8, OR(C102=C101+1, AND(C101=23, C102=0))), G101, MAX($G$1:G101)+1))</f>
        <v>0</v>
      </c>
      <c r="H102" s="194">
        <f t="shared" si="11"/>
        <v>5</v>
      </c>
    </row>
    <row r="103" spans="1:8">
      <c r="A103" s="190">
        <f t="shared" si="7"/>
        <v>5</v>
      </c>
      <c r="B103" s="193">
        <f t="shared" si="8"/>
        <v>15</v>
      </c>
      <c r="C103" s="190" cm="1">
        <f t="array" aca="1" ref="C103" ca="1">VALUE(LEFT(TRIM(INDIRECT("'" &amp; INT((ROW()-2)/24)+1 &amp; "號'!B" &amp; MOD(ROW()-2,24)+10)), 2))</f>
        <v>13</v>
      </c>
      <c r="D103" s="190">
        <f t="shared" ca="1" si="9"/>
        <v>7</v>
      </c>
      <c r="E103" s="190" t="str" cm="1">
        <f t="array" aca="1" ref="E103" ca="1">INDIRECT("'" &amp; A103 &amp; "號'!" &amp; ADDRESS(B103, D103))</f>
        <v>26</v>
      </c>
      <c r="F103" s="190">
        <f t="shared" ca="1" si="10"/>
        <v>0</v>
      </c>
      <c r="G103" s="190">
        <f ca="1">IF(F103=0, 0, IF(AND(F102=1, C103&lt;&gt;8, OR(C103=C102+1, AND(C102=23, C103=0))), G102, MAX($G$1:G102)+1))</f>
        <v>0</v>
      </c>
      <c r="H103" s="194">
        <f t="shared" si="11"/>
        <v>5</v>
      </c>
    </row>
    <row r="104" spans="1:8">
      <c r="A104" s="190">
        <f t="shared" si="7"/>
        <v>5</v>
      </c>
      <c r="B104" s="193">
        <f t="shared" si="8"/>
        <v>16</v>
      </c>
      <c r="C104" s="190" cm="1">
        <f t="array" aca="1" ref="C104" ca="1">VALUE(LEFT(TRIM(INDIRECT("'" &amp; INT((ROW()-2)/24)+1 &amp; "號'!B" &amp; MOD(ROW()-2,24)+10)), 2))</f>
        <v>14</v>
      </c>
      <c r="D104" s="190">
        <f t="shared" ca="1" si="9"/>
        <v>7</v>
      </c>
      <c r="E104" s="190" t="str" cm="1">
        <f t="array" aca="1" ref="E104" ca="1">INDIRECT("'" &amp; A104 &amp; "號'!" &amp; ADDRESS(B104, D104))</f>
        <v/>
      </c>
      <c r="F104" s="190">
        <f t="shared" ca="1" si="10"/>
        <v>0</v>
      </c>
      <c r="G104" s="190">
        <f ca="1">IF(F104=0, 0, IF(AND(F103=1, C104&lt;&gt;8, OR(C104=C103+1, AND(C103=23, C104=0))), G103, MAX($G$1:G103)+1))</f>
        <v>0</v>
      </c>
      <c r="H104" s="194">
        <f t="shared" si="11"/>
        <v>5</v>
      </c>
    </row>
    <row r="105" spans="1:8">
      <c r="A105" s="190">
        <f t="shared" si="7"/>
        <v>5</v>
      </c>
      <c r="B105" s="193">
        <f t="shared" si="8"/>
        <v>17</v>
      </c>
      <c r="C105" s="190" cm="1">
        <f t="array" aca="1" ref="C105" ca="1">VALUE(LEFT(TRIM(INDIRECT("'" &amp; INT((ROW()-2)/24)+1 &amp; "號'!B" &amp; MOD(ROW()-2,24)+10)), 2))</f>
        <v>15</v>
      </c>
      <c r="D105" s="190">
        <f t="shared" ca="1" si="9"/>
        <v>7</v>
      </c>
      <c r="E105" s="190" t="str" cm="1">
        <f t="array" aca="1" ref="E105" ca="1">INDIRECT("'" &amp; A105 &amp; "號'!" &amp; ADDRESS(B105, D105))</f>
        <v/>
      </c>
      <c r="F105" s="190">
        <f t="shared" ca="1" si="10"/>
        <v>0</v>
      </c>
      <c r="G105" s="190">
        <f ca="1">IF(F105=0, 0, IF(AND(F104=1, C105&lt;&gt;8, OR(C105=C104+1, AND(C104=23, C105=0))), G104, MAX($G$1:G104)+1))</f>
        <v>0</v>
      </c>
      <c r="H105" s="194">
        <f t="shared" si="11"/>
        <v>5</v>
      </c>
    </row>
    <row r="106" spans="1:8">
      <c r="A106" s="190">
        <f t="shared" si="7"/>
        <v>5</v>
      </c>
      <c r="B106" s="193">
        <f t="shared" si="8"/>
        <v>18</v>
      </c>
      <c r="C106" s="190" cm="1">
        <f t="array" aca="1" ref="C106" ca="1">VALUE(LEFT(TRIM(INDIRECT("'" &amp; INT((ROW()-2)/24)+1 &amp; "號'!B" &amp; MOD(ROW()-2,24)+10)), 2))</f>
        <v>16</v>
      </c>
      <c r="D106" s="190">
        <f t="shared" ca="1" si="9"/>
        <v>7</v>
      </c>
      <c r="E106" s="190" cm="1">
        <f t="array" aca="1" ref="E106" ca="1">INDIRECT("'" &amp; A106 &amp; "號'!" &amp; ADDRESS(B106, D106))</f>
        <v>27</v>
      </c>
      <c r="F106" s="190">
        <f t="shared" ca="1" si="10"/>
        <v>0</v>
      </c>
      <c r="G106" s="190">
        <f ca="1">IF(F106=0, 0, IF(AND(F105=1, C106&lt;&gt;8, OR(C106=C105+1, AND(C105=23, C106=0))), G105, MAX($G$1:G105)+1))</f>
        <v>0</v>
      </c>
      <c r="H106" s="194">
        <f t="shared" si="11"/>
        <v>5</v>
      </c>
    </row>
    <row r="107" spans="1:8">
      <c r="A107" s="190">
        <f t="shared" si="7"/>
        <v>5</v>
      </c>
      <c r="B107" s="193">
        <f t="shared" si="8"/>
        <v>19</v>
      </c>
      <c r="C107" s="190" cm="1">
        <f t="array" aca="1" ref="C107" ca="1">VALUE(LEFT(TRIM(INDIRECT("'" &amp; INT((ROW()-2)/24)+1 &amp; "號'!B" &amp; MOD(ROW()-2,24)+10)), 2))</f>
        <v>17</v>
      </c>
      <c r="D107" s="190">
        <f t="shared" ca="1" si="9"/>
        <v>7</v>
      </c>
      <c r="E107" s="190" cm="1">
        <f t="array" aca="1" ref="E107" ca="1">INDIRECT("'" &amp; A107 &amp; "號'!" &amp; ADDRESS(B107, D107))</f>
        <v>27</v>
      </c>
      <c r="F107" s="190">
        <f t="shared" ca="1" si="10"/>
        <v>0</v>
      </c>
      <c r="G107" s="190">
        <f ca="1">IF(F107=0, 0, IF(AND(F106=1, C107&lt;&gt;8, OR(C107=C106+1, AND(C106=23, C107=0))), G106, MAX($G$1:G106)+1))</f>
        <v>0</v>
      </c>
      <c r="H107" s="194">
        <f t="shared" si="11"/>
        <v>5</v>
      </c>
    </row>
    <row r="108" spans="1:8">
      <c r="A108" s="190">
        <f t="shared" si="7"/>
        <v>5</v>
      </c>
      <c r="B108" s="193">
        <f t="shared" si="8"/>
        <v>20</v>
      </c>
      <c r="C108" s="190" cm="1">
        <f t="array" aca="1" ref="C108" ca="1">VALUE(LEFT(TRIM(INDIRECT("'" &amp; INT((ROW()-2)/24)+1 &amp; "號'!B" &amp; MOD(ROW()-2,24)+10)), 2))</f>
        <v>18</v>
      </c>
      <c r="D108" s="190">
        <f t="shared" ca="1" si="9"/>
        <v>7</v>
      </c>
      <c r="E108" s="190" t="str" cm="1">
        <f t="array" aca="1" ref="E108" ca="1">INDIRECT("'" &amp; A108 &amp; "號'!" &amp; ADDRESS(B108, D108))</f>
        <v>12</v>
      </c>
      <c r="F108" s="190">
        <f t="shared" ca="1" si="10"/>
        <v>0</v>
      </c>
      <c r="G108" s="190">
        <f ca="1">IF(F108=0, 0, IF(AND(F107=1, C108&lt;&gt;8, OR(C108=C107+1, AND(C107=23, C108=0))), G107, MAX($G$1:G107)+1))</f>
        <v>0</v>
      </c>
      <c r="H108" s="194">
        <f t="shared" si="11"/>
        <v>5</v>
      </c>
    </row>
    <row r="109" spans="1:8">
      <c r="A109" s="190">
        <f t="shared" si="7"/>
        <v>5</v>
      </c>
      <c r="B109" s="193">
        <f t="shared" si="8"/>
        <v>21</v>
      </c>
      <c r="C109" s="190" cm="1">
        <f t="array" aca="1" ref="C109" ca="1">VALUE(LEFT(TRIM(INDIRECT("'" &amp; INT((ROW()-2)/24)+1 &amp; "號'!B" &amp; MOD(ROW()-2,24)+10)), 2))</f>
        <v>19</v>
      </c>
      <c r="D109" s="190">
        <f t="shared" ca="1" si="9"/>
        <v>7</v>
      </c>
      <c r="E109" s="190" t="str" cm="1">
        <f t="array" aca="1" ref="E109" ca="1">INDIRECT("'" &amp; A109 &amp; "號'!" &amp; ADDRESS(B109, D109))</f>
        <v>12</v>
      </c>
      <c r="F109" s="190">
        <f t="shared" ca="1" si="10"/>
        <v>0</v>
      </c>
      <c r="G109" s="190">
        <f ca="1">IF(F109=0, 0, IF(AND(F108=1, C109&lt;&gt;8, OR(C109=C108+1, AND(C108=23, C109=0))), G108, MAX($G$1:G108)+1))</f>
        <v>0</v>
      </c>
      <c r="H109" s="194">
        <f t="shared" si="11"/>
        <v>5</v>
      </c>
    </row>
    <row r="110" spans="1:8">
      <c r="A110" s="190">
        <f t="shared" si="7"/>
        <v>5</v>
      </c>
      <c r="B110" s="193">
        <f t="shared" si="8"/>
        <v>22</v>
      </c>
      <c r="C110" s="190" cm="1">
        <f t="array" aca="1" ref="C110" ca="1">VALUE(LEFT(TRIM(INDIRECT("'" &amp; INT((ROW()-2)/24)+1 &amp; "號'!B" &amp; MOD(ROW()-2,24)+10)), 2))</f>
        <v>20</v>
      </c>
      <c r="D110" s="190">
        <f t="shared" ca="1" si="9"/>
        <v>7</v>
      </c>
      <c r="E110" s="190" t="str" cm="1">
        <f t="array" aca="1" ref="E110" ca="1">INDIRECT("'" &amp; A110 &amp; "號'!" &amp; ADDRESS(B110, D110))</f>
        <v>8</v>
      </c>
      <c r="F110" s="190">
        <f t="shared" ca="1" si="10"/>
        <v>0</v>
      </c>
      <c r="G110" s="190">
        <f ca="1">IF(F110=0, 0, IF(AND(F109=1, C110&lt;&gt;8, OR(C110=C109+1, AND(C109=23, C110=0))), G109, MAX($G$1:G109)+1))</f>
        <v>0</v>
      </c>
      <c r="H110" s="194">
        <f t="shared" si="11"/>
        <v>5</v>
      </c>
    </row>
    <row r="111" spans="1:8">
      <c r="A111" s="190">
        <f t="shared" si="7"/>
        <v>5</v>
      </c>
      <c r="B111" s="193">
        <f t="shared" si="8"/>
        <v>23</v>
      </c>
      <c r="C111" s="190" cm="1">
        <f t="array" aca="1" ref="C111" ca="1">VALUE(LEFT(TRIM(INDIRECT("'" &amp; INT((ROW()-2)/24)+1 &amp; "號'!B" &amp; MOD(ROW()-2,24)+10)), 2))</f>
        <v>21</v>
      </c>
      <c r="D111" s="190">
        <f t="shared" ca="1" si="9"/>
        <v>7</v>
      </c>
      <c r="E111" s="190" t="str" cm="1">
        <f t="array" aca="1" ref="E111" ca="1">INDIRECT("'" &amp; A111 &amp; "號'!" &amp; ADDRESS(B111, D111))</f>
        <v>8</v>
      </c>
      <c r="F111" s="190">
        <f t="shared" ca="1" si="10"/>
        <v>0</v>
      </c>
      <c r="G111" s="190">
        <f ca="1">IF(F111=0, 0, IF(AND(F110=1, C111&lt;&gt;8, OR(C111=C110+1, AND(C110=23, C111=0))), G110, MAX($G$1:G110)+1))</f>
        <v>0</v>
      </c>
      <c r="H111" s="194">
        <f t="shared" si="11"/>
        <v>5</v>
      </c>
    </row>
    <row r="112" spans="1:8">
      <c r="A112" s="190">
        <f t="shared" si="7"/>
        <v>5</v>
      </c>
      <c r="B112" s="193">
        <f t="shared" si="8"/>
        <v>24</v>
      </c>
      <c r="C112" s="190" cm="1">
        <f t="array" aca="1" ref="C112" ca="1">VALUE(LEFT(TRIM(INDIRECT("'" &amp; INT((ROW()-2)/24)+1 &amp; "號'!B" &amp; MOD(ROW()-2,24)+10)), 2))</f>
        <v>22</v>
      </c>
      <c r="D112" s="190">
        <f t="shared" ca="1" si="9"/>
        <v>7</v>
      </c>
      <c r="E112" s="190" cm="1">
        <f t="array" aca="1" ref="E112" ca="1">INDIRECT("'" &amp; A112 &amp; "號'!" &amp; ADDRESS(B112, D112))</f>
        <v>15</v>
      </c>
      <c r="F112" s="190">
        <f t="shared" ca="1" si="10"/>
        <v>0</v>
      </c>
      <c r="G112" s="190">
        <f ca="1">IF(F112=0, 0, IF(AND(F111=1, C112&lt;&gt;8, OR(C112=C111+1, AND(C111=23, C112=0))), G111, MAX($G$1:G111)+1))</f>
        <v>0</v>
      </c>
      <c r="H112" s="194">
        <f t="shared" si="11"/>
        <v>5</v>
      </c>
    </row>
    <row r="113" spans="1:8">
      <c r="A113" s="190">
        <f t="shared" si="7"/>
        <v>5</v>
      </c>
      <c r="B113" s="193">
        <f t="shared" si="8"/>
        <v>25</v>
      </c>
      <c r="C113" s="190" cm="1">
        <f t="array" aca="1" ref="C113" ca="1">VALUE(LEFT(TRIM(INDIRECT("'" &amp; INT((ROW()-2)/24)+1 &amp; "號'!B" &amp; MOD(ROW()-2,24)+10)), 2))</f>
        <v>23</v>
      </c>
      <c r="D113" s="190">
        <f t="shared" ca="1" si="9"/>
        <v>7</v>
      </c>
      <c r="E113" s="190" cm="1">
        <f t="array" aca="1" ref="E113" ca="1">INDIRECT("'" &amp; A113 &amp; "號'!" &amp; ADDRESS(B113, D113))</f>
        <v>15</v>
      </c>
      <c r="F113" s="190">
        <f t="shared" ca="1" si="10"/>
        <v>0</v>
      </c>
      <c r="G113" s="190">
        <f ca="1">IF(F113=0, 0, IF(AND(F112=1, C113&lt;&gt;8, OR(C113=C112+1, AND(C112=23, C113=0))), G112, MAX($G$1:G112)+1))</f>
        <v>0</v>
      </c>
      <c r="H113" s="194">
        <f t="shared" si="11"/>
        <v>5</v>
      </c>
    </row>
    <row r="114" spans="1:8">
      <c r="A114" s="190">
        <f t="shared" si="7"/>
        <v>5</v>
      </c>
      <c r="B114" s="193">
        <f t="shared" si="8"/>
        <v>26</v>
      </c>
      <c r="C114" s="190" cm="1">
        <f t="array" aca="1" ref="C114" ca="1">VALUE(LEFT(TRIM(INDIRECT("'" &amp; INT((ROW()-2)/24)+1 &amp; "號'!B" &amp; MOD(ROW()-2,24)+10)), 2))</f>
        <v>0</v>
      </c>
      <c r="D114" s="190">
        <f t="shared" ca="1" si="9"/>
        <v>7</v>
      </c>
      <c r="E114" s="190" cm="1">
        <f t="array" aca="1" ref="E114" ca="1">INDIRECT("'" &amp; A114 &amp; "號'!" &amp; ADDRESS(B114, D114))</f>
        <v>3</v>
      </c>
      <c r="F114" s="190">
        <f t="shared" ca="1" si="10"/>
        <v>0</v>
      </c>
      <c r="G114" s="190">
        <f ca="1">IF(F114=0, 0, IF(AND(F113=1, C114&lt;&gt;8, OR(C114=C113+1, AND(C113=23, C114=0))), G113, MAX($G$1:G113)+1))</f>
        <v>0</v>
      </c>
      <c r="H114" s="194">
        <f t="shared" si="11"/>
        <v>5</v>
      </c>
    </row>
    <row r="115" spans="1:8">
      <c r="A115" s="190">
        <f t="shared" si="7"/>
        <v>5</v>
      </c>
      <c r="B115" s="193">
        <f t="shared" si="8"/>
        <v>27</v>
      </c>
      <c r="C115" s="190" cm="1">
        <f t="array" aca="1" ref="C115" ca="1">VALUE(LEFT(TRIM(INDIRECT("'" &amp; INT((ROW()-2)/24)+1 &amp; "號'!B" &amp; MOD(ROW()-2,24)+10)), 2))</f>
        <v>1</v>
      </c>
      <c r="D115" s="190">
        <f t="shared" ca="1" si="9"/>
        <v>7</v>
      </c>
      <c r="E115" s="190" cm="1">
        <f t="array" aca="1" ref="E115" ca="1">INDIRECT("'" &amp; A115 &amp; "號'!" &amp; ADDRESS(B115, D115))</f>
        <v>3</v>
      </c>
      <c r="F115" s="190">
        <f t="shared" ca="1" si="10"/>
        <v>0</v>
      </c>
      <c r="G115" s="190">
        <f ca="1">IF(F115=0, 0, IF(AND(F114=1, C115&lt;&gt;8, OR(C115=C114+1, AND(C114=23, C115=0))), G114, MAX($G$1:G114)+1))</f>
        <v>0</v>
      </c>
      <c r="H115" s="194">
        <f t="shared" si="11"/>
        <v>5</v>
      </c>
    </row>
    <row r="116" spans="1:8">
      <c r="A116" s="190">
        <f t="shared" si="7"/>
        <v>5</v>
      </c>
      <c r="B116" s="193">
        <f t="shared" si="8"/>
        <v>28</v>
      </c>
      <c r="C116" s="190" cm="1">
        <f t="array" aca="1" ref="C116" ca="1">VALUE(LEFT(TRIM(INDIRECT("'" &amp; INT((ROW()-2)/24)+1 &amp; "號'!B" &amp; MOD(ROW()-2,24)+10)), 2))</f>
        <v>2</v>
      </c>
      <c r="D116" s="190">
        <f t="shared" ca="1" si="9"/>
        <v>7</v>
      </c>
      <c r="E116" s="190" t="str" cm="1">
        <f t="array" aca="1" ref="E116" ca="1">INDIRECT("'" &amp; A116 &amp; "號'!" &amp; ADDRESS(B116, D116))</f>
        <v/>
      </c>
      <c r="F116" s="190">
        <f t="shared" ca="1" si="10"/>
        <v>0</v>
      </c>
      <c r="G116" s="190">
        <f ca="1">IF(F116=0, 0, IF(AND(F115=1, C116&lt;&gt;8, OR(C116=C115+1, AND(C115=23, C116=0))), G115, MAX($G$1:G115)+1))</f>
        <v>0</v>
      </c>
      <c r="H116" s="194">
        <f t="shared" si="11"/>
        <v>5</v>
      </c>
    </row>
    <row r="117" spans="1:8">
      <c r="A117" s="190">
        <f t="shared" si="7"/>
        <v>5</v>
      </c>
      <c r="B117" s="193">
        <f t="shared" si="8"/>
        <v>29</v>
      </c>
      <c r="C117" s="190" cm="1">
        <f t="array" aca="1" ref="C117" ca="1">VALUE(LEFT(TRIM(INDIRECT("'" &amp; INT((ROW()-2)/24)+1 &amp; "號'!B" &amp; MOD(ROW()-2,24)+10)), 2))</f>
        <v>3</v>
      </c>
      <c r="D117" s="190">
        <f t="shared" ca="1" si="9"/>
        <v>7</v>
      </c>
      <c r="E117" s="190" t="str" cm="1">
        <f t="array" aca="1" ref="E117" ca="1">INDIRECT("'" &amp; A117 &amp; "號'!" &amp; ADDRESS(B117, D117))</f>
        <v/>
      </c>
      <c r="F117" s="190">
        <f t="shared" ca="1" si="10"/>
        <v>0</v>
      </c>
      <c r="G117" s="190">
        <f ca="1">IF(F117=0, 0, IF(AND(F116=1, C117&lt;&gt;8, OR(C117=C116+1, AND(C116=23, C117=0))), G116, MAX($G$1:G116)+1))</f>
        <v>0</v>
      </c>
      <c r="H117" s="194">
        <f t="shared" si="11"/>
        <v>5</v>
      </c>
    </row>
    <row r="118" spans="1:8">
      <c r="A118" s="190">
        <f t="shared" si="7"/>
        <v>5</v>
      </c>
      <c r="B118" s="193">
        <f t="shared" si="8"/>
        <v>30</v>
      </c>
      <c r="C118" s="190" cm="1">
        <f t="array" aca="1" ref="C118" ca="1">VALUE(LEFT(TRIM(INDIRECT("'" &amp; INT((ROW()-2)/24)+1 &amp; "號'!B" &amp; MOD(ROW()-2,24)+10)), 2))</f>
        <v>4</v>
      </c>
      <c r="D118" s="190">
        <f t="shared" ca="1" si="9"/>
        <v>7</v>
      </c>
      <c r="E118" s="190" t="str" cm="1">
        <f t="array" aca="1" ref="E118" ca="1">INDIRECT("'" &amp; A118 &amp; "號'!" &amp; ADDRESS(B118, D118))</f>
        <v/>
      </c>
      <c r="F118" s="190">
        <f t="shared" ca="1" si="10"/>
        <v>0</v>
      </c>
      <c r="G118" s="190">
        <f ca="1">IF(F118=0, 0, IF(AND(F117=1, C118&lt;&gt;8, OR(C118=C117+1, AND(C117=23, C118=0))), G117, MAX($G$1:G117)+1))</f>
        <v>0</v>
      </c>
      <c r="H118" s="194">
        <f t="shared" si="11"/>
        <v>5</v>
      </c>
    </row>
    <row r="119" spans="1:8">
      <c r="A119" s="190">
        <f t="shared" si="7"/>
        <v>5</v>
      </c>
      <c r="B119" s="193">
        <f t="shared" si="8"/>
        <v>31</v>
      </c>
      <c r="C119" s="190" cm="1">
        <f t="array" aca="1" ref="C119" ca="1">VALUE(LEFT(TRIM(INDIRECT("'" &amp; INT((ROW()-2)/24)+1 &amp; "號'!B" &amp; MOD(ROW()-2,24)+10)), 2))</f>
        <v>5</v>
      </c>
      <c r="D119" s="190">
        <f t="shared" ca="1" si="9"/>
        <v>7</v>
      </c>
      <c r="E119" s="190" t="str" cm="1">
        <f t="array" aca="1" ref="E119" ca="1">INDIRECT("'" &amp; A119 &amp; "號'!" &amp; ADDRESS(B119, D119))</f>
        <v/>
      </c>
      <c r="F119" s="190">
        <f t="shared" ca="1" si="10"/>
        <v>0</v>
      </c>
      <c r="G119" s="190">
        <f ca="1">IF(F119=0, 0, IF(AND(F118=1, C119&lt;&gt;8, OR(C119=C118+1, AND(C118=23, C119=0))), G118, MAX($G$1:G118)+1))</f>
        <v>0</v>
      </c>
      <c r="H119" s="194">
        <f t="shared" si="11"/>
        <v>5</v>
      </c>
    </row>
    <row r="120" spans="1:8">
      <c r="A120" s="190">
        <f t="shared" si="7"/>
        <v>5</v>
      </c>
      <c r="B120" s="193">
        <f t="shared" si="8"/>
        <v>32</v>
      </c>
      <c r="C120" s="190" cm="1">
        <f t="array" aca="1" ref="C120" ca="1">VALUE(LEFT(TRIM(INDIRECT("'" &amp; INT((ROW()-2)/24)+1 &amp; "號'!B" &amp; MOD(ROW()-2,24)+10)), 2))</f>
        <v>6</v>
      </c>
      <c r="D120" s="190">
        <f t="shared" ca="1" si="9"/>
        <v>7</v>
      </c>
      <c r="E120" s="190" t="str" cm="1">
        <f t="array" aca="1" ref="E120" ca="1">INDIRECT("'" &amp; A120 &amp; "號'!" &amp; ADDRESS(B120, D120))</f>
        <v>9,1</v>
      </c>
      <c r="F120" s="190">
        <f t="shared" ca="1" si="10"/>
        <v>0</v>
      </c>
      <c r="G120" s="190">
        <f ca="1">IF(F120=0, 0, IF(AND(F119=1, C120&lt;&gt;8, OR(C120=C119+1, AND(C119=23, C120=0))), G119, MAX($G$1:G119)+1))</f>
        <v>0</v>
      </c>
      <c r="H120" s="194">
        <f t="shared" si="11"/>
        <v>5</v>
      </c>
    </row>
    <row r="121" spans="1:8">
      <c r="A121" s="190">
        <f t="shared" si="7"/>
        <v>5</v>
      </c>
      <c r="B121" s="193">
        <f t="shared" si="8"/>
        <v>33</v>
      </c>
      <c r="C121" s="190" cm="1">
        <f t="array" aca="1" ref="C121" ca="1">VALUE(LEFT(TRIM(INDIRECT("'" &amp; INT((ROW()-2)/24)+1 &amp; "號'!B" &amp; MOD(ROW()-2,24)+10)), 2))</f>
        <v>7</v>
      </c>
      <c r="D121" s="190">
        <f t="shared" ca="1" si="9"/>
        <v>7</v>
      </c>
      <c r="E121" s="190" t="str" cm="1">
        <f t="array" aca="1" ref="E121" ca="1">INDIRECT("'" &amp; A121 &amp; "號'!" &amp; ADDRESS(B121, D121))</f>
        <v>9,1</v>
      </c>
      <c r="F121" s="190">
        <f t="shared" ca="1" si="10"/>
        <v>0</v>
      </c>
      <c r="G121" s="190">
        <f ca="1">IF(F121=0, 0, IF(AND(F120=1, C121&lt;&gt;8, OR(C121=C120+1, AND(C120=23, C121=0))), G120, MAX($G$1:G120)+1))</f>
        <v>0</v>
      </c>
      <c r="H121" s="194">
        <f t="shared" si="11"/>
        <v>5</v>
      </c>
    </row>
    <row r="122" spans="1:8">
      <c r="A122" s="190">
        <f t="shared" si="7"/>
        <v>6</v>
      </c>
      <c r="B122" s="193">
        <f t="shared" si="8"/>
        <v>10</v>
      </c>
      <c r="C122" s="190" cm="1">
        <f t="array" aca="1" ref="C122" ca="1">VALUE(LEFT(TRIM(INDIRECT("'" &amp; INT((ROW()-2)/24)+1 &amp; "號'!B" &amp; MOD(ROW()-2,24)+10)), 2))</f>
        <v>8</v>
      </c>
      <c r="D122" s="190">
        <f t="shared" ca="1" si="9"/>
        <v>7</v>
      </c>
      <c r="E122" s="190" t="str" cm="1">
        <f t="array" aca="1" ref="E122" ca="1">INDIRECT("'" &amp; A122 &amp; "號'!" &amp; ADDRESS(B122, D122))</f>
        <v>10,2</v>
      </c>
      <c r="F122" s="190">
        <f t="shared" ca="1" si="10"/>
        <v>0</v>
      </c>
      <c r="G122" s="190">
        <f ca="1">IF(F122=0, 0, IF(AND(F121=1, C122&lt;&gt;8, OR(C122=C121+1, AND(C121=23, C122=0))), G121, MAX($G$1:G121)+1))</f>
        <v>0</v>
      </c>
      <c r="H122" s="194">
        <f t="shared" si="11"/>
        <v>6</v>
      </c>
    </row>
    <row r="123" spans="1:8">
      <c r="A123" s="190">
        <f t="shared" si="7"/>
        <v>6</v>
      </c>
      <c r="B123" s="193">
        <f t="shared" si="8"/>
        <v>11</v>
      </c>
      <c r="C123" s="190" cm="1">
        <f t="array" aca="1" ref="C123" ca="1">VALUE(LEFT(TRIM(INDIRECT("'" &amp; INT((ROW()-2)/24)+1 &amp; "號'!B" &amp; MOD(ROW()-2,24)+10)), 2))</f>
        <v>9</v>
      </c>
      <c r="D123" s="190">
        <f t="shared" ca="1" si="9"/>
        <v>7</v>
      </c>
      <c r="E123" s="190" t="str" cm="1">
        <f t="array" aca="1" ref="E123" ca="1">INDIRECT("'" &amp; A123 &amp; "號'!" &amp; ADDRESS(B123, D123))</f>
        <v>10,2</v>
      </c>
      <c r="F123" s="190">
        <f t="shared" ca="1" si="10"/>
        <v>0</v>
      </c>
      <c r="G123" s="190">
        <f ca="1">IF(F123=0, 0, IF(AND(F122=1, C123&lt;&gt;8, OR(C123=C122+1, AND(C122=23, C123=0))), G122, MAX($G$1:G122)+1))</f>
        <v>0</v>
      </c>
      <c r="H123" s="194">
        <f t="shared" si="11"/>
        <v>6</v>
      </c>
    </row>
    <row r="124" spans="1:8">
      <c r="A124" s="190">
        <f t="shared" si="7"/>
        <v>6</v>
      </c>
      <c r="B124" s="193">
        <f t="shared" si="8"/>
        <v>12</v>
      </c>
      <c r="C124" s="190" cm="1">
        <f t="array" aca="1" ref="C124" ca="1">VALUE(LEFT(TRIM(INDIRECT("'" &amp; INT((ROW()-2)/24)+1 &amp; "號'!B" &amp; MOD(ROW()-2,24)+10)), 2))</f>
        <v>10</v>
      </c>
      <c r="D124" s="190">
        <f t="shared" ca="1" si="9"/>
        <v>7</v>
      </c>
      <c r="E124" s="190" cm="1">
        <f t="array" aca="1" ref="E124" ca="1">INDIRECT("'" &amp; A124 &amp; "號'!" &amp; ADDRESS(B124, D124))</f>
        <v>10</v>
      </c>
      <c r="F124" s="190">
        <f t="shared" ca="1" si="10"/>
        <v>0</v>
      </c>
      <c r="G124" s="190">
        <f ca="1">IF(F124=0, 0, IF(AND(F123=1, C124&lt;&gt;8, OR(C124=C123+1, AND(C123=23, C124=0))), G123, MAX($G$1:G123)+1))</f>
        <v>0</v>
      </c>
      <c r="H124" s="194">
        <f t="shared" si="11"/>
        <v>6</v>
      </c>
    </row>
    <row r="125" spans="1:8">
      <c r="A125" s="190">
        <f t="shared" si="7"/>
        <v>6</v>
      </c>
      <c r="B125" s="193">
        <f t="shared" si="8"/>
        <v>13</v>
      </c>
      <c r="C125" s="190" cm="1">
        <f t="array" aca="1" ref="C125" ca="1">VALUE(LEFT(TRIM(INDIRECT("'" &amp; INT((ROW()-2)/24)+1 &amp; "號'!B" &amp; MOD(ROW()-2,24)+10)), 2))</f>
        <v>11</v>
      </c>
      <c r="D125" s="190">
        <f t="shared" ca="1" si="9"/>
        <v>7</v>
      </c>
      <c r="E125" s="190" cm="1">
        <f t="array" aca="1" ref="E125" ca="1">INDIRECT("'" &amp; A125 &amp; "號'!" &amp; ADDRESS(B125, D125))</f>
        <v>10</v>
      </c>
      <c r="F125" s="190">
        <f t="shared" ca="1" si="10"/>
        <v>0</v>
      </c>
      <c r="G125" s="190">
        <f ca="1">IF(F125=0, 0, IF(AND(F124=1, C125&lt;&gt;8, OR(C125=C124+1, AND(C124=23, C125=0))), G124, MAX($G$1:G124)+1))</f>
        <v>0</v>
      </c>
      <c r="H125" s="194">
        <f t="shared" si="11"/>
        <v>6</v>
      </c>
    </row>
    <row r="126" spans="1:8">
      <c r="A126" s="190">
        <f t="shared" si="7"/>
        <v>6</v>
      </c>
      <c r="B126" s="193">
        <f t="shared" si="8"/>
        <v>14</v>
      </c>
      <c r="C126" s="190" cm="1">
        <f t="array" aca="1" ref="C126" ca="1">VALUE(LEFT(TRIM(INDIRECT("'" &amp; INT((ROW()-2)/24)+1 &amp; "號'!B" &amp; MOD(ROW()-2,24)+10)), 2))</f>
        <v>12</v>
      </c>
      <c r="D126" s="190">
        <f t="shared" ca="1" si="9"/>
        <v>7</v>
      </c>
      <c r="E126" s="190" t="str" cm="1">
        <f t="array" aca="1" ref="E126" ca="1">INDIRECT("'" &amp; A126 &amp; "號'!" &amp; ADDRESS(B126, D126))</f>
        <v>25</v>
      </c>
      <c r="F126" s="190">
        <f t="shared" ca="1" si="10"/>
        <v>0</v>
      </c>
      <c r="G126" s="190">
        <f ca="1">IF(F126=0, 0, IF(AND(F125=1, C126&lt;&gt;8, OR(C126=C125+1, AND(C125=23, C126=0))), G125, MAX($G$1:G125)+1))</f>
        <v>0</v>
      </c>
      <c r="H126" s="194">
        <f t="shared" si="11"/>
        <v>6</v>
      </c>
    </row>
    <row r="127" spans="1:8">
      <c r="A127" s="190">
        <f t="shared" si="7"/>
        <v>6</v>
      </c>
      <c r="B127" s="193">
        <f t="shared" si="8"/>
        <v>15</v>
      </c>
      <c r="C127" s="190" cm="1">
        <f t="array" aca="1" ref="C127" ca="1">VALUE(LEFT(TRIM(INDIRECT("'" &amp; INT((ROW()-2)/24)+1 &amp; "號'!B" &amp; MOD(ROW()-2,24)+10)), 2))</f>
        <v>13</v>
      </c>
      <c r="D127" s="190">
        <f t="shared" ca="1" si="9"/>
        <v>7</v>
      </c>
      <c r="E127" s="190" t="str" cm="1">
        <f t="array" aca="1" ref="E127" ca="1">INDIRECT("'" &amp; A127 &amp; "號'!" &amp; ADDRESS(B127, D127))</f>
        <v>25</v>
      </c>
      <c r="F127" s="190">
        <f t="shared" ca="1" si="10"/>
        <v>0</v>
      </c>
      <c r="G127" s="190">
        <f ca="1">IF(F127=0, 0, IF(AND(F126=1, C127&lt;&gt;8, OR(C127=C126+1, AND(C126=23, C127=0))), G126, MAX($G$1:G126)+1))</f>
        <v>0</v>
      </c>
      <c r="H127" s="194">
        <f t="shared" si="11"/>
        <v>6</v>
      </c>
    </row>
    <row r="128" spans="1:8">
      <c r="A128" s="190">
        <f t="shared" si="7"/>
        <v>6</v>
      </c>
      <c r="B128" s="193">
        <f t="shared" si="8"/>
        <v>16</v>
      </c>
      <c r="C128" s="190" cm="1">
        <f t="array" aca="1" ref="C128" ca="1">VALUE(LEFT(TRIM(INDIRECT("'" &amp; INT((ROW()-2)/24)+1 &amp; "號'!B" &amp; MOD(ROW()-2,24)+10)), 2))</f>
        <v>14</v>
      </c>
      <c r="D128" s="190">
        <f t="shared" ca="1" si="9"/>
        <v>7</v>
      </c>
      <c r="E128" s="190" t="str" cm="1">
        <f t="array" aca="1" ref="E128" ca="1">INDIRECT("'" &amp; A128 &amp; "號'!" &amp; ADDRESS(B128, D128))</f>
        <v/>
      </c>
      <c r="F128" s="190">
        <f t="shared" ca="1" si="10"/>
        <v>0</v>
      </c>
      <c r="G128" s="190">
        <f ca="1">IF(F128=0, 0, IF(AND(F127=1, C128&lt;&gt;8, OR(C128=C127+1, AND(C127=23, C128=0))), G127, MAX($G$1:G127)+1))</f>
        <v>0</v>
      </c>
      <c r="H128" s="194">
        <f t="shared" si="11"/>
        <v>6</v>
      </c>
    </row>
    <row r="129" spans="1:8">
      <c r="A129" s="190">
        <f t="shared" si="7"/>
        <v>6</v>
      </c>
      <c r="B129" s="193">
        <f t="shared" si="8"/>
        <v>17</v>
      </c>
      <c r="C129" s="190" cm="1">
        <f t="array" aca="1" ref="C129" ca="1">VALUE(LEFT(TRIM(INDIRECT("'" &amp; INT((ROW()-2)/24)+1 &amp; "號'!B" &amp; MOD(ROW()-2,24)+10)), 2))</f>
        <v>15</v>
      </c>
      <c r="D129" s="190">
        <f t="shared" ca="1" si="9"/>
        <v>7</v>
      </c>
      <c r="E129" s="190" t="str" cm="1">
        <f t="array" aca="1" ref="E129" ca="1">INDIRECT("'" &amp; A129 &amp; "號'!" &amp; ADDRESS(B129, D129))</f>
        <v/>
      </c>
      <c r="F129" s="190">
        <f t="shared" ca="1" si="10"/>
        <v>0</v>
      </c>
      <c r="G129" s="190">
        <f ca="1">IF(F129=0, 0, IF(AND(F128=1, C129&lt;&gt;8, OR(C129=C128+1, AND(C128=23, C129=0))), G128, MAX($G$1:G128)+1))</f>
        <v>0</v>
      </c>
      <c r="H129" s="194">
        <f t="shared" si="11"/>
        <v>6</v>
      </c>
    </row>
    <row r="130" spans="1:8">
      <c r="A130" s="190">
        <f t="shared" si="7"/>
        <v>6</v>
      </c>
      <c r="B130" s="193">
        <f t="shared" si="8"/>
        <v>18</v>
      </c>
      <c r="C130" s="190" cm="1">
        <f t="array" aca="1" ref="C130" ca="1">VALUE(LEFT(TRIM(INDIRECT("'" &amp; INT((ROW()-2)/24)+1 &amp; "號'!B" &amp; MOD(ROW()-2,24)+10)), 2))</f>
        <v>16</v>
      </c>
      <c r="D130" s="190">
        <f t="shared" ca="1" si="9"/>
        <v>7</v>
      </c>
      <c r="E130" s="190" cm="1">
        <f t="array" aca="1" ref="E130" ca="1">INDIRECT("'" &amp; A130 &amp; "號'!" &amp; ADDRESS(B130, D130))</f>
        <v>0</v>
      </c>
      <c r="F130" s="190">
        <f t="shared" ca="1" si="10"/>
        <v>0</v>
      </c>
      <c r="G130" s="190">
        <f ca="1">IF(F130=0, 0, IF(AND(F129=1, C130&lt;&gt;8, OR(C130=C129+1, AND(C129=23, C130=0))), G129, MAX($G$1:G129)+1))</f>
        <v>0</v>
      </c>
      <c r="H130" s="194">
        <f t="shared" si="11"/>
        <v>6</v>
      </c>
    </row>
    <row r="131" spans="1:8">
      <c r="A131" s="190">
        <f t="shared" ref="A131:A194" si="12">INT((ROW()-2)/24)+1</f>
        <v>6</v>
      </c>
      <c r="B131" s="193">
        <f t="shared" ref="B131:B194" si="13">MOD(ROW()-2, 24)+10</f>
        <v>19</v>
      </c>
      <c r="C131" s="190" cm="1">
        <f t="array" aca="1" ref="C131" ca="1">VALUE(LEFT(TRIM(INDIRECT("'" &amp; INT((ROW()-2)/24)+1 &amp; "號'!B" &amp; MOD(ROW()-2,24)+10)), 2))</f>
        <v>17</v>
      </c>
      <c r="D131" s="190">
        <f t="shared" ref="D131:D194" ca="1" si="14">MAX(IFERROR(MATCH("*休息*", INDIRECT("'" &amp; A131 &amp; "號'!$5:$5"), 0), 0), IFERROR(MATCH("*休息*", INDIRECT("'" &amp; A131 &amp; "號'!$6:$6"), 0), 0), IFERROR(MATCH("*休息*", INDIRECT("'" &amp; A131 &amp; "號'!$7:$7"), 0), 0))</f>
        <v>7</v>
      </c>
      <c r="E131" s="190" cm="1">
        <f t="array" aca="1" ref="E131" ca="1">INDIRECT("'" &amp; A131 &amp; "號'!" &amp; ADDRESS(B131, D131))</f>
        <v>0</v>
      </c>
      <c r="F131" s="190">
        <f t="shared" ref="F131:F194" ca="1" si="15">IF(ISNUMBER(SEARCH(","&amp;$A$1&amp;",", ","&amp;SUBSTITUTE(SUBSTITUTE(E131," ",""),"，",",")&amp;",")), 1, 0)</f>
        <v>0</v>
      </c>
      <c r="G131" s="190">
        <f ca="1">IF(F131=0, 0, IF(AND(F130=1, C131&lt;&gt;8, OR(C131=C130+1, AND(C130=23, C131=0))), G130, MAX($G$1:G130)+1))</f>
        <v>0</v>
      </c>
      <c r="H131" s="194">
        <f t="shared" ref="H131:H194" si="16" xml:space="preserve"> A131</f>
        <v>6</v>
      </c>
    </row>
    <row r="132" spans="1:8">
      <c r="A132" s="190">
        <f t="shared" si="12"/>
        <v>6</v>
      </c>
      <c r="B132" s="193">
        <f t="shared" si="13"/>
        <v>20</v>
      </c>
      <c r="C132" s="190" cm="1">
        <f t="array" aca="1" ref="C132" ca="1">VALUE(LEFT(TRIM(INDIRECT("'" &amp; INT((ROW()-2)/24)+1 &amp; "號'!B" &amp; MOD(ROW()-2,24)+10)), 2))</f>
        <v>18</v>
      </c>
      <c r="D132" s="190">
        <f t="shared" ca="1" si="14"/>
        <v>7</v>
      </c>
      <c r="E132" s="190" t="str" cm="1">
        <f t="array" aca="1" ref="E132" ca="1">INDIRECT("'" &amp; A132 &amp; "號'!" &amp; ADDRESS(B132, D132))</f>
        <v>6,17</v>
      </c>
      <c r="F132" s="190">
        <f t="shared" ca="1" si="15"/>
        <v>0</v>
      </c>
      <c r="G132" s="190">
        <f ca="1">IF(F132=0, 0, IF(AND(F131=1, C132&lt;&gt;8, OR(C132=C131+1, AND(C131=23, C132=0))), G131, MAX($G$1:G131)+1))</f>
        <v>0</v>
      </c>
      <c r="H132" s="194">
        <f t="shared" si="16"/>
        <v>6</v>
      </c>
    </row>
    <row r="133" spans="1:8">
      <c r="A133" s="190">
        <f t="shared" si="12"/>
        <v>6</v>
      </c>
      <c r="B133" s="193">
        <f t="shared" si="13"/>
        <v>21</v>
      </c>
      <c r="C133" s="190" cm="1">
        <f t="array" aca="1" ref="C133" ca="1">VALUE(LEFT(TRIM(INDIRECT("'" &amp; INT((ROW()-2)/24)+1 &amp; "號'!B" &amp; MOD(ROW()-2,24)+10)), 2))</f>
        <v>19</v>
      </c>
      <c r="D133" s="190">
        <f t="shared" ca="1" si="14"/>
        <v>7</v>
      </c>
      <c r="E133" s="190" t="str" cm="1">
        <f t="array" aca="1" ref="E133" ca="1">INDIRECT("'" &amp; A133 &amp; "號'!" &amp; ADDRESS(B133, D133))</f>
        <v>6,17</v>
      </c>
      <c r="F133" s="190">
        <f t="shared" ca="1" si="15"/>
        <v>0</v>
      </c>
      <c r="G133" s="190">
        <f ca="1">IF(F133=0, 0, IF(AND(F132=1, C133&lt;&gt;8, OR(C133=C132+1, AND(C132=23, C133=0))), G132, MAX($G$1:G132)+1))</f>
        <v>0</v>
      </c>
      <c r="H133" s="194">
        <f t="shared" si="16"/>
        <v>6</v>
      </c>
    </row>
    <row r="134" spans="1:8">
      <c r="A134" s="190">
        <f t="shared" si="12"/>
        <v>6</v>
      </c>
      <c r="B134" s="193">
        <f t="shared" si="13"/>
        <v>22</v>
      </c>
      <c r="C134" s="190" cm="1">
        <f t="array" aca="1" ref="C134" ca="1">VALUE(LEFT(TRIM(INDIRECT("'" &amp; INT((ROW()-2)/24)+1 &amp; "號'!B" &amp; MOD(ROW()-2,24)+10)), 2))</f>
        <v>20</v>
      </c>
      <c r="D134" s="190">
        <f t="shared" ca="1" si="14"/>
        <v>7</v>
      </c>
      <c r="E134" s="190" t="str" cm="1">
        <f t="array" aca="1" ref="E134" ca="1">INDIRECT("'" &amp; A134 &amp; "號'!" &amp; ADDRESS(B134, D134))</f>
        <v>26</v>
      </c>
      <c r="F134" s="190">
        <f t="shared" ca="1" si="15"/>
        <v>0</v>
      </c>
      <c r="G134" s="190">
        <f ca="1">IF(F134=0, 0, IF(AND(F133=1, C134&lt;&gt;8, OR(C134=C133+1, AND(C133=23, C134=0))), G133, MAX($G$1:G133)+1))</f>
        <v>0</v>
      </c>
      <c r="H134" s="194">
        <f t="shared" si="16"/>
        <v>6</v>
      </c>
    </row>
    <row r="135" spans="1:8">
      <c r="A135" s="190">
        <f t="shared" si="12"/>
        <v>6</v>
      </c>
      <c r="B135" s="193">
        <f t="shared" si="13"/>
        <v>23</v>
      </c>
      <c r="C135" s="190" cm="1">
        <f t="array" aca="1" ref="C135" ca="1">VALUE(LEFT(TRIM(INDIRECT("'" &amp; INT((ROW()-2)/24)+1 &amp; "號'!B" &amp; MOD(ROW()-2,24)+10)), 2))</f>
        <v>21</v>
      </c>
      <c r="D135" s="190">
        <f t="shared" ca="1" si="14"/>
        <v>7</v>
      </c>
      <c r="E135" s="190" t="str" cm="1">
        <f t="array" aca="1" ref="E135" ca="1">INDIRECT("'" &amp; A135 &amp; "號'!" &amp; ADDRESS(B135, D135))</f>
        <v>26</v>
      </c>
      <c r="F135" s="190">
        <f t="shared" ca="1" si="15"/>
        <v>0</v>
      </c>
      <c r="G135" s="190">
        <f ca="1">IF(F135=0, 0, IF(AND(F134=1, C135&lt;&gt;8, OR(C135=C134+1, AND(C134=23, C135=0))), G134, MAX($G$1:G134)+1))</f>
        <v>0</v>
      </c>
      <c r="H135" s="194">
        <f t="shared" si="16"/>
        <v>6</v>
      </c>
    </row>
    <row r="136" spans="1:8">
      <c r="A136" s="190">
        <f t="shared" si="12"/>
        <v>6</v>
      </c>
      <c r="B136" s="193">
        <f t="shared" si="13"/>
        <v>24</v>
      </c>
      <c r="C136" s="190" cm="1">
        <f t="array" aca="1" ref="C136" ca="1">VALUE(LEFT(TRIM(INDIRECT("'" &amp; INT((ROW()-2)/24)+1 &amp; "號'!B" &amp; MOD(ROW()-2,24)+10)), 2))</f>
        <v>22</v>
      </c>
      <c r="D136" s="190">
        <f t="shared" ca="1" si="14"/>
        <v>7</v>
      </c>
      <c r="E136" s="190" cm="1">
        <f t="array" aca="1" ref="E136" ca="1">INDIRECT("'" &amp; A136 &amp; "號'!" &amp; ADDRESS(B136, D136))</f>
        <v>21</v>
      </c>
      <c r="F136" s="190">
        <f t="shared" ca="1" si="15"/>
        <v>0</v>
      </c>
      <c r="G136" s="190">
        <f ca="1">IF(F136=0, 0, IF(AND(F135=1, C136&lt;&gt;8, OR(C136=C135+1, AND(C135=23, C136=0))), G135, MAX($G$1:G135)+1))</f>
        <v>0</v>
      </c>
      <c r="H136" s="194">
        <f t="shared" si="16"/>
        <v>6</v>
      </c>
    </row>
    <row r="137" spans="1:8">
      <c r="A137" s="190">
        <f t="shared" si="12"/>
        <v>6</v>
      </c>
      <c r="B137" s="193">
        <f t="shared" si="13"/>
        <v>25</v>
      </c>
      <c r="C137" s="190" cm="1">
        <f t="array" aca="1" ref="C137" ca="1">VALUE(LEFT(TRIM(INDIRECT("'" &amp; INT((ROW()-2)/24)+1 &amp; "號'!B" &amp; MOD(ROW()-2,24)+10)), 2))</f>
        <v>23</v>
      </c>
      <c r="D137" s="190">
        <f t="shared" ca="1" si="14"/>
        <v>7</v>
      </c>
      <c r="E137" s="190" cm="1">
        <f t="array" aca="1" ref="E137" ca="1">INDIRECT("'" &amp; A137 &amp; "號'!" &amp; ADDRESS(B137, D137))</f>
        <v>21</v>
      </c>
      <c r="F137" s="190">
        <f t="shared" ca="1" si="15"/>
        <v>0</v>
      </c>
      <c r="G137" s="190">
        <f ca="1">IF(F137=0, 0, IF(AND(F136=1, C137&lt;&gt;8, OR(C137=C136+1, AND(C136=23, C137=0))), G136, MAX($G$1:G136)+1))</f>
        <v>0</v>
      </c>
      <c r="H137" s="194">
        <f t="shared" si="16"/>
        <v>6</v>
      </c>
    </row>
    <row r="138" spans="1:8">
      <c r="A138" s="190">
        <f t="shared" si="12"/>
        <v>6</v>
      </c>
      <c r="B138" s="193">
        <f t="shared" si="13"/>
        <v>26</v>
      </c>
      <c r="C138" s="190" cm="1">
        <f t="array" aca="1" ref="C138" ca="1">VALUE(LEFT(TRIM(INDIRECT("'" &amp; INT((ROW()-2)/24)+1 &amp; "號'!B" &amp; MOD(ROW()-2,24)+10)), 2))</f>
        <v>0</v>
      </c>
      <c r="D138" s="190">
        <f t="shared" ca="1" si="14"/>
        <v>7</v>
      </c>
      <c r="E138" s="190" cm="1">
        <f t="array" aca="1" ref="E138" ca="1">INDIRECT("'" &amp; A138 &amp; "號'!" &amp; ADDRESS(B138, D138))</f>
        <v>0</v>
      </c>
      <c r="F138" s="190">
        <f t="shared" ca="1" si="15"/>
        <v>0</v>
      </c>
      <c r="G138" s="190">
        <f ca="1">IF(F138=0, 0, IF(AND(F137=1, C138&lt;&gt;8, OR(C138=C137+1, AND(C137=23, C138=0))), G137, MAX($G$1:G137)+1))</f>
        <v>0</v>
      </c>
      <c r="H138" s="194">
        <f t="shared" si="16"/>
        <v>6</v>
      </c>
    </row>
    <row r="139" spans="1:8">
      <c r="A139" s="190">
        <f t="shared" si="12"/>
        <v>6</v>
      </c>
      <c r="B139" s="193">
        <f t="shared" si="13"/>
        <v>27</v>
      </c>
      <c r="C139" s="190" cm="1">
        <f t="array" aca="1" ref="C139" ca="1">VALUE(LEFT(TRIM(INDIRECT("'" &amp; INT((ROW()-2)/24)+1 &amp; "號'!B" &amp; MOD(ROW()-2,24)+10)), 2))</f>
        <v>1</v>
      </c>
      <c r="D139" s="190">
        <f t="shared" ca="1" si="14"/>
        <v>7</v>
      </c>
      <c r="E139" s="190" cm="1">
        <f t="array" aca="1" ref="E139" ca="1">INDIRECT("'" &amp; A139 &amp; "號'!" &amp; ADDRESS(B139, D139))</f>
        <v>0</v>
      </c>
      <c r="F139" s="190">
        <f t="shared" ca="1" si="15"/>
        <v>0</v>
      </c>
      <c r="G139" s="190">
        <f ca="1">IF(F139=0, 0, IF(AND(F138=1, C139&lt;&gt;8, OR(C139=C138+1, AND(C138=23, C139=0))), G138, MAX($G$1:G138)+1))</f>
        <v>0</v>
      </c>
      <c r="H139" s="194">
        <f t="shared" si="16"/>
        <v>6</v>
      </c>
    </row>
    <row r="140" spans="1:8">
      <c r="A140" s="190">
        <f t="shared" si="12"/>
        <v>6</v>
      </c>
      <c r="B140" s="193">
        <f t="shared" si="13"/>
        <v>28</v>
      </c>
      <c r="C140" s="190" cm="1">
        <f t="array" aca="1" ref="C140" ca="1">VALUE(LEFT(TRIM(INDIRECT("'" &amp; INT((ROW()-2)/24)+1 &amp; "號'!B" &amp; MOD(ROW()-2,24)+10)), 2))</f>
        <v>2</v>
      </c>
      <c r="D140" s="190">
        <f t="shared" ca="1" si="14"/>
        <v>7</v>
      </c>
      <c r="E140" s="190" t="str" cm="1">
        <f t="array" aca="1" ref="E140" ca="1">INDIRECT("'" &amp; A140 &amp; "號'!" &amp; ADDRESS(B140, D140))</f>
        <v/>
      </c>
      <c r="F140" s="190">
        <f t="shared" ca="1" si="15"/>
        <v>0</v>
      </c>
      <c r="G140" s="190">
        <f ca="1">IF(F140=0, 0, IF(AND(F139=1, C140&lt;&gt;8, OR(C140=C139+1, AND(C139=23, C140=0))), G139, MAX($G$1:G139)+1))</f>
        <v>0</v>
      </c>
      <c r="H140" s="194">
        <f t="shared" si="16"/>
        <v>6</v>
      </c>
    </row>
    <row r="141" spans="1:8">
      <c r="A141" s="190">
        <f t="shared" si="12"/>
        <v>6</v>
      </c>
      <c r="B141" s="193">
        <f t="shared" si="13"/>
        <v>29</v>
      </c>
      <c r="C141" s="190" cm="1">
        <f t="array" aca="1" ref="C141" ca="1">VALUE(LEFT(TRIM(INDIRECT("'" &amp; INT((ROW()-2)/24)+1 &amp; "號'!B" &amp; MOD(ROW()-2,24)+10)), 2))</f>
        <v>3</v>
      </c>
      <c r="D141" s="190">
        <f t="shared" ca="1" si="14"/>
        <v>7</v>
      </c>
      <c r="E141" s="190" t="str" cm="1">
        <f t="array" aca="1" ref="E141" ca="1">INDIRECT("'" &amp; A141 &amp; "號'!" &amp; ADDRESS(B141, D141))</f>
        <v/>
      </c>
      <c r="F141" s="190">
        <f t="shared" ca="1" si="15"/>
        <v>0</v>
      </c>
      <c r="G141" s="190">
        <f ca="1">IF(F141=0, 0, IF(AND(F140=1, C141&lt;&gt;8, OR(C141=C140+1, AND(C140=23, C141=0))), G140, MAX($G$1:G140)+1))</f>
        <v>0</v>
      </c>
      <c r="H141" s="194">
        <f t="shared" si="16"/>
        <v>6</v>
      </c>
    </row>
    <row r="142" spans="1:8">
      <c r="A142" s="190">
        <f t="shared" si="12"/>
        <v>6</v>
      </c>
      <c r="B142" s="193">
        <f t="shared" si="13"/>
        <v>30</v>
      </c>
      <c r="C142" s="190" cm="1">
        <f t="array" aca="1" ref="C142" ca="1">VALUE(LEFT(TRIM(INDIRECT("'" &amp; INT((ROW()-2)/24)+1 &amp; "號'!B" &amp; MOD(ROW()-2,24)+10)), 2))</f>
        <v>4</v>
      </c>
      <c r="D142" s="190">
        <f t="shared" ca="1" si="14"/>
        <v>7</v>
      </c>
      <c r="E142" s="190" t="str" cm="1">
        <f t="array" aca="1" ref="E142" ca="1">INDIRECT("'" &amp; A142 &amp; "號'!" &amp; ADDRESS(B142, D142))</f>
        <v/>
      </c>
      <c r="F142" s="190">
        <f t="shared" ca="1" si="15"/>
        <v>0</v>
      </c>
      <c r="G142" s="190">
        <f ca="1">IF(F142=0, 0, IF(AND(F141=1, C142&lt;&gt;8, OR(C142=C141+1, AND(C141=23, C142=0))), G141, MAX($G$1:G141)+1))</f>
        <v>0</v>
      </c>
      <c r="H142" s="194">
        <f t="shared" si="16"/>
        <v>6</v>
      </c>
    </row>
    <row r="143" spans="1:8">
      <c r="A143" s="190">
        <f t="shared" si="12"/>
        <v>6</v>
      </c>
      <c r="B143" s="193">
        <f t="shared" si="13"/>
        <v>31</v>
      </c>
      <c r="C143" s="190" cm="1">
        <f t="array" aca="1" ref="C143" ca="1">VALUE(LEFT(TRIM(INDIRECT("'" &amp; INT((ROW()-2)/24)+1 &amp; "號'!B" &amp; MOD(ROW()-2,24)+10)), 2))</f>
        <v>5</v>
      </c>
      <c r="D143" s="190">
        <f t="shared" ca="1" si="14"/>
        <v>7</v>
      </c>
      <c r="E143" s="190" t="str" cm="1">
        <f t="array" aca="1" ref="E143" ca="1">INDIRECT("'" &amp; A143 &amp; "號'!" &amp; ADDRESS(B143, D143))</f>
        <v/>
      </c>
      <c r="F143" s="190">
        <f t="shared" ca="1" si="15"/>
        <v>0</v>
      </c>
      <c r="G143" s="190">
        <f ca="1">IF(F143=0, 0, IF(AND(F142=1, C143&lt;&gt;8, OR(C143=C142+1, AND(C142=23, C143=0))), G142, MAX($G$1:G142)+1))</f>
        <v>0</v>
      </c>
      <c r="H143" s="194">
        <f t="shared" si="16"/>
        <v>6</v>
      </c>
    </row>
    <row r="144" spans="1:8">
      <c r="A144" s="190">
        <f t="shared" si="12"/>
        <v>6</v>
      </c>
      <c r="B144" s="193">
        <f t="shared" si="13"/>
        <v>32</v>
      </c>
      <c r="C144" s="190" cm="1">
        <f t="array" aca="1" ref="C144" ca="1">VALUE(LEFT(TRIM(INDIRECT("'" &amp; INT((ROW()-2)/24)+1 &amp; "號'!B" &amp; MOD(ROW()-2,24)+10)), 2))</f>
        <v>6</v>
      </c>
      <c r="D144" s="190">
        <f t="shared" ca="1" si="14"/>
        <v>7</v>
      </c>
      <c r="E144" s="190" t="str" cm="1">
        <f t="array" aca="1" ref="E144" ca="1">INDIRECT("'" &amp; A144 &amp; "號'!" &amp; ADDRESS(B144, D144))</f>
        <v>28,5</v>
      </c>
      <c r="F144" s="190">
        <f t="shared" ca="1" si="15"/>
        <v>0</v>
      </c>
      <c r="G144" s="190">
        <f ca="1">IF(F144=0, 0, IF(AND(F143=1, C144&lt;&gt;8, OR(C144=C143+1, AND(C143=23, C144=0))), G143, MAX($G$1:G143)+1))</f>
        <v>0</v>
      </c>
      <c r="H144" s="194">
        <f t="shared" si="16"/>
        <v>6</v>
      </c>
    </row>
    <row r="145" spans="1:8">
      <c r="A145" s="190">
        <f t="shared" si="12"/>
        <v>6</v>
      </c>
      <c r="B145" s="193">
        <f t="shared" si="13"/>
        <v>33</v>
      </c>
      <c r="C145" s="190" cm="1">
        <f t="array" aca="1" ref="C145" ca="1">VALUE(LEFT(TRIM(INDIRECT("'" &amp; INT((ROW()-2)/24)+1 &amp; "號'!B" &amp; MOD(ROW()-2,24)+10)), 2))</f>
        <v>7</v>
      </c>
      <c r="D145" s="190">
        <f t="shared" ca="1" si="14"/>
        <v>7</v>
      </c>
      <c r="E145" s="190" t="str" cm="1">
        <f t="array" aca="1" ref="E145" ca="1">INDIRECT("'" &amp; A145 &amp; "號'!" &amp; ADDRESS(B145, D145))</f>
        <v>28,5</v>
      </c>
      <c r="F145" s="190">
        <f t="shared" ca="1" si="15"/>
        <v>0</v>
      </c>
      <c r="G145" s="190">
        <f ca="1">IF(F145=0, 0, IF(AND(F144=1, C145&lt;&gt;8, OR(C145=C144+1, AND(C144=23, C145=0))), G144, MAX($G$1:G144)+1))</f>
        <v>0</v>
      </c>
      <c r="H145" s="194">
        <f t="shared" si="16"/>
        <v>6</v>
      </c>
    </row>
    <row r="146" spans="1:8">
      <c r="A146" s="190">
        <f t="shared" si="12"/>
        <v>7</v>
      </c>
      <c r="B146" s="193">
        <f t="shared" si="13"/>
        <v>10</v>
      </c>
      <c r="C146" s="190" cm="1">
        <f t="array" aca="1" ref="C146" ca="1">VALUE(LEFT(TRIM(INDIRECT("'" &amp; INT((ROW()-2)/24)+1 &amp; "號'!B" &amp; MOD(ROW()-2,24)+10)), 2))</f>
        <v>8</v>
      </c>
      <c r="D146" s="190">
        <f t="shared" ca="1" si="14"/>
        <v>7</v>
      </c>
      <c r="E146" s="190" t="str" cm="1">
        <f t="array" aca="1" ref="E146" ca="1">INDIRECT("'" &amp; A146 &amp; "號'!" &amp; ADDRESS(B146, D146))</f>
        <v>13,1</v>
      </c>
      <c r="F146" s="190">
        <f t="shared" ca="1" si="15"/>
        <v>0</v>
      </c>
      <c r="G146" s="190">
        <f ca="1">IF(F146=0, 0, IF(AND(F145=1, C146&lt;&gt;8, OR(C146=C145+1, AND(C145=23, C146=0))), G145, MAX($G$1:G145)+1))</f>
        <v>0</v>
      </c>
      <c r="H146" s="194">
        <f t="shared" si="16"/>
        <v>7</v>
      </c>
    </row>
    <row r="147" spans="1:8">
      <c r="A147" s="190">
        <f t="shared" si="12"/>
        <v>7</v>
      </c>
      <c r="B147" s="193">
        <f t="shared" si="13"/>
        <v>11</v>
      </c>
      <c r="C147" s="190" cm="1">
        <f t="array" aca="1" ref="C147" ca="1">VALUE(LEFT(TRIM(INDIRECT("'" &amp; INT((ROW()-2)/24)+1 &amp; "號'!B" &amp; MOD(ROW()-2,24)+10)), 2))</f>
        <v>9</v>
      </c>
      <c r="D147" s="190">
        <f t="shared" ca="1" si="14"/>
        <v>7</v>
      </c>
      <c r="E147" s="190" t="str" cm="1">
        <f t="array" aca="1" ref="E147" ca="1">INDIRECT("'" &amp; A147 &amp; "號'!" &amp; ADDRESS(B147, D147))</f>
        <v>13,1</v>
      </c>
      <c r="F147" s="190">
        <f t="shared" ca="1" si="15"/>
        <v>0</v>
      </c>
      <c r="G147" s="190">
        <f ca="1">IF(F147=0, 0, IF(AND(F146=1, C147&lt;&gt;8, OR(C147=C146+1, AND(C146=23, C147=0))), G146, MAX($G$1:G146)+1))</f>
        <v>0</v>
      </c>
      <c r="H147" s="194">
        <f t="shared" si="16"/>
        <v>7</v>
      </c>
    </row>
    <row r="148" spans="1:8">
      <c r="A148" s="190">
        <f t="shared" si="12"/>
        <v>7</v>
      </c>
      <c r="B148" s="193">
        <f t="shared" si="13"/>
        <v>12</v>
      </c>
      <c r="C148" s="190" cm="1">
        <f t="array" aca="1" ref="C148" ca="1">VALUE(LEFT(TRIM(INDIRECT("'" &amp; INT((ROW()-2)/24)+1 &amp; "號'!B" &amp; MOD(ROW()-2,24)+10)), 2))</f>
        <v>10</v>
      </c>
      <c r="D148" s="190">
        <f t="shared" ca="1" si="14"/>
        <v>7</v>
      </c>
      <c r="E148" s="190" cm="1">
        <f t="array" aca="1" ref="E148" ca="1">INDIRECT("'" &amp; A148 &amp; "號'!" &amp; ADDRESS(B148, D148))</f>
        <v>13</v>
      </c>
      <c r="F148" s="190">
        <f t="shared" ca="1" si="15"/>
        <v>0</v>
      </c>
      <c r="G148" s="190">
        <f ca="1">IF(F148=0, 0, IF(AND(F147=1, C148&lt;&gt;8, OR(C148=C147+1, AND(C147=23, C148=0))), G147, MAX($G$1:G147)+1))</f>
        <v>0</v>
      </c>
      <c r="H148" s="194">
        <f t="shared" si="16"/>
        <v>7</v>
      </c>
    </row>
    <row r="149" spans="1:8">
      <c r="A149" s="190">
        <f t="shared" si="12"/>
        <v>7</v>
      </c>
      <c r="B149" s="193">
        <f t="shared" si="13"/>
        <v>13</v>
      </c>
      <c r="C149" s="190" cm="1">
        <f t="array" aca="1" ref="C149" ca="1">VALUE(LEFT(TRIM(INDIRECT("'" &amp; INT((ROW()-2)/24)+1 &amp; "號'!B" &amp; MOD(ROW()-2,24)+10)), 2))</f>
        <v>11</v>
      </c>
      <c r="D149" s="190">
        <f t="shared" ca="1" si="14"/>
        <v>7</v>
      </c>
      <c r="E149" s="190" cm="1">
        <f t="array" aca="1" ref="E149" ca="1">INDIRECT("'" &amp; A149 &amp; "號'!" &amp; ADDRESS(B149, D149))</f>
        <v>13</v>
      </c>
      <c r="F149" s="190">
        <f t="shared" ca="1" si="15"/>
        <v>0</v>
      </c>
      <c r="G149" s="190">
        <f ca="1">IF(F149=0, 0, IF(AND(F148=1, C149&lt;&gt;8, OR(C149=C148+1, AND(C148=23, C149=0))), G148, MAX($G$1:G148)+1))</f>
        <v>0</v>
      </c>
      <c r="H149" s="194">
        <f t="shared" si="16"/>
        <v>7</v>
      </c>
    </row>
    <row r="150" spans="1:8">
      <c r="A150" s="190">
        <f t="shared" si="12"/>
        <v>7</v>
      </c>
      <c r="B150" s="193">
        <f t="shared" si="13"/>
        <v>14</v>
      </c>
      <c r="C150" s="190" cm="1">
        <f t="array" aca="1" ref="C150" ca="1">VALUE(LEFT(TRIM(INDIRECT("'" &amp; INT((ROW()-2)/24)+1 &amp; "號'!B" &amp; MOD(ROW()-2,24)+10)), 2))</f>
        <v>12</v>
      </c>
      <c r="D150" s="190">
        <f t="shared" ca="1" si="14"/>
        <v>7</v>
      </c>
      <c r="E150" s="190" t="str" cm="1">
        <f t="array" aca="1" ref="E150" ca="1">INDIRECT("'" &amp; A150 &amp; "號'!" &amp; ADDRESS(B150, D150))</f>
        <v>12</v>
      </c>
      <c r="F150" s="190">
        <f t="shared" ca="1" si="15"/>
        <v>0</v>
      </c>
      <c r="G150" s="190">
        <f ca="1">IF(F150=0, 0, IF(AND(F149=1, C150&lt;&gt;8, OR(C150=C149+1, AND(C149=23, C150=0))), G149, MAX($G$1:G149)+1))</f>
        <v>0</v>
      </c>
      <c r="H150" s="194">
        <f t="shared" si="16"/>
        <v>7</v>
      </c>
    </row>
    <row r="151" spans="1:8">
      <c r="A151" s="190">
        <f t="shared" si="12"/>
        <v>7</v>
      </c>
      <c r="B151" s="193">
        <f t="shared" si="13"/>
        <v>15</v>
      </c>
      <c r="C151" s="190" cm="1">
        <f t="array" aca="1" ref="C151" ca="1">VALUE(LEFT(TRIM(INDIRECT("'" &amp; INT((ROW()-2)/24)+1 &amp; "號'!B" &amp; MOD(ROW()-2,24)+10)), 2))</f>
        <v>13</v>
      </c>
      <c r="D151" s="190">
        <f t="shared" ca="1" si="14"/>
        <v>7</v>
      </c>
      <c r="E151" s="190" t="str" cm="1">
        <f t="array" aca="1" ref="E151" ca="1">INDIRECT("'" &amp; A151 &amp; "號'!" &amp; ADDRESS(B151, D151))</f>
        <v>12</v>
      </c>
      <c r="F151" s="190">
        <f t="shared" ca="1" si="15"/>
        <v>0</v>
      </c>
      <c r="G151" s="190">
        <f ca="1">IF(F151=0, 0, IF(AND(F150=1, C151&lt;&gt;8, OR(C151=C150+1, AND(C150=23, C151=0))), G150, MAX($G$1:G150)+1))</f>
        <v>0</v>
      </c>
      <c r="H151" s="194">
        <f t="shared" si="16"/>
        <v>7</v>
      </c>
    </row>
    <row r="152" spans="1:8">
      <c r="A152" s="190">
        <f t="shared" si="12"/>
        <v>7</v>
      </c>
      <c r="B152" s="193">
        <f t="shared" si="13"/>
        <v>16</v>
      </c>
      <c r="C152" s="190" cm="1">
        <f t="array" aca="1" ref="C152" ca="1">VALUE(LEFT(TRIM(INDIRECT("'" &amp; INT((ROW()-2)/24)+1 &amp; "號'!B" &amp; MOD(ROW()-2,24)+10)), 2))</f>
        <v>14</v>
      </c>
      <c r="D152" s="190">
        <f t="shared" ca="1" si="14"/>
        <v>7</v>
      </c>
      <c r="E152" s="190" cm="1">
        <f t="array" aca="1" ref="E152" ca="1">INDIRECT("'" &amp; A152 &amp; "號'!" &amp; ADDRESS(B152, D152))</f>
        <v>11</v>
      </c>
      <c r="F152" s="190">
        <f t="shared" ca="1" si="15"/>
        <v>0</v>
      </c>
      <c r="G152" s="190">
        <f ca="1">IF(F152=0, 0, IF(AND(F151=1, C152&lt;&gt;8, OR(C152=C151+1, AND(C151=23, C152=0))), G151, MAX($G$1:G151)+1))</f>
        <v>0</v>
      </c>
      <c r="H152" s="194">
        <f t="shared" si="16"/>
        <v>7</v>
      </c>
    </row>
    <row r="153" spans="1:8">
      <c r="A153" s="190">
        <f t="shared" si="12"/>
        <v>7</v>
      </c>
      <c r="B153" s="193">
        <f t="shared" si="13"/>
        <v>17</v>
      </c>
      <c r="C153" s="190" cm="1">
        <f t="array" aca="1" ref="C153" ca="1">VALUE(LEFT(TRIM(INDIRECT("'" &amp; INT((ROW()-2)/24)+1 &amp; "號'!B" &amp; MOD(ROW()-2,24)+10)), 2))</f>
        <v>15</v>
      </c>
      <c r="D153" s="190">
        <f t="shared" ca="1" si="14"/>
        <v>7</v>
      </c>
      <c r="E153" s="190" cm="1">
        <f t="array" aca="1" ref="E153" ca="1">INDIRECT("'" &amp; A153 &amp; "號'!" &amp; ADDRESS(B153, D153))</f>
        <v>11</v>
      </c>
      <c r="F153" s="190">
        <f t="shared" ca="1" si="15"/>
        <v>0</v>
      </c>
      <c r="G153" s="190">
        <f ca="1">IF(F153=0, 0, IF(AND(F152=1, C153&lt;&gt;8, OR(C153=C152+1, AND(C152=23, C153=0))), G152, MAX($G$1:G152)+1))</f>
        <v>0</v>
      </c>
      <c r="H153" s="194">
        <f t="shared" si="16"/>
        <v>7</v>
      </c>
    </row>
    <row r="154" spans="1:8">
      <c r="A154" s="190">
        <f t="shared" si="12"/>
        <v>7</v>
      </c>
      <c r="B154" s="193">
        <f t="shared" si="13"/>
        <v>18</v>
      </c>
      <c r="C154" s="190" cm="1">
        <f t="array" aca="1" ref="C154" ca="1">VALUE(LEFT(TRIM(INDIRECT("'" &amp; INT((ROW()-2)/24)+1 &amp; "號'!B" &amp; MOD(ROW()-2,24)+10)), 2))</f>
        <v>16</v>
      </c>
      <c r="D154" s="190">
        <f t="shared" ca="1" si="14"/>
        <v>7</v>
      </c>
      <c r="E154" s="190" cm="1">
        <f t="array" aca="1" ref="E154" ca="1">INDIRECT("'" &amp; A154 &amp; "號'!" &amp; ADDRESS(B154, D154))</f>
        <v>0</v>
      </c>
      <c r="F154" s="190">
        <f t="shared" ca="1" si="15"/>
        <v>0</v>
      </c>
      <c r="G154" s="190">
        <f ca="1">IF(F154=0, 0, IF(AND(F153=1, C154&lt;&gt;8, OR(C154=C153+1, AND(C153=23, C154=0))), G153, MAX($G$1:G153)+1))</f>
        <v>0</v>
      </c>
      <c r="H154" s="194">
        <f t="shared" si="16"/>
        <v>7</v>
      </c>
    </row>
    <row r="155" spans="1:8">
      <c r="A155" s="190">
        <f t="shared" si="12"/>
        <v>7</v>
      </c>
      <c r="B155" s="193">
        <f t="shared" si="13"/>
        <v>19</v>
      </c>
      <c r="C155" s="190" cm="1">
        <f t="array" aca="1" ref="C155" ca="1">VALUE(LEFT(TRIM(INDIRECT("'" &amp; INT((ROW()-2)/24)+1 &amp; "號'!B" &amp; MOD(ROW()-2,24)+10)), 2))</f>
        <v>17</v>
      </c>
      <c r="D155" s="190">
        <f t="shared" ca="1" si="14"/>
        <v>7</v>
      </c>
      <c r="E155" s="190" cm="1">
        <f t="array" aca="1" ref="E155" ca="1">INDIRECT("'" &amp; A155 &amp; "號'!" &amp; ADDRESS(B155, D155))</f>
        <v>0</v>
      </c>
      <c r="F155" s="190">
        <f t="shared" ca="1" si="15"/>
        <v>0</v>
      </c>
      <c r="G155" s="190">
        <f ca="1">IF(F155=0, 0, IF(AND(F154=1, C155&lt;&gt;8, OR(C155=C154+1, AND(C154=23, C155=0))), G154, MAX($G$1:G154)+1))</f>
        <v>0</v>
      </c>
      <c r="H155" s="194">
        <f t="shared" si="16"/>
        <v>7</v>
      </c>
    </row>
    <row r="156" spans="1:8">
      <c r="A156" s="190">
        <f t="shared" si="12"/>
        <v>7</v>
      </c>
      <c r="B156" s="193">
        <f t="shared" si="13"/>
        <v>20</v>
      </c>
      <c r="C156" s="190" cm="1">
        <f t="array" aca="1" ref="C156" ca="1">VALUE(LEFT(TRIM(INDIRECT("'" &amp; INT((ROW()-2)/24)+1 &amp; "號'!B" &amp; MOD(ROW()-2,24)+10)), 2))</f>
        <v>18</v>
      </c>
      <c r="D156" s="190">
        <f t="shared" ca="1" si="14"/>
        <v>7</v>
      </c>
      <c r="E156" s="190" t="str" cm="1">
        <f t="array" aca="1" ref="E156" ca="1">INDIRECT("'" &amp; A156 &amp; "號'!" &amp; ADDRESS(B156, D156))</f>
        <v>15</v>
      </c>
      <c r="F156" s="190">
        <f t="shared" ca="1" si="15"/>
        <v>0</v>
      </c>
      <c r="G156" s="190">
        <f ca="1">IF(F156=0, 0, IF(AND(F155=1, C156&lt;&gt;8, OR(C156=C155+1, AND(C155=23, C156=0))), G155, MAX($G$1:G155)+1))</f>
        <v>0</v>
      </c>
      <c r="H156" s="194">
        <f t="shared" si="16"/>
        <v>7</v>
      </c>
    </row>
    <row r="157" spans="1:8">
      <c r="A157" s="190">
        <f t="shared" si="12"/>
        <v>7</v>
      </c>
      <c r="B157" s="193">
        <f t="shared" si="13"/>
        <v>21</v>
      </c>
      <c r="C157" s="190" cm="1">
        <f t="array" aca="1" ref="C157" ca="1">VALUE(LEFT(TRIM(INDIRECT("'" &amp; INT((ROW()-2)/24)+1 &amp; "號'!B" &amp; MOD(ROW()-2,24)+10)), 2))</f>
        <v>19</v>
      </c>
      <c r="D157" s="190">
        <f t="shared" ca="1" si="14"/>
        <v>7</v>
      </c>
      <c r="E157" s="190" t="str" cm="1">
        <f t="array" aca="1" ref="E157" ca="1">INDIRECT("'" &amp; A157 &amp; "號'!" &amp; ADDRESS(B157, D157))</f>
        <v>15</v>
      </c>
      <c r="F157" s="190">
        <f t="shared" ca="1" si="15"/>
        <v>0</v>
      </c>
      <c r="G157" s="190">
        <f ca="1">IF(F157=0, 0, IF(AND(F156=1, C157&lt;&gt;8, OR(C157=C156+1, AND(C156=23, C157=0))), G156, MAX($G$1:G156)+1))</f>
        <v>0</v>
      </c>
      <c r="H157" s="194">
        <f t="shared" si="16"/>
        <v>7</v>
      </c>
    </row>
    <row r="158" spans="1:8">
      <c r="A158" s="190">
        <f t="shared" si="12"/>
        <v>7</v>
      </c>
      <c r="B158" s="193">
        <f t="shared" si="13"/>
        <v>22</v>
      </c>
      <c r="C158" s="190" cm="1">
        <f t="array" aca="1" ref="C158" ca="1">VALUE(LEFT(TRIM(INDIRECT("'" &amp; INT((ROW()-2)/24)+1 &amp; "號'!B" &amp; MOD(ROW()-2,24)+10)), 2))</f>
        <v>20</v>
      </c>
      <c r="D158" s="190">
        <f t="shared" ca="1" si="14"/>
        <v>7</v>
      </c>
      <c r="E158" s="190" t="str" cm="1">
        <f t="array" aca="1" ref="E158" ca="1">INDIRECT("'" &amp; A158 &amp; "號'!" &amp; ADDRESS(B158, D158))</f>
        <v>14</v>
      </c>
      <c r="F158" s="190">
        <f t="shared" ca="1" si="15"/>
        <v>0</v>
      </c>
      <c r="G158" s="190">
        <f ca="1">IF(F158=0, 0, IF(AND(F157=1, C158&lt;&gt;8, OR(C158=C157+1, AND(C157=23, C158=0))), G157, MAX($G$1:G157)+1))</f>
        <v>0</v>
      </c>
      <c r="H158" s="194">
        <f t="shared" si="16"/>
        <v>7</v>
      </c>
    </row>
    <row r="159" spans="1:8">
      <c r="A159" s="190">
        <f t="shared" si="12"/>
        <v>7</v>
      </c>
      <c r="B159" s="193">
        <f t="shared" si="13"/>
        <v>23</v>
      </c>
      <c r="C159" s="190" cm="1">
        <f t="array" aca="1" ref="C159" ca="1">VALUE(LEFT(TRIM(INDIRECT("'" &amp; INT((ROW()-2)/24)+1 &amp; "號'!B" &amp; MOD(ROW()-2,24)+10)), 2))</f>
        <v>21</v>
      </c>
      <c r="D159" s="190">
        <f t="shared" ca="1" si="14"/>
        <v>7</v>
      </c>
      <c r="E159" s="190" t="str" cm="1">
        <f t="array" aca="1" ref="E159" ca="1">INDIRECT("'" &amp; A159 &amp; "號'!" &amp; ADDRESS(B159, D159))</f>
        <v>14</v>
      </c>
      <c r="F159" s="190">
        <f t="shared" ca="1" si="15"/>
        <v>0</v>
      </c>
      <c r="G159" s="190">
        <f ca="1">IF(F159=0, 0, IF(AND(F158=1, C159&lt;&gt;8, OR(C159=C158+1, AND(C158=23, C159=0))), G158, MAX($G$1:G158)+1))</f>
        <v>0</v>
      </c>
      <c r="H159" s="194">
        <f t="shared" si="16"/>
        <v>7</v>
      </c>
    </row>
    <row r="160" spans="1:8">
      <c r="A160" s="190">
        <f t="shared" si="12"/>
        <v>7</v>
      </c>
      <c r="B160" s="193">
        <f t="shared" si="13"/>
        <v>24</v>
      </c>
      <c r="C160" s="190" cm="1">
        <f t="array" aca="1" ref="C160" ca="1">VALUE(LEFT(TRIM(INDIRECT("'" &amp; INT((ROW()-2)/24)+1 &amp; "號'!B" &amp; MOD(ROW()-2,24)+10)), 2))</f>
        <v>22</v>
      </c>
      <c r="D160" s="190">
        <f t="shared" ca="1" si="14"/>
        <v>7</v>
      </c>
      <c r="E160" s="190" cm="1">
        <f t="array" aca="1" ref="E160" ca="1">INDIRECT("'" &amp; A160 &amp; "號'!" &amp; ADDRESS(B160, D160))</f>
        <v>7</v>
      </c>
      <c r="F160" s="190">
        <f t="shared" ca="1" si="15"/>
        <v>0</v>
      </c>
      <c r="G160" s="190">
        <f ca="1">IF(F160=0, 0, IF(AND(F159=1, C160&lt;&gt;8, OR(C160=C159+1, AND(C159=23, C160=0))), G159, MAX($G$1:G159)+1))</f>
        <v>0</v>
      </c>
      <c r="H160" s="194">
        <f t="shared" si="16"/>
        <v>7</v>
      </c>
    </row>
    <row r="161" spans="1:8">
      <c r="A161" s="190">
        <f t="shared" si="12"/>
        <v>7</v>
      </c>
      <c r="B161" s="193">
        <f t="shared" si="13"/>
        <v>25</v>
      </c>
      <c r="C161" s="190" cm="1">
        <f t="array" aca="1" ref="C161" ca="1">VALUE(LEFT(TRIM(INDIRECT("'" &amp; INT((ROW()-2)/24)+1 &amp; "號'!B" &amp; MOD(ROW()-2,24)+10)), 2))</f>
        <v>23</v>
      </c>
      <c r="D161" s="190">
        <f t="shared" ca="1" si="14"/>
        <v>7</v>
      </c>
      <c r="E161" s="190" cm="1">
        <f t="array" aca="1" ref="E161" ca="1">INDIRECT("'" &amp; A161 &amp; "號'!" &amp; ADDRESS(B161, D161))</f>
        <v>7</v>
      </c>
      <c r="F161" s="190">
        <f t="shared" ca="1" si="15"/>
        <v>0</v>
      </c>
      <c r="G161" s="190">
        <f ca="1">IF(F161=0, 0, IF(AND(F160=1, C161&lt;&gt;8, OR(C161=C160+1, AND(C160=23, C161=0))), G160, MAX($G$1:G160)+1))</f>
        <v>0</v>
      </c>
      <c r="H161" s="194">
        <f t="shared" si="16"/>
        <v>7</v>
      </c>
    </row>
    <row r="162" spans="1:8">
      <c r="A162" s="190">
        <f t="shared" si="12"/>
        <v>7</v>
      </c>
      <c r="B162" s="193">
        <f t="shared" si="13"/>
        <v>26</v>
      </c>
      <c r="C162" s="190" cm="1">
        <f t="array" aca="1" ref="C162" ca="1">VALUE(LEFT(TRIM(INDIRECT("'" &amp; INT((ROW()-2)/24)+1 &amp; "號'!B" &amp; MOD(ROW()-2,24)+10)), 2))</f>
        <v>0</v>
      </c>
      <c r="D162" s="190">
        <f t="shared" ca="1" si="14"/>
        <v>7</v>
      </c>
      <c r="E162" s="190" t="str" cm="1">
        <f t="array" aca="1" ref="E162" ca="1">INDIRECT("'" &amp; A162 &amp; "號'!" &amp; ADDRESS(B162, D162))</f>
        <v/>
      </c>
      <c r="F162" s="190">
        <f t="shared" ca="1" si="15"/>
        <v>0</v>
      </c>
      <c r="G162" s="190">
        <f ca="1">IF(F162=0, 0, IF(AND(F161=1, C162&lt;&gt;8, OR(C162=C161+1, AND(C161=23, C162=0))), G161, MAX($G$1:G161)+1))</f>
        <v>0</v>
      </c>
      <c r="H162" s="194">
        <f t="shared" si="16"/>
        <v>7</v>
      </c>
    </row>
    <row r="163" spans="1:8">
      <c r="A163" s="190">
        <f t="shared" si="12"/>
        <v>7</v>
      </c>
      <c r="B163" s="193">
        <f t="shared" si="13"/>
        <v>27</v>
      </c>
      <c r="C163" s="190" cm="1">
        <f t="array" aca="1" ref="C163" ca="1">VALUE(LEFT(TRIM(INDIRECT("'" &amp; INT((ROW()-2)/24)+1 &amp; "號'!B" &amp; MOD(ROW()-2,24)+10)), 2))</f>
        <v>1</v>
      </c>
      <c r="D163" s="190">
        <f t="shared" ca="1" si="14"/>
        <v>7</v>
      </c>
      <c r="E163" s="190" t="str" cm="1">
        <f t="array" aca="1" ref="E163" ca="1">INDIRECT("'" &amp; A163 &amp; "號'!" &amp; ADDRESS(B163, D163))</f>
        <v/>
      </c>
      <c r="F163" s="190">
        <f t="shared" ca="1" si="15"/>
        <v>0</v>
      </c>
      <c r="G163" s="190">
        <f ca="1">IF(F163=0, 0, IF(AND(F162=1, C163&lt;&gt;8, OR(C163=C162+1, AND(C162=23, C163=0))), G162, MAX($G$1:G162)+1))</f>
        <v>0</v>
      </c>
      <c r="H163" s="194">
        <f t="shared" si="16"/>
        <v>7</v>
      </c>
    </row>
    <row r="164" spans="1:8">
      <c r="A164" s="190">
        <f t="shared" si="12"/>
        <v>7</v>
      </c>
      <c r="B164" s="193">
        <f t="shared" si="13"/>
        <v>28</v>
      </c>
      <c r="C164" s="190" cm="1">
        <f t="array" aca="1" ref="C164" ca="1">VALUE(LEFT(TRIM(INDIRECT("'" &amp; INT((ROW()-2)/24)+1 &amp; "號'!B" &amp; MOD(ROW()-2,24)+10)), 2))</f>
        <v>2</v>
      </c>
      <c r="D164" s="190">
        <f t="shared" ca="1" si="14"/>
        <v>7</v>
      </c>
      <c r="E164" s="190" t="str" cm="1">
        <f t="array" aca="1" ref="E164" ca="1">INDIRECT("'" &amp; A164 &amp; "號'!" &amp; ADDRESS(B164, D164))</f>
        <v/>
      </c>
      <c r="F164" s="190">
        <f t="shared" ca="1" si="15"/>
        <v>0</v>
      </c>
      <c r="G164" s="190">
        <f ca="1">IF(F164=0, 0, IF(AND(F163=1, C164&lt;&gt;8, OR(C164=C163+1, AND(C163=23, C164=0))), G163, MAX($G$1:G163)+1))</f>
        <v>0</v>
      </c>
      <c r="H164" s="194">
        <f t="shared" si="16"/>
        <v>7</v>
      </c>
    </row>
    <row r="165" spans="1:8">
      <c r="A165" s="190">
        <f t="shared" si="12"/>
        <v>7</v>
      </c>
      <c r="B165" s="193">
        <f t="shared" si="13"/>
        <v>29</v>
      </c>
      <c r="C165" s="190" cm="1">
        <f t="array" aca="1" ref="C165" ca="1">VALUE(LEFT(TRIM(INDIRECT("'" &amp; INT((ROW()-2)/24)+1 &amp; "號'!B" &amp; MOD(ROW()-2,24)+10)), 2))</f>
        <v>3</v>
      </c>
      <c r="D165" s="190">
        <f t="shared" ca="1" si="14"/>
        <v>7</v>
      </c>
      <c r="E165" s="190" t="str" cm="1">
        <f t="array" aca="1" ref="E165" ca="1">INDIRECT("'" &amp; A165 &amp; "號'!" &amp; ADDRESS(B165, D165))</f>
        <v/>
      </c>
      <c r="F165" s="190">
        <f t="shared" ca="1" si="15"/>
        <v>0</v>
      </c>
      <c r="G165" s="190">
        <f ca="1">IF(F165=0, 0, IF(AND(F164=1, C165&lt;&gt;8, OR(C165=C164+1, AND(C164=23, C165=0))), G164, MAX($G$1:G164)+1))</f>
        <v>0</v>
      </c>
      <c r="H165" s="194">
        <f t="shared" si="16"/>
        <v>7</v>
      </c>
    </row>
    <row r="166" spans="1:8">
      <c r="A166" s="190">
        <f t="shared" si="12"/>
        <v>7</v>
      </c>
      <c r="B166" s="193">
        <f t="shared" si="13"/>
        <v>30</v>
      </c>
      <c r="C166" s="190" cm="1">
        <f t="array" aca="1" ref="C166" ca="1">VALUE(LEFT(TRIM(INDIRECT("'" &amp; INT((ROW()-2)/24)+1 &amp; "號'!B" &amp; MOD(ROW()-2,24)+10)), 2))</f>
        <v>4</v>
      </c>
      <c r="D166" s="190">
        <f t="shared" ca="1" si="14"/>
        <v>7</v>
      </c>
      <c r="E166" s="190" t="str" cm="1">
        <f t="array" aca="1" ref="E166" ca="1">INDIRECT("'" &amp; A166 &amp; "號'!" &amp; ADDRESS(B166, D166))</f>
        <v/>
      </c>
      <c r="F166" s="190">
        <f t="shared" ca="1" si="15"/>
        <v>0</v>
      </c>
      <c r="G166" s="190">
        <f ca="1">IF(F166=0, 0, IF(AND(F165=1, C166&lt;&gt;8, OR(C166=C165+1, AND(C165=23, C166=0))), G165, MAX($G$1:G165)+1))</f>
        <v>0</v>
      </c>
      <c r="H166" s="194">
        <f t="shared" si="16"/>
        <v>7</v>
      </c>
    </row>
    <row r="167" spans="1:8">
      <c r="A167" s="190">
        <f t="shared" si="12"/>
        <v>7</v>
      </c>
      <c r="B167" s="193">
        <f t="shared" si="13"/>
        <v>31</v>
      </c>
      <c r="C167" s="190" cm="1">
        <f t="array" aca="1" ref="C167" ca="1">VALUE(LEFT(TRIM(INDIRECT("'" &amp; INT((ROW()-2)/24)+1 &amp; "號'!B" &amp; MOD(ROW()-2,24)+10)), 2))</f>
        <v>5</v>
      </c>
      <c r="D167" s="190">
        <f t="shared" ca="1" si="14"/>
        <v>7</v>
      </c>
      <c r="E167" s="190" t="str" cm="1">
        <f t="array" aca="1" ref="E167" ca="1">INDIRECT("'" &amp; A167 &amp; "號'!" &amp; ADDRESS(B167, D167))</f>
        <v/>
      </c>
      <c r="F167" s="190">
        <f t="shared" ca="1" si="15"/>
        <v>0</v>
      </c>
      <c r="G167" s="190">
        <f ca="1">IF(F167=0, 0, IF(AND(F166=1, C167&lt;&gt;8, OR(C167=C166+1, AND(C166=23, C167=0))), G166, MAX($G$1:G166)+1))</f>
        <v>0</v>
      </c>
      <c r="H167" s="194">
        <f t="shared" si="16"/>
        <v>7</v>
      </c>
    </row>
    <row r="168" spans="1:8">
      <c r="A168" s="190">
        <f t="shared" si="12"/>
        <v>7</v>
      </c>
      <c r="B168" s="193">
        <f t="shared" si="13"/>
        <v>32</v>
      </c>
      <c r="C168" s="190" cm="1">
        <f t="array" aca="1" ref="C168" ca="1">VALUE(LEFT(TRIM(INDIRECT("'" &amp; INT((ROW()-2)/24)+1 &amp; "號'!B" &amp; MOD(ROW()-2,24)+10)), 2))</f>
        <v>6</v>
      </c>
      <c r="D168" s="190">
        <f t="shared" ca="1" si="14"/>
        <v>7</v>
      </c>
      <c r="E168" s="190" t="str" cm="1">
        <f t="array" aca="1" ref="E168" ca="1">INDIRECT("'" &amp; A168 &amp; "號'!" &amp; ADDRESS(B168, D168))</f>
        <v>23,4</v>
      </c>
      <c r="F168" s="190">
        <f t="shared" ca="1" si="15"/>
        <v>0</v>
      </c>
      <c r="G168" s="190">
        <f ca="1">IF(F168=0, 0, IF(AND(F167=1, C168&lt;&gt;8, OR(C168=C167+1, AND(C167=23, C168=0))), G167, MAX($G$1:G167)+1))</f>
        <v>0</v>
      </c>
      <c r="H168" s="194">
        <f t="shared" si="16"/>
        <v>7</v>
      </c>
    </row>
    <row r="169" spans="1:8">
      <c r="A169" s="190">
        <f t="shared" si="12"/>
        <v>7</v>
      </c>
      <c r="B169" s="193">
        <f t="shared" si="13"/>
        <v>33</v>
      </c>
      <c r="C169" s="190" cm="1">
        <f t="array" aca="1" ref="C169" ca="1">VALUE(LEFT(TRIM(INDIRECT("'" &amp; INT((ROW()-2)/24)+1 &amp; "號'!B" &amp; MOD(ROW()-2,24)+10)), 2))</f>
        <v>7</v>
      </c>
      <c r="D169" s="190">
        <f t="shared" ca="1" si="14"/>
        <v>7</v>
      </c>
      <c r="E169" s="190" t="str" cm="1">
        <f t="array" aca="1" ref="E169" ca="1">INDIRECT("'" &amp; A169 &amp; "號'!" &amp; ADDRESS(B169, D169))</f>
        <v>23,4</v>
      </c>
      <c r="F169" s="190">
        <f t="shared" ca="1" si="15"/>
        <v>0</v>
      </c>
      <c r="G169" s="190">
        <f ca="1">IF(F169=0, 0, IF(AND(F168=1, C169&lt;&gt;8, OR(C169=C168+1, AND(C168=23, C169=0))), G168, MAX($G$1:G168)+1))</f>
        <v>0</v>
      </c>
      <c r="H169" s="194">
        <f t="shared" si="16"/>
        <v>7</v>
      </c>
    </row>
    <row r="170" spans="1:8">
      <c r="A170" s="190">
        <f t="shared" si="12"/>
        <v>8</v>
      </c>
      <c r="B170" s="193">
        <f t="shared" si="13"/>
        <v>10</v>
      </c>
      <c r="C170" s="190" cm="1">
        <f t="array" aca="1" ref="C170" ca="1">VALUE(LEFT(TRIM(INDIRECT("'" &amp; INT((ROW()-2)/24)+1 &amp; "號'!B" &amp; MOD(ROW()-2,24)+10)), 2))</f>
        <v>8</v>
      </c>
      <c r="D170" s="190">
        <f t="shared" ca="1" si="14"/>
        <v>7</v>
      </c>
      <c r="E170" s="190" t="str" cm="1">
        <f t="array" aca="1" ref="E170" ca="1">INDIRECT("'" &amp; A170 &amp; "號'!" &amp; ADDRESS(B170, D170))</f>
        <v>8,5</v>
      </c>
      <c r="F170" s="190">
        <f t="shared" ca="1" si="15"/>
        <v>0</v>
      </c>
      <c r="G170" s="190">
        <f ca="1">IF(F170=0, 0, IF(AND(F169=1, C170&lt;&gt;8, OR(C170=C169+1, AND(C169=23, C170=0))), G169, MAX($G$1:G169)+1))</f>
        <v>0</v>
      </c>
      <c r="H170" s="194">
        <f t="shared" si="16"/>
        <v>8</v>
      </c>
    </row>
    <row r="171" spans="1:8">
      <c r="A171" s="190">
        <f t="shared" si="12"/>
        <v>8</v>
      </c>
      <c r="B171" s="193">
        <f t="shared" si="13"/>
        <v>11</v>
      </c>
      <c r="C171" s="190" cm="1">
        <f t="array" aca="1" ref="C171" ca="1">VALUE(LEFT(TRIM(INDIRECT("'" &amp; INT((ROW()-2)/24)+1 &amp; "號'!B" &amp; MOD(ROW()-2,24)+10)), 2))</f>
        <v>9</v>
      </c>
      <c r="D171" s="190">
        <f t="shared" ca="1" si="14"/>
        <v>7</v>
      </c>
      <c r="E171" s="190" t="str" cm="1">
        <f t="array" aca="1" ref="E171" ca="1">INDIRECT("'" &amp; A171 &amp; "號'!" &amp; ADDRESS(B171, D171))</f>
        <v>8,5</v>
      </c>
      <c r="F171" s="190">
        <f t="shared" ca="1" si="15"/>
        <v>0</v>
      </c>
      <c r="G171" s="190">
        <f ca="1">IF(F171=0, 0, IF(AND(F170=1, C171&lt;&gt;8, OR(C171=C170+1, AND(C170=23, C171=0))), G170, MAX($G$1:G170)+1))</f>
        <v>0</v>
      </c>
      <c r="H171" s="194">
        <f t="shared" si="16"/>
        <v>8</v>
      </c>
    </row>
    <row r="172" spans="1:8">
      <c r="A172" s="190">
        <f t="shared" si="12"/>
        <v>8</v>
      </c>
      <c r="B172" s="193">
        <f t="shared" si="13"/>
        <v>12</v>
      </c>
      <c r="C172" s="190" cm="1">
        <f t="array" aca="1" ref="C172" ca="1">VALUE(LEFT(TRIM(INDIRECT("'" &amp; INT((ROW()-2)/24)+1 &amp; "號'!B" &amp; MOD(ROW()-2,24)+10)), 2))</f>
        <v>10</v>
      </c>
      <c r="D172" s="190">
        <f t="shared" ca="1" si="14"/>
        <v>7</v>
      </c>
      <c r="E172" s="190" cm="1">
        <f t="array" aca="1" ref="E172" ca="1">INDIRECT("'" &amp; A172 &amp; "號'!" &amp; ADDRESS(B172, D172))</f>
        <v>8</v>
      </c>
      <c r="F172" s="190">
        <f t="shared" ca="1" si="15"/>
        <v>0</v>
      </c>
      <c r="G172" s="190">
        <f ca="1">IF(F172=0, 0, IF(AND(F171=1, C172&lt;&gt;8, OR(C172=C171+1, AND(C171=23, C172=0))), G171, MAX($G$1:G171)+1))</f>
        <v>0</v>
      </c>
      <c r="H172" s="194">
        <f t="shared" si="16"/>
        <v>8</v>
      </c>
    </row>
    <row r="173" spans="1:8">
      <c r="A173" s="190">
        <f t="shared" si="12"/>
        <v>8</v>
      </c>
      <c r="B173" s="193">
        <f t="shared" si="13"/>
        <v>13</v>
      </c>
      <c r="C173" s="190" cm="1">
        <f t="array" aca="1" ref="C173" ca="1">VALUE(LEFT(TRIM(INDIRECT("'" &amp; INT((ROW()-2)/24)+1 &amp; "號'!B" &amp; MOD(ROW()-2,24)+10)), 2))</f>
        <v>11</v>
      </c>
      <c r="D173" s="190">
        <f t="shared" ca="1" si="14"/>
        <v>7</v>
      </c>
      <c r="E173" s="190" cm="1">
        <f t="array" aca="1" ref="E173" ca="1">INDIRECT("'" &amp; A173 &amp; "號'!" &amp; ADDRESS(B173, D173))</f>
        <v>8</v>
      </c>
      <c r="F173" s="190">
        <f t="shared" ca="1" si="15"/>
        <v>0</v>
      </c>
      <c r="G173" s="190">
        <f ca="1">IF(F173=0, 0, IF(AND(F172=1, C173&lt;&gt;8, OR(C173=C172+1, AND(C172=23, C173=0))), G172, MAX($G$1:G172)+1))</f>
        <v>0</v>
      </c>
      <c r="H173" s="194">
        <f t="shared" si="16"/>
        <v>8</v>
      </c>
    </row>
    <row r="174" spans="1:8">
      <c r="A174" s="190">
        <f t="shared" si="12"/>
        <v>8</v>
      </c>
      <c r="B174" s="193">
        <f t="shared" si="13"/>
        <v>14</v>
      </c>
      <c r="C174" s="190" cm="1">
        <f t="array" aca="1" ref="C174" ca="1">VALUE(LEFT(TRIM(INDIRECT("'" &amp; INT((ROW()-2)/24)+1 &amp; "號'!B" &amp; MOD(ROW()-2,24)+10)), 2))</f>
        <v>12</v>
      </c>
      <c r="D174" s="190">
        <f t="shared" ca="1" si="14"/>
        <v>7</v>
      </c>
      <c r="E174" s="190" t="str" cm="1">
        <f t="array" aca="1" ref="E174" ca="1">INDIRECT("'" &amp; A174 &amp; "號'!" &amp; ADDRESS(B174, D174))</f>
        <v>26</v>
      </c>
      <c r="F174" s="190">
        <f t="shared" ca="1" si="15"/>
        <v>0</v>
      </c>
      <c r="G174" s="190">
        <f ca="1">IF(F174=0, 0, IF(AND(F173=1, C174&lt;&gt;8, OR(C174=C173+1, AND(C173=23, C174=0))), G173, MAX($G$1:G173)+1))</f>
        <v>0</v>
      </c>
      <c r="H174" s="194">
        <f t="shared" si="16"/>
        <v>8</v>
      </c>
    </row>
    <row r="175" spans="1:8">
      <c r="A175" s="190">
        <f t="shared" si="12"/>
        <v>8</v>
      </c>
      <c r="B175" s="193">
        <f t="shared" si="13"/>
        <v>15</v>
      </c>
      <c r="C175" s="190" cm="1">
        <f t="array" aca="1" ref="C175" ca="1">VALUE(LEFT(TRIM(INDIRECT("'" &amp; INT((ROW()-2)/24)+1 &amp; "號'!B" &amp; MOD(ROW()-2,24)+10)), 2))</f>
        <v>13</v>
      </c>
      <c r="D175" s="190">
        <f t="shared" ca="1" si="14"/>
        <v>7</v>
      </c>
      <c r="E175" s="190" t="str" cm="1">
        <f t="array" aca="1" ref="E175" ca="1">INDIRECT("'" &amp; A175 &amp; "號'!" &amp; ADDRESS(B175, D175))</f>
        <v>26</v>
      </c>
      <c r="F175" s="190">
        <f t="shared" ca="1" si="15"/>
        <v>0</v>
      </c>
      <c r="G175" s="190">
        <f ca="1">IF(F175=0, 0, IF(AND(F174=1, C175&lt;&gt;8, OR(C175=C174+1, AND(C174=23, C175=0))), G174, MAX($G$1:G174)+1))</f>
        <v>0</v>
      </c>
      <c r="H175" s="194">
        <f t="shared" si="16"/>
        <v>8</v>
      </c>
    </row>
    <row r="176" spans="1:8">
      <c r="A176" s="190">
        <f t="shared" si="12"/>
        <v>8</v>
      </c>
      <c r="B176" s="193">
        <f t="shared" si="13"/>
        <v>16</v>
      </c>
      <c r="C176" s="190" cm="1">
        <f t="array" aca="1" ref="C176" ca="1">VALUE(LEFT(TRIM(INDIRECT("'" &amp; INT((ROW()-2)/24)+1 &amp; "號'!B" &amp; MOD(ROW()-2,24)+10)), 2))</f>
        <v>14</v>
      </c>
      <c r="D176" s="190">
        <f t="shared" ca="1" si="14"/>
        <v>7</v>
      </c>
      <c r="E176" s="190" t="str" cm="1">
        <f t="array" aca="1" ref="E176" ca="1">INDIRECT("'" &amp; A176 &amp; "號'!" &amp; ADDRESS(B176, D176))</f>
        <v/>
      </c>
      <c r="F176" s="190">
        <f t="shared" ca="1" si="15"/>
        <v>0</v>
      </c>
      <c r="G176" s="190">
        <f ca="1">IF(F176=0, 0, IF(AND(F175=1, C176&lt;&gt;8, OR(C176=C175+1, AND(C175=23, C176=0))), G175, MAX($G$1:G175)+1))</f>
        <v>0</v>
      </c>
      <c r="H176" s="194">
        <f t="shared" si="16"/>
        <v>8</v>
      </c>
    </row>
    <row r="177" spans="1:8">
      <c r="A177" s="190">
        <f t="shared" si="12"/>
        <v>8</v>
      </c>
      <c r="B177" s="193">
        <f t="shared" si="13"/>
        <v>17</v>
      </c>
      <c r="C177" s="190" cm="1">
        <f t="array" aca="1" ref="C177" ca="1">VALUE(LEFT(TRIM(INDIRECT("'" &amp; INT((ROW()-2)/24)+1 &amp; "號'!B" &amp; MOD(ROW()-2,24)+10)), 2))</f>
        <v>15</v>
      </c>
      <c r="D177" s="190">
        <f t="shared" ca="1" si="14"/>
        <v>7</v>
      </c>
      <c r="E177" s="190" t="str" cm="1">
        <f t="array" aca="1" ref="E177" ca="1">INDIRECT("'" &amp; A177 &amp; "號'!" &amp; ADDRESS(B177, D177))</f>
        <v/>
      </c>
      <c r="F177" s="190">
        <f t="shared" ca="1" si="15"/>
        <v>0</v>
      </c>
      <c r="G177" s="190">
        <f ca="1">IF(F177=0, 0, IF(AND(F176=1, C177&lt;&gt;8, OR(C177=C176+1, AND(C176=23, C177=0))), G176, MAX($G$1:G176)+1))</f>
        <v>0</v>
      </c>
      <c r="H177" s="194">
        <f t="shared" si="16"/>
        <v>8</v>
      </c>
    </row>
    <row r="178" spans="1:8">
      <c r="A178" s="190">
        <f t="shared" si="12"/>
        <v>8</v>
      </c>
      <c r="B178" s="193">
        <f t="shared" si="13"/>
        <v>18</v>
      </c>
      <c r="C178" s="190" cm="1">
        <f t="array" aca="1" ref="C178" ca="1">VALUE(LEFT(TRIM(INDIRECT("'" &amp; INT((ROW()-2)/24)+1 &amp; "號'!B" &amp; MOD(ROW()-2,24)+10)), 2))</f>
        <v>16</v>
      </c>
      <c r="D178" s="190">
        <f t="shared" ca="1" si="14"/>
        <v>7</v>
      </c>
      <c r="E178" s="190" cm="1">
        <f t="array" aca="1" ref="E178" ca="1">INDIRECT("'" &amp; A178 &amp; "號'!" &amp; ADDRESS(B178, D178))</f>
        <v>10</v>
      </c>
      <c r="F178" s="190">
        <f t="shared" ca="1" si="15"/>
        <v>0</v>
      </c>
      <c r="G178" s="190">
        <f ca="1">IF(F178=0, 0, IF(AND(F177=1, C178&lt;&gt;8, OR(C178=C177+1, AND(C177=23, C178=0))), G177, MAX($G$1:G177)+1))</f>
        <v>0</v>
      </c>
      <c r="H178" s="194">
        <f t="shared" si="16"/>
        <v>8</v>
      </c>
    </row>
    <row r="179" spans="1:8">
      <c r="A179" s="190">
        <f t="shared" si="12"/>
        <v>8</v>
      </c>
      <c r="B179" s="193">
        <f t="shared" si="13"/>
        <v>19</v>
      </c>
      <c r="C179" s="190" cm="1">
        <f t="array" aca="1" ref="C179" ca="1">VALUE(LEFT(TRIM(INDIRECT("'" &amp; INT((ROW()-2)/24)+1 &amp; "號'!B" &amp; MOD(ROW()-2,24)+10)), 2))</f>
        <v>17</v>
      </c>
      <c r="D179" s="190">
        <f t="shared" ca="1" si="14"/>
        <v>7</v>
      </c>
      <c r="E179" s="190" cm="1">
        <f t="array" aca="1" ref="E179" ca="1">INDIRECT("'" &amp; A179 &amp; "號'!" &amp; ADDRESS(B179, D179))</f>
        <v>10</v>
      </c>
      <c r="F179" s="190">
        <f t="shared" ca="1" si="15"/>
        <v>0</v>
      </c>
      <c r="G179" s="190">
        <f ca="1">IF(F179=0, 0, IF(AND(F178=1, C179&lt;&gt;8, OR(C179=C178+1, AND(C178=23, C179=0))), G178, MAX($G$1:G178)+1))</f>
        <v>0</v>
      </c>
      <c r="H179" s="194">
        <f t="shared" si="16"/>
        <v>8</v>
      </c>
    </row>
    <row r="180" spans="1:8">
      <c r="A180" s="190">
        <f t="shared" si="12"/>
        <v>8</v>
      </c>
      <c r="B180" s="193">
        <f t="shared" si="13"/>
        <v>20</v>
      </c>
      <c r="C180" s="190" cm="1">
        <f t="array" aca="1" ref="C180" ca="1">VALUE(LEFT(TRIM(INDIRECT("'" &amp; INT((ROW()-2)/24)+1 &amp; "號'!B" &amp; MOD(ROW()-2,24)+10)), 2))</f>
        <v>18</v>
      </c>
      <c r="D180" s="190">
        <f t="shared" ca="1" si="14"/>
        <v>7</v>
      </c>
      <c r="E180" s="190" t="str" cm="1">
        <f t="array" aca="1" ref="E180" ca="1">INDIRECT("'" &amp; A180 &amp; "號'!" &amp; ADDRESS(B180, D180))</f>
        <v>19</v>
      </c>
      <c r="F180" s="190">
        <f t="shared" ca="1" si="15"/>
        <v>0</v>
      </c>
      <c r="G180" s="190">
        <f ca="1">IF(F180=0, 0, IF(AND(F179=1, C180&lt;&gt;8, OR(C180=C179+1, AND(C179=23, C180=0))), G179, MAX($G$1:G179)+1))</f>
        <v>0</v>
      </c>
      <c r="H180" s="194">
        <f t="shared" si="16"/>
        <v>8</v>
      </c>
    </row>
    <row r="181" spans="1:8">
      <c r="A181" s="190">
        <f t="shared" si="12"/>
        <v>8</v>
      </c>
      <c r="B181" s="193">
        <f t="shared" si="13"/>
        <v>21</v>
      </c>
      <c r="C181" s="190" cm="1">
        <f t="array" aca="1" ref="C181" ca="1">VALUE(LEFT(TRIM(INDIRECT("'" &amp; INT((ROW()-2)/24)+1 &amp; "號'!B" &amp; MOD(ROW()-2,24)+10)), 2))</f>
        <v>19</v>
      </c>
      <c r="D181" s="190">
        <f t="shared" ca="1" si="14"/>
        <v>7</v>
      </c>
      <c r="E181" s="190" t="str" cm="1">
        <f t="array" aca="1" ref="E181" ca="1">INDIRECT("'" &amp; A181 &amp; "號'!" &amp; ADDRESS(B181, D181))</f>
        <v>19</v>
      </c>
      <c r="F181" s="190">
        <f t="shared" ca="1" si="15"/>
        <v>0</v>
      </c>
      <c r="G181" s="190">
        <f ca="1">IF(F181=0, 0, IF(AND(F180=1, C181&lt;&gt;8, OR(C181=C180+1, AND(C180=23, C181=0))), G180, MAX($G$1:G180)+1))</f>
        <v>0</v>
      </c>
      <c r="H181" s="194">
        <f t="shared" si="16"/>
        <v>8</v>
      </c>
    </row>
    <row r="182" spans="1:8">
      <c r="A182" s="190">
        <f t="shared" si="12"/>
        <v>8</v>
      </c>
      <c r="B182" s="193">
        <f t="shared" si="13"/>
        <v>22</v>
      </c>
      <c r="C182" s="190" cm="1">
        <f t="array" aca="1" ref="C182" ca="1">VALUE(LEFT(TRIM(INDIRECT("'" &amp; INT((ROW()-2)/24)+1 &amp; "號'!B" &amp; MOD(ROW()-2,24)+10)), 2))</f>
        <v>20</v>
      </c>
      <c r="D182" s="190">
        <f t="shared" ca="1" si="14"/>
        <v>7</v>
      </c>
      <c r="E182" s="190" t="str" cm="1">
        <f t="array" aca="1" ref="E182" ca="1">INDIRECT("'" &amp; A182 &amp; "號'!" &amp; ADDRESS(B182, D182))</f>
        <v>12</v>
      </c>
      <c r="F182" s="190">
        <f t="shared" ca="1" si="15"/>
        <v>0</v>
      </c>
      <c r="G182" s="190">
        <f ca="1">IF(F182=0, 0, IF(AND(F181=1, C182&lt;&gt;8, OR(C182=C181+1, AND(C181=23, C182=0))), G181, MAX($G$1:G181)+1))</f>
        <v>0</v>
      </c>
      <c r="H182" s="194">
        <f t="shared" si="16"/>
        <v>8</v>
      </c>
    </row>
    <row r="183" spans="1:8">
      <c r="A183" s="190">
        <f t="shared" si="12"/>
        <v>8</v>
      </c>
      <c r="B183" s="193">
        <f t="shared" si="13"/>
        <v>23</v>
      </c>
      <c r="C183" s="190" cm="1">
        <f t="array" aca="1" ref="C183" ca="1">VALUE(LEFT(TRIM(INDIRECT("'" &amp; INT((ROW()-2)/24)+1 &amp; "號'!B" &amp; MOD(ROW()-2,24)+10)), 2))</f>
        <v>21</v>
      </c>
      <c r="D183" s="190">
        <f t="shared" ca="1" si="14"/>
        <v>7</v>
      </c>
      <c r="E183" s="190" t="str" cm="1">
        <f t="array" aca="1" ref="E183" ca="1">INDIRECT("'" &amp; A183 &amp; "號'!" &amp; ADDRESS(B183, D183))</f>
        <v>12</v>
      </c>
      <c r="F183" s="190">
        <f t="shared" ca="1" si="15"/>
        <v>0</v>
      </c>
      <c r="G183" s="190">
        <f ca="1">IF(F183=0, 0, IF(AND(F182=1, C183&lt;&gt;8, OR(C183=C182+1, AND(C182=23, C183=0))), G182, MAX($G$1:G182)+1))</f>
        <v>0</v>
      </c>
      <c r="H183" s="194">
        <f t="shared" si="16"/>
        <v>8</v>
      </c>
    </row>
    <row r="184" spans="1:8">
      <c r="A184" s="190">
        <f t="shared" si="12"/>
        <v>8</v>
      </c>
      <c r="B184" s="193">
        <f t="shared" si="13"/>
        <v>24</v>
      </c>
      <c r="C184" s="190" cm="1">
        <f t="array" aca="1" ref="C184" ca="1">VALUE(LEFT(TRIM(INDIRECT("'" &amp; INT((ROW()-2)/24)+1 &amp; "號'!B" &amp; MOD(ROW()-2,24)+10)), 2))</f>
        <v>22</v>
      </c>
      <c r="D184" s="190">
        <f t="shared" ca="1" si="14"/>
        <v>7</v>
      </c>
      <c r="E184" s="190" cm="1">
        <f t="array" aca="1" ref="E184" ca="1">INDIRECT("'" &amp; A184 &amp; "號'!" &amp; ADDRESS(B184, D184))</f>
        <v>17</v>
      </c>
      <c r="F184" s="190">
        <f t="shared" ca="1" si="15"/>
        <v>0</v>
      </c>
      <c r="G184" s="190">
        <f ca="1">IF(F184=0, 0, IF(AND(F183=1, C184&lt;&gt;8, OR(C184=C183+1, AND(C183=23, C184=0))), G183, MAX($G$1:G183)+1))</f>
        <v>0</v>
      </c>
      <c r="H184" s="194">
        <f t="shared" si="16"/>
        <v>8</v>
      </c>
    </row>
    <row r="185" spans="1:8">
      <c r="A185" s="190">
        <f t="shared" si="12"/>
        <v>8</v>
      </c>
      <c r="B185" s="193">
        <f t="shared" si="13"/>
        <v>25</v>
      </c>
      <c r="C185" s="190" cm="1">
        <f t="array" aca="1" ref="C185" ca="1">VALUE(LEFT(TRIM(INDIRECT("'" &amp; INT((ROW()-2)/24)+1 &amp; "號'!B" &amp; MOD(ROW()-2,24)+10)), 2))</f>
        <v>23</v>
      </c>
      <c r="D185" s="190">
        <f t="shared" ca="1" si="14"/>
        <v>7</v>
      </c>
      <c r="E185" s="190" cm="1">
        <f t="array" aca="1" ref="E185" ca="1">INDIRECT("'" &amp; A185 &amp; "號'!" &amp; ADDRESS(B185, D185))</f>
        <v>17</v>
      </c>
      <c r="F185" s="190">
        <f t="shared" ca="1" si="15"/>
        <v>0</v>
      </c>
      <c r="G185" s="190">
        <f ca="1">IF(F185=0, 0, IF(AND(F184=1, C185&lt;&gt;8, OR(C185=C184+1, AND(C184=23, C185=0))), G184, MAX($G$1:G184)+1))</f>
        <v>0</v>
      </c>
      <c r="H185" s="194">
        <f t="shared" si="16"/>
        <v>8</v>
      </c>
    </row>
    <row r="186" spans="1:8">
      <c r="A186" s="190">
        <f t="shared" si="12"/>
        <v>8</v>
      </c>
      <c r="B186" s="193">
        <f t="shared" si="13"/>
        <v>26</v>
      </c>
      <c r="C186" s="190" cm="1">
        <f t="array" aca="1" ref="C186" ca="1">VALUE(LEFT(TRIM(INDIRECT("'" &amp; INT((ROW()-2)/24)+1 &amp; "號'!B" &amp; MOD(ROW()-2,24)+10)), 2))</f>
        <v>0</v>
      </c>
      <c r="D186" s="190">
        <f t="shared" ca="1" si="14"/>
        <v>7</v>
      </c>
      <c r="E186" s="190" t="str" cm="1">
        <f t="array" aca="1" ref="E186" ca="1">INDIRECT("'" &amp; A186 &amp; "號'!" &amp; ADDRESS(B186, D186))</f>
        <v/>
      </c>
      <c r="F186" s="190">
        <f t="shared" ca="1" si="15"/>
        <v>0</v>
      </c>
      <c r="G186" s="190">
        <f ca="1">IF(F186=0, 0, IF(AND(F185=1, C186&lt;&gt;8, OR(C186=C185+1, AND(C185=23, C186=0))), G185, MAX($G$1:G185)+1))</f>
        <v>0</v>
      </c>
      <c r="H186" s="194">
        <f t="shared" si="16"/>
        <v>8</v>
      </c>
    </row>
    <row r="187" spans="1:8">
      <c r="A187" s="190">
        <f t="shared" si="12"/>
        <v>8</v>
      </c>
      <c r="B187" s="193">
        <f t="shared" si="13"/>
        <v>27</v>
      </c>
      <c r="C187" s="190" cm="1">
        <f t="array" aca="1" ref="C187" ca="1">VALUE(LEFT(TRIM(INDIRECT("'" &amp; INT((ROW()-2)/24)+1 &amp; "號'!B" &amp; MOD(ROW()-2,24)+10)), 2))</f>
        <v>1</v>
      </c>
      <c r="D187" s="190">
        <f t="shared" ca="1" si="14"/>
        <v>7</v>
      </c>
      <c r="E187" s="190" t="str" cm="1">
        <f t="array" aca="1" ref="E187" ca="1">INDIRECT("'" &amp; A187 &amp; "號'!" &amp; ADDRESS(B187, D187))</f>
        <v/>
      </c>
      <c r="F187" s="190">
        <f t="shared" ca="1" si="15"/>
        <v>0</v>
      </c>
      <c r="G187" s="190">
        <f ca="1">IF(F187=0, 0, IF(AND(F186=1, C187&lt;&gt;8, OR(C187=C186+1, AND(C186=23, C187=0))), G186, MAX($G$1:G186)+1))</f>
        <v>0</v>
      </c>
      <c r="H187" s="194">
        <f t="shared" si="16"/>
        <v>8</v>
      </c>
    </row>
    <row r="188" spans="1:8">
      <c r="A188" s="190">
        <f t="shared" si="12"/>
        <v>8</v>
      </c>
      <c r="B188" s="193">
        <f t="shared" si="13"/>
        <v>28</v>
      </c>
      <c r="C188" s="190" cm="1">
        <f t="array" aca="1" ref="C188" ca="1">VALUE(LEFT(TRIM(INDIRECT("'" &amp; INT((ROW()-2)/24)+1 &amp; "號'!B" &amp; MOD(ROW()-2,24)+10)), 2))</f>
        <v>2</v>
      </c>
      <c r="D188" s="190">
        <f t="shared" ca="1" si="14"/>
        <v>7</v>
      </c>
      <c r="E188" s="190" t="str" cm="1">
        <f t="array" aca="1" ref="E188" ca="1">INDIRECT("'" &amp; A188 &amp; "號'!" &amp; ADDRESS(B188, D188))</f>
        <v/>
      </c>
      <c r="F188" s="190">
        <f t="shared" ca="1" si="15"/>
        <v>0</v>
      </c>
      <c r="G188" s="190">
        <f ca="1">IF(F188=0, 0, IF(AND(F187=1, C188&lt;&gt;8, OR(C188=C187+1, AND(C187=23, C188=0))), G187, MAX($G$1:G187)+1))</f>
        <v>0</v>
      </c>
      <c r="H188" s="194">
        <f t="shared" si="16"/>
        <v>8</v>
      </c>
    </row>
    <row r="189" spans="1:8">
      <c r="A189" s="190">
        <f t="shared" si="12"/>
        <v>8</v>
      </c>
      <c r="B189" s="193">
        <f t="shared" si="13"/>
        <v>29</v>
      </c>
      <c r="C189" s="190" cm="1">
        <f t="array" aca="1" ref="C189" ca="1">VALUE(LEFT(TRIM(INDIRECT("'" &amp; INT((ROW()-2)/24)+1 &amp; "號'!B" &amp; MOD(ROW()-2,24)+10)), 2))</f>
        <v>3</v>
      </c>
      <c r="D189" s="190">
        <f t="shared" ca="1" si="14"/>
        <v>7</v>
      </c>
      <c r="E189" s="190" t="str" cm="1">
        <f t="array" aca="1" ref="E189" ca="1">INDIRECT("'" &amp; A189 &amp; "號'!" &amp; ADDRESS(B189, D189))</f>
        <v/>
      </c>
      <c r="F189" s="190">
        <f t="shared" ca="1" si="15"/>
        <v>0</v>
      </c>
      <c r="G189" s="190">
        <f ca="1">IF(F189=0, 0, IF(AND(F188=1, C189&lt;&gt;8, OR(C189=C188+1, AND(C188=23, C189=0))), G188, MAX($G$1:G188)+1))</f>
        <v>0</v>
      </c>
      <c r="H189" s="194">
        <f t="shared" si="16"/>
        <v>8</v>
      </c>
    </row>
    <row r="190" spans="1:8">
      <c r="A190" s="190">
        <f t="shared" si="12"/>
        <v>8</v>
      </c>
      <c r="B190" s="193">
        <f t="shared" si="13"/>
        <v>30</v>
      </c>
      <c r="C190" s="190" cm="1">
        <f t="array" aca="1" ref="C190" ca="1">VALUE(LEFT(TRIM(INDIRECT("'" &amp; INT((ROW()-2)/24)+1 &amp; "號'!B" &amp; MOD(ROW()-2,24)+10)), 2))</f>
        <v>4</v>
      </c>
      <c r="D190" s="190">
        <f t="shared" ca="1" si="14"/>
        <v>7</v>
      </c>
      <c r="E190" s="190" t="str" cm="1">
        <f t="array" aca="1" ref="E190" ca="1">INDIRECT("'" &amp; A190 &amp; "號'!" &amp; ADDRESS(B190, D190))</f>
        <v/>
      </c>
      <c r="F190" s="190">
        <f t="shared" ca="1" si="15"/>
        <v>0</v>
      </c>
      <c r="G190" s="190">
        <f ca="1">IF(F190=0, 0, IF(AND(F189=1, C190&lt;&gt;8, OR(C190=C189+1, AND(C189=23, C190=0))), G189, MAX($G$1:G189)+1))</f>
        <v>0</v>
      </c>
      <c r="H190" s="194">
        <f t="shared" si="16"/>
        <v>8</v>
      </c>
    </row>
    <row r="191" spans="1:8">
      <c r="A191" s="190">
        <f t="shared" si="12"/>
        <v>8</v>
      </c>
      <c r="B191" s="193">
        <f t="shared" si="13"/>
        <v>31</v>
      </c>
      <c r="C191" s="190" cm="1">
        <f t="array" aca="1" ref="C191" ca="1">VALUE(LEFT(TRIM(INDIRECT("'" &amp; INT((ROW()-2)/24)+1 &amp; "號'!B" &amp; MOD(ROW()-2,24)+10)), 2))</f>
        <v>5</v>
      </c>
      <c r="D191" s="190">
        <f t="shared" ca="1" si="14"/>
        <v>7</v>
      </c>
      <c r="E191" s="190" cm="1">
        <f t="array" aca="1" ref="E191" ca="1">INDIRECT("'" &amp; A191 &amp; "號'!" &amp; ADDRESS(B191, D191))</f>
        <v>0</v>
      </c>
      <c r="F191" s="190">
        <f t="shared" ca="1" si="15"/>
        <v>0</v>
      </c>
      <c r="G191" s="190">
        <f ca="1">IF(F191=0, 0, IF(AND(F190=1, C191&lt;&gt;8, OR(C191=C190+1, AND(C190=23, C191=0))), G190, MAX($G$1:G190)+1))</f>
        <v>0</v>
      </c>
      <c r="H191" s="194">
        <f t="shared" si="16"/>
        <v>8</v>
      </c>
    </row>
    <row r="192" spans="1:8">
      <c r="A192" s="190">
        <f t="shared" si="12"/>
        <v>8</v>
      </c>
      <c r="B192" s="193">
        <f t="shared" si="13"/>
        <v>32</v>
      </c>
      <c r="C192" s="190" cm="1">
        <f t="array" aca="1" ref="C192" ca="1">VALUE(LEFT(TRIM(INDIRECT("'" &amp; INT((ROW()-2)/24)+1 &amp; "號'!B" &amp; MOD(ROW()-2,24)+10)), 2))</f>
        <v>6</v>
      </c>
      <c r="D192" s="190">
        <f t="shared" ca="1" si="14"/>
        <v>7</v>
      </c>
      <c r="E192" s="190" t="str" cm="1">
        <f t="array" aca="1" ref="E192" ca="1">INDIRECT("'" &amp; A192 &amp; "號'!" &amp; ADDRESS(B192, D192))</f>
        <v>27,1</v>
      </c>
      <c r="F192" s="190">
        <f t="shared" ca="1" si="15"/>
        <v>0</v>
      </c>
      <c r="G192" s="190">
        <f ca="1">IF(F192=0, 0, IF(AND(F191=1, C192&lt;&gt;8, OR(C192=C191+1, AND(C191=23, C192=0))), G191, MAX($G$1:G191)+1))</f>
        <v>0</v>
      </c>
      <c r="H192" s="194">
        <f t="shared" si="16"/>
        <v>8</v>
      </c>
    </row>
    <row r="193" spans="1:8">
      <c r="A193" s="190">
        <f t="shared" si="12"/>
        <v>8</v>
      </c>
      <c r="B193" s="193">
        <f t="shared" si="13"/>
        <v>33</v>
      </c>
      <c r="C193" s="190" cm="1">
        <f t="array" aca="1" ref="C193" ca="1">VALUE(LEFT(TRIM(INDIRECT("'" &amp; INT((ROW()-2)/24)+1 &amp; "號'!B" &amp; MOD(ROW()-2,24)+10)), 2))</f>
        <v>7</v>
      </c>
      <c r="D193" s="190">
        <f t="shared" ca="1" si="14"/>
        <v>7</v>
      </c>
      <c r="E193" s="190" t="str" cm="1">
        <f t="array" aca="1" ref="E193" ca="1">INDIRECT("'" &amp; A193 &amp; "號'!" &amp; ADDRESS(B193, D193))</f>
        <v>27,1</v>
      </c>
      <c r="F193" s="190">
        <f t="shared" ca="1" si="15"/>
        <v>0</v>
      </c>
      <c r="G193" s="190">
        <f ca="1">IF(F193=0, 0, IF(AND(F192=1, C193&lt;&gt;8, OR(C193=C192+1, AND(C192=23, C193=0))), G192, MAX($G$1:G192)+1))</f>
        <v>0</v>
      </c>
      <c r="H193" s="194">
        <f t="shared" si="16"/>
        <v>8</v>
      </c>
    </row>
    <row r="194" spans="1:8">
      <c r="A194" s="190">
        <f t="shared" si="12"/>
        <v>9</v>
      </c>
      <c r="B194" s="193">
        <f t="shared" si="13"/>
        <v>10</v>
      </c>
      <c r="C194" s="190" cm="1">
        <f t="array" aca="1" ref="C194" ca="1">VALUE(LEFT(TRIM(INDIRECT("'" &amp; INT((ROW()-2)/24)+1 &amp; "號'!B" &amp; MOD(ROW()-2,24)+10)), 2))</f>
        <v>8</v>
      </c>
      <c r="D194" s="190">
        <f t="shared" ca="1" si="14"/>
        <v>7</v>
      </c>
      <c r="E194" s="190" t="str" cm="1">
        <f t="array" aca="1" ref="E194" ca="1">INDIRECT("'" &amp; A194 &amp; "號'!" &amp; ADDRESS(B194, D194))</f>
        <v>16,3</v>
      </c>
      <c r="F194" s="190">
        <f t="shared" ca="1" si="15"/>
        <v>0</v>
      </c>
      <c r="G194" s="190">
        <f ca="1">IF(F194=0, 0, IF(AND(F193=1, C194&lt;&gt;8, OR(C194=C193+1, AND(C193=23, C194=0))), G193, MAX($G$1:G193)+1))</f>
        <v>0</v>
      </c>
      <c r="H194" s="194">
        <f t="shared" si="16"/>
        <v>9</v>
      </c>
    </row>
    <row r="195" spans="1:8">
      <c r="A195" s="190">
        <f t="shared" ref="A195:A258" si="17">INT((ROW()-2)/24)+1</f>
        <v>9</v>
      </c>
      <c r="B195" s="193">
        <f t="shared" ref="B195:B258" si="18">MOD(ROW()-2, 24)+10</f>
        <v>11</v>
      </c>
      <c r="C195" s="190" cm="1">
        <f t="array" aca="1" ref="C195" ca="1">VALUE(LEFT(TRIM(INDIRECT("'" &amp; INT((ROW()-2)/24)+1 &amp; "號'!B" &amp; MOD(ROW()-2,24)+10)), 2))</f>
        <v>9</v>
      </c>
      <c r="D195" s="190">
        <f t="shared" ref="D195:D258" ca="1" si="19">MAX(IFERROR(MATCH("*休息*", INDIRECT("'" &amp; A195 &amp; "號'!$5:$5"), 0), 0), IFERROR(MATCH("*休息*", INDIRECT("'" &amp; A195 &amp; "號'!$6:$6"), 0), 0), IFERROR(MATCH("*休息*", INDIRECT("'" &amp; A195 &amp; "號'!$7:$7"), 0), 0))</f>
        <v>7</v>
      </c>
      <c r="E195" s="190" t="str" cm="1">
        <f t="array" aca="1" ref="E195" ca="1">INDIRECT("'" &amp; A195 &amp; "號'!" &amp; ADDRESS(B195, D195))</f>
        <v>16,3</v>
      </c>
      <c r="F195" s="190">
        <f t="shared" ref="F195:F258" ca="1" si="20">IF(ISNUMBER(SEARCH(","&amp;$A$1&amp;",", ","&amp;SUBSTITUTE(SUBSTITUTE(E195," ",""),"，",",")&amp;",")), 1, 0)</f>
        <v>0</v>
      </c>
      <c r="G195" s="190">
        <f ca="1">IF(F195=0, 0, IF(AND(F194=1, C195&lt;&gt;8, OR(C195=C194+1, AND(C194=23, C195=0))), G194, MAX($G$1:G194)+1))</f>
        <v>0</v>
      </c>
      <c r="H195" s="194">
        <f t="shared" ref="H195:H258" si="21" xml:space="preserve"> A195</f>
        <v>9</v>
      </c>
    </row>
    <row r="196" spans="1:8">
      <c r="A196" s="190">
        <f t="shared" si="17"/>
        <v>9</v>
      </c>
      <c r="B196" s="193">
        <f t="shared" si="18"/>
        <v>12</v>
      </c>
      <c r="C196" s="190" cm="1">
        <f t="array" aca="1" ref="C196" ca="1">VALUE(LEFT(TRIM(INDIRECT("'" &amp; INT((ROW()-2)/24)+1 &amp; "號'!B" &amp; MOD(ROW()-2,24)+10)), 2))</f>
        <v>10</v>
      </c>
      <c r="D196" s="190">
        <f t="shared" ca="1" si="19"/>
        <v>7</v>
      </c>
      <c r="E196" s="190" cm="1">
        <f t="array" aca="1" ref="E196" ca="1">INDIRECT("'" &amp; A196 &amp; "號'!" &amp; ADDRESS(B196, D196))</f>
        <v>16</v>
      </c>
      <c r="F196" s="190">
        <f t="shared" ca="1" si="20"/>
        <v>0</v>
      </c>
      <c r="G196" s="190">
        <f ca="1">IF(F196=0, 0, IF(AND(F195=1, C196&lt;&gt;8, OR(C196=C195+1, AND(C195=23, C196=0))), G195, MAX($G$1:G195)+1))</f>
        <v>0</v>
      </c>
      <c r="H196" s="194">
        <f t="shared" si="21"/>
        <v>9</v>
      </c>
    </row>
    <row r="197" spans="1:8">
      <c r="A197" s="190">
        <f t="shared" si="17"/>
        <v>9</v>
      </c>
      <c r="B197" s="193">
        <f t="shared" si="18"/>
        <v>13</v>
      </c>
      <c r="C197" s="190" cm="1">
        <f t="array" aca="1" ref="C197" ca="1">VALUE(LEFT(TRIM(INDIRECT("'" &amp; INT((ROW()-2)/24)+1 &amp; "號'!B" &amp; MOD(ROW()-2,24)+10)), 2))</f>
        <v>11</v>
      </c>
      <c r="D197" s="190">
        <f t="shared" ca="1" si="19"/>
        <v>7</v>
      </c>
      <c r="E197" s="190" cm="1">
        <f t="array" aca="1" ref="E197" ca="1">INDIRECT("'" &amp; A197 &amp; "號'!" &amp; ADDRESS(B197, D197))</f>
        <v>16</v>
      </c>
      <c r="F197" s="190">
        <f t="shared" ca="1" si="20"/>
        <v>0</v>
      </c>
      <c r="G197" s="190">
        <f ca="1">IF(F197=0, 0, IF(AND(F196=1, C197&lt;&gt;8, OR(C197=C196+1, AND(C196=23, C197=0))), G196, MAX($G$1:G196)+1))</f>
        <v>0</v>
      </c>
      <c r="H197" s="194">
        <f t="shared" si="21"/>
        <v>9</v>
      </c>
    </row>
    <row r="198" spans="1:8">
      <c r="A198" s="190">
        <f t="shared" si="17"/>
        <v>9</v>
      </c>
      <c r="B198" s="193">
        <f t="shared" si="18"/>
        <v>14</v>
      </c>
      <c r="C198" s="190" cm="1">
        <f t="array" aca="1" ref="C198" ca="1">VALUE(LEFT(TRIM(INDIRECT("'" &amp; INT((ROW()-2)/24)+1 &amp; "號'!B" &amp; MOD(ROW()-2,24)+10)), 2))</f>
        <v>12</v>
      </c>
      <c r="D198" s="190">
        <f t="shared" ca="1" si="19"/>
        <v>7</v>
      </c>
      <c r="E198" s="190" t="str" cm="1">
        <f t="array" aca="1" ref="E198" ca="1">INDIRECT("'" &amp; A198 &amp; "號'!" &amp; ADDRESS(B198, D198))</f>
        <v>21</v>
      </c>
      <c r="F198" s="190">
        <f t="shared" ca="1" si="20"/>
        <v>0</v>
      </c>
      <c r="G198" s="190">
        <f ca="1">IF(F198=0, 0, IF(AND(F197=1, C198&lt;&gt;8, OR(C198=C197+1, AND(C197=23, C198=0))), G197, MAX($G$1:G197)+1))</f>
        <v>0</v>
      </c>
      <c r="H198" s="194">
        <f t="shared" si="21"/>
        <v>9</v>
      </c>
    </row>
    <row r="199" spans="1:8">
      <c r="A199" s="190">
        <f t="shared" si="17"/>
        <v>9</v>
      </c>
      <c r="B199" s="193">
        <f t="shared" si="18"/>
        <v>15</v>
      </c>
      <c r="C199" s="190" cm="1">
        <f t="array" aca="1" ref="C199" ca="1">VALUE(LEFT(TRIM(INDIRECT("'" &amp; INT((ROW()-2)/24)+1 &amp; "號'!B" &amp; MOD(ROW()-2,24)+10)), 2))</f>
        <v>13</v>
      </c>
      <c r="D199" s="190">
        <f t="shared" ca="1" si="19"/>
        <v>7</v>
      </c>
      <c r="E199" s="190" t="str" cm="1">
        <f t="array" aca="1" ref="E199" ca="1">INDIRECT("'" &amp; A199 &amp; "號'!" &amp; ADDRESS(B199, D199))</f>
        <v>21</v>
      </c>
      <c r="F199" s="190">
        <f t="shared" ca="1" si="20"/>
        <v>0</v>
      </c>
      <c r="G199" s="190">
        <f ca="1">IF(F199=0, 0, IF(AND(F198=1, C199&lt;&gt;8, OR(C199=C198+1, AND(C198=23, C199=0))), G198, MAX($G$1:G198)+1))</f>
        <v>0</v>
      </c>
      <c r="H199" s="194">
        <f t="shared" si="21"/>
        <v>9</v>
      </c>
    </row>
    <row r="200" spans="1:8">
      <c r="A200" s="190">
        <f t="shared" si="17"/>
        <v>9</v>
      </c>
      <c r="B200" s="193">
        <f t="shared" si="18"/>
        <v>16</v>
      </c>
      <c r="C200" s="190" cm="1">
        <f t="array" aca="1" ref="C200" ca="1">VALUE(LEFT(TRIM(INDIRECT("'" &amp; INT((ROW()-2)/24)+1 &amp; "號'!B" &amp; MOD(ROW()-2,24)+10)), 2))</f>
        <v>14</v>
      </c>
      <c r="D200" s="190">
        <f t="shared" ca="1" si="19"/>
        <v>7</v>
      </c>
      <c r="E200" s="190" cm="1">
        <f t="array" aca="1" ref="E200" ca="1">INDIRECT("'" &amp; A200 &amp; "號'!" &amp; ADDRESS(B200, D200))</f>
        <v>15</v>
      </c>
      <c r="F200" s="190">
        <f t="shared" ca="1" si="20"/>
        <v>0</v>
      </c>
      <c r="G200" s="190">
        <f ca="1">IF(F200=0, 0, IF(AND(F199=1, C200&lt;&gt;8, OR(C200=C199+1, AND(C199=23, C200=0))), G199, MAX($G$1:G199)+1))</f>
        <v>0</v>
      </c>
      <c r="H200" s="194">
        <f t="shared" si="21"/>
        <v>9</v>
      </c>
    </row>
    <row r="201" spans="1:8">
      <c r="A201" s="190">
        <f t="shared" si="17"/>
        <v>9</v>
      </c>
      <c r="B201" s="193">
        <f t="shared" si="18"/>
        <v>17</v>
      </c>
      <c r="C201" s="190" cm="1">
        <f t="array" aca="1" ref="C201" ca="1">VALUE(LEFT(TRIM(INDIRECT("'" &amp; INT((ROW()-2)/24)+1 &amp; "號'!B" &amp; MOD(ROW()-2,24)+10)), 2))</f>
        <v>15</v>
      </c>
      <c r="D201" s="190">
        <f t="shared" ca="1" si="19"/>
        <v>7</v>
      </c>
      <c r="E201" s="190" cm="1">
        <f t="array" aca="1" ref="E201" ca="1">INDIRECT("'" &amp; A201 &amp; "號'!" &amp; ADDRESS(B201, D201))</f>
        <v>15</v>
      </c>
      <c r="F201" s="190">
        <f t="shared" ca="1" si="20"/>
        <v>0</v>
      </c>
      <c r="G201" s="190">
        <f ca="1">IF(F201=0, 0, IF(AND(F200=1, C201&lt;&gt;8, OR(C201=C200+1, AND(C200=23, C201=0))), G200, MAX($G$1:G200)+1))</f>
        <v>0</v>
      </c>
      <c r="H201" s="194">
        <f t="shared" si="21"/>
        <v>9</v>
      </c>
    </row>
    <row r="202" spans="1:8">
      <c r="A202" s="190">
        <f t="shared" si="17"/>
        <v>9</v>
      </c>
      <c r="B202" s="193">
        <f t="shared" si="18"/>
        <v>18</v>
      </c>
      <c r="C202" s="190" cm="1">
        <f t="array" aca="1" ref="C202" ca="1">VALUE(LEFT(TRIM(INDIRECT("'" &amp; INT((ROW()-2)/24)+1 &amp; "號'!B" &amp; MOD(ROW()-2,24)+10)), 2))</f>
        <v>16</v>
      </c>
      <c r="D202" s="190">
        <f t="shared" ca="1" si="19"/>
        <v>7</v>
      </c>
      <c r="E202" s="190" cm="1">
        <f t="array" aca="1" ref="E202" ca="1">INDIRECT("'" &amp; A202 &amp; "號'!" &amp; ADDRESS(B202, D202))</f>
        <v>0</v>
      </c>
      <c r="F202" s="190">
        <f t="shared" ca="1" si="20"/>
        <v>0</v>
      </c>
      <c r="G202" s="190">
        <f ca="1">IF(F202=0, 0, IF(AND(F201=1, C202&lt;&gt;8, OR(C202=C201+1, AND(C201=23, C202=0))), G201, MAX($G$1:G201)+1))</f>
        <v>0</v>
      </c>
      <c r="H202" s="194">
        <f t="shared" si="21"/>
        <v>9</v>
      </c>
    </row>
    <row r="203" spans="1:8">
      <c r="A203" s="190">
        <f t="shared" si="17"/>
        <v>9</v>
      </c>
      <c r="B203" s="193">
        <f t="shared" si="18"/>
        <v>19</v>
      </c>
      <c r="C203" s="190" cm="1">
        <f t="array" aca="1" ref="C203" ca="1">VALUE(LEFT(TRIM(INDIRECT("'" &amp; INT((ROW()-2)/24)+1 &amp; "號'!B" &amp; MOD(ROW()-2,24)+10)), 2))</f>
        <v>17</v>
      </c>
      <c r="D203" s="190">
        <f t="shared" ca="1" si="19"/>
        <v>7</v>
      </c>
      <c r="E203" s="190" cm="1">
        <f t="array" aca="1" ref="E203" ca="1">INDIRECT("'" &amp; A203 &amp; "號'!" &amp; ADDRESS(B203, D203))</f>
        <v>0</v>
      </c>
      <c r="F203" s="190">
        <f t="shared" ca="1" si="20"/>
        <v>0</v>
      </c>
      <c r="G203" s="190">
        <f ca="1">IF(F203=0, 0, IF(AND(F202=1, C203&lt;&gt;8, OR(C203=C202+1, AND(C202=23, C203=0))), G202, MAX($G$1:G202)+1))</f>
        <v>0</v>
      </c>
      <c r="H203" s="194">
        <f t="shared" si="21"/>
        <v>9</v>
      </c>
    </row>
    <row r="204" spans="1:8">
      <c r="A204" s="190">
        <f t="shared" si="17"/>
        <v>9</v>
      </c>
      <c r="B204" s="193">
        <f t="shared" si="18"/>
        <v>20</v>
      </c>
      <c r="C204" s="190" cm="1">
        <f t="array" aca="1" ref="C204" ca="1">VALUE(LEFT(TRIM(INDIRECT("'" &amp; INT((ROW()-2)/24)+1 &amp; "號'!B" &amp; MOD(ROW()-2,24)+10)), 2))</f>
        <v>18</v>
      </c>
      <c r="D204" s="190">
        <f t="shared" ca="1" si="19"/>
        <v>7</v>
      </c>
      <c r="E204" s="190" t="str" cm="1">
        <f t="array" aca="1" ref="E204" ca="1">INDIRECT("'" &amp; A204 &amp; "號'!" &amp; ADDRESS(B204, D204))</f>
        <v>7</v>
      </c>
      <c r="F204" s="190">
        <f t="shared" ca="1" si="20"/>
        <v>0</v>
      </c>
      <c r="G204" s="190">
        <f ca="1">IF(F204=0, 0, IF(AND(F203=1, C204&lt;&gt;8, OR(C204=C203+1, AND(C203=23, C204=0))), G203, MAX($G$1:G203)+1))</f>
        <v>0</v>
      </c>
      <c r="H204" s="194">
        <f t="shared" si="21"/>
        <v>9</v>
      </c>
    </row>
    <row r="205" spans="1:8">
      <c r="A205" s="190">
        <f t="shared" si="17"/>
        <v>9</v>
      </c>
      <c r="B205" s="193">
        <f t="shared" si="18"/>
        <v>21</v>
      </c>
      <c r="C205" s="190" cm="1">
        <f t="array" aca="1" ref="C205" ca="1">VALUE(LEFT(TRIM(INDIRECT("'" &amp; INT((ROW()-2)/24)+1 &amp; "號'!B" &amp; MOD(ROW()-2,24)+10)), 2))</f>
        <v>19</v>
      </c>
      <c r="D205" s="190">
        <f t="shared" ca="1" si="19"/>
        <v>7</v>
      </c>
      <c r="E205" s="190" t="str" cm="1">
        <f t="array" aca="1" ref="E205" ca="1">INDIRECT("'" &amp; A205 &amp; "號'!" &amp; ADDRESS(B205, D205))</f>
        <v>7,9</v>
      </c>
      <c r="F205" s="190">
        <f t="shared" ca="1" si="20"/>
        <v>0</v>
      </c>
      <c r="G205" s="190">
        <f ca="1">IF(F205=0, 0, IF(AND(F204=1, C205&lt;&gt;8, OR(C205=C204+1, AND(C204=23, C205=0))), G204, MAX($G$1:G204)+1))</f>
        <v>0</v>
      </c>
      <c r="H205" s="194">
        <f t="shared" si="21"/>
        <v>9</v>
      </c>
    </row>
    <row r="206" spans="1:8">
      <c r="A206" s="190">
        <f t="shared" si="17"/>
        <v>9</v>
      </c>
      <c r="B206" s="193">
        <f t="shared" si="18"/>
        <v>22</v>
      </c>
      <c r="C206" s="190" cm="1">
        <f t="array" aca="1" ref="C206" ca="1">VALUE(LEFT(TRIM(INDIRECT("'" &amp; INT((ROW()-2)/24)+1 &amp; "號'!B" &amp; MOD(ROW()-2,24)+10)), 2))</f>
        <v>20</v>
      </c>
      <c r="D206" s="190">
        <f t="shared" ca="1" si="19"/>
        <v>7</v>
      </c>
      <c r="E206" s="190" t="str" cm="1">
        <f t="array" aca="1" ref="E206" ca="1">INDIRECT("'" &amp; A206 &amp; "號'!" &amp; ADDRESS(B206, D206))</f>
        <v>9</v>
      </c>
      <c r="F206" s="190">
        <f t="shared" ca="1" si="20"/>
        <v>0</v>
      </c>
      <c r="G206" s="190">
        <f ca="1">IF(F206=0, 0, IF(AND(F205=1, C206&lt;&gt;8, OR(C206=C205+1, AND(C205=23, C206=0))), G205, MAX($G$1:G205)+1))</f>
        <v>0</v>
      </c>
      <c r="H206" s="194">
        <f t="shared" si="21"/>
        <v>9</v>
      </c>
    </row>
    <row r="207" spans="1:8">
      <c r="A207" s="190">
        <f t="shared" si="17"/>
        <v>9</v>
      </c>
      <c r="B207" s="193">
        <f t="shared" si="18"/>
        <v>23</v>
      </c>
      <c r="C207" s="190" cm="1">
        <f t="array" aca="1" ref="C207" ca="1">VALUE(LEFT(TRIM(INDIRECT("'" &amp; INT((ROW()-2)/24)+1 &amp; "號'!B" &amp; MOD(ROW()-2,24)+10)), 2))</f>
        <v>21</v>
      </c>
      <c r="D207" s="190">
        <f t="shared" ca="1" si="19"/>
        <v>7</v>
      </c>
      <c r="E207" s="190" t="str" cm="1">
        <f t="array" aca="1" ref="E207" ca="1">INDIRECT("'" &amp; A207 &amp; "號'!" &amp; ADDRESS(B207, D207))</f>
        <v>9</v>
      </c>
      <c r="F207" s="190">
        <f t="shared" ca="1" si="20"/>
        <v>0</v>
      </c>
      <c r="G207" s="190">
        <f ca="1">IF(F207=0, 0, IF(AND(F206=1, C207&lt;&gt;8, OR(C207=C206+1, AND(C206=23, C207=0))), G206, MAX($G$1:G206)+1))</f>
        <v>0</v>
      </c>
      <c r="H207" s="194">
        <f t="shared" si="21"/>
        <v>9</v>
      </c>
    </row>
    <row r="208" spans="1:8">
      <c r="A208" s="190">
        <f t="shared" si="17"/>
        <v>9</v>
      </c>
      <c r="B208" s="193">
        <f t="shared" si="18"/>
        <v>24</v>
      </c>
      <c r="C208" s="190" cm="1">
        <f t="array" aca="1" ref="C208" ca="1">VALUE(LEFT(TRIM(INDIRECT("'" &amp; INT((ROW()-2)/24)+1 &amp; "號'!B" &amp; MOD(ROW()-2,24)+10)), 2))</f>
        <v>22</v>
      </c>
      <c r="D208" s="190">
        <f t="shared" ca="1" si="19"/>
        <v>7</v>
      </c>
      <c r="E208" s="190" cm="1">
        <f t="array" aca="1" ref="E208" ca="1">INDIRECT("'" &amp; A208 &amp; "號'!" &amp; ADDRESS(B208, D208))</f>
        <v>26</v>
      </c>
      <c r="F208" s="190">
        <f t="shared" ca="1" si="20"/>
        <v>0</v>
      </c>
      <c r="G208" s="190">
        <f ca="1">IF(F208=0, 0, IF(AND(F207=1, C208&lt;&gt;8, OR(C208=C207+1, AND(C207=23, C208=0))), G207, MAX($G$1:G207)+1))</f>
        <v>0</v>
      </c>
      <c r="H208" s="194">
        <f t="shared" si="21"/>
        <v>9</v>
      </c>
    </row>
    <row r="209" spans="1:8">
      <c r="A209" s="190">
        <f t="shared" si="17"/>
        <v>9</v>
      </c>
      <c r="B209" s="193">
        <f t="shared" si="18"/>
        <v>25</v>
      </c>
      <c r="C209" s="190" cm="1">
        <f t="array" aca="1" ref="C209" ca="1">VALUE(LEFT(TRIM(INDIRECT("'" &amp; INT((ROW()-2)/24)+1 &amp; "號'!B" &amp; MOD(ROW()-2,24)+10)), 2))</f>
        <v>23</v>
      </c>
      <c r="D209" s="190">
        <f t="shared" ca="1" si="19"/>
        <v>7</v>
      </c>
      <c r="E209" s="190" cm="1">
        <f t="array" aca="1" ref="E209" ca="1">INDIRECT("'" &amp; A209 &amp; "號'!" &amp; ADDRESS(B209, D209))</f>
        <v>26</v>
      </c>
      <c r="F209" s="190">
        <f t="shared" ca="1" si="20"/>
        <v>0</v>
      </c>
      <c r="G209" s="190">
        <f ca="1">IF(F209=0, 0, IF(AND(F208=1, C209&lt;&gt;8, OR(C209=C208+1, AND(C208=23, C209=0))), G208, MAX($G$1:G208)+1))</f>
        <v>0</v>
      </c>
      <c r="H209" s="194">
        <f t="shared" si="21"/>
        <v>9</v>
      </c>
    </row>
    <row r="210" spans="1:8">
      <c r="A210" s="190">
        <f t="shared" si="17"/>
        <v>9</v>
      </c>
      <c r="B210" s="193">
        <f t="shared" si="18"/>
        <v>26</v>
      </c>
      <c r="C210" s="190" cm="1">
        <f t="array" aca="1" ref="C210" ca="1">VALUE(LEFT(TRIM(INDIRECT("'" &amp; INT((ROW()-2)/24)+1 &amp; "號'!B" &amp; MOD(ROW()-2,24)+10)), 2))</f>
        <v>0</v>
      </c>
      <c r="D210" s="190">
        <f t="shared" ca="1" si="19"/>
        <v>7</v>
      </c>
      <c r="E210" s="190" t="str" cm="1">
        <f t="array" aca="1" ref="E210" ca="1">INDIRECT("'" &amp; A210 &amp; "號'!" &amp; ADDRESS(B210, D210))</f>
        <v/>
      </c>
      <c r="F210" s="190">
        <f t="shared" ca="1" si="20"/>
        <v>0</v>
      </c>
      <c r="G210" s="190">
        <f ca="1">IF(F210=0, 0, IF(AND(F209=1, C210&lt;&gt;8, OR(C210=C209+1, AND(C209=23, C210=0))), G209, MAX($G$1:G209)+1))</f>
        <v>0</v>
      </c>
      <c r="H210" s="194">
        <f t="shared" si="21"/>
        <v>9</v>
      </c>
    </row>
    <row r="211" spans="1:8">
      <c r="A211" s="190">
        <f t="shared" si="17"/>
        <v>9</v>
      </c>
      <c r="B211" s="193">
        <f t="shared" si="18"/>
        <v>27</v>
      </c>
      <c r="C211" s="190" cm="1">
        <f t="array" aca="1" ref="C211" ca="1">VALUE(LEFT(TRIM(INDIRECT("'" &amp; INT((ROW()-2)/24)+1 &amp; "號'!B" &amp; MOD(ROW()-2,24)+10)), 2))</f>
        <v>1</v>
      </c>
      <c r="D211" s="190">
        <f t="shared" ca="1" si="19"/>
        <v>7</v>
      </c>
      <c r="E211" s="190" t="str" cm="1">
        <f t="array" aca="1" ref="E211" ca="1">INDIRECT("'" &amp; A211 &amp; "號'!" &amp; ADDRESS(B211, D211))</f>
        <v/>
      </c>
      <c r="F211" s="190">
        <f t="shared" ca="1" si="20"/>
        <v>0</v>
      </c>
      <c r="G211" s="190">
        <f ca="1">IF(F211=0, 0, IF(AND(F210=1, C211&lt;&gt;8, OR(C211=C210+1, AND(C210=23, C211=0))), G210, MAX($G$1:G210)+1))</f>
        <v>0</v>
      </c>
      <c r="H211" s="194">
        <f t="shared" si="21"/>
        <v>9</v>
      </c>
    </row>
    <row r="212" spans="1:8">
      <c r="A212" s="190">
        <f t="shared" si="17"/>
        <v>9</v>
      </c>
      <c r="B212" s="193">
        <f t="shared" si="18"/>
        <v>28</v>
      </c>
      <c r="C212" s="190" cm="1">
        <f t="array" aca="1" ref="C212" ca="1">VALUE(LEFT(TRIM(INDIRECT("'" &amp; INT((ROW()-2)/24)+1 &amp; "號'!B" &amp; MOD(ROW()-2,24)+10)), 2))</f>
        <v>2</v>
      </c>
      <c r="D212" s="190">
        <f t="shared" ca="1" si="19"/>
        <v>7</v>
      </c>
      <c r="E212" s="190" t="str" cm="1">
        <f t="array" aca="1" ref="E212" ca="1">INDIRECT("'" &amp; A212 &amp; "號'!" &amp; ADDRESS(B212, D212))</f>
        <v/>
      </c>
      <c r="F212" s="190">
        <f t="shared" ca="1" si="20"/>
        <v>0</v>
      </c>
      <c r="G212" s="190">
        <f ca="1">IF(F212=0, 0, IF(AND(F211=1, C212&lt;&gt;8, OR(C212=C211+1, AND(C211=23, C212=0))), G211, MAX($G$1:G211)+1))</f>
        <v>0</v>
      </c>
      <c r="H212" s="194">
        <f t="shared" si="21"/>
        <v>9</v>
      </c>
    </row>
    <row r="213" spans="1:8">
      <c r="A213" s="190">
        <f t="shared" si="17"/>
        <v>9</v>
      </c>
      <c r="B213" s="193">
        <f t="shared" si="18"/>
        <v>29</v>
      </c>
      <c r="C213" s="190" cm="1">
        <f t="array" aca="1" ref="C213" ca="1">VALUE(LEFT(TRIM(INDIRECT("'" &amp; INT((ROW()-2)/24)+1 &amp; "號'!B" &amp; MOD(ROW()-2,24)+10)), 2))</f>
        <v>3</v>
      </c>
      <c r="D213" s="190">
        <f t="shared" ca="1" si="19"/>
        <v>7</v>
      </c>
      <c r="E213" s="190" t="str" cm="1">
        <f t="array" aca="1" ref="E213" ca="1">INDIRECT("'" &amp; A213 &amp; "號'!" &amp; ADDRESS(B213, D213))</f>
        <v/>
      </c>
      <c r="F213" s="190">
        <f t="shared" ca="1" si="20"/>
        <v>0</v>
      </c>
      <c r="G213" s="190">
        <f ca="1">IF(F213=0, 0, IF(AND(F212=1, C213&lt;&gt;8, OR(C213=C212+1, AND(C212=23, C213=0))), G212, MAX($G$1:G212)+1))</f>
        <v>0</v>
      </c>
      <c r="H213" s="194">
        <f t="shared" si="21"/>
        <v>9</v>
      </c>
    </row>
    <row r="214" spans="1:8">
      <c r="A214" s="190">
        <f t="shared" si="17"/>
        <v>9</v>
      </c>
      <c r="B214" s="193">
        <f t="shared" si="18"/>
        <v>30</v>
      </c>
      <c r="C214" s="190" cm="1">
        <f t="array" aca="1" ref="C214" ca="1">VALUE(LEFT(TRIM(INDIRECT("'" &amp; INT((ROW()-2)/24)+1 &amp; "號'!B" &amp; MOD(ROW()-2,24)+10)), 2))</f>
        <v>4</v>
      </c>
      <c r="D214" s="190">
        <f t="shared" ca="1" si="19"/>
        <v>7</v>
      </c>
      <c r="E214" s="190" t="str" cm="1">
        <f t="array" aca="1" ref="E214" ca="1">INDIRECT("'" &amp; A214 &amp; "號'!" &amp; ADDRESS(B214, D214))</f>
        <v/>
      </c>
      <c r="F214" s="190">
        <f t="shared" ca="1" si="20"/>
        <v>0</v>
      </c>
      <c r="G214" s="190">
        <f ca="1">IF(F214=0, 0, IF(AND(F213=1, C214&lt;&gt;8, OR(C214=C213+1, AND(C213=23, C214=0))), G213, MAX($G$1:G213)+1))</f>
        <v>0</v>
      </c>
      <c r="H214" s="194">
        <f t="shared" si="21"/>
        <v>9</v>
      </c>
    </row>
    <row r="215" spans="1:8">
      <c r="A215" s="190">
        <f t="shared" si="17"/>
        <v>9</v>
      </c>
      <c r="B215" s="193">
        <f t="shared" si="18"/>
        <v>31</v>
      </c>
      <c r="C215" s="190" cm="1">
        <f t="array" aca="1" ref="C215" ca="1">VALUE(LEFT(TRIM(INDIRECT("'" &amp; INT((ROW()-2)/24)+1 &amp; "號'!B" &amp; MOD(ROW()-2,24)+10)), 2))</f>
        <v>5</v>
      </c>
      <c r="D215" s="190">
        <f t="shared" ca="1" si="19"/>
        <v>7</v>
      </c>
      <c r="E215" s="190" t="str" cm="1">
        <f t="array" aca="1" ref="E215" ca="1">INDIRECT("'" &amp; A215 &amp; "號'!" &amp; ADDRESS(B215, D215))</f>
        <v/>
      </c>
      <c r="F215" s="190">
        <f t="shared" ca="1" si="20"/>
        <v>0</v>
      </c>
      <c r="G215" s="190">
        <f ca="1">IF(F215=0, 0, IF(AND(F214=1, C215&lt;&gt;8, OR(C215=C214+1, AND(C214=23, C215=0))), G214, MAX($G$1:G214)+1))</f>
        <v>0</v>
      </c>
      <c r="H215" s="194">
        <f t="shared" si="21"/>
        <v>9</v>
      </c>
    </row>
    <row r="216" spans="1:8">
      <c r="A216" s="190">
        <f t="shared" si="17"/>
        <v>9</v>
      </c>
      <c r="B216" s="193">
        <f t="shared" si="18"/>
        <v>32</v>
      </c>
      <c r="C216" s="190" cm="1">
        <f t="array" aca="1" ref="C216" ca="1">VALUE(LEFT(TRIM(INDIRECT("'" &amp; INT((ROW()-2)/24)+1 &amp; "號'!B" &amp; MOD(ROW()-2,24)+10)), 2))</f>
        <v>6</v>
      </c>
      <c r="D216" s="190">
        <f t="shared" ca="1" si="19"/>
        <v>7</v>
      </c>
      <c r="E216" s="190" t="str" cm="1">
        <f t="array" aca="1" ref="E216" ca="1">INDIRECT("'" &amp; A216 &amp; "號'!" &amp; ADDRESS(B216, D216))</f>
        <v>14,2</v>
      </c>
      <c r="F216" s="190">
        <f t="shared" ca="1" si="20"/>
        <v>0</v>
      </c>
      <c r="G216" s="190">
        <f ca="1">IF(F216=0, 0, IF(AND(F215=1, C216&lt;&gt;8, OR(C216=C215+1, AND(C215=23, C216=0))), G215, MAX($G$1:G215)+1))</f>
        <v>0</v>
      </c>
      <c r="H216" s="194">
        <f t="shared" si="21"/>
        <v>9</v>
      </c>
    </row>
    <row r="217" spans="1:8">
      <c r="A217" s="190">
        <f t="shared" si="17"/>
        <v>9</v>
      </c>
      <c r="B217" s="193">
        <f t="shared" si="18"/>
        <v>33</v>
      </c>
      <c r="C217" s="190" cm="1">
        <f t="array" aca="1" ref="C217" ca="1">VALUE(LEFT(TRIM(INDIRECT("'" &amp; INT((ROW()-2)/24)+1 &amp; "號'!B" &amp; MOD(ROW()-2,24)+10)), 2))</f>
        <v>7</v>
      </c>
      <c r="D217" s="190">
        <f t="shared" ca="1" si="19"/>
        <v>7</v>
      </c>
      <c r="E217" s="190" t="str" cm="1">
        <f t="array" aca="1" ref="E217" ca="1">INDIRECT("'" &amp; A217 &amp; "號'!" &amp; ADDRESS(B217, D217))</f>
        <v>14,2</v>
      </c>
      <c r="F217" s="190">
        <f t="shared" ca="1" si="20"/>
        <v>0</v>
      </c>
      <c r="G217" s="190">
        <f ca="1">IF(F217=0, 0, IF(AND(F216=1, C217&lt;&gt;8, OR(C217=C216+1, AND(C216=23, C217=0))), G216, MAX($G$1:G216)+1))</f>
        <v>0</v>
      </c>
      <c r="H217" s="194">
        <f t="shared" si="21"/>
        <v>9</v>
      </c>
    </row>
    <row r="218" spans="1:8">
      <c r="A218" s="190">
        <f t="shared" si="17"/>
        <v>10</v>
      </c>
      <c r="B218" s="193">
        <f t="shared" si="18"/>
        <v>10</v>
      </c>
      <c r="C218" s="190" cm="1">
        <f t="array" aca="1" ref="C218" ca="1">VALUE(LEFT(TRIM(INDIRECT("'" &amp; INT((ROW()-2)/24)+1 &amp; "號'!B" &amp; MOD(ROW()-2,24)+10)), 2))</f>
        <v>8</v>
      </c>
      <c r="D218" s="190">
        <f t="shared" ca="1" si="19"/>
        <v>7</v>
      </c>
      <c r="E218" s="190" t="str" cm="1">
        <f t="array" aca="1" ref="E218" ca="1">INDIRECT("'" &amp; A218 &amp; "號'!" &amp; ADDRESS(B218, D218))</f>
        <v>28,5</v>
      </c>
      <c r="F218" s="190">
        <f t="shared" ca="1" si="20"/>
        <v>0</v>
      </c>
      <c r="G218" s="190">
        <f ca="1">IF(F218=0, 0, IF(AND(F217=1, C218&lt;&gt;8, OR(C218=C217+1, AND(C217=23, C218=0))), G217, MAX($G$1:G217)+1))</f>
        <v>0</v>
      </c>
      <c r="H218" s="194">
        <f t="shared" si="21"/>
        <v>10</v>
      </c>
    </row>
    <row r="219" spans="1:8">
      <c r="A219" s="190">
        <f t="shared" si="17"/>
        <v>10</v>
      </c>
      <c r="B219" s="193">
        <f t="shared" si="18"/>
        <v>11</v>
      </c>
      <c r="C219" s="190" cm="1">
        <f t="array" aca="1" ref="C219" ca="1">VALUE(LEFT(TRIM(INDIRECT("'" &amp; INT((ROW()-2)/24)+1 &amp; "號'!B" &amp; MOD(ROW()-2,24)+10)), 2))</f>
        <v>9</v>
      </c>
      <c r="D219" s="190">
        <f t="shared" ca="1" si="19"/>
        <v>7</v>
      </c>
      <c r="E219" s="190" t="str" cm="1">
        <f t="array" aca="1" ref="E219" ca="1">INDIRECT("'" &amp; A219 &amp; "號'!" &amp; ADDRESS(B219, D219))</f>
        <v>28,5</v>
      </c>
      <c r="F219" s="190">
        <f t="shared" ca="1" si="20"/>
        <v>0</v>
      </c>
      <c r="G219" s="190">
        <f ca="1">IF(F219=0, 0, IF(AND(F218=1, C219&lt;&gt;8, OR(C219=C218+1, AND(C218=23, C219=0))), G218, MAX($G$1:G218)+1))</f>
        <v>0</v>
      </c>
      <c r="H219" s="194">
        <f t="shared" si="21"/>
        <v>10</v>
      </c>
    </row>
    <row r="220" spans="1:8">
      <c r="A220" s="190">
        <f t="shared" si="17"/>
        <v>10</v>
      </c>
      <c r="B220" s="193">
        <f t="shared" si="18"/>
        <v>12</v>
      </c>
      <c r="C220" s="190" cm="1">
        <f t="array" aca="1" ref="C220" ca="1">VALUE(LEFT(TRIM(INDIRECT("'" &amp; INT((ROW()-2)/24)+1 &amp; "號'!B" &amp; MOD(ROW()-2,24)+10)), 2))</f>
        <v>10</v>
      </c>
      <c r="D220" s="190">
        <f t="shared" ca="1" si="19"/>
        <v>7</v>
      </c>
      <c r="E220" s="190" cm="1">
        <f t="array" aca="1" ref="E220" ca="1">INDIRECT("'" &amp; A220 &amp; "號'!" &amp; ADDRESS(B220, D220))</f>
        <v>28</v>
      </c>
      <c r="F220" s="190">
        <f t="shared" ca="1" si="20"/>
        <v>0</v>
      </c>
      <c r="G220" s="190">
        <f ca="1">IF(F220=0, 0, IF(AND(F219=1, C220&lt;&gt;8, OR(C220=C219+1, AND(C219=23, C220=0))), G219, MAX($G$1:G219)+1))</f>
        <v>0</v>
      </c>
      <c r="H220" s="194">
        <f t="shared" si="21"/>
        <v>10</v>
      </c>
    </row>
    <row r="221" spans="1:8">
      <c r="A221" s="190">
        <f t="shared" si="17"/>
        <v>10</v>
      </c>
      <c r="B221" s="193">
        <f t="shared" si="18"/>
        <v>13</v>
      </c>
      <c r="C221" s="190" cm="1">
        <f t="array" aca="1" ref="C221" ca="1">VALUE(LEFT(TRIM(INDIRECT("'" &amp; INT((ROW()-2)/24)+1 &amp; "號'!B" &amp; MOD(ROW()-2,24)+10)), 2))</f>
        <v>11</v>
      </c>
      <c r="D221" s="190">
        <f t="shared" ca="1" si="19"/>
        <v>7</v>
      </c>
      <c r="E221" s="190" cm="1">
        <f t="array" aca="1" ref="E221" ca="1">INDIRECT("'" &amp; A221 &amp; "號'!" &amp; ADDRESS(B221, D221))</f>
        <v>28</v>
      </c>
      <c r="F221" s="190">
        <f t="shared" ca="1" si="20"/>
        <v>0</v>
      </c>
      <c r="G221" s="190">
        <f ca="1">IF(F221=0, 0, IF(AND(F220=1, C221&lt;&gt;8, OR(C221=C220+1, AND(C220=23, C221=0))), G220, MAX($G$1:G220)+1))</f>
        <v>0</v>
      </c>
      <c r="H221" s="194">
        <f t="shared" si="21"/>
        <v>10</v>
      </c>
    </row>
    <row r="222" spans="1:8">
      <c r="A222" s="190">
        <f t="shared" si="17"/>
        <v>10</v>
      </c>
      <c r="B222" s="193">
        <f t="shared" si="18"/>
        <v>14</v>
      </c>
      <c r="C222" s="190" cm="1">
        <f t="array" aca="1" ref="C222" ca="1">VALUE(LEFT(TRIM(INDIRECT("'" &amp; INT((ROW()-2)/24)+1 &amp; "號'!B" &amp; MOD(ROW()-2,24)+10)), 2))</f>
        <v>12</v>
      </c>
      <c r="D222" s="190">
        <f t="shared" ca="1" si="19"/>
        <v>7</v>
      </c>
      <c r="E222" s="190" t="str" cm="1">
        <f t="array" aca="1" ref="E222" ca="1">INDIRECT("'" &amp; A222 &amp; "號'!" &amp; ADDRESS(B222, D222))</f>
        <v>10</v>
      </c>
      <c r="F222" s="190">
        <f t="shared" ca="1" si="20"/>
        <v>0</v>
      </c>
      <c r="G222" s="190">
        <f ca="1">IF(F222=0, 0, IF(AND(F221=1, C222&lt;&gt;8, OR(C222=C221+1, AND(C221=23, C222=0))), G221, MAX($G$1:G221)+1))</f>
        <v>0</v>
      </c>
      <c r="H222" s="194">
        <f t="shared" si="21"/>
        <v>10</v>
      </c>
    </row>
    <row r="223" spans="1:8">
      <c r="A223" s="190">
        <f t="shared" si="17"/>
        <v>10</v>
      </c>
      <c r="B223" s="193">
        <f t="shared" si="18"/>
        <v>15</v>
      </c>
      <c r="C223" s="190" cm="1">
        <f t="array" aca="1" ref="C223" ca="1">VALUE(LEFT(TRIM(INDIRECT("'" &amp; INT((ROW()-2)/24)+1 &amp; "號'!B" &amp; MOD(ROW()-2,24)+10)), 2))</f>
        <v>13</v>
      </c>
      <c r="D223" s="190">
        <f t="shared" ca="1" si="19"/>
        <v>7</v>
      </c>
      <c r="E223" s="190" t="str" cm="1">
        <f t="array" aca="1" ref="E223" ca="1">INDIRECT("'" &amp; A223 &amp; "號'!" &amp; ADDRESS(B223, D223))</f>
        <v>10</v>
      </c>
      <c r="F223" s="190">
        <f t="shared" ca="1" si="20"/>
        <v>0</v>
      </c>
      <c r="G223" s="190">
        <f ca="1">IF(F223=0, 0, IF(AND(F222=1, C223&lt;&gt;8, OR(C223=C222+1, AND(C222=23, C223=0))), G222, MAX($G$1:G222)+1))</f>
        <v>0</v>
      </c>
      <c r="H223" s="194">
        <f t="shared" si="21"/>
        <v>10</v>
      </c>
    </row>
    <row r="224" spans="1:8">
      <c r="A224" s="190">
        <f t="shared" si="17"/>
        <v>10</v>
      </c>
      <c r="B224" s="193">
        <f t="shared" si="18"/>
        <v>16</v>
      </c>
      <c r="C224" s="190" cm="1">
        <f t="array" aca="1" ref="C224" ca="1">VALUE(LEFT(TRIM(INDIRECT("'" &amp; INT((ROW()-2)/24)+1 &amp; "號'!B" &amp; MOD(ROW()-2,24)+10)), 2))</f>
        <v>14</v>
      </c>
      <c r="D224" s="190">
        <f t="shared" ca="1" si="19"/>
        <v>7</v>
      </c>
      <c r="E224" s="190" t="str" cm="1">
        <f t="array" aca="1" ref="E224" ca="1">INDIRECT("'" &amp; A224 &amp; "號'!" &amp; ADDRESS(B224, D224))</f>
        <v/>
      </c>
      <c r="F224" s="190">
        <f t="shared" ca="1" si="20"/>
        <v>0</v>
      </c>
      <c r="G224" s="190">
        <f ca="1">IF(F224=0, 0, IF(AND(F223=1, C224&lt;&gt;8, OR(C224=C223+1, AND(C223=23, C224=0))), G223, MAX($G$1:G223)+1))</f>
        <v>0</v>
      </c>
      <c r="H224" s="194">
        <f t="shared" si="21"/>
        <v>10</v>
      </c>
    </row>
    <row r="225" spans="1:8">
      <c r="A225" s="190">
        <f t="shared" si="17"/>
        <v>10</v>
      </c>
      <c r="B225" s="193">
        <f t="shared" si="18"/>
        <v>17</v>
      </c>
      <c r="C225" s="190" cm="1">
        <f t="array" aca="1" ref="C225" ca="1">VALUE(LEFT(TRIM(INDIRECT("'" &amp; INT((ROW()-2)/24)+1 &amp; "號'!B" &amp; MOD(ROW()-2,24)+10)), 2))</f>
        <v>15</v>
      </c>
      <c r="D225" s="190">
        <f t="shared" ca="1" si="19"/>
        <v>7</v>
      </c>
      <c r="E225" s="190" t="str" cm="1">
        <f t="array" aca="1" ref="E225" ca="1">INDIRECT("'" &amp; A225 &amp; "號'!" &amp; ADDRESS(B225, D225))</f>
        <v/>
      </c>
      <c r="F225" s="190">
        <f t="shared" ca="1" si="20"/>
        <v>0</v>
      </c>
      <c r="G225" s="190">
        <f ca="1">IF(F225=0, 0, IF(AND(F224=1, C225&lt;&gt;8, OR(C225=C224+1, AND(C224=23, C225=0))), G224, MAX($G$1:G224)+1))</f>
        <v>0</v>
      </c>
      <c r="H225" s="194">
        <f t="shared" si="21"/>
        <v>10</v>
      </c>
    </row>
    <row r="226" spans="1:8">
      <c r="A226" s="190">
        <f t="shared" si="17"/>
        <v>10</v>
      </c>
      <c r="B226" s="193">
        <f t="shared" si="18"/>
        <v>18</v>
      </c>
      <c r="C226" s="190" cm="1">
        <f t="array" aca="1" ref="C226" ca="1">VALUE(LEFT(TRIM(INDIRECT("'" &amp; INT((ROW()-2)/24)+1 &amp; "號'!B" &amp; MOD(ROW()-2,24)+10)), 2))</f>
        <v>16</v>
      </c>
      <c r="D226" s="190">
        <f t="shared" ca="1" si="19"/>
        <v>7</v>
      </c>
      <c r="E226" s="190" t="str" cm="1">
        <f t="array" aca="1" ref="E226" ca="1">INDIRECT("'" &amp; A226 &amp; "號'!" &amp; ADDRESS(B226, D226))</f>
        <v>8</v>
      </c>
      <c r="F226" s="190">
        <f t="shared" ca="1" si="20"/>
        <v>0</v>
      </c>
      <c r="G226" s="190">
        <f ca="1">IF(F226=0, 0, IF(AND(F225=1, C226&lt;&gt;8, OR(C226=C225+1, AND(C225=23, C226=0))), G225, MAX($G$1:G225)+1))</f>
        <v>0</v>
      </c>
      <c r="H226" s="194">
        <f t="shared" si="21"/>
        <v>10</v>
      </c>
    </row>
    <row r="227" spans="1:8">
      <c r="A227" s="190">
        <f t="shared" si="17"/>
        <v>10</v>
      </c>
      <c r="B227" s="193">
        <f t="shared" si="18"/>
        <v>19</v>
      </c>
      <c r="C227" s="190" cm="1">
        <f t="array" aca="1" ref="C227" ca="1">VALUE(LEFT(TRIM(INDIRECT("'" &amp; INT((ROW()-2)/24)+1 &amp; "號'!B" &amp; MOD(ROW()-2,24)+10)), 2))</f>
        <v>17</v>
      </c>
      <c r="D227" s="190">
        <f t="shared" ca="1" si="19"/>
        <v>7</v>
      </c>
      <c r="E227" s="190" t="str" cm="1">
        <f t="array" aca="1" ref="E227" ca="1">INDIRECT("'" &amp; A227 &amp; "號'!" &amp; ADDRESS(B227, D227))</f>
        <v>8</v>
      </c>
      <c r="F227" s="190">
        <f t="shared" ca="1" si="20"/>
        <v>0</v>
      </c>
      <c r="G227" s="190">
        <f ca="1">IF(F227=0, 0, IF(AND(F226=1, C227&lt;&gt;8, OR(C227=C226+1, AND(C226=23, C227=0))), G226, MAX($G$1:G226)+1))</f>
        <v>0</v>
      </c>
      <c r="H227" s="194">
        <f t="shared" si="21"/>
        <v>10</v>
      </c>
    </row>
    <row r="228" spans="1:8">
      <c r="A228" s="190">
        <f t="shared" si="17"/>
        <v>10</v>
      </c>
      <c r="B228" s="193">
        <f t="shared" si="18"/>
        <v>20</v>
      </c>
      <c r="C228" s="190" cm="1">
        <f t="array" aca="1" ref="C228" ca="1">VALUE(LEFT(TRIM(INDIRECT("'" &amp; INT((ROW()-2)/24)+1 &amp; "號'!B" &amp; MOD(ROW()-2,24)+10)), 2))</f>
        <v>18</v>
      </c>
      <c r="D228" s="190">
        <f t="shared" ca="1" si="19"/>
        <v>7</v>
      </c>
      <c r="E228" s="190" t="str" cm="1">
        <f t="array" aca="1" ref="E228" ca="1">INDIRECT("'" &amp; A228 &amp; "號'!" &amp; ADDRESS(B228, D228))</f>
        <v>13</v>
      </c>
      <c r="F228" s="190">
        <f t="shared" ca="1" si="20"/>
        <v>0</v>
      </c>
      <c r="G228" s="190">
        <f ca="1">IF(F228=0, 0, IF(AND(F227=1, C228&lt;&gt;8, OR(C228=C227+1, AND(C227=23, C228=0))), G227, MAX($G$1:G227)+1))</f>
        <v>0</v>
      </c>
      <c r="H228" s="194">
        <f t="shared" si="21"/>
        <v>10</v>
      </c>
    </row>
    <row r="229" spans="1:8">
      <c r="A229" s="190">
        <f t="shared" si="17"/>
        <v>10</v>
      </c>
      <c r="B229" s="193">
        <f t="shared" si="18"/>
        <v>21</v>
      </c>
      <c r="C229" s="190" cm="1">
        <f t="array" aca="1" ref="C229" ca="1">VALUE(LEFT(TRIM(INDIRECT("'" &amp; INT((ROW()-2)/24)+1 &amp; "號'!B" &amp; MOD(ROW()-2,24)+10)), 2))</f>
        <v>19</v>
      </c>
      <c r="D229" s="190">
        <f t="shared" ca="1" si="19"/>
        <v>7</v>
      </c>
      <c r="E229" s="190" t="str" cm="1">
        <f t="array" aca="1" ref="E229" ca="1">INDIRECT("'" &amp; A229 &amp; "號'!" &amp; ADDRESS(B229, D229))</f>
        <v>13</v>
      </c>
      <c r="F229" s="190">
        <f t="shared" ca="1" si="20"/>
        <v>0</v>
      </c>
      <c r="G229" s="190">
        <f ca="1">IF(F229=0, 0, IF(AND(F228=1, C229&lt;&gt;8, OR(C229=C228+1, AND(C228=23, C229=0))), G228, MAX($G$1:G228)+1))</f>
        <v>0</v>
      </c>
      <c r="H229" s="194">
        <f t="shared" si="21"/>
        <v>10</v>
      </c>
    </row>
    <row r="230" spans="1:8">
      <c r="A230" s="190">
        <f t="shared" si="17"/>
        <v>10</v>
      </c>
      <c r="B230" s="193">
        <f t="shared" si="18"/>
        <v>22</v>
      </c>
      <c r="C230" s="190" cm="1">
        <f t="array" aca="1" ref="C230" ca="1">VALUE(LEFT(TRIM(INDIRECT("'" &amp; INT((ROW()-2)/24)+1 &amp; "號'!B" &amp; MOD(ROW()-2,24)+10)), 2))</f>
        <v>20</v>
      </c>
      <c r="D230" s="190">
        <f t="shared" ca="1" si="19"/>
        <v>7</v>
      </c>
      <c r="E230" s="190" t="str" cm="1">
        <f t="array" aca="1" ref="E230" ca="1">INDIRECT("'" &amp; A230 &amp; "號'!" &amp; ADDRESS(B230, D230))</f>
        <v>21</v>
      </c>
      <c r="F230" s="190">
        <f t="shared" ca="1" si="20"/>
        <v>0</v>
      </c>
      <c r="G230" s="190">
        <f ca="1">IF(F230=0, 0, IF(AND(F229=1, C230&lt;&gt;8, OR(C230=C229+1, AND(C229=23, C230=0))), G229, MAX($G$1:G229)+1))</f>
        <v>0</v>
      </c>
      <c r="H230" s="194">
        <f t="shared" si="21"/>
        <v>10</v>
      </c>
    </row>
    <row r="231" spans="1:8">
      <c r="A231" s="190">
        <f t="shared" si="17"/>
        <v>10</v>
      </c>
      <c r="B231" s="193">
        <f t="shared" si="18"/>
        <v>23</v>
      </c>
      <c r="C231" s="190" cm="1">
        <f t="array" aca="1" ref="C231" ca="1">VALUE(LEFT(TRIM(INDIRECT("'" &amp; INT((ROW()-2)/24)+1 &amp; "號'!B" &amp; MOD(ROW()-2,24)+10)), 2))</f>
        <v>21</v>
      </c>
      <c r="D231" s="190">
        <f t="shared" ca="1" si="19"/>
        <v>7</v>
      </c>
      <c r="E231" s="190" t="str" cm="1">
        <f t="array" aca="1" ref="E231" ca="1">INDIRECT("'" &amp; A231 &amp; "號'!" &amp; ADDRESS(B231, D231))</f>
        <v>21</v>
      </c>
      <c r="F231" s="190">
        <f t="shared" ca="1" si="20"/>
        <v>0</v>
      </c>
      <c r="G231" s="190">
        <f ca="1">IF(F231=0, 0, IF(AND(F230=1, C231&lt;&gt;8, OR(C231=C230+1, AND(C230=23, C231=0))), G230, MAX($G$1:G230)+1))</f>
        <v>0</v>
      </c>
      <c r="H231" s="194">
        <f t="shared" si="21"/>
        <v>10</v>
      </c>
    </row>
    <row r="232" spans="1:8">
      <c r="A232" s="190">
        <f t="shared" si="17"/>
        <v>10</v>
      </c>
      <c r="B232" s="193">
        <f t="shared" si="18"/>
        <v>24</v>
      </c>
      <c r="C232" s="190" cm="1">
        <f t="array" aca="1" ref="C232" ca="1">VALUE(LEFT(TRIM(INDIRECT("'" &amp; INT((ROW()-2)/24)+1 &amp; "號'!B" &amp; MOD(ROW()-2,24)+10)), 2))</f>
        <v>22</v>
      </c>
      <c r="D232" s="190">
        <f t="shared" ca="1" si="19"/>
        <v>7</v>
      </c>
      <c r="E232" s="190" cm="1">
        <f t="array" aca="1" ref="E232" ca="1">INDIRECT("'" &amp; A232 &amp; "號'!" &amp; ADDRESS(B232, D232))</f>
        <v>27</v>
      </c>
      <c r="F232" s="190">
        <f t="shared" ca="1" si="20"/>
        <v>0</v>
      </c>
      <c r="G232" s="190">
        <f ca="1">IF(F232=0, 0, IF(AND(F231=1, C232&lt;&gt;8, OR(C232=C231+1, AND(C231=23, C232=0))), G231, MAX($G$1:G231)+1))</f>
        <v>0</v>
      </c>
      <c r="H232" s="194">
        <f t="shared" si="21"/>
        <v>10</v>
      </c>
    </row>
    <row r="233" spans="1:8">
      <c r="A233" s="190">
        <f t="shared" si="17"/>
        <v>10</v>
      </c>
      <c r="B233" s="193">
        <f t="shared" si="18"/>
        <v>25</v>
      </c>
      <c r="C233" s="190" cm="1">
        <f t="array" aca="1" ref="C233" ca="1">VALUE(LEFT(TRIM(INDIRECT("'" &amp; INT((ROW()-2)/24)+1 &amp; "號'!B" &amp; MOD(ROW()-2,24)+10)), 2))</f>
        <v>23</v>
      </c>
      <c r="D233" s="190">
        <f t="shared" ca="1" si="19"/>
        <v>7</v>
      </c>
      <c r="E233" s="190" cm="1">
        <f t="array" aca="1" ref="E233" ca="1">INDIRECT("'" &amp; A233 &amp; "號'!" &amp; ADDRESS(B233, D233))</f>
        <v>27</v>
      </c>
      <c r="F233" s="190">
        <f t="shared" ca="1" si="20"/>
        <v>0</v>
      </c>
      <c r="G233" s="190">
        <f ca="1">IF(F233=0, 0, IF(AND(F232=1, C233&lt;&gt;8, OR(C233=C232+1, AND(C232=23, C233=0))), G232, MAX($G$1:G232)+1))</f>
        <v>0</v>
      </c>
      <c r="H233" s="194">
        <f t="shared" si="21"/>
        <v>10</v>
      </c>
    </row>
    <row r="234" spans="1:8">
      <c r="A234" s="190">
        <f t="shared" si="17"/>
        <v>10</v>
      </c>
      <c r="B234" s="193">
        <f t="shared" si="18"/>
        <v>26</v>
      </c>
      <c r="C234" s="190" cm="1">
        <f t="array" aca="1" ref="C234" ca="1">VALUE(LEFT(TRIM(INDIRECT("'" &amp; INT((ROW()-2)/24)+1 &amp; "號'!B" &amp; MOD(ROW()-2,24)+10)), 2))</f>
        <v>0</v>
      </c>
      <c r="D234" s="190">
        <f t="shared" ca="1" si="19"/>
        <v>7</v>
      </c>
      <c r="E234" s="190" t="str" cm="1">
        <f t="array" aca="1" ref="E234" ca="1">INDIRECT("'" &amp; A234 &amp; "號'!" &amp; ADDRESS(B234, D234))</f>
        <v/>
      </c>
      <c r="F234" s="190">
        <f t="shared" ca="1" si="20"/>
        <v>0</v>
      </c>
      <c r="G234" s="190">
        <f ca="1">IF(F234=0, 0, IF(AND(F233=1, C234&lt;&gt;8, OR(C234=C233+1, AND(C233=23, C234=0))), G233, MAX($G$1:G233)+1))</f>
        <v>0</v>
      </c>
      <c r="H234" s="194">
        <f t="shared" si="21"/>
        <v>10</v>
      </c>
    </row>
    <row r="235" spans="1:8">
      <c r="A235" s="190">
        <f t="shared" si="17"/>
        <v>10</v>
      </c>
      <c r="B235" s="193">
        <f t="shared" si="18"/>
        <v>27</v>
      </c>
      <c r="C235" s="190" cm="1">
        <f t="array" aca="1" ref="C235" ca="1">VALUE(LEFT(TRIM(INDIRECT("'" &amp; INT((ROW()-2)/24)+1 &amp; "號'!B" &amp; MOD(ROW()-2,24)+10)), 2))</f>
        <v>1</v>
      </c>
      <c r="D235" s="190">
        <f t="shared" ca="1" si="19"/>
        <v>7</v>
      </c>
      <c r="E235" s="190" t="str" cm="1">
        <f t="array" aca="1" ref="E235" ca="1">INDIRECT("'" &amp; A235 &amp; "號'!" &amp; ADDRESS(B235, D235))</f>
        <v/>
      </c>
      <c r="F235" s="190">
        <f t="shared" ca="1" si="20"/>
        <v>0</v>
      </c>
      <c r="G235" s="190">
        <f ca="1">IF(F235=0, 0, IF(AND(F234=1, C235&lt;&gt;8, OR(C235=C234+1, AND(C234=23, C235=0))), G234, MAX($G$1:G234)+1))</f>
        <v>0</v>
      </c>
      <c r="H235" s="194">
        <f t="shared" si="21"/>
        <v>10</v>
      </c>
    </row>
    <row r="236" spans="1:8">
      <c r="A236" s="190">
        <f t="shared" si="17"/>
        <v>10</v>
      </c>
      <c r="B236" s="193">
        <f t="shared" si="18"/>
        <v>28</v>
      </c>
      <c r="C236" s="190" cm="1">
        <f t="array" aca="1" ref="C236" ca="1">VALUE(LEFT(TRIM(INDIRECT("'" &amp; INT((ROW()-2)/24)+1 &amp; "號'!B" &amp; MOD(ROW()-2,24)+10)), 2))</f>
        <v>2</v>
      </c>
      <c r="D236" s="190">
        <f t="shared" ca="1" si="19"/>
        <v>7</v>
      </c>
      <c r="E236" s="190" t="str" cm="1">
        <f t="array" aca="1" ref="E236" ca="1">INDIRECT("'" &amp; A236 &amp; "號'!" &amp; ADDRESS(B236, D236))</f>
        <v/>
      </c>
      <c r="F236" s="190">
        <f t="shared" ca="1" si="20"/>
        <v>0</v>
      </c>
      <c r="G236" s="190">
        <f ca="1">IF(F236=0, 0, IF(AND(F235=1, C236&lt;&gt;8, OR(C236=C235+1, AND(C235=23, C236=0))), G235, MAX($G$1:G235)+1))</f>
        <v>0</v>
      </c>
      <c r="H236" s="194">
        <f t="shared" si="21"/>
        <v>10</v>
      </c>
    </row>
    <row r="237" spans="1:8">
      <c r="A237" s="190">
        <f t="shared" si="17"/>
        <v>10</v>
      </c>
      <c r="B237" s="193">
        <f t="shared" si="18"/>
        <v>29</v>
      </c>
      <c r="C237" s="190" cm="1">
        <f t="array" aca="1" ref="C237" ca="1">VALUE(LEFT(TRIM(INDIRECT("'" &amp; INT((ROW()-2)/24)+1 &amp; "號'!B" &amp; MOD(ROW()-2,24)+10)), 2))</f>
        <v>3</v>
      </c>
      <c r="D237" s="190">
        <f t="shared" ca="1" si="19"/>
        <v>7</v>
      </c>
      <c r="E237" s="190" t="str" cm="1">
        <f t="array" aca="1" ref="E237" ca="1">INDIRECT("'" &amp; A237 &amp; "號'!" &amp; ADDRESS(B237, D237))</f>
        <v/>
      </c>
      <c r="F237" s="190">
        <f t="shared" ca="1" si="20"/>
        <v>0</v>
      </c>
      <c r="G237" s="190">
        <f ca="1">IF(F237=0, 0, IF(AND(F236=1, C237&lt;&gt;8, OR(C237=C236+1, AND(C236=23, C237=0))), G236, MAX($G$1:G236)+1))</f>
        <v>0</v>
      </c>
      <c r="H237" s="194">
        <f t="shared" si="21"/>
        <v>10</v>
      </c>
    </row>
    <row r="238" spans="1:8">
      <c r="A238" s="190">
        <f t="shared" si="17"/>
        <v>10</v>
      </c>
      <c r="B238" s="193">
        <f t="shared" si="18"/>
        <v>30</v>
      </c>
      <c r="C238" s="190" cm="1">
        <f t="array" aca="1" ref="C238" ca="1">VALUE(LEFT(TRIM(INDIRECT("'" &amp; INT((ROW()-2)/24)+1 &amp; "號'!B" &amp; MOD(ROW()-2,24)+10)), 2))</f>
        <v>4</v>
      </c>
      <c r="D238" s="190">
        <f t="shared" ca="1" si="19"/>
        <v>7</v>
      </c>
      <c r="E238" s="190" t="str" cm="1">
        <f t="array" aca="1" ref="E238" ca="1">INDIRECT("'" &amp; A238 &amp; "號'!" &amp; ADDRESS(B238, D238))</f>
        <v/>
      </c>
      <c r="F238" s="190">
        <f t="shared" ca="1" si="20"/>
        <v>0</v>
      </c>
      <c r="G238" s="190">
        <f ca="1">IF(F238=0, 0, IF(AND(F237=1, C238&lt;&gt;8, OR(C238=C237+1, AND(C237=23, C238=0))), G237, MAX($G$1:G237)+1))</f>
        <v>0</v>
      </c>
      <c r="H238" s="194">
        <f t="shared" si="21"/>
        <v>10</v>
      </c>
    </row>
    <row r="239" spans="1:8">
      <c r="A239" s="190">
        <f t="shared" si="17"/>
        <v>10</v>
      </c>
      <c r="B239" s="193">
        <f t="shared" si="18"/>
        <v>31</v>
      </c>
      <c r="C239" s="190" cm="1">
        <f t="array" aca="1" ref="C239" ca="1">VALUE(LEFT(TRIM(INDIRECT("'" &amp; INT((ROW()-2)/24)+1 &amp; "號'!B" &amp; MOD(ROW()-2,24)+10)), 2))</f>
        <v>5</v>
      </c>
      <c r="D239" s="190">
        <f t="shared" ca="1" si="19"/>
        <v>7</v>
      </c>
      <c r="E239" s="190" t="str" cm="1">
        <f t="array" aca="1" ref="E239" ca="1">INDIRECT("'" &amp; A239 &amp; "號'!" &amp; ADDRESS(B239, D239))</f>
        <v/>
      </c>
      <c r="F239" s="190">
        <f t="shared" ca="1" si="20"/>
        <v>0</v>
      </c>
      <c r="G239" s="190">
        <f ca="1">IF(F239=0, 0, IF(AND(F238=1, C239&lt;&gt;8, OR(C239=C238+1, AND(C238=23, C239=0))), G238, MAX($G$1:G238)+1))</f>
        <v>0</v>
      </c>
      <c r="H239" s="194">
        <f t="shared" si="21"/>
        <v>10</v>
      </c>
    </row>
    <row r="240" spans="1:8">
      <c r="A240" s="190">
        <f t="shared" si="17"/>
        <v>10</v>
      </c>
      <c r="B240" s="193">
        <f t="shared" si="18"/>
        <v>32</v>
      </c>
      <c r="C240" s="190" cm="1">
        <f t="array" aca="1" ref="C240" ca="1">VALUE(LEFT(TRIM(INDIRECT("'" &amp; INT((ROW()-2)/24)+1 &amp; "號'!B" &amp; MOD(ROW()-2,24)+10)), 2))</f>
        <v>6</v>
      </c>
      <c r="D240" s="190">
        <f t="shared" ca="1" si="19"/>
        <v>7</v>
      </c>
      <c r="E240" s="190" t="str" cm="1">
        <f t="array" aca="1" ref="E240" ca="1">INDIRECT("'" &amp; A240 &amp; "號'!" &amp; ADDRESS(B240, D240))</f>
        <v>19,2</v>
      </c>
      <c r="F240" s="190">
        <f t="shared" ca="1" si="20"/>
        <v>0</v>
      </c>
      <c r="G240" s="190">
        <f ca="1">IF(F240=0, 0, IF(AND(F239=1, C240&lt;&gt;8, OR(C240=C239+1, AND(C239=23, C240=0))), G239, MAX($G$1:G239)+1))</f>
        <v>0</v>
      </c>
      <c r="H240" s="194">
        <f t="shared" si="21"/>
        <v>10</v>
      </c>
    </row>
    <row r="241" spans="1:8">
      <c r="A241" s="190">
        <f t="shared" si="17"/>
        <v>10</v>
      </c>
      <c r="B241" s="193">
        <f t="shared" si="18"/>
        <v>33</v>
      </c>
      <c r="C241" s="190" cm="1">
        <f t="array" aca="1" ref="C241" ca="1">VALUE(LEFT(TRIM(INDIRECT("'" &amp; INT((ROW()-2)/24)+1 &amp; "號'!B" &amp; MOD(ROW()-2,24)+10)), 2))</f>
        <v>7</v>
      </c>
      <c r="D241" s="190">
        <f t="shared" ca="1" si="19"/>
        <v>7</v>
      </c>
      <c r="E241" s="190" t="str" cm="1">
        <f t="array" aca="1" ref="E241" ca="1">INDIRECT("'" &amp; A241 &amp; "號'!" &amp; ADDRESS(B241, D241))</f>
        <v>19,2</v>
      </c>
      <c r="F241" s="190">
        <f t="shared" ca="1" si="20"/>
        <v>0</v>
      </c>
      <c r="G241" s="190">
        <f ca="1">IF(F241=0, 0, IF(AND(F240=1, C241&lt;&gt;8, OR(C241=C240+1, AND(C240=23, C241=0))), G240, MAX($G$1:G240)+1))</f>
        <v>0</v>
      </c>
      <c r="H241" s="194">
        <f t="shared" si="21"/>
        <v>10</v>
      </c>
    </row>
    <row r="242" spans="1:8">
      <c r="A242" s="190">
        <f t="shared" si="17"/>
        <v>11</v>
      </c>
      <c r="B242" s="193">
        <f t="shared" si="18"/>
        <v>10</v>
      </c>
      <c r="C242" s="190" cm="1">
        <f t="array" aca="1" ref="C242" ca="1">VALUE(LEFT(TRIM(INDIRECT("'" &amp; INT((ROW()-2)/24)+1 &amp; "號'!B" &amp; MOD(ROW()-2,24)+10)), 2))</f>
        <v>8</v>
      </c>
      <c r="D242" s="190">
        <f t="shared" ca="1" si="19"/>
        <v>7</v>
      </c>
      <c r="E242" s="190" t="str" cm="1">
        <f t="array" aca="1" ref="E242" ca="1">INDIRECT("'" &amp; A242 &amp; "號'!" &amp; ADDRESS(B242, D242))</f>
        <v>14,4</v>
      </c>
      <c r="F242" s="190">
        <f t="shared" ca="1" si="20"/>
        <v>0</v>
      </c>
      <c r="G242" s="190">
        <f ca="1">IF(F242=0, 0, IF(AND(F241=1, C242&lt;&gt;8, OR(C242=C241+1, AND(C241=23, C242=0))), G241, MAX($G$1:G241)+1))</f>
        <v>0</v>
      </c>
      <c r="H242" s="194">
        <f t="shared" si="21"/>
        <v>11</v>
      </c>
    </row>
    <row r="243" spans="1:8">
      <c r="A243" s="190">
        <f t="shared" si="17"/>
        <v>11</v>
      </c>
      <c r="B243" s="193">
        <f t="shared" si="18"/>
        <v>11</v>
      </c>
      <c r="C243" s="190" cm="1">
        <f t="array" aca="1" ref="C243" ca="1">VALUE(LEFT(TRIM(INDIRECT("'" &amp; INT((ROW()-2)/24)+1 &amp; "號'!B" &amp; MOD(ROW()-2,24)+10)), 2))</f>
        <v>9</v>
      </c>
      <c r="D243" s="190">
        <f t="shared" ca="1" si="19"/>
        <v>7</v>
      </c>
      <c r="E243" s="190" t="str" cm="1">
        <f t="array" aca="1" ref="E243" ca="1">INDIRECT("'" &amp; A243 &amp; "號'!" &amp; ADDRESS(B243, D243))</f>
        <v>14,4</v>
      </c>
      <c r="F243" s="190">
        <f t="shared" ca="1" si="20"/>
        <v>0</v>
      </c>
      <c r="G243" s="190">
        <f ca="1">IF(F243=0, 0, IF(AND(F242=1, C243&lt;&gt;8, OR(C243=C242+1, AND(C242=23, C243=0))), G242, MAX($G$1:G242)+1))</f>
        <v>0</v>
      </c>
      <c r="H243" s="194">
        <f t="shared" si="21"/>
        <v>11</v>
      </c>
    </row>
    <row r="244" spans="1:8">
      <c r="A244" s="190">
        <f t="shared" si="17"/>
        <v>11</v>
      </c>
      <c r="B244" s="193">
        <f t="shared" si="18"/>
        <v>12</v>
      </c>
      <c r="C244" s="190" cm="1">
        <f t="array" aca="1" ref="C244" ca="1">VALUE(LEFT(TRIM(INDIRECT("'" &amp; INT((ROW()-2)/24)+1 &amp; "號'!B" &amp; MOD(ROW()-2,24)+10)), 2))</f>
        <v>10</v>
      </c>
      <c r="D244" s="190">
        <f t="shared" ca="1" si="19"/>
        <v>7</v>
      </c>
      <c r="E244" s="190" cm="1">
        <f t="array" aca="1" ref="E244" ca="1">INDIRECT("'" &amp; A244 &amp; "號'!" &amp; ADDRESS(B244, D244))</f>
        <v>14</v>
      </c>
      <c r="F244" s="190">
        <f t="shared" ca="1" si="20"/>
        <v>0</v>
      </c>
      <c r="G244" s="190">
        <f ca="1">IF(F244=0, 0, IF(AND(F243=1, C244&lt;&gt;8, OR(C244=C243+1, AND(C243=23, C244=0))), G243, MAX($G$1:G243)+1))</f>
        <v>0</v>
      </c>
      <c r="H244" s="194">
        <f t="shared" si="21"/>
        <v>11</v>
      </c>
    </row>
    <row r="245" spans="1:8">
      <c r="A245" s="190">
        <f t="shared" si="17"/>
        <v>11</v>
      </c>
      <c r="B245" s="193">
        <f t="shared" si="18"/>
        <v>13</v>
      </c>
      <c r="C245" s="190" cm="1">
        <f t="array" aca="1" ref="C245" ca="1">VALUE(LEFT(TRIM(INDIRECT("'" &amp; INT((ROW()-2)/24)+1 &amp; "號'!B" &amp; MOD(ROW()-2,24)+10)), 2))</f>
        <v>11</v>
      </c>
      <c r="D245" s="190">
        <f t="shared" ca="1" si="19"/>
        <v>7</v>
      </c>
      <c r="E245" s="190" cm="1">
        <f t="array" aca="1" ref="E245" ca="1">INDIRECT("'" &amp; A245 &amp; "號'!" &amp; ADDRESS(B245, D245))</f>
        <v>14</v>
      </c>
      <c r="F245" s="190">
        <f t="shared" ca="1" si="20"/>
        <v>0</v>
      </c>
      <c r="G245" s="190">
        <f ca="1">IF(F245=0, 0, IF(AND(F244=1, C245&lt;&gt;8, OR(C245=C244+1, AND(C244=23, C245=0))), G244, MAX($G$1:G244)+1))</f>
        <v>0</v>
      </c>
      <c r="H245" s="194">
        <f t="shared" si="21"/>
        <v>11</v>
      </c>
    </row>
    <row r="246" spans="1:8">
      <c r="A246" s="190">
        <f t="shared" si="17"/>
        <v>11</v>
      </c>
      <c r="B246" s="193">
        <f t="shared" si="18"/>
        <v>14</v>
      </c>
      <c r="C246" s="190" cm="1">
        <f t="array" aca="1" ref="C246" ca="1">VALUE(LEFT(TRIM(INDIRECT("'" &amp; INT((ROW()-2)/24)+1 &amp; "號'!B" &amp; MOD(ROW()-2,24)+10)), 2))</f>
        <v>12</v>
      </c>
      <c r="D246" s="190">
        <f t="shared" ca="1" si="19"/>
        <v>7</v>
      </c>
      <c r="E246" s="190" t="str" cm="1">
        <f t="array" aca="1" ref="E246" ca="1">INDIRECT("'" &amp; A246 &amp; "號'!" &amp; ADDRESS(B246, D246))</f>
        <v>7</v>
      </c>
      <c r="F246" s="190">
        <f t="shared" ca="1" si="20"/>
        <v>0</v>
      </c>
      <c r="G246" s="190">
        <f ca="1">IF(F246=0, 0, IF(AND(F245=1, C246&lt;&gt;8, OR(C246=C245+1, AND(C245=23, C246=0))), G245, MAX($G$1:G245)+1))</f>
        <v>0</v>
      </c>
      <c r="H246" s="194">
        <f t="shared" si="21"/>
        <v>11</v>
      </c>
    </row>
    <row r="247" spans="1:8">
      <c r="A247" s="190">
        <f t="shared" si="17"/>
        <v>11</v>
      </c>
      <c r="B247" s="193">
        <f t="shared" si="18"/>
        <v>15</v>
      </c>
      <c r="C247" s="190" cm="1">
        <f t="array" aca="1" ref="C247" ca="1">VALUE(LEFT(TRIM(INDIRECT("'" &amp; INT((ROW()-2)/24)+1 &amp; "號'!B" &amp; MOD(ROW()-2,24)+10)), 2))</f>
        <v>13</v>
      </c>
      <c r="D247" s="190">
        <f t="shared" ca="1" si="19"/>
        <v>7</v>
      </c>
      <c r="E247" s="190" t="str" cm="1">
        <f t="array" aca="1" ref="E247" ca="1">INDIRECT("'" &amp; A247 &amp; "號'!" &amp; ADDRESS(B247, D247))</f>
        <v>7</v>
      </c>
      <c r="F247" s="190">
        <f t="shared" ca="1" si="20"/>
        <v>0</v>
      </c>
      <c r="G247" s="190">
        <f ca="1">IF(F247=0, 0, IF(AND(F246=1, C247&lt;&gt;8, OR(C247=C246+1, AND(C246=23, C247=0))), G246, MAX($G$1:G246)+1))</f>
        <v>0</v>
      </c>
      <c r="H247" s="194">
        <f t="shared" si="21"/>
        <v>11</v>
      </c>
    </row>
    <row r="248" spans="1:8">
      <c r="A248" s="190">
        <f t="shared" si="17"/>
        <v>11</v>
      </c>
      <c r="B248" s="193">
        <f t="shared" si="18"/>
        <v>16</v>
      </c>
      <c r="C248" s="190" cm="1">
        <f t="array" aca="1" ref="C248" ca="1">VALUE(LEFT(TRIM(INDIRECT("'" &amp; INT((ROW()-2)/24)+1 &amp; "號'!B" &amp; MOD(ROW()-2,24)+10)), 2))</f>
        <v>14</v>
      </c>
      <c r="D248" s="190">
        <f t="shared" ca="1" si="19"/>
        <v>7</v>
      </c>
      <c r="E248" s="190" t="str" cm="1">
        <f t="array" aca="1" ref="E248" ca="1">INDIRECT("'" &amp; A248 &amp; "號'!" &amp; ADDRESS(B248, D248))</f>
        <v/>
      </c>
      <c r="F248" s="190">
        <f t="shared" ca="1" si="20"/>
        <v>0</v>
      </c>
      <c r="G248" s="190">
        <f ca="1">IF(F248=0, 0, IF(AND(F247=1, C248&lt;&gt;8, OR(C248=C247+1, AND(C247=23, C248=0))), G247, MAX($G$1:G247)+1))</f>
        <v>0</v>
      </c>
      <c r="H248" s="194">
        <f t="shared" si="21"/>
        <v>11</v>
      </c>
    </row>
    <row r="249" spans="1:8">
      <c r="A249" s="190">
        <f t="shared" si="17"/>
        <v>11</v>
      </c>
      <c r="B249" s="193">
        <f t="shared" si="18"/>
        <v>17</v>
      </c>
      <c r="C249" s="190" cm="1">
        <f t="array" aca="1" ref="C249" ca="1">VALUE(LEFT(TRIM(INDIRECT("'" &amp; INT((ROW()-2)/24)+1 &amp; "號'!B" &amp; MOD(ROW()-2,24)+10)), 2))</f>
        <v>15</v>
      </c>
      <c r="D249" s="190">
        <f t="shared" ca="1" si="19"/>
        <v>7</v>
      </c>
      <c r="E249" s="190" t="str" cm="1">
        <f t="array" aca="1" ref="E249" ca="1">INDIRECT("'" &amp; A249 &amp; "號'!" &amp; ADDRESS(B249, D249))</f>
        <v/>
      </c>
      <c r="F249" s="190">
        <f t="shared" ca="1" si="20"/>
        <v>0</v>
      </c>
      <c r="G249" s="190">
        <f ca="1">IF(F249=0, 0, IF(AND(F248=1, C249&lt;&gt;8, OR(C249=C248+1, AND(C248=23, C249=0))), G248, MAX($G$1:G248)+1))</f>
        <v>0</v>
      </c>
      <c r="H249" s="194">
        <f t="shared" si="21"/>
        <v>11</v>
      </c>
    </row>
    <row r="250" spans="1:8">
      <c r="A250" s="190">
        <f t="shared" si="17"/>
        <v>11</v>
      </c>
      <c r="B250" s="193">
        <f t="shared" si="18"/>
        <v>18</v>
      </c>
      <c r="C250" s="190" cm="1">
        <f t="array" aca="1" ref="C250" ca="1">VALUE(LEFT(TRIM(INDIRECT("'" &amp; INT((ROW()-2)/24)+1 &amp; "號'!B" &amp; MOD(ROW()-2,24)+10)), 2))</f>
        <v>16</v>
      </c>
      <c r="D250" s="190">
        <f t="shared" ca="1" si="19"/>
        <v>7</v>
      </c>
      <c r="E250" s="190" t="str" cm="1">
        <f t="array" aca="1" ref="E250" ca="1">INDIRECT("'" &amp; A250 &amp; "號'!" &amp; ADDRESS(B250, D250))</f>
        <v>9</v>
      </c>
      <c r="F250" s="190">
        <f t="shared" ca="1" si="20"/>
        <v>0</v>
      </c>
      <c r="G250" s="190">
        <f ca="1">IF(F250=0, 0, IF(AND(F249=1, C250&lt;&gt;8, OR(C250=C249+1, AND(C249=23, C250=0))), G249, MAX($G$1:G249)+1))</f>
        <v>0</v>
      </c>
      <c r="H250" s="194">
        <f t="shared" si="21"/>
        <v>11</v>
      </c>
    </row>
    <row r="251" spans="1:8">
      <c r="A251" s="190">
        <f t="shared" si="17"/>
        <v>11</v>
      </c>
      <c r="B251" s="193">
        <f t="shared" si="18"/>
        <v>19</v>
      </c>
      <c r="C251" s="190" cm="1">
        <f t="array" aca="1" ref="C251" ca="1">VALUE(LEFT(TRIM(INDIRECT("'" &amp; INT((ROW()-2)/24)+1 &amp; "號'!B" &amp; MOD(ROW()-2,24)+10)), 2))</f>
        <v>17</v>
      </c>
      <c r="D251" s="190">
        <f t="shared" ca="1" si="19"/>
        <v>7</v>
      </c>
      <c r="E251" s="190" t="str" cm="1">
        <f t="array" aca="1" ref="E251" ca="1">INDIRECT("'" &amp; A251 &amp; "號'!" &amp; ADDRESS(B251, D251))</f>
        <v>9</v>
      </c>
      <c r="F251" s="190">
        <f t="shared" ca="1" si="20"/>
        <v>0</v>
      </c>
      <c r="G251" s="190">
        <f ca="1">IF(F251=0, 0, IF(AND(F250=1, C251&lt;&gt;8, OR(C251=C250+1, AND(C250=23, C251=0))), G250, MAX($G$1:G250)+1))</f>
        <v>0</v>
      </c>
      <c r="H251" s="194">
        <f t="shared" si="21"/>
        <v>11</v>
      </c>
    </row>
    <row r="252" spans="1:8">
      <c r="A252" s="190">
        <f t="shared" si="17"/>
        <v>11</v>
      </c>
      <c r="B252" s="193">
        <f t="shared" si="18"/>
        <v>20</v>
      </c>
      <c r="C252" s="190" cm="1">
        <f t="array" aca="1" ref="C252" ca="1">VALUE(LEFT(TRIM(INDIRECT("'" &amp; INT((ROW()-2)/24)+1 &amp; "號'!B" &amp; MOD(ROW()-2,24)+10)), 2))</f>
        <v>18</v>
      </c>
      <c r="D252" s="190">
        <f t="shared" ca="1" si="19"/>
        <v>7</v>
      </c>
      <c r="E252" s="190" t="str" cm="1">
        <f t="array" aca="1" ref="E252" ca="1">INDIRECT("'" &amp; A252 &amp; "號'!" &amp; ADDRESS(B252, D252))</f>
        <v>25</v>
      </c>
      <c r="F252" s="190">
        <f t="shared" ca="1" si="20"/>
        <v>0</v>
      </c>
      <c r="G252" s="190">
        <f ca="1">IF(F252=0, 0, IF(AND(F251=1, C252&lt;&gt;8, OR(C252=C251+1, AND(C251=23, C252=0))), G251, MAX($G$1:G251)+1))</f>
        <v>0</v>
      </c>
      <c r="H252" s="194">
        <f t="shared" si="21"/>
        <v>11</v>
      </c>
    </row>
    <row r="253" spans="1:8">
      <c r="A253" s="190">
        <f t="shared" si="17"/>
        <v>11</v>
      </c>
      <c r="B253" s="193">
        <f t="shared" si="18"/>
        <v>21</v>
      </c>
      <c r="C253" s="190" cm="1">
        <f t="array" aca="1" ref="C253" ca="1">VALUE(LEFT(TRIM(INDIRECT("'" &amp; INT((ROW()-2)/24)+1 &amp; "號'!B" &amp; MOD(ROW()-2,24)+10)), 2))</f>
        <v>19</v>
      </c>
      <c r="D253" s="190">
        <f t="shared" ca="1" si="19"/>
        <v>7</v>
      </c>
      <c r="E253" s="190" t="str" cm="1">
        <f t="array" aca="1" ref="E253" ca="1">INDIRECT("'" &amp; A253 &amp; "號'!" &amp; ADDRESS(B253, D253))</f>
        <v>25</v>
      </c>
      <c r="F253" s="190">
        <f t="shared" ca="1" si="20"/>
        <v>0</v>
      </c>
      <c r="G253" s="190">
        <f ca="1">IF(F253=0, 0, IF(AND(F252=1, C253&lt;&gt;8, OR(C253=C252+1, AND(C252=23, C253=0))), G252, MAX($G$1:G252)+1))</f>
        <v>0</v>
      </c>
      <c r="H253" s="194">
        <f t="shared" si="21"/>
        <v>11</v>
      </c>
    </row>
    <row r="254" spans="1:8">
      <c r="A254" s="190">
        <f t="shared" si="17"/>
        <v>11</v>
      </c>
      <c r="B254" s="193">
        <f t="shared" si="18"/>
        <v>22</v>
      </c>
      <c r="C254" s="190" cm="1">
        <f t="array" aca="1" ref="C254" ca="1">VALUE(LEFT(TRIM(INDIRECT("'" &amp; INT((ROW()-2)/24)+1 &amp; "號'!B" &amp; MOD(ROW()-2,24)+10)), 2))</f>
        <v>20</v>
      </c>
      <c r="D254" s="190">
        <f t="shared" ca="1" si="19"/>
        <v>7</v>
      </c>
      <c r="E254" s="190" t="str" cm="1">
        <f t="array" aca="1" ref="E254" ca="1">INDIRECT("'" &amp; A254 &amp; "號'!" &amp; ADDRESS(B254, D254))</f>
        <v>6</v>
      </c>
      <c r="F254" s="190">
        <f t="shared" ca="1" si="20"/>
        <v>0</v>
      </c>
      <c r="G254" s="190">
        <f ca="1">IF(F254=0, 0, IF(AND(F253=1, C254&lt;&gt;8, OR(C254=C253+1, AND(C253=23, C254=0))), G253, MAX($G$1:G253)+1))</f>
        <v>0</v>
      </c>
      <c r="H254" s="194">
        <f t="shared" si="21"/>
        <v>11</v>
      </c>
    </row>
    <row r="255" spans="1:8">
      <c r="A255" s="190">
        <f t="shared" si="17"/>
        <v>11</v>
      </c>
      <c r="B255" s="193">
        <f t="shared" si="18"/>
        <v>23</v>
      </c>
      <c r="C255" s="190" cm="1">
        <f t="array" aca="1" ref="C255" ca="1">VALUE(LEFT(TRIM(INDIRECT("'" &amp; INT((ROW()-2)/24)+1 &amp; "號'!B" &amp; MOD(ROW()-2,24)+10)), 2))</f>
        <v>21</v>
      </c>
      <c r="D255" s="190">
        <f t="shared" ca="1" si="19"/>
        <v>7</v>
      </c>
      <c r="E255" s="190" t="str" cm="1">
        <f t="array" aca="1" ref="E255" ca="1">INDIRECT("'" &amp; A255 &amp; "號'!" &amp; ADDRESS(B255, D255))</f>
        <v>6</v>
      </c>
      <c r="F255" s="190">
        <f t="shared" ca="1" si="20"/>
        <v>0</v>
      </c>
      <c r="G255" s="190">
        <f ca="1">IF(F255=0, 0, IF(AND(F254=1, C255&lt;&gt;8, OR(C255=C254+1, AND(C254=23, C255=0))), G254, MAX($G$1:G254)+1))</f>
        <v>0</v>
      </c>
      <c r="H255" s="194">
        <f t="shared" si="21"/>
        <v>11</v>
      </c>
    </row>
    <row r="256" spans="1:8">
      <c r="A256" s="190">
        <f t="shared" si="17"/>
        <v>11</v>
      </c>
      <c r="B256" s="193">
        <f t="shared" si="18"/>
        <v>24</v>
      </c>
      <c r="C256" s="190" cm="1">
        <f t="array" aca="1" ref="C256" ca="1">VALUE(LEFT(TRIM(INDIRECT("'" &amp; INT((ROW()-2)/24)+1 &amp; "號'!B" &amp; MOD(ROW()-2,24)+10)), 2))</f>
        <v>22</v>
      </c>
      <c r="D256" s="190">
        <f t="shared" ca="1" si="19"/>
        <v>7</v>
      </c>
      <c r="E256" s="190" cm="1">
        <f t="array" aca="1" ref="E256" ca="1">INDIRECT("'" &amp; A256 &amp; "號'!" &amp; ADDRESS(B256, D256))</f>
        <v>10</v>
      </c>
      <c r="F256" s="190">
        <f t="shared" ca="1" si="20"/>
        <v>0</v>
      </c>
      <c r="G256" s="190">
        <f ca="1">IF(F256=0, 0, IF(AND(F255=1, C256&lt;&gt;8, OR(C256=C255+1, AND(C255=23, C256=0))), G255, MAX($G$1:G255)+1))</f>
        <v>0</v>
      </c>
      <c r="H256" s="194">
        <f t="shared" si="21"/>
        <v>11</v>
      </c>
    </row>
    <row r="257" spans="1:8">
      <c r="A257" s="190">
        <f t="shared" si="17"/>
        <v>11</v>
      </c>
      <c r="B257" s="193">
        <f t="shared" si="18"/>
        <v>25</v>
      </c>
      <c r="C257" s="190" cm="1">
        <f t="array" aca="1" ref="C257" ca="1">VALUE(LEFT(TRIM(INDIRECT("'" &amp; INT((ROW()-2)/24)+1 &amp; "號'!B" &amp; MOD(ROW()-2,24)+10)), 2))</f>
        <v>23</v>
      </c>
      <c r="D257" s="190">
        <f t="shared" ca="1" si="19"/>
        <v>7</v>
      </c>
      <c r="E257" s="190" cm="1">
        <f t="array" aca="1" ref="E257" ca="1">INDIRECT("'" &amp; A257 &amp; "號'!" &amp; ADDRESS(B257, D257))</f>
        <v>10</v>
      </c>
      <c r="F257" s="190">
        <f t="shared" ca="1" si="20"/>
        <v>0</v>
      </c>
      <c r="G257" s="190">
        <f ca="1">IF(F257=0, 0, IF(AND(F256=1, C257&lt;&gt;8, OR(C257=C256+1, AND(C256=23, C257=0))), G256, MAX($G$1:G256)+1))</f>
        <v>0</v>
      </c>
      <c r="H257" s="194">
        <f t="shared" si="21"/>
        <v>11</v>
      </c>
    </row>
    <row r="258" spans="1:8">
      <c r="A258" s="190">
        <f t="shared" si="17"/>
        <v>11</v>
      </c>
      <c r="B258" s="193">
        <f t="shared" si="18"/>
        <v>26</v>
      </c>
      <c r="C258" s="190" cm="1">
        <f t="array" aca="1" ref="C258" ca="1">VALUE(LEFT(TRIM(INDIRECT("'" &amp; INT((ROW()-2)/24)+1 &amp; "號'!B" &amp; MOD(ROW()-2,24)+10)), 2))</f>
        <v>0</v>
      </c>
      <c r="D258" s="190">
        <f t="shared" ca="1" si="19"/>
        <v>7</v>
      </c>
      <c r="E258" s="190" t="str" cm="1">
        <f t="array" aca="1" ref="E258" ca="1">INDIRECT("'" &amp; A258 &amp; "號'!" &amp; ADDRESS(B258, D258))</f>
        <v/>
      </c>
      <c r="F258" s="190">
        <f t="shared" ca="1" si="20"/>
        <v>0</v>
      </c>
      <c r="G258" s="190">
        <f ca="1">IF(F258=0, 0, IF(AND(F257=1, C258&lt;&gt;8, OR(C258=C257+1, AND(C257=23, C258=0))), G257, MAX($G$1:G257)+1))</f>
        <v>0</v>
      </c>
      <c r="H258" s="194">
        <f t="shared" si="21"/>
        <v>11</v>
      </c>
    </row>
    <row r="259" spans="1:8">
      <c r="A259" s="190">
        <f t="shared" ref="A259:A322" si="22">INT((ROW()-2)/24)+1</f>
        <v>11</v>
      </c>
      <c r="B259" s="193">
        <f t="shared" ref="B259:B322" si="23">MOD(ROW()-2, 24)+10</f>
        <v>27</v>
      </c>
      <c r="C259" s="190" cm="1">
        <f t="array" aca="1" ref="C259" ca="1">VALUE(LEFT(TRIM(INDIRECT("'" &amp; INT((ROW()-2)/24)+1 &amp; "號'!B" &amp; MOD(ROW()-2,24)+10)), 2))</f>
        <v>1</v>
      </c>
      <c r="D259" s="190">
        <f t="shared" ref="D259:D322" ca="1" si="24">MAX(IFERROR(MATCH("*休息*", INDIRECT("'" &amp; A259 &amp; "號'!$5:$5"), 0), 0), IFERROR(MATCH("*休息*", INDIRECT("'" &amp; A259 &amp; "號'!$6:$6"), 0), 0), IFERROR(MATCH("*休息*", INDIRECT("'" &amp; A259 &amp; "號'!$7:$7"), 0), 0))</f>
        <v>7</v>
      </c>
      <c r="E259" s="190" t="str" cm="1">
        <f t="array" aca="1" ref="E259" ca="1">INDIRECT("'" &amp; A259 &amp; "號'!" &amp; ADDRESS(B259, D259))</f>
        <v/>
      </c>
      <c r="F259" s="190">
        <f t="shared" ref="F259:F322" ca="1" si="25">IF(ISNUMBER(SEARCH(","&amp;$A$1&amp;",", ","&amp;SUBSTITUTE(SUBSTITUTE(E259," ",""),"，",",")&amp;",")), 1, 0)</f>
        <v>0</v>
      </c>
      <c r="G259" s="190">
        <f ca="1">IF(F259=0, 0, IF(AND(F258=1, C259&lt;&gt;8, OR(C259=C258+1, AND(C258=23, C259=0))), G258, MAX($G$1:G258)+1))</f>
        <v>0</v>
      </c>
      <c r="H259" s="194">
        <f t="shared" ref="H259:H322" si="26" xml:space="preserve"> A259</f>
        <v>11</v>
      </c>
    </row>
    <row r="260" spans="1:8">
      <c r="A260" s="190">
        <f t="shared" si="22"/>
        <v>11</v>
      </c>
      <c r="B260" s="193">
        <f t="shared" si="23"/>
        <v>28</v>
      </c>
      <c r="C260" s="190" cm="1">
        <f t="array" aca="1" ref="C260" ca="1">VALUE(LEFT(TRIM(INDIRECT("'" &amp; INT((ROW()-2)/24)+1 &amp; "號'!B" &amp; MOD(ROW()-2,24)+10)), 2))</f>
        <v>2</v>
      </c>
      <c r="D260" s="190">
        <f t="shared" ca="1" si="24"/>
        <v>7</v>
      </c>
      <c r="E260" s="190" t="str" cm="1">
        <f t="array" aca="1" ref="E260" ca="1">INDIRECT("'" &amp; A260 &amp; "號'!" &amp; ADDRESS(B260, D260))</f>
        <v/>
      </c>
      <c r="F260" s="190">
        <f t="shared" ca="1" si="25"/>
        <v>0</v>
      </c>
      <c r="G260" s="190">
        <f ca="1">IF(F260=0, 0, IF(AND(F259=1, C260&lt;&gt;8, OR(C260=C259+1, AND(C259=23, C260=0))), G259, MAX($G$1:G259)+1))</f>
        <v>0</v>
      </c>
      <c r="H260" s="194">
        <f t="shared" si="26"/>
        <v>11</v>
      </c>
    </row>
    <row r="261" spans="1:8">
      <c r="A261" s="190">
        <f t="shared" si="22"/>
        <v>11</v>
      </c>
      <c r="B261" s="193">
        <f t="shared" si="23"/>
        <v>29</v>
      </c>
      <c r="C261" s="190" cm="1">
        <f t="array" aca="1" ref="C261" ca="1">VALUE(LEFT(TRIM(INDIRECT("'" &amp; INT((ROW()-2)/24)+1 &amp; "號'!B" &amp; MOD(ROW()-2,24)+10)), 2))</f>
        <v>3</v>
      </c>
      <c r="D261" s="190">
        <f t="shared" ca="1" si="24"/>
        <v>7</v>
      </c>
      <c r="E261" s="190" t="str" cm="1">
        <f t="array" aca="1" ref="E261" ca="1">INDIRECT("'" &amp; A261 &amp; "號'!" &amp; ADDRESS(B261, D261))</f>
        <v/>
      </c>
      <c r="F261" s="190">
        <f t="shared" ca="1" si="25"/>
        <v>0</v>
      </c>
      <c r="G261" s="190">
        <f ca="1">IF(F261=0, 0, IF(AND(F260=1, C261&lt;&gt;8, OR(C261=C260+1, AND(C260=23, C261=0))), G260, MAX($G$1:G260)+1))</f>
        <v>0</v>
      </c>
      <c r="H261" s="194">
        <f t="shared" si="26"/>
        <v>11</v>
      </c>
    </row>
    <row r="262" spans="1:8">
      <c r="A262" s="190">
        <f t="shared" si="22"/>
        <v>11</v>
      </c>
      <c r="B262" s="193">
        <f t="shared" si="23"/>
        <v>30</v>
      </c>
      <c r="C262" s="190" cm="1">
        <f t="array" aca="1" ref="C262" ca="1">VALUE(LEFT(TRIM(INDIRECT("'" &amp; INT((ROW()-2)/24)+1 &amp; "號'!B" &amp; MOD(ROW()-2,24)+10)), 2))</f>
        <v>4</v>
      </c>
      <c r="D262" s="190">
        <f t="shared" ca="1" si="24"/>
        <v>7</v>
      </c>
      <c r="E262" s="190" t="str" cm="1">
        <f t="array" aca="1" ref="E262" ca="1">INDIRECT("'" &amp; A262 &amp; "號'!" &amp; ADDRESS(B262, D262))</f>
        <v/>
      </c>
      <c r="F262" s="190">
        <f t="shared" ca="1" si="25"/>
        <v>0</v>
      </c>
      <c r="G262" s="190">
        <f ca="1">IF(F262=0, 0, IF(AND(F261=1, C262&lt;&gt;8, OR(C262=C261+1, AND(C261=23, C262=0))), G261, MAX($G$1:G261)+1))</f>
        <v>0</v>
      </c>
      <c r="H262" s="194">
        <f t="shared" si="26"/>
        <v>11</v>
      </c>
    </row>
    <row r="263" spans="1:8">
      <c r="A263" s="190">
        <f t="shared" si="22"/>
        <v>11</v>
      </c>
      <c r="B263" s="193">
        <f t="shared" si="23"/>
        <v>31</v>
      </c>
      <c r="C263" s="190" cm="1">
        <f t="array" aca="1" ref="C263" ca="1">VALUE(LEFT(TRIM(INDIRECT("'" &amp; INT((ROW()-2)/24)+1 &amp; "號'!B" &amp; MOD(ROW()-2,24)+10)), 2))</f>
        <v>5</v>
      </c>
      <c r="D263" s="190">
        <f t="shared" ca="1" si="24"/>
        <v>7</v>
      </c>
      <c r="E263" s="190" t="str" cm="1">
        <f t="array" aca="1" ref="E263" ca="1">INDIRECT("'" &amp; A263 &amp; "號'!" &amp; ADDRESS(B263, D263))</f>
        <v/>
      </c>
      <c r="F263" s="190">
        <f t="shared" ca="1" si="25"/>
        <v>0</v>
      </c>
      <c r="G263" s="190">
        <f ca="1">IF(F263=0, 0, IF(AND(F262=1, C263&lt;&gt;8, OR(C263=C262+1, AND(C262=23, C263=0))), G262, MAX($G$1:G262)+1))</f>
        <v>0</v>
      </c>
      <c r="H263" s="194">
        <f t="shared" si="26"/>
        <v>11</v>
      </c>
    </row>
    <row r="264" spans="1:8">
      <c r="A264" s="190">
        <f t="shared" si="22"/>
        <v>11</v>
      </c>
      <c r="B264" s="193">
        <f t="shared" si="23"/>
        <v>32</v>
      </c>
      <c r="C264" s="190" cm="1">
        <f t="array" aca="1" ref="C264" ca="1">VALUE(LEFT(TRIM(INDIRECT("'" &amp; INT((ROW()-2)/24)+1 &amp; "號'!B" &amp; MOD(ROW()-2,24)+10)), 2))</f>
        <v>6</v>
      </c>
      <c r="D264" s="190">
        <f t="shared" ca="1" si="24"/>
        <v>7</v>
      </c>
      <c r="E264" s="190" t="str" cm="1">
        <f t="array" aca="1" ref="E264" ca="1">INDIRECT("'" &amp; A264 &amp; "號'!" &amp; ADDRESS(B264, D264))</f>
        <v>11,3</v>
      </c>
      <c r="F264" s="190">
        <f t="shared" ca="1" si="25"/>
        <v>0</v>
      </c>
      <c r="G264" s="190">
        <f ca="1">IF(F264=0, 0, IF(AND(F263=1, C264&lt;&gt;8, OR(C264=C263+1, AND(C263=23, C264=0))), G263, MAX($G$1:G263)+1))</f>
        <v>0</v>
      </c>
      <c r="H264" s="194">
        <f t="shared" si="26"/>
        <v>11</v>
      </c>
    </row>
    <row r="265" spans="1:8">
      <c r="A265" s="190">
        <f t="shared" si="22"/>
        <v>11</v>
      </c>
      <c r="B265" s="193">
        <f t="shared" si="23"/>
        <v>33</v>
      </c>
      <c r="C265" s="190" cm="1">
        <f t="array" aca="1" ref="C265" ca="1">VALUE(LEFT(TRIM(INDIRECT("'" &amp; INT((ROW()-2)/24)+1 &amp; "號'!B" &amp; MOD(ROW()-2,24)+10)), 2))</f>
        <v>7</v>
      </c>
      <c r="D265" s="190">
        <f t="shared" ca="1" si="24"/>
        <v>7</v>
      </c>
      <c r="E265" s="190" t="str" cm="1">
        <f t="array" aca="1" ref="E265" ca="1">INDIRECT("'" &amp; A265 &amp; "號'!" &amp; ADDRESS(B265, D265))</f>
        <v>11,3</v>
      </c>
      <c r="F265" s="190">
        <f t="shared" ca="1" si="25"/>
        <v>0</v>
      </c>
      <c r="G265" s="190">
        <f ca="1">IF(F265=0, 0, IF(AND(F264=1, C265&lt;&gt;8, OR(C265=C264+1, AND(C264=23, C265=0))), G264, MAX($G$1:G264)+1))</f>
        <v>0</v>
      </c>
      <c r="H265" s="194">
        <f t="shared" si="26"/>
        <v>11</v>
      </c>
    </row>
    <row r="266" spans="1:8">
      <c r="A266" s="190">
        <f t="shared" si="22"/>
        <v>12</v>
      </c>
      <c r="B266" s="193">
        <f t="shared" si="23"/>
        <v>10</v>
      </c>
      <c r="C266" s="190" cm="1">
        <f t="array" aca="1" ref="C266" ca="1">VALUE(LEFT(TRIM(INDIRECT("'" &amp; INT((ROW()-2)/24)+1 &amp; "號'!B" &amp; MOD(ROW()-2,24)+10)), 2))</f>
        <v>8</v>
      </c>
      <c r="D266" s="190">
        <f t="shared" ca="1" si="24"/>
        <v>7</v>
      </c>
      <c r="E266" s="190" cm="1">
        <f t="array" aca="1" ref="E266" ca="1">INDIRECT("'" &amp; A266 &amp; "號'!" &amp; ADDRESS(B266, D266))</f>
        <v>12</v>
      </c>
      <c r="F266" s="190">
        <f t="shared" ca="1" si="25"/>
        <v>0</v>
      </c>
      <c r="G266" s="190">
        <f ca="1">IF(F266=0, 0, IF(AND(F265=1, C266&lt;&gt;8, OR(C266=C265+1, AND(C265=23, C266=0))), G265, MAX($G$1:G265)+1))</f>
        <v>0</v>
      </c>
      <c r="H266" s="194">
        <f t="shared" si="26"/>
        <v>12</v>
      </c>
    </row>
    <row r="267" spans="1:8">
      <c r="A267" s="190">
        <f t="shared" si="22"/>
        <v>12</v>
      </c>
      <c r="B267" s="193">
        <f t="shared" si="23"/>
        <v>11</v>
      </c>
      <c r="C267" s="190" cm="1">
        <f t="array" aca="1" ref="C267" ca="1">VALUE(LEFT(TRIM(INDIRECT("'" &amp; INT((ROW()-2)/24)+1 &amp; "號'!B" &amp; MOD(ROW()-2,24)+10)), 2))</f>
        <v>9</v>
      </c>
      <c r="D267" s="190">
        <f t="shared" ca="1" si="24"/>
        <v>7</v>
      </c>
      <c r="E267" s="190" cm="1">
        <f t="array" aca="1" ref="E267" ca="1">INDIRECT("'" &amp; A267 &amp; "號'!" &amp; ADDRESS(B267, D267))</f>
        <v>12</v>
      </c>
      <c r="F267" s="190">
        <f t="shared" ca="1" si="25"/>
        <v>0</v>
      </c>
      <c r="G267" s="190">
        <f ca="1">IF(F267=0, 0, IF(AND(F266=1, C267&lt;&gt;8, OR(C267=C266+1, AND(C266=23, C267=0))), G266, MAX($G$1:G266)+1))</f>
        <v>0</v>
      </c>
      <c r="H267" s="194">
        <f t="shared" si="26"/>
        <v>12</v>
      </c>
    </row>
    <row r="268" spans="1:8">
      <c r="A268" s="190">
        <f t="shared" si="22"/>
        <v>12</v>
      </c>
      <c r="B268" s="193">
        <f t="shared" si="23"/>
        <v>12</v>
      </c>
      <c r="C268" s="190" cm="1">
        <f t="array" aca="1" ref="C268" ca="1">VALUE(LEFT(TRIM(INDIRECT("'" &amp; INT((ROW()-2)/24)+1 &amp; "號'!B" &amp; MOD(ROW()-2,24)+10)), 2))</f>
        <v>10</v>
      </c>
      <c r="D268" s="190">
        <f t="shared" ca="1" si="24"/>
        <v>7</v>
      </c>
      <c r="E268" s="190" cm="1">
        <f t="array" aca="1" ref="E268" ca="1">INDIRECT("'" &amp; A268 &amp; "號'!" &amp; ADDRESS(B268, D268))</f>
        <v>12</v>
      </c>
      <c r="F268" s="190">
        <f t="shared" ca="1" si="25"/>
        <v>0</v>
      </c>
      <c r="G268" s="190">
        <f ca="1">IF(F268=0, 0, IF(AND(F267=1, C268&lt;&gt;8, OR(C268=C267+1, AND(C267=23, C268=0))), G267, MAX($G$1:G267)+1))</f>
        <v>0</v>
      </c>
      <c r="H268" s="194">
        <f t="shared" si="26"/>
        <v>12</v>
      </c>
    </row>
    <row r="269" spans="1:8">
      <c r="A269" s="190">
        <f t="shared" si="22"/>
        <v>12</v>
      </c>
      <c r="B269" s="193">
        <f t="shared" si="23"/>
        <v>13</v>
      </c>
      <c r="C269" s="190" cm="1">
        <f t="array" aca="1" ref="C269" ca="1">VALUE(LEFT(TRIM(INDIRECT("'" &amp; INT((ROW()-2)/24)+1 &amp; "號'!B" &amp; MOD(ROW()-2,24)+10)), 2))</f>
        <v>11</v>
      </c>
      <c r="D269" s="190">
        <f t="shared" ca="1" si="24"/>
        <v>7</v>
      </c>
      <c r="E269" s="190" cm="1">
        <f t="array" aca="1" ref="E269" ca="1">INDIRECT("'" &amp; A269 &amp; "號'!" &amp; ADDRESS(B269, D269))</f>
        <v>12</v>
      </c>
      <c r="F269" s="190">
        <f t="shared" ca="1" si="25"/>
        <v>0</v>
      </c>
      <c r="G269" s="190">
        <f ca="1">IF(F269=0, 0, IF(AND(F268=1, C269&lt;&gt;8, OR(C269=C268+1, AND(C268=23, C269=0))), G268, MAX($G$1:G268)+1))</f>
        <v>0</v>
      </c>
      <c r="H269" s="194">
        <f t="shared" si="26"/>
        <v>12</v>
      </c>
    </row>
    <row r="270" spans="1:8">
      <c r="A270" s="190">
        <f t="shared" si="22"/>
        <v>12</v>
      </c>
      <c r="B270" s="193">
        <f t="shared" si="23"/>
        <v>14</v>
      </c>
      <c r="C270" s="190" cm="1">
        <f t="array" aca="1" ref="C270" ca="1">VALUE(LEFT(TRIM(INDIRECT("'" &amp; INT((ROW()-2)/24)+1 &amp; "號'!B" &amp; MOD(ROW()-2,24)+10)), 2))</f>
        <v>12</v>
      </c>
      <c r="D270" s="190">
        <f t="shared" ca="1" si="24"/>
        <v>7</v>
      </c>
      <c r="E270" s="190" t="str" cm="1">
        <f t="array" aca="1" ref="E270" ca="1">INDIRECT("'" &amp; A270 &amp; "號'!" &amp; ADDRESS(B270, D270))</f>
        <v>28</v>
      </c>
      <c r="F270" s="190">
        <f t="shared" ca="1" si="25"/>
        <v>0</v>
      </c>
      <c r="G270" s="190">
        <f ca="1">IF(F270=0, 0, IF(AND(F269=1, C270&lt;&gt;8, OR(C270=C269+1, AND(C269=23, C270=0))), G269, MAX($G$1:G269)+1))</f>
        <v>0</v>
      </c>
      <c r="H270" s="194">
        <f t="shared" si="26"/>
        <v>12</v>
      </c>
    </row>
    <row r="271" spans="1:8">
      <c r="A271" s="190">
        <f t="shared" si="22"/>
        <v>12</v>
      </c>
      <c r="B271" s="193">
        <f t="shared" si="23"/>
        <v>15</v>
      </c>
      <c r="C271" s="190" cm="1">
        <f t="array" aca="1" ref="C271" ca="1">VALUE(LEFT(TRIM(INDIRECT("'" &amp; INT((ROW()-2)/24)+1 &amp; "號'!B" &amp; MOD(ROW()-2,24)+10)), 2))</f>
        <v>13</v>
      </c>
      <c r="D271" s="190">
        <f t="shared" ca="1" si="24"/>
        <v>7</v>
      </c>
      <c r="E271" s="190" t="str" cm="1">
        <f t="array" aca="1" ref="E271" ca="1">INDIRECT("'" &amp; A271 &amp; "號'!" &amp; ADDRESS(B271, D271))</f>
        <v>28</v>
      </c>
      <c r="F271" s="190">
        <f t="shared" ca="1" si="25"/>
        <v>0</v>
      </c>
      <c r="G271" s="190">
        <f ca="1">IF(F271=0, 0, IF(AND(F270=1, C271&lt;&gt;8, OR(C271=C270+1, AND(C270=23, C271=0))), G270, MAX($G$1:G270)+1))</f>
        <v>0</v>
      </c>
      <c r="H271" s="194">
        <f t="shared" si="26"/>
        <v>12</v>
      </c>
    </row>
    <row r="272" spans="1:8">
      <c r="A272" s="190">
        <f t="shared" si="22"/>
        <v>12</v>
      </c>
      <c r="B272" s="193">
        <f t="shared" si="23"/>
        <v>16</v>
      </c>
      <c r="C272" s="190" cm="1">
        <f t="array" aca="1" ref="C272" ca="1">VALUE(LEFT(TRIM(INDIRECT("'" &amp; INT((ROW()-2)/24)+1 &amp; "號'!B" &amp; MOD(ROW()-2,24)+10)), 2))</f>
        <v>14</v>
      </c>
      <c r="D272" s="190">
        <f t="shared" ca="1" si="24"/>
        <v>7</v>
      </c>
      <c r="E272" s="190" t="str" cm="1">
        <f t="array" aca="1" ref="E272" ca="1">INDIRECT("'" &amp; A272 &amp; "號'!" &amp; ADDRESS(B272, D272))</f>
        <v/>
      </c>
      <c r="F272" s="190">
        <f t="shared" ca="1" si="25"/>
        <v>0</v>
      </c>
      <c r="G272" s="190">
        <f ca="1">IF(F272=0, 0, IF(AND(F271=1, C272&lt;&gt;8, OR(C272=C271+1, AND(C271=23, C272=0))), G271, MAX($G$1:G271)+1))</f>
        <v>0</v>
      </c>
      <c r="H272" s="194">
        <f t="shared" si="26"/>
        <v>12</v>
      </c>
    </row>
    <row r="273" spans="1:8">
      <c r="A273" s="190">
        <f t="shared" si="22"/>
        <v>12</v>
      </c>
      <c r="B273" s="193">
        <f t="shared" si="23"/>
        <v>17</v>
      </c>
      <c r="C273" s="190" cm="1">
        <f t="array" aca="1" ref="C273" ca="1">VALUE(LEFT(TRIM(INDIRECT("'" &amp; INT((ROW()-2)/24)+1 &amp; "號'!B" &amp; MOD(ROW()-2,24)+10)), 2))</f>
        <v>15</v>
      </c>
      <c r="D273" s="190">
        <f t="shared" ca="1" si="24"/>
        <v>7</v>
      </c>
      <c r="E273" s="190" t="str" cm="1">
        <f t="array" aca="1" ref="E273" ca="1">INDIRECT("'" &amp; A273 &amp; "號'!" &amp; ADDRESS(B273, D273))</f>
        <v/>
      </c>
      <c r="F273" s="190">
        <f t="shared" ca="1" si="25"/>
        <v>0</v>
      </c>
      <c r="G273" s="190">
        <f ca="1">IF(F273=0, 0, IF(AND(F272=1, C273&lt;&gt;8, OR(C273=C272+1, AND(C272=23, C273=0))), G272, MAX($G$1:G272)+1))</f>
        <v>0</v>
      </c>
      <c r="H273" s="194">
        <f t="shared" si="26"/>
        <v>12</v>
      </c>
    </row>
    <row r="274" spans="1:8">
      <c r="A274" s="190">
        <f t="shared" si="22"/>
        <v>12</v>
      </c>
      <c r="B274" s="193">
        <f t="shared" si="23"/>
        <v>18</v>
      </c>
      <c r="C274" s="190" cm="1">
        <f t="array" aca="1" ref="C274" ca="1">VALUE(LEFT(TRIM(INDIRECT("'" &amp; INT((ROW()-2)/24)+1 &amp; "號'!B" &amp; MOD(ROW()-2,24)+10)), 2))</f>
        <v>16</v>
      </c>
      <c r="D274" s="190">
        <f t="shared" ca="1" si="24"/>
        <v>7</v>
      </c>
      <c r="E274" s="190" t="str" cm="1">
        <f t="array" aca="1" ref="E274" ca="1">INDIRECT("'" &amp; A274 &amp; "號'!" &amp; ADDRESS(B274, D274))</f>
        <v>17</v>
      </c>
      <c r="F274" s="190">
        <f t="shared" ca="1" si="25"/>
        <v>0</v>
      </c>
      <c r="G274" s="190">
        <f ca="1">IF(F274=0, 0, IF(AND(F273=1, C274&lt;&gt;8, OR(C274=C273+1, AND(C273=23, C274=0))), G273, MAX($G$1:G273)+1))</f>
        <v>0</v>
      </c>
      <c r="H274" s="194">
        <f t="shared" si="26"/>
        <v>12</v>
      </c>
    </row>
    <row r="275" spans="1:8">
      <c r="A275" s="190">
        <f t="shared" si="22"/>
        <v>12</v>
      </c>
      <c r="B275" s="193">
        <f t="shared" si="23"/>
        <v>19</v>
      </c>
      <c r="C275" s="190" cm="1">
        <f t="array" aca="1" ref="C275" ca="1">VALUE(LEFT(TRIM(INDIRECT("'" &amp; INT((ROW()-2)/24)+1 &amp; "號'!B" &amp; MOD(ROW()-2,24)+10)), 2))</f>
        <v>17</v>
      </c>
      <c r="D275" s="190">
        <f t="shared" ca="1" si="24"/>
        <v>7</v>
      </c>
      <c r="E275" s="190" t="str" cm="1">
        <f t="array" aca="1" ref="E275" ca="1">INDIRECT("'" &amp; A275 &amp; "號'!" &amp; ADDRESS(B275, D275))</f>
        <v>17,27</v>
      </c>
      <c r="F275" s="190">
        <f t="shared" ca="1" si="25"/>
        <v>0</v>
      </c>
      <c r="G275" s="190">
        <f ca="1">IF(F275=0, 0, IF(AND(F274=1, C275&lt;&gt;8, OR(C275=C274+1, AND(C274=23, C275=0))), G274, MAX($G$1:G274)+1))</f>
        <v>0</v>
      </c>
      <c r="H275" s="194">
        <f t="shared" si="26"/>
        <v>12</v>
      </c>
    </row>
    <row r="276" spans="1:8">
      <c r="A276" s="190">
        <f t="shared" si="22"/>
        <v>12</v>
      </c>
      <c r="B276" s="193">
        <f t="shared" si="23"/>
        <v>20</v>
      </c>
      <c r="C276" s="190" cm="1">
        <f t="array" aca="1" ref="C276" ca="1">VALUE(LEFT(TRIM(INDIRECT("'" &amp; INT((ROW()-2)/24)+1 &amp; "號'!B" &amp; MOD(ROW()-2,24)+10)), 2))</f>
        <v>18</v>
      </c>
      <c r="D276" s="190">
        <f t="shared" ca="1" si="24"/>
        <v>7</v>
      </c>
      <c r="E276" s="190" t="str" cm="1">
        <f t="array" aca="1" ref="E276" ca="1">INDIRECT("'" &amp; A276 &amp; "號'!" &amp; ADDRESS(B276, D276))</f>
        <v>27</v>
      </c>
      <c r="F276" s="190">
        <f t="shared" ca="1" si="25"/>
        <v>0</v>
      </c>
      <c r="G276" s="190">
        <f ca="1">IF(F276=0, 0, IF(AND(F275=1, C276&lt;&gt;8, OR(C276=C275+1, AND(C275=23, C276=0))), G275, MAX($G$1:G275)+1))</f>
        <v>0</v>
      </c>
      <c r="H276" s="194">
        <f t="shared" si="26"/>
        <v>12</v>
      </c>
    </row>
    <row r="277" spans="1:8">
      <c r="A277" s="190">
        <f t="shared" si="22"/>
        <v>12</v>
      </c>
      <c r="B277" s="193">
        <f t="shared" si="23"/>
        <v>21</v>
      </c>
      <c r="C277" s="190" cm="1">
        <f t="array" aca="1" ref="C277" ca="1">VALUE(LEFT(TRIM(INDIRECT("'" &amp; INT((ROW()-2)/24)+1 &amp; "號'!B" &amp; MOD(ROW()-2,24)+10)), 2))</f>
        <v>19</v>
      </c>
      <c r="D277" s="190">
        <f t="shared" ca="1" si="24"/>
        <v>7</v>
      </c>
      <c r="E277" s="190" t="str" cm="1">
        <f t="array" aca="1" ref="E277" ca="1">INDIRECT("'" &amp; A277 &amp; "號'!" &amp; ADDRESS(B277, D277))</f>
        <v>27</v>
      </c>
      <c r="F277" s="190">
        <f t="shared" ca="1" si="25"/>
        <v>0</v>
      </c>
      <c r="G277" s="190">
        <f ca="1">IF(F277=0, 0, IF(AND(F276=1, C277&lt;&gt;8, OR(C277=C276+1, AND(C276=23, C277=0))), G276, MAX($G$1:G276)+1))</f>
        <v>0</v>
      </c>
      <c r="H277" s="194">
        <f t="shared" si="26"/>
        <v>12</v>
      </c>
    </row>
    <row r="278" spans="1:8">
      <c r="A278" s="190">
        <f t="shared" si="22"/>
        <v>12</v>
      </c>
      <c r="B278" s="193">
        <f t="shared" si="23"/>
        <v>22</v>
      </c>
      <c r="C278" s="190" cm="1">
        <f t="array" aca="1" ref="C278" ca="1">VALUE(LEFT(TRIM(INDIRECT("'" &amp; INT((ROW()-2)/24)+1 &amp; "號'!B" &amp; MOD(ROW()-2,24)+10)), 2))</f>
        <v>20</v>
      </c>
      <c r="D278" s="190">
        <f t="shared" ca="1" si="24"/>
        <v>7</v>
      </c>
      <c r="E278" s="190" t="str" cm="1">
        <f t="array" aca="1" ref="E278" ca="1">INDIRECT("'" &amp; A278 &amp; "號'!" &amp; ADDRESS(B278, D278))</f>
        <v>19</v>
      </c>
      <c r="F278" s="190">
        <f t="shared" ca="1" si="25"/>
        <v>0</v>
      </c>
      <c r="G278" s="190">
        <f ca="1">IF(F278=0, 0, IF(AND(F277=1, C278&lt;&gt;8, OR(C278=C277+1, AND(C277=23, C278=0))), G277, MAX($G$1:G277)+1))</f>
        <v>0</v>
      </c>
      <c r="H278" s="194">
        <f t="shared" si="26"/>
        <v>12</v>
      </c>
    </row>
    <row r="279" spans="1:8">
      <c r="A279" s="190">
        <f t="shared" si="22"/>
        <v>12</v>
      </c>
      <c r="B279" s="193">
        <f t="shared" si="23"/>
        <v>23</v>
      </c>
      <c r="C279" s="190" cm="1">
        <f t="array" aca="1" ref="C279" ca="1">VALUE(LEFT(TRIM(INDIRECT("'" &amp; INT((ROW()-2)/24)+1 &amp; "號'!B" &amp; MOD(ROW()-2,24)+10)), 2))</f>
        <v>21</v>
      </c>
      <c r="D279" s="190">
        <f t="shared" ca="1" si="24"/>
        <v>7</v>
      </c>
      <c r="E279" s="190" t="str" cm="1">
        <f t="array" aca="1" ref="E279" ca="1">INDIRECT("'" &amp; A279 &amp; "號'!" &amp; ADDRESS(B279, D279))</f>
        <v>19</v>
      </c>
      <c r="F279" s="190">
        <f t="shared" ca="1" si="25"/>
        <v>0</v>
      </c>
      <c r="G279" s="190">
        <f ca="1">IF(F279=0, 0, IF(AND(F278=1, C279&lt;&gt;8, OR(C279=C278+1, AND(C278=23, C279=0))), G278, MAX($G$1:G278)+1))</f>
        <v>0</v>
      </c>
      <c r="H279" s="194">
        <f t="shared" si="26"/>
        <v>12</v>
      </c>
    </row>
    <row r="280" spans="1:8">
      <c r="A280" s="190">
        <f t="shared" si="22"/>
        <v>12</v>
      </c>
      <c r="B280" s="193">
        <f t="shared" si="23"/>
        <v>24</v>
      </c>
      <c r="C280" s="190" cm="1">
        <f t="array" aca="1" ref="C280" ca="1">VALUE(LEFT(TRIM(INDIRECT("'" &amp; INT((ROW()-2)/24)+1 &amp; "號'!B" &amp; MOD(ROW()-2,24)+10)), 2))</f>
        <v>22</v>
      </c>
      <c r="D280" s="190">
        <f t="shared" ca="1" si="24"/>
        <v>7</v>
      </c>
      <c r="E280" s="190" cm="1">
        <f t="array" aca="1" ref="E280" ca="1">INDIRECT("'" &amp; A280 &amp; "號'!" &amp; ADDRESS(B280, D280))</f>
        <v>23</v>
      </c>
      <c r="F280" s="190">
        <f t="shared" ca="1" si="25"/>
        <v>0</v>
      </c>
      <c r="G280" s="190">
        <f ca="1">IF(F280=0, 0, IF(AND(F279=1, C280&lt;&gt;8, OR(C280=C279+1, AND(C279=23, C280=0))), G279, MAX($G$1:G279)+1))</f>
        <v>0</v>
      </c>
      <c r="H280" s="194">
        <f t="shared" si="26"/>
        <v>12</v>
      </c>
    </row>
    <row r="281" spans="1:8">
      <c r="A281" s="190">
        <f t="shared" si="22"/>
        <v>12</v>
      </c>
      <c r="B281" s="193">
        <f t="shared" si="23"/>
        <v>25</v>
      </c>
      <c r="C281" s="190" cm="1">
        <f t="array" aca="1" ref="C281" ca="1">VALUE(LEFT(TRIM(INDIRECT("'" &amp; INT((ROW()-2)/24)+1 &amp; "號'!B" &amp; MOD(ROW()-2,24)+10)), 2))</f>
        <v>23</v>
      </c>
      <c r="D281" s="190">
        <f t="shared" ca="1" si="24"/>
        <v>7</v>
      </c>
      <c r="E281" s="190" cm="1">
        <f t="array" aca="1" ref="E281" ca="1">INDIRECT("'" &amp; A281 &amp; "號'!" &amp; ADDRESS(B281, D281))</f>
        <v>23</v>
      </c>
      <c r="F281" s="190">
        <f t="shared" ca="1" si="25"/>
        <v>0</v>
      </c>
      <c r="G281" s="190">
        <f ca="1">IF(F281=0, 0, IF(AND(F280=1, C281&lt;&gt;8, OR(C281=C280+1, AND(C280=23, C281=0))), G280, MAX($G$1:G280)+1))</f>
        <v>0</v>
      </c>
      <c r="H281" s="194">
        <f t="shared" si="26"/>
        <v>12</v>
      </c>
    </row>
    <row r="282" spans="1:8">
      <c r="A282" s="190">
        <f t="shared" si="22"/>
        <v>12</v>
      </c>
      <c r="B282" s="193">
        <f t="shared" si="23"/>
        <v>26</v>
      </c>
      <c r="C282" s="190" cm="1">
        <f t="array" aca="1" ref="C282" ca="1">VALUE(LEFT(TRIM(INDIRECT("'" &amp; INT((ROW()-2)/24)+1 &amp; "號'!B" &amp; MOD(ROW()-2,24)+10)), 2))</f>
        <v>0</v>
      </c>
      <c r="D282" s="190">
        <f t="shared" ca="1" si="24"/>
        <v>7</v>
      </c>
      <c r="E282" s="190" cm="1">
        <f t="array" aca="1" ref="E282" ca="1">INDIRECT("'" &amp; A282 &amp; "號'!" &amp; ADDRESS(B282, D282))</f>
        <v>5</v>
      </c>
      <c r="F282" s="190">
        <f t="shared" ca="1" si="25"/>
        <v>0</v>
      </c>
      <c r="G282" s="190">
        <f ca="1">IF(F282=0, 0, IF(AND(F281=1, C282&lt;&gt;8, OR(C282=C281+1, AND(C281=23, C282=0))), G281, MAX($G$1:G281)+1))</f>
        <v>0</v>
      </c>
      <c r="H282" s="194">
        <f t="shared" si="26"/>
        <v>12</v>
      </c>
    </row>
    <row r="283" spans="1:8">
      <c r="A283" s="190">
        <f t="shared" si="22"/>
        <v>12</v>
      </c>
      <c r="B283" s="193">
        <f t="shared" si="23"/>
        <v>27</v>
      </c>
      <c r="C283" s="190" cm="1">
        <f t="array" aca="1" ref="C283" ca="1">VALUE(LEFT(TRIM(INDIRECT("'" &amp; INT((ROW()-2)/24)+1 &amp; "號'!B" &amp; MOD(ROW()-2,24)+10)), 2))</f>
        <v>1</v>
      </c>
      <c r="D283" s="190">
        <f t="shared" ca="1" si="24"/>
        <v>7</v>
      </c>
      <c r="E283" s="190" cm="1">
        <f t="array" aca="1" ref="E283" ca="1">INDIRECT("'" &amp; A283 &amp; "號'!" &amp; ADDRESS(B283, D283))</f>
        <v>5</v>
      </c>
      <c r="F283" s="190">
        <f t="shared" ca="1" si="25"/>
        <v>0</v>
      </c>
      <c r="G283" s="190">
        <f ca="1">IF(F283=0, 0, IF(AND(F282=1, C283&lt;&gt;8, OR(C283=C282+1, AND(C282=23, C283=0))), G282, MAX($G$1:G282)+1))</f>
        <v>0</v>
      </c>
      <c r="H283" s="194">
        <f t="shared" si="26"/>
        <v>12</v>
      </c>
    </row>
    <row r="284" spans="1:8">
      <c r="A284" s="190">
        <f t="shared" si="22"/>
        <v>12</v>
      </c>
      <c r="B284" s="193">
        <f t="shared" si="23"/>
        <v>28</v>
      </c>
      <c r="C284" s="190" cm="1">
        <f t="array" aca="1" ref="C284" ca="1">VALUE(LEFT(TRIM(INDIRECT("'" &amp; INT((ROW()-2)/24)+1 &amp; "號'!B" &amp; MOD(ROW()-2,24)+10)), 2))</f>
        <v>2</v>
      </c>
      <c r="D284" s="190">
        <f t="shared" ca="1" si="24"/>
        <v>7</v>
      </c>
      <c r="E284" s="190" t="str" cm="1">
        <f t="array" aca="1" ref="E284" ca="1">INDIRECT("'" &amp; A284 &amp; "號'!" &amp; ADDRESS(B284, D284))</f>
        <v/>
      </c>
      <c r="F284" s="190">
        <f t="shared" ca="1" si="25"/>
        <v>0</v>
      </c>
      <c r="G284" s="190">
        <f ca="1">IF(F284=0, 0, IF(AND(F283=1, C284&lt;&gt;8, OR(C284=C283+1, AND(C283=23, C284=0))), G283, MAX($G$1:G283)+1))</f>
        <v>0</v>
      </c>
      <c r="H284" s="194">
        <f t="shared" si="26"/>
        <v>12</v>
      </c>
    </row>
    <row r="285" spans="1:8">
      <c r="A285" s="190">
        <f t="shared" si="22"/>
        <v>12</v>
      </c>
      <c r="B285" s="193">
        <f t="shared" si="23"/>
        <v>29</v>
      </c>
      <c r="C285" s="190" cm="1">
        <f t="array" aca="1" ref="C285" ca="1">VALUE(LEFT(TRIM(INDIRECT("'" &amp; INT((ROW()-2)/24)+1 &amp; "號'!B" &amp; MOD(ROW()-2,24)+10)), 2))</f>
        <v>3</v>
      </c>
      <c r="D285" s="190">
        <f t="shared" ca="1" si="24"/>
        <v>7</v>
      </c>
      <c r="E285" s="190" t="str" cm="1">
        <f t="array" aca="1" ref="E285" ca="1">INDIRECT("'" &amp; A285 &amp; "號'!" &amp; ADDRESS(B285, D285))</f>
        <v/>
      </c>
      <c r="F285" s="190">
        <f t="shared" ca="1" si="25"/>
        <v>0</v>
      </c>
      <c r="G285" s="190">
        <f ca="1">IF(F285=0, 0, IF(AND(F284=1, C285&lt;&gt;8, OR(C285=C284+1, AND(C284=23, C285=0))), G284, MAX($G$1:G284)+1))</f>
        <v>0</v>
      </c>
      <c r="H285" s="194">
        <f t="shared" si="26"/>
        <v>12</v>
      </c>
    </row>
    <row r="286" spans="1:8">
      <c r="A286" s="190">
        <f t="shared" si="22"/>
        <v>12</v>
      </c>
      <c r="B286" s="193">
        <f t="shared" si="23"/>
        <v>30</v>
      </c>
      <c r="C286" s="190" cm="1">
        <f t="array" aca="1" ref="C286" ca="1">VALUE(LEFT(TRIM(INDIRECT("'" &amp; INT((ROW()-2)/24)+1 &amp; "號'!B" &amp; MOD(ROW()-2,24)+10)), 2))</f>
        <v>4</v>
      </c>
      <c r="D286" s="190">
        <f t="shared" ca="1" si="24"/>
        <v>7</v>
      </c>
      <c r="E286" s="190" cm="1">
        <f t="array" aca="1" ref="E286" ca="1">INDIRECT("'" &amp; A286 &amp; "號'!" &amp; ADDRESS(B286, D286))</f>
        <v>0</v>
      </c>
      <c r="F286" s="190">
        <f t="shared" ca="1" si="25"/>
        <v>0</v>
      </c>
      <c r="G286" s="190">
        <f ca="1">IF(F286=0, 0, IF(AND(F285=1, C286&lt;&gt;8, OR(C286=C285+1, AND(C285=23, C286=0))), G285, MAX($G$1:G285)+1))</f>
        <v>0</v>
      </c>
      <c r="H286" s="194">
        <f t="shared" si="26"/>
        <v>12</v>
      </c>
    </row>
    <row r="287" spans="1:8">
      <c r="A287" s="190">
        <f t="shared" si="22"/>
        <v>12</v>
      </c>
      <c r="B287" s="193">
        <f t="shared" si="23"/>
        <v>31</v>
      </c>
      <c r="C287" s="190" cm="1">
        <f t="array" aca="1" ref="C287" ca="1">VALUE(LEFT(TRIM(INDIRECT("'" &amp; INT((ROW()-2)/24)+1 &amp; "號'!B" &amp; MOD(ROW()-2,24)+10)), 2))</f>
        <v>5</v>
      </c>
      <c r="D287" s="190">
        <f t="shared" ca="1" si="24"/>
        <v>7</v>
      </c>
      <c r="E287" s="190" cm="1">
        <f t="array" aca="1" ref="E287" ca="1">INDIRECT("'" &amp; A287 &amp; "號'!" &amp; ADDRESS(B287, D287))</f>
        <v>0</v>
      </c>
      <c r="F287" s="190">
        <f t="shared" ca="1" si="25"/>
        <v>0</v>
      </c>
      <c r="G287" s="190">
        <f ca="1">IF(F287=0, 0, IF(AND(F286=1, C287&lt;&gt;8, OR(C287=C286+1, AND(C286=23, C287=0))), G286, MAX($G$1:G286)+1))</f>
        <v>0</v>
      </c>
      <c r="H287" s="194">
        <f t="shared" si="26"/>
        <v>12</v>
      </c>
    </row>
    <row r="288" spans="1:8">
      <c r="A288" s="190">
        <f t="shared" si="22"/>
        <v>12</v>
      </c>
      <c r="B288" s="193">
        <f t="shared" si="23"/>
        <v>32</v>
      </c>
      <c r="C288" s="190" cm="1">
        <f t="array" aca="1" ref="C288" ca="1">VALUE(LEFT(TRIM(INDIRECT("'" &amp; INT((ROW()-2)/24)+1 &amp; "號'!B" &amp; MOD(ROW()-2,24)+10)), 2))</f>
        <v>6</v>
      </c>
      <c r="D288" s="190">
        <f t="shared" ca="1" si="24"/>
        <v>7</v>
      </c>
      <c r="E288" s="190" t="str" cm="1">
        <f t="array" aca="1" ref="E288" ca="1">INDIRECT("'" &amp; A288 &amp; "號'!" &amp; ADDRESS(B288, D288))</f>
        <v>26,2</v>
      </c>
      <c r="F288" s="190">
        <f t="shared" ca="1" si="25"/>
        <v>0</v>
      </c>
      <c r="G288" s="190">
        <f ca="1">IF(F288=0, 0, IF(AND(F287=1, C288&lt;&gt;8, OR(C288=C287+1, AND(C287=23, C288=0))), G287, MAX($G$1:G287)+1))</f>
        <v>0</v>
      </c>
      <c r="H288" s="194">
        <f t="shared" si="26"/>
        <v>12</v>
      </c>
    </row>
    <row r="289" spans="1:8">
      <c r="A289" s="190">
        <f t="shared" si="22"/>
        <v>12</v>
      </c>
      <c r="B289" s="193">
        <f t="shared" si="23"/>
        <v>33</v>
      </c>
      <c r="C289" s="190" cm="1">
        <f t="array" aca="1" ref="C289" ca="1">VALUE(LEFT(TRIM(INDIRECT("'" &amp; INT((ROW()-2)/24)+1 &amp; "號'!B" &amp; MOD(ROW()-2,24)+10)), 2))</f>
        <v>7</v>
      </c>
      <c r="D289" s="190">
        <f t="shared" ca="1" si="24"/>
        <v>7</v>
      </c>
      <c r="E289" s="190" t="str" cm="1">
        <f t="array" aca="1" ref="E289" ca="1">INDIRECT("'" &amp; A289 &amp; "號'!" &amp; ADDRESS(B289, D289))</f>
        <v>26,2</v>
      </c>
      <c r="F289" s="190">
        <f t="shared" ca="1" si="25"/>
        <v>0</v>
      </c>
      <c r="G289" s="190">
        <f ca="1">IF(F289=0, 0, IF(AND(F288=1, C289&lt;&gt;8, OR(C289=C288+1, AND(C288=23, C289=0))), G288, MAX($G$1:G288)+1))</f>
        <v>0</v>
      </c>
      <c r="H289" s="194">
        <f t="shared" si="26"/>
        <v>12</v>
      </c>
    </row>
    <row r="290" spans="1:8">
      <c r="A290" s="190">
        <f t="shared" si="22"/>
        <v>13</v>
      </c>
      <c r="B290" s="193">
        <f t="shared" si="23"/>
        <v>10</v>
      </c>
      <c r="C290" s="190" cm="1">
        <f t="array" aca="1" ref="C290" ca="1">VALUE(LEFT(TRIM(INDIRECT("'" &amp; INT((ROW()-2)/24)+1 &amp; "號'!B" &amp; MOD(ROW()-2,24)+10)), 2))</f>
        <v>8</v>
      </c>
      <c r="D290" s="190">
        <f t="shared" ca="1" si="24"/>
        <v>9</v>
      </c>
      <c r="E290" s="190" cm="1">
        <f t="array" aca="1" ref="E290" ca="1">INDIRECT("'" &amp; A290 &amp; "號'!" &amp; ADDRESS(B290, D290))</f>
        <v>0</v>
      </c>
      <c r="F290" s="190">
        <f t="shared" ca="1" si="25"/>
        <v>0</v>
      </c>
      <c r="G290" s="190">
        <f ca="1">IF(F290=0, 0, IF(AND(F289=1, C290&lt;&gt;8, OR(C290=C289+1, AND(C289=23, C290=0))), G289, MAX($G$1:G289)+1))</f>
        <v>0</v>
      </c>
      <c r="H290" s="194">
        <f t="shared" si="26"/>
        <v>13</v>
      </c>
    </row>
    <row r="291" spans="1:8">
      <c r="A291" s="190">
        <f t="shared" si="22"/>
        <v>13</v>
      </c>
      <c r="B291" s="193">
        <f t="shared" si="23"/>
        <v>11</v>
      </c>
      <c r="C291" s="190" cm="1">
        <f t="array" aca="1" ref="C291" ca="1">VALUE(LEFT(TRIM(INDIRECT("'" &amp; INT((ROW()-2)/24)+1 &amp; "號'!B" &amp; MOD(ROW()-2,24)+10)), 2))</f>
        <v>9</v>
      </c>
      <c r="D291" s="190">
        <f t="shared" ca="1" si="24"/>
        <v>9</v>
      </c>
      <c r="E291" s="190" cm="1">
        <f t="array" aca="1" ref="E291" ca="1">INDIRECT("'" &amp; A291 &amp; "號'!" &amp; ADDRESS(B291, D291))</f>
        <v>0</v>
      </c>
      <c r="F291" s="190">
        <f t="shared" ca="1" si="25"/>
        <v>0</v>
      </c>
      <c r="G291" s="190">
        <f ca="1">IF(F291=0, 0, IF(AND(F290=1, C291&lt;&gt;8, OR(C291=C290+1, AND(C290=23, C291=0))), G290, MAX($G$1:G290)+1))</f>
        <v>0</v>
      </c>
      <c r="H291" s="194">
        <f t="shared" si="26"/>
        <v>13</v>
      </c>
    </row>
    <row r="292" spans="1:8">
      <c r="A292" s="190">
        <f t="shared" si="22"/>
        <v>13</v>
      </c>
      <c r="B292" s="193">
        <f t="shared" si="23"/>
        <v>12</v>
      </c>
      <c r="C292" s="190" cm="1">
        <f t="array" aca="1" ref="C292" ca="1">VALUE(LEFT(TRIM(INDIRECT("'" &amp; INT((ROW()-2)/24)+1 &amp; "號'!B" &amp; MOD(ROW()-2,24)+10)), 2))</f>
        <v>10</v>
      </c>
      <c r="D292" s="190">
        <f t="shared" ca="1" si="24"/>
        <v>9</v>
      </c>
      <c r="E292" s="190" cm="1">
        <f t="array" aca="1" ref="E292" ca="1">INDIRECT("'" &amp; A292 &amp; "號'!" &amp; ADDRESS(B292, D292))</f>
        <v>0</v>
      </c>
      <c r="F292" s="190">
        <f t="shared" ca="1" si="25"/>
        <v>0</v>
      </c>
      <c r="G292" s="190">
        <f ca="1">IF(F292=0, 0, IF(AND(F291=1, C292&lt;&gt;8, OR(C292=C291+1, AND(C291=23, C292=0))), G291, MAX($G$1:G291)+1))</f>
        <v>0</v>
      </c>
      <c r="H292" s="194">
        <f t="shared" si="26"/>
        <v>13</v>
      </c>
    </row>
    <row r="293" spans="1:8">
      <c r="A293" s="190">
        <f t="shared" si="22"/>
        <v>13</v>
      </c>
      <c r="B293" s="193">
        <f t="shared" si="23"/>
        <v>13</v>
      </c>
      <c r="C293" s="190" cm="1">
        <f t="array" aca="1" ref="C293" ca="1">VALUE(LEFT(TRIM(INDIRECT("'" &amp; INT((ROW()-2)/24)+1 &amp; "號'!B" &amp; MOD(ROW()-2,24)+10)), 2))</f>
        <v>11</v>
      </c>
      <c r="D293" s="190">
        <f t="shared" ca="1" si="24"/>
        <v>9</v>
      </c>
      <c r="E293" s="190" cm="1">
        <f t="array" aca="1" ref="E293" ca="1">INDIRECT("'" &amp; A293 &amp; "號'!" &amp; ADDRESS(B293, D293))</f>
        <v>0</v>
      </c>
      <c r="F293" s="190">
        <f t="shared" ca="1" si="25"/>
        <v>0</v>
      </c>
      <c r="G293" s="190">
        <f ca="1">IF(F293=0, 0, IF(AND(F292=1, C293&lt;&gt;8, OR(C293=C292+1, AND(C292=23, C293=0))), G292, MAX($G$1:G292)+1))</f>
        <v>0</v>
      </c>
      <c r="H293" s="194">
        <f t="shared" si="26"/>
        <v>13</v>
      </c>
    </row>
    <row r="294" spans="1:8">
      <c r="A294" s="190">
        <f t="shared" si="22"/>
        <v>13</v>
      </c>
      <c r="B294" s="193">
        <f t="shared" si="23"/>
        <v>14</v>
      </c>
      <c r="C294" s="190" cm="1">
        <f t="array" aca="1" ref="C294" ca="1">VALUE(LEFT(TRIM(INDIRECT("'" &amp; INT((ROW()-2)/24)+1 &amp; "號'!B" &amp; MOD(ROW()-2,24)+10)), 2))</f>
        <v>12</v>
      </c>
      <c r="D294" s="190">
        <f t="shared" ca="1" si="24"/>
        <v>9</v>
      </c>
      <c r="E294" s="190" t="str" cm="1">
        <f t="array" aca="1" ref="E294" ca="1">INDIRECT("'" &amp; A294 &amp; "號'!" &amp; ADDRESS(B294, D294))</f>
        <v>18</v>
      </c>
      <c r="F294" s="190">
        <f t="shared" ca="1" si="25"/>
        <v>0</v>
      </c>
      <c r="G294" s="190">
        <f ca="1">IF(F294=0, 0, IF(AND(F293=1, C294&lt;&gt;8, OR(C294=C293+1, AND(C293=23, C294=0))), G293, MAX($G$1:G293)+1))</f>
        <v>0</v>
      </c>
      <c r="H294" s="194">
        <f t="shared" si="26"/>
        <v>13</v>
      </c>
    </row>
    <row r="295" spans="1:8">
      <c r="A295" s="190">
        <f t="shared" si="22"/>
        <v>13</v>
      </c>
      <c r="B295" s="193">
        <f t="shared" si="23"/>
        <v>15</v>
      </c>
      <c r="C295" s="190" cm="1">
        <f t="array" aca="1" ref="C295" ca="1">VALUE(LEFT(TRIM(INDIRECT("'" &amp; INT((ROW()-2)/24)+1 &amp; "號'!B" &amp; MOD(ROW()-2,24)+10)), 2))</f>
        <v>13</v>
      </c>
      <c r="D295" s="190">
        <f t="shared" ca="1" si="24"/>
        <v>9</v>
      </c>
      <c r="E295" s="190" t="str" cm="1">
        <f t="array" aca="1" ref="E295" ca="1">INDIRECT("'" &amp; A295 &amp; "號'!" &amp; ADDRESS(B295, D295))</f>
        <v>18</v>
      </c>
      <c r="F295" s="190">
        <f t="shared" ca="1" si="25"/>
        <v>0</v>
      </c>
      <c r="G295" s="190">
        <f ca="1">IF(F295=0, 0, IF(AND(F294=1, C295&lt;&gt;8, OR(C295=C294+1, AND(C294=23, C295=0))), G294, MAX($G$1:G294)+1))</f>
        <v>0</v>
      </c>
      <c r="H295" s="194">
        <f t="shared" si="26"/>
        <v>13</v>
      </c>
    </row>
    <row r="296" spans="1:8">
      <c r="A296" s="190">
        <f t="shared" si="22"/>
        <v>13</v>
      </c>
      <c r="B296" s="193">
        <f t="shared" si="23"/>
        <v>16</v>
      </c>
      <c r="C296" s="190" cm="1">
        <f t="array" aca="1" ref="C296" ca="1">VALUE(LEFT(TRIM(INDIRECT("'" &amp; INT((ROW()-2)/24)+1 &amp; "號'!B" &amp; MOD(ROW()-2,24)+10)), 2))</f>
        <v>14</v>
      </c>
      <c r="D296" s="190">
        <f t="shared" ca="1" si="24"/>
        <v>9</v>
      </c>
      <c r="E296" s="190" t="str" cm="1">
        <f t="array" aca="1" ref="E296" ca="1">INDIRECT("'" &amp; A296 &amp; "號'!" &amp; ADDRESS(B296, D296))</f>
        <v/>
      </c>
      <c r="F296" s="190">
        <f t="shared" ca="1" si="25"/>
        <v>0</v>
      </c>
      <c r="G296" s="190">
        <f ca="1">IF(F296=0, 0, IF(AND(F295=1, C296&lt;&gt;8, OR(C296=C295+1, AND(C295=23, C296=0))), G295, MAX($G$1:G295)+1))</f>
        <v>0</v>
      </c>
      <c r="H296" s="194">
        <f t="shared" si="26"/>
        <v>13</v>
      </c>
    </row>
    <row r="297" spans="1:8">
      <c r="A297" s="190">
        <f t="shared" si="22"/>
        <v>13</v>
      </c>
      <c r="B297" s="193">
        <f t="shared" si="23"/>
        <v>17</v>
      </c>
      <c r="C297" s="190" cm="1">
        <f t="array" aca="1" ref="C297" ca="1">VALUE(LEFT(TRIM(INDIRECT("'" &amp; INT((ROW()-2)/24)+1 &amp; "號'!B" &amp; MOD(ROW()-2,24)+10)), 2))</f>
        <v>15</v>
      </c>
      <c r="D297" s="190">
        <f t="shared" ca="1" si="24"/>
        <v>9</v>
      </c>
      <c r="E297" s="190" t="str" cm="1">
        <f t="array" aca="1" ref="E297" ca="1">INDIRECT("'" &amp; A297 &amp; "號'!" &amp; ADDRESS(B297, D297))</f>
        <v/>
      </c>
      <c r="F297" s="190">
        <f t="shared" ca="1" si="25"/>
        <v>0</v>
      </c>
      <c r="G297" s="190">
        <f ca="1">IF(F297=0, 0, IF(AND(F296=1, C297&lt;&gt;8, OR(C297=C296+1, AND(C296=23, C297=0))), G296, MAX($G$1:G296)+1))</f>
        <v>0</v>
      </c>
      <c r="H297" s="194">
        <f t="shared" si="26"/>
        <v>13</v>
      </c>
    </row>
    <row r="298" spans="1:8">
      <c r="A298" s="190">
        <f t="shared" si="22"/>
        <v>13</v>
      </c>
      <c r="B298" s="193">
        <f t="shared" si="23"/>
        <v>18</v>
      </c>
      <c r="C298" s="190" cm="1">
        <f t="array" aca="1" ref="C298" ca="1">VALUE(LEFT(TRIM(INDIRECT("'" &amp; INT((ROW()-2)/24)+1 &amp; "號'!B" &amp; MOD(ROW()-2,24)+10)), 2))</f>
        <v>16</v>
      </c>
      <c r="D298" s="190">
        <f t="shared" ca="1" si="24"/>
        <v>9</v>
      </c>
      <c r="E298" s="190" t="str" cm="1">
        <f t="array" aca="1" ref="E298" ca="1">INDIRECT("'" &amp; A298 &amp; "號'!" &amp; ADDRESS(B298, D298))</f>
        <v>10,11</v>
      </c>
      <c r="F298" s="190">
        <f t="shared" ca="1" si="25"/>
        <v>0</v>
      </c>
      <c r="G298" s="190">
        <f ca="1">IF(F298=0, 0, IF(AND(F297=1, C298&lt;&gt;8, OR(C298=C297+1, AND(C297=23, C298=0))), G297, MAX($G$1:G297)+1))</f>
        <v>0</v>
      </c>
      <c r="H298" s="194">
        <f t="shared" si="26"/>
        <v>13</v>
      </c>
    </row>
    <row r="299" spans="1:8">
      <c r="A299" s="190">
        <f t="shared" si="22"/>
        <v>13</v>
      </c>
      <c r="B299" s="193">
        <f t="shared" si="23"/>
        <v>19</v>
      </c>
      <c r="C299" s="190" cm="1">
        <f t="array" aca="1" ref="C299" ca="1">VALUE(LEFT(TRIM(INDIRECT("'" &amp; INT((ROW()-2)/24)+1 &amp; "號'!B" &amp; MOD(ROW()-2,24)+10)), 2))</f>
        <v>17</v>
      </c>
      <c r="D299" s="190">
        <f t="shared" ca="1" si="24"/>
        <v>9</v>
      </c>
      <c r="E299" s="190" t="str" cm="1">
        <f t="array" aca="1" ref="E299" ca="1">INDIRECT("'" &amp; A299 &amp; "號'!" &amp; ADDRESS(B299, D299))</f>
        <v>10,11</v>
      </c>
      <c r="F299" s="190">
        <f t="shared" ca="1" si="25"/>
        <v>0</v>
      </c>
      <c r="G299" s="190">
        <f ca="1">IF(F299=0, 0, IF(AND(F298=1, C299&lt;&gt;8, OR(C299=C298+1, AND(C298=23, C299=0))), G298, MAX($G$1:G298)+1))</f>
        <v>0</v>
      </c>
      <c r="H299" s="194">
        <f t="shared" si="26"/>
        <v>13</v>
      </c>
    </row>
    <row r="300" spans="1:8">
      <c r="A300" s="190">
        <f t="shared" si="22"/>
        <v>13</v>
      </c>
      <c r="B300" s="193">
        <f t="shared" si="23"/>
        <v>20</v>
      </c>
      <c r="C300" s="190" cm="1">
        <f t="array" aca="1" ref="C300" ca="1">VALUE(LEFT(TRIM(INDIRECT("'" &amp; INT((ROW()-2)/24)+1 &amp; "號'!B" &amp; MOD(ROW()-2,24)+10)), 2))</f>
        <v>18</v>
      </c>
      <c r="D300" s="190">
        <f t="shared" ca="1" si="24"/>
        <v>9</v>
      </c>
      <c r="E300" s="190" t="str" cm="1">
        <f t="array" aca="1" ref="E300" ca="1">INDIRECT("'" &amp; A300 &amp; "號'!" &amp; ADDRESS(B300, D300))</f>
        <v>11</v>
      </c>
      <c r="F300" s="190">
        <f t="shared" ca="1" si="25"/>
        <v>0</v>
      </c>
      <c r="G300" s="190">
        <f ca="1">IF(F300=0, 0, IF(AND(F299=1, C300&lt;&gt;8, OR(C300=C299+1, AND(C299=23, C300=0))), G299, MAX($G$1:G299)+1))</f>
        <v>0</v>
      </c>
      <c r="H300" s="194">
        <f t="shared" si="26"/>
        <v>13</v>
      </c>
    </row>
    <row r="301" spans="1:8">
      <c r="A301" s="190">
        <f t="shared" si="22"/>
        <v>13</v>
      </c>
      <c r="B301" s="193">
        <f t="shared" si="23"/>
        <v>21</v>
      </c>
      <c r="C301" s="190" cm="1">
        <f t="array" aca="1" ref="C301" ca="1">VALUE(LEFT(TRIM(INDIRECT("'" &amp; INT((ROW()-2)/24)+1 &amp; "號'!B" &amp; MOD(ROW()-2,24)+10)), 2))</f>
        <v>19</v>
      </c>
      <c r="D301" s="190">
        <f t="shared" ca="1" si="24"/>
        <v>9</v>
      </c>
      <c r="E301" s="190" t="str" cm="1">
        <f t="array" aca="1" ref="E301" ca="1">INDIRECT("'" &amp; A301 &amp; "號'!" &amp; ADDRESS(B301, D301))</f>
        <v>11</v>
      </c>
      <c r="F301" s="190">
        <f t="shared" ca="1" si="25"/>
        <v>0</v>
      </c>
      <c r="G301" s="190">
        <f ca="1">IF(F301=0, 0, IF(AND(F300=1, C301&lt;&gt;8, OR(C301=C300+1, AND(C300=23, C301=0))), G300, MAX($G$1:G300)+1))</f>
        <v>0</v>
      </c>
      <c r="H301" s="194">
        <f t="shared" si="26"/>
        <v>13</v>
      </c>
    </row>
    <row r="302" spans="1:8">
      <c r="A302" s="190">
        <f t="shared" si="22"/>
        <v>13</v>
      </c>
      <c r="B302" s="193">
        <f t="shared" si="23"/>
        <v>22</v>
      </c>
      <c r="C302" s="190" cm="1">
        <f t="array" aca="1" ref="C302" ca="1">VALUE(LEFT(TRIM(INDIRECT("'" &amp; INT((ROW()-2)/24)+1 &amp; "號'!B" &amp; MOD(ROW()-2,24)+10)), 2))</f>
        <v>20</v>
      </c>
      <c r="D302" s="190">
        <f t="shared" ca="1" si="24"/>
        <v>9</v>
      </c>
      <c r="E302" s="190" cm="1">
        <f t="array" aca="1" ref="E302" ca="1">INDIRECT("'" &amp; A302 &amp; "號'!" &amp; ADDRESS(B302, D302))</f>
        <v>7</v>
      </c>
      <c r="F302" s="190">
        <f t="shared" ca="1" si="25"/>
        <v>0</v>
      </c>
      <c r="G302" s="190">
        <f ca="1">IF(F302=0, 0, IF(AND(F301=1, C302&lt;&gt;8, OR(C302=C301+1, AND(C301=23, C302=0))), G301, MAX($G$1:G301)+1))</f>
        <v>0</v>
      </c>
      <c r="H302" s="194">
        <f t="shared" si="26"/>
        <v>13</v>
      </c>
    </row>
    <row r="303" spans="1:8">
      <c r="A303" s="190">
        <f t="shared" si="22"/>
        <v>13</v>
      </c>
      <c r="B303" s="193">
        <f t="shared" si="23"/>
        <v>23</v>
      </c>
      <c r="C303" s="190" cm="1">
        <f t="array" aca="1" ref="C303" ca="1">VALUE(LEFT(TRIM(INDIRECT("'" &amp; INT((ROW()-2)/24)+1 &amp; "號'!B" &amp; MOD(ROW()-2,24)+10)), 2))</f>
        <v>21</v>
      </c>
      <c r="D303" s="190">
        <f t="shared" ca="1" si="24"/>
        <v>9</v>
      </c>
      <c r="E303" s="190" cm="1">
        <f t="array" aca="1" ref="E303" ca="1">INDIRECT("'" &amp; A303 &amp; "號'!" &amp; ADDRESS(B303, D303))</f>
        <v>7</v>
      </c>
      <c r="F303" s="190">
        <f t="shared" ca="1" si="25"/>
        <v>0</v>
      </c>
      <c r="G303" s="190">
        <f ca="1">IF(F303=0, 0, IF(AND(F302=1, C303&lt;&gt;8, OR(C303=C302+1, AND(C302=23, C303=0))), G302, MAX($G$1:G302)+1))</f>
        <v>0</v>
      </c>
      <c r="H303" s="194">
        <f t="shared" si="26"/>
        <v>13</v>
      </c>
    </row>
    <row r="304" spans="1:8">
      <c r="A304" s="190">
        <f t="shared" si="22"/>
        <v>13</v>
      </c>
      <c r="B304" s="193">
        <f t="shared" si="23"/>
        <v>24</v>
      </c>
      <c r="C304" s="190" cm="1">
        <f t="array" aca="1" ref="C304" ca="1">VALUE(LEFT(TRIM(INDIRECT("'" &amp; INT((ROW()-2)/24)+1 &amp; "號'!B" &amp; MOD(ROW()-2,24)+10)), 2))</f>
        <v>22</v>
      </c>
      <c r="D304" s="190">
        <f t="shared" ca="1" si="24"/>
        <v>9</v>
      </c>
      <c r="E304" s="190" cm="1">
        <f t="array" aca="1" ref="E304" ca="1">INDIRECT("'" &amp; A304 &amp; "號'!" &amp; ADDRESS(B304, D304))</f>
        <v>16</v>
      </c>
      <c r="F304" s="190">
        <f t="shared" ca="1" si="25"/>
        <v>0</v>
      </c>
      <c r="G304" s="190">
        <f ca="1">IF(F304=0, 0, IF(AND(F303=1, C304&lt;&gt;8, OR(C304=C303+1, AND(C303=23, C304=0))), G303, MAX($G$1:G303)+1))</f>
        <v>0</v>
      </c>
      <c r="H304" s="194">
        <f t="shared" si="26"/>
        <v>13</v>
      </c>
    </row>
    <row r="305" spans="1:8">
      <c r="A305" s="190">
        <f t="shared" si="22"/>
        <v>13</v>
      </c>
      <c r="B305" s="193">
        <f t="shared" si="23"/>
        <v>25</v>
      </c>
      <c r="C305" s="190" cm="1">
        <f t="array" aca="1" ref="C305" ca="1">VALUE(LEFT(TRIM(INDIRECT("'" &amp; INT((ROW()-2)/24)+1 &amp; "號'!B" &amp; MOD(ROW()-2,24)+10)), 2))</f>
        <v>23</v>
      </c>
      <c r="D305" s="190">
        <f t="shared" ca="1" si="24"/>
        <v>9</v>
      </c>
      <c r="E305" s="190" cm="1">
        <f t="array" aca="1" ref="E305" ca="1">INDIRECT("'" &amp; A305 &amp; "號'!" &amp; ADDRESS(B305, D305))</f>
        <v>16</v>
      </c>
      <c r="F305" s="190">
        <f t="shared" ca="1" si="25"/>
        <v>0</v>
      </c>
      <c r="G305" s="190">
        <f ca="1">IF(F305=0, 0, IF(AND(F304=1, C305&lt;&gt;8, OR(C305=C304+1, AND(C304=23, C305=0))), G304, MAX($G$1:G304)+1))</f>
        <v>0</v>
      </c>
      <c r="H305" s="194">
        <f t="shared" si="26"/>
        <v>13</v>
      </c>
    </row>
    <row r="306" spans="1:8">
      <c r="A306" s="190">
        <f t="shared" si="22"/>
        <v>13</v>
      </c>
      <c r="B306" s="193">
        <f t="shared" si="23"/>
        <v>26</v>
      </c>
      <c r="C306" s="190" cm="1">
        <f t="array" aca="1" ref="C306" ca="1">VALUE(LEFT(TRIM(INDIRECT("'" &amp; INT((ROW()-2)/24)+1 &amp; "號'!B" &amp; MOD(ROW()-2,24)+10)), 2))</f>
        <v>0</v>
      </c>
      <c r="D306" s="190">
        <f t="shared" ca="1" si="24"/>
        <v>9</v>
      </c>
      <c r="E306" s="190" cm="1">
        <f t="array" aca="1" ref="E306" ca="1">INDIRECT("'" &amp; A306 &amp; "號'!" &amp; ADDRESS(B306, D306))</f>
        <v>9</v>
      </c>
      <c r="F306" s="190">
        <f t="shared" ca="1" si="25"/>
        <v>0</v>
      </c>
      <c r="G306" s="190">
        <f ca="1">IF(F306=0, 0, IF(AND(F305=1, C306&lt;&gt;8, OR(C306=C305+1, AND(C305=23, C306=0))), G305, MAX($G$1:G305)+1))</f>
        <v>0</v>
      </c>
      <c r="H306" s="194">
        <f t="shared" si="26"/>
        <v>13</v>
      </c>
    </row>
    <row r="307" spans="1:8">
      <c r="A307" s="190">
        <f t="shared" si="22"/>
        <v>13</v>
      </c>
      <c r="B307" s="193">
        <f t="shared" si="23"/>
        <v>27</v>
      </c>
      <c r="C307" s="190" cm="1">
        <f t="array" aca="1" ref="C307" ca="1">VALUE(LEFT(TRIM(INDIRECT("'" &amp; INT((ROW()-2)/24)+1 &amp; "號'!B" &amp; MOD(ROW()-2,24)+10)), 2))</f>
        <v>1</v>
      </c>
      <c r="D307" s="190">
        <f t="shared" ca="1" si="24"/>
        <v>9</v>
      </c>
      <c r="E307" s="190" cm="1">
        <f t="array" aca="1" ref="E307" ca="1">INDIRECT("'" &amp; A307 &amp; "號'!" &amp; ADDRESS(B307, D307))</f>
        <v>9</v>
      </c>
      <c r="F307" s="190">
        <f t="shared" ca="1" si="25"/>
        <v>0</v>
      </c>
      <c r="G307" s="190">
        <f ca="1">IF(F307=0, 0, IF(AND(F306=1, C307&lt;&gt;8, OR(C307=C306+1, AND(C306=23, C307=0))), G306, MAX($G$1:G306)+1))</f>
        <v>0</v>
      </c>
      <c r="H307" s="194">
        <f t="shared" si="26"/>
        <v>13</v>
      </c>
    </row>
    <row r="308" spans="1:8">
      <c r="A308" s="190">
        <f t="shared" si="22"/>
        <v>13</v>
      </c>
      <c r="B308" s="193">
        <f t="shared" si="23"/>
        <v>28</v>
      </c>
      <c r="C308" s="190" cm="1">
        <f t="array" aca="1" ref="C308" ca="1">VALUE(LEFT(TRIM(INDIRECT("'" &amp; INT((ROW()-2)/24)+1 &amp; "號'!B" &amp; MOD(ROW()-2,24)+10)), 2))</f>
        <v>2</v>
      </c>
      <c r="D308" s="190">
        <f t="shared" ca="1" si="24"/>
        <v>9</v>
      </c>
      <c r="E308" s="190" cm="1">
        <f t="array" aca="1" ref="E308" ca="1">INDIRECT("'" &amp; A308 &amp; "號'!" &amp; ADDRESS(B308, D308))</f>
        <v>3</v>
      </c>
      <c r="F308" s="190">
        <f t="shared" ca="1" si="25"/>
        <v>0</v>
      </c>
      <c r="G308" s="190">
        <f ca="1">IF(F308=0, 0, IF(AND(F307=1, C308&lt;&gt;8, OR(C308=C307+1, AND(C307=23, C308=0))), G307, MAX($G$1:G307)+1))</f>
        <v>0</v>
      </c>
      <c r="H308" s="194">
        <f t="shared" si="26"/>
        <v>13</v>
      </c>
    </row>
    <row r="309" spans="1:8">
      <c r="A309" s="190">
        <f t="shared" si="22"/>
        <v>13</v>
      </c>
      <c r="B309" s="193">
        <f t="shared" si="23"/>
        <v>29</v>
      </c>
      <c r="C309" s="190" cm="1">
        <f t="array" aca="1" ref="C309" ca="1">VALUE(LEFT(TRIM(INDIRECT("'" &amp; INT((ROW()-2)/24)+1 &amp; "號'!B" &amp; MOD(ROW()-2,24)+10)), 2))</f>
        <v>3</v>
      </c>
      <c r="D309" s="190">
        <f t="shared" ca="1" si="24"/>
        <v>9</v>
      </c>
      <c r="E309" s="190" cm="1">
        <f t="array" aca="1" ref="E309" ca="1">INDIRECT("'" &amp; A309 &amp; "號'!" &amp; ADDRESS(B309, D309))</f>
        <v>3</v>
      </c>
      <c r="F309" s="190">
        <f t="shared" ca="1" si="25"/>
        <v>0</v>
      </c>
      <c r="G309" s="190">
        <f ca="1">IF(F309=0, 0, IF(AND(F308=1, C309&lt;&gt;8, OR(C309=C308+1, AND(C308=23, C309=0))), G308, MAX($G$1:G308)+1))</f>
        <v>0</v>
      </c>
      <c r="H309" s="194">
        <f t="shared" si="26"/>
        <v>13</v>
      </c>
    </row>
    <row r="310" spans="1:8">
      <c r="A310" s="190">
        <f t="shared" si="22"/>
        <v>13</v>
      </c>
      <c r="B310" s="193">
        <f t="shared" si="23"/>
        <v>30</v>
      </c>
      <c r="C310" s="190" cm="1">
        <f t="array" aca="1" ref="C310" ca="1">VALUE(LEFT(TRIM(INDIRECT("'" &amp; INT((ROW()-2)/24)+1 &amp; "號'!B" &amp; MOD(ROW()-2,24)+10)), 2))</f>
        <v>4</v>
      </c>
      <c r="D310" s="190">
        <f t="shared" ca="1" si="24"/>
        <v>9</v>
      </c>
      <c r="E310" s="190" t="str" cm="1">
        <f t="array" aca="1" ref="E310" ca="1">INDIRECT("'" &amp; A310 &amp; "號'!" &amp; ADDRESS(B310, D310))</f>
        <v/>
      </c>
      <c r="F310" s="190">
        <f t="shared" ca="1" si="25"/>
        <v>0</v>
      </c>
      <c r="G310" s="190">
        <f ca="1">IF(F310=0, 0, IF(AND(F309=1, C310&lt;&gt;8, OR(C310=C309+1, AND(C309=23, C310=0))), G309, MAX($G$1:G309)+1))</f>
        <v>0</v>
      </c>
      <c r="H310" s="194">
        <f t="shared" si="26"/>
        <v>13</v>
      </c>
    </row>
    <row r="311" spans="1:8">
      <c r="A311" s="190">
        <f t="shared" si="22"/>
        <v>13</v>
      </c>
      <c r="B311" s="193">
        <f t="shared" si="23"/>
        <v>31</v>
      </c>
      <c r="C311" s="190" cm="1">
        <f t="array" aca="1" ref="C311" ca="1">VALUE(LEFT(TRIM(INDIRECT("'" &amp; INT((ROW()-2)/24)+1 &amp; "號'!B" &amp; MOD(ROW()-2,24)+10)), 2))</f>
        <v>5</v>
      </c>
      <c r="D311" s="190">
        <f t="shared" ca="1" si="24"/>
        <v>9</v>
      </c>
      <c r="E311" s="190" t="str" cm="1">
        <f t="array" aca="1" ref="E311" ca="1">INDIRECT("'" &amp; A311 &amp; "號'!" &amp; ADDRESS(B311, D311))</f>
        <v/>
      </c>
      <c r="F311" s="190">
        <f t="shared" ca="1" si="25"/>
        <v>0</v>
      </c>
      <c r="G311" s="190">
        <f ca="1">IF(F311=0, 0, IF(AND(F310=1, C311&lt;&gt;8, OR(C311=C310+1, AND(C310=23, C311=0))), G310, MAX($G$1:G310)+1))</f>
        <v>0</v>
      </c>
      <c r="H311" s="194">
        <f t="shared" si="26"/>
        <v>13</v>
      </c>
    </row>
    <row r="312" spans="1:8">
      <c r="A312" s="190">
        <f t="shared" si="22"/>
        <v>13</v>
      </c>
      <c r="B312" s="193">
        <f t="shared" si="23"/>
        <v>32</v>
      </c>
      <c r="C312" s="190" cm="1">
        <f t="array" aca="1" ref="C312" ca="1">VALUE(LEFT(TRIM(INDIRECT("'" &amp; INT((ROW()-2)/24)+1 &amp; "號'!B" &amp; MOD(ROW()-2,24)+10)), 2))</f>
        <v>6</v>
      </c>
      <c r="D312" s="190">
        <f t="shared" ca="1" si="24"/>
        <v>9</v>
      </c>
      <c r="E312" s="190" t="str" cm="1">
        <f t="array" aca="1" ref="E312" ca="1">INDIRECT("'" &amp; A312 &amp; "號'!" &amp; ADDRESS(B312, D312))</f>
        <v>6,1</v>
      </c>
      <c r="F312" s="190">
        <f t="shared" ca="1" si="25"/>
        <v>0</v>
      </c>
      <c r="G312" s="190">
        <f ca="1">IF(F312=0, 0, IF(AND(F311=1, C312&lt;&gt;8, OR(C312=C311+1, AND(C311=23, C312=0))), G311, MAX($G$1:G311)+1))</f>
        <v>0</v>
      </c>
      <c r="H312" s="194">
        <f t="shared" si="26"/>
        <v>13</v>
      </c>
    </row>
    <row r="313" spans="1:8">
      <c r="A313" s="190">
        <f t="shared" si="22"/>
        <v>13</v>
      </c>
      <c r="B313" s="193">
        <f t="shared" si="23"/>
        <v>33</v>
      </c>
      <c r="C313" s="190" cm="1">
        <f t="array" aca="1" ref="C313" ca="1">VALUE(LEFT(TRIM(INDIRECT("'" &amp; INT((ROW()-2)/24)+1 &amp; "號'!B" &amp; MOD(ROW()-2,24)+10)), 2))</f>
        <v>7</v>
      </c>
      <c r="D313" s="190">
        <f t="shared" ca="1" si="24"/>
        <v>9</v>
      </c>
      <c r="E313" s="190" t="str" cm="1">
        <f t="array" aca="1" ref="E313" ca="1">INDIRECT("'" &amp; A313 &amp; "號'!" &amp; ADDRESS(B313, D313))</f>
        <v>6,1</v>
      </c>
      <c r="F313" s="190">
        <f t="shared" ca="1" si="25"/>
        <v>0</v>
      </c>
      <c r="G313" s="190">
        <f ca="1">IF(F313=0, 0, IF(AND(F312=1, C313&lt;&gt;8, OR(C313=C312+1, AND(C312=23, C313=0))), G312, MAX($G$1:G312)+1))</f>
        <v>0</v>
      </c>
      <c r="H313" s="194">
        <f t="shared" si="26"/>
        <v>13</v>
      </c>
    </row>
    <row r="314" spans="1:8">
      <c r="A314" s="190">
        <f t="shared" si="22"/>
        <v>14</v>
      </c>
      <c r="B314" s="193">
        <f t="shared" si="23"/>
        <v>10</v>
      </c>
      <c r="C314" s="190" cm="1">
        <f t="array" aca="1" ref="C314" ca="1">VALUE(LEFT(TRIM(INDIRECT("'" &amp; INT((ROW()-2)/24)+1 &amp; "號'!B" &amp; MOD(ROW()-2,24)+10)), 2))</f>
        <v>8</v>
      </c>
      <c r="D314" s="190">
        <f t="shared" ca="1" si="24"/>
        <v>7</v>
      </c>
      <c r="E314" s="190" cm="1">
        <f t="array" aca="1" ref="E314" ca="1">INDIRECT("'" &amp; A314 &amp; "號'!" &amp; ADDRESS(B314, D314))</f>
        <v>0</v>
      </c>
      <c r="F314" s="190">
        <f t="shared" ca="1" si="25"/>
        <v>0</v>
      </c>
      <c r="G314" s="190">
        <f ca="1">IF(F314=0, 0, IF(AND(F313=1, C314&lt;&gt;8, OR(C314=C313+1, AND(C313=23, C314=0))), G313, MAX($G$1:G313)+1))</f>
        <v>0</v>
      </c>
      <c r="H314" s="194">
        <f t="shared" si="26"/>
        <v>14</v>
      </c>
    </row>
    <row r="315" spans="1:8">
      <c r="A315" s="190">
        <f t="shared" si="22"/>
        <v>14</v>
      </c>
      <c r="B315" s="193">
        <f t="shared" si="23"/>
        <v>11</v>
      </c>
      <c r="C315" s="190" cm="1">
        <f t="array" aca="1" ref="C315" ca="1">VALUE(LEFT(TRIM(INDIRECT("'" &amp; INT((ROW()-2)/24)+1 &amp; "號'!B" &amp; MOD(ROW()-2,24)+10)), 2))</f>
        <v>9</v>
      </c>
      <c r="D315" s="190">
        <f t="shared" ca="1" si="24"/>
        <v>7</v>
      </c>
      <c r="E315" s="190" cm="1">
        <f t="array" aca="1" ref="E315" ca="1">INDIRECT("'" &amp; A315 &amp; "號'!" &amp; ADDRESS(B315, D315))</f>
        <v>0</v>
      </c>
      <c r="F315" s="190">
        <f t="shared" ca="1" si="25"/>
        <v>0</v>
      </c>
      <c r="G315" s="190">
        <f ca="1">IF(F315=0, 0, IF(AND(F314=1, C315&lt;&gt;8, OR(C315=C314+1, AND(C314=23, C315=0))), G314, MAX($G$1:G314)+1))</f>
        <v>0</v>
      </c>
      <c r="H315" s="194">
        <f t="shared" si="26"/>
        <v>14</v>
      </c>
    </row>
    <row r="316" spans="1:8">
      <c r="A316" s="190">
        <f t="shared" si="22"/>
        <v>14</v>
      </c>
      <c r="B316" s="193">
        <f t="shared" si="23"/>
        <v>12</v>
      </c>
      <c r="C316" s="190" cm="1">
        <f t="array" aca="1" ref="C316" ca="1">VALUE(LEFT(TRIM(INDIRECT("'" &amp; INT((ROW()-2)/24)+1 &amp; "號'!B" &amp; MOD(ROW()-2,24)+10)), 2))</f>
        <v>10</v>
      </c>
      <c r="D316" s="190">
        <f t="shared" ca="1" si="24"/>
        <v>7</v>
      </c>
      <c r="E316" s="190" cm="1">
        <f t="array" aca="1" ref="E316" ca="1">INDIRECT("'" &amp; A316 &amp; "號'!" &amp; ADDRESS(B316, D316))</f>
        <v>0</v>
      </c>
      <c r="F316" s="190">
        <f t="shared" ca="1" si="25"/>
        <v>0</v>
      </c>
      <c r="G316" s="190">
        <f ca="1">IF(F316=0, 0, IF(AND(F315=1, C316&lt;&gt;8, OR(C316=C315+1, AND(C315=23, C316=0))), G315, MAX($G$1:G315)+1))</f>
        <v>0</v>
      </c>
      <c r="H316" s="194">
        <f t="shared" si="26"/>
        <v>14</v>
      </c>
    </row>
    <row r="317" spans="1:8">
      <c r="A317" s="190">
        <f t="shared" si="22"/>
        <v>14</v>
      </c>
      <c r="B317" s="193">
        <f t="shared" si="23"/>
        <v>13</v>
      </c>
      <c r="C317" s="190" cm="1">
        <f t="array" aca="1" ref="C317" ca="1">VALUE(LEFT(TRIM(INDIRECT("'" &amp; INT((ROW()-2)/24)+1 &amp; "號'!B" &amp; MOD(ROW()-2,24)+10)), 2))</f>
        <v>11</v>
      </c>
      <c r="D317" s="190">
        <f t="shared" ca="1" si="24"/>
        <v>7</v>
      </c>
      <c r="E317" s="190" cm="1">
        <f t="array" aca="1" ref="E317" ca="1">INDIRECT("'" &amp; A317 &amp; "號'!" &amp; ADDRESS(B317, D317))</f>
        <v>0</v>
      </c>
      <c r="F317" s="190">
        <f t="shared" ca="1" si="25"/>
        <v>0</v>
      </c>
      <c r="G317" s="190">
        <f ca="1">IF(F317=0, 0, IF(AND(F316=1, C317&lt;&gt;8, OR(C317=C316+1, AND(C316=23, C317=0))), G316, MAX($G$1:G316)+1))</f>
        <v>0</v>
      </c>
      <c r="H317" s="194">
        <f t="shared" si="26"/>
        <v>14</v>
      </c>
    </row>
    <row r="318" spans="1:8">
      <c r="A318" s="190">
        <f t="shared" si="22"/>
        <v>14</v>
      </c>
      <c r="B318" s="193">
        <f t="shared" si="23"/>
        <v>14</v>
      </c>
      <c r="C318" s="190" cm="1">
        <f t="array" aca="1" ref="C318" ca="1">VALUE(LEFT(TRIM(INDIRECT("'" &amp; INT((ROW()-2)/24)+1 &amp; "號'!B" &amp; MOD(ROW()-2,24)+10)), 2))</f>
        <v>12</v>
      </c>
      <c r="D318" s="190">
        <f t="shared" ca="1" si="24"/>
        <v>7</v>
      </c>
      <c r="E318" s="190" t="str" cm="1">
        <f t="array" aca="1" ref="E318" ca="1">INDIRECT("'" &amp; A318 &amp; "號'!" &amp; ADDRESS(B318, D318))</f>
        <v>19</v>
      </c>
      <c r="F318" s="190">
        <f t="shared" ca="1" si="25"/>
        <v>0</v>
      </c>
      <c r="G318" s="190">
        <f ca="1">IF(F318=0, 0, IF(AND(F317=1, C318&lt;&gt;8, OR(C318=C317+1, AND(C317=23, C318=0))), G317, MAX($G$1:G317)+1))</f>
        <v>0</v>
      </c>
      <c r="H318" s="194">
        <f t="shared" si="26"/>
        <v>14</v>
      </c>
    </row>
    <row r="319" spans="1:8">
      <c r="A319" s="190">
        <f t="shared" si="22"/>
        <v>14</v>
      </c>
      <c r="B319" s="193">
        <f t="shared" si="23"/>
        <v>15</v>
      </c>
      <c r="C319" s="190" cm="1">
        <f t="array" aca="1" ref="C319" ca="1">VALUE(LEFT(TRIM(INDIRECT("'" &amp; INT((ROW()-2)/24)+1 &amp; "號'!B" &amp; MOD(ROW()-2,24)+10)), 2))</f>
        <v>13</v>
      </c>
      <c r="D319" s="190">
        <f t="shared" ca="1" si="24"/>
        <v>7</v>
      </c>
      <c r="E319" s="190" t="str" cm="1">
        <f t="array" aca="1" ref="E319" ca="1">INDIRECT("'" &amp; A319 &amp; "號'!" &amp; ADDRESS(B319, D319))</f>
        <v>19</v>
      </c>
      <c r="F319" s="190">
        <f t="shared" ca="1" si="25"/>
        <v>0</v>
      </c>
      <c r="G319" s="190">
        <f ca="1">IF(F319=0, 0, IF(AND(F318=1, C319&lt;&gt;8, OR(C319=C318+1, AND(C318=23, C319=0))), G318, MAX($G$1:G318)+1))</f>
        <v>0</v>
      </c>
      <c r="H319" s="194">
        <f t="shared" si="26"/>
        <v>14</v>
      </c>
    </row>
    <row r="320" spans="1:8">
      <c r="A320" s="190">
        <f t="shared" si="22"/>
        <v>14</v>
      </c>
      <c r="B320" s="193">
        <f t="shared" si="23"/>
        <v>16</v>
      </c>
      <c r="C320" s="190" cm="1">
        <f t="array" aca="1" ref="C320" ca="1">VALUE(LEFT(TRIM(INDIRECT("'" &amp; INT((ROW()-2)/24)+1 &amp; "號'!B" &amp; MOD(ROW()-2,24)+10)), 2))</f>
        <v>14</v>
      </c>
      <c r="D320" s="190">
        <f t="shared" ca="1" si="24"/>
        <v>7</v>
      </c>
      <c r="E320" s="190" cm="1">
        <f t="array" aca="1" ref="E320" ca="1">INDIRECT("'" &amp; A320 &amp; "號'!" &amp; ADDRESS(B320, D320))</f>
        <v>4</v>
      </c>
      <c r="F320" s="190">
        <f t="shared" ca="1" si="25"/>
        <v>0</v>
      </c>
      <c r="G320" s="190">
        <f ca="1">IF(F320=0, 0, IF(AND(F319=1, C320&lt;&gt;8, OR(C320=C319+1, AND(C319=23, C320=0))), G319, MAX($G$1:G319)+1))</f>
        <v>0</v>
      </c>
      <c r="H320" s="194">
        <f t="shared" si="26"/>
        <v>14</v>
      </c>
    </row>
    <row r="321" spans="1:8">
      <c r="A321" s="190">
        <f t="shared" si="22"/>
        <v>14</v>
      </c>
      <c r="B321" s="193">
        <f t="shared" si="23"/>
        <v>17</v>
      </c>
      <c r="C321" s="190" cm="1">
        <f t="array" aca="1" ref="C321" ca="1">VALUE(LEFT(TRIM(INDIRECT("'" &amp; INT((ROW()-2)/24)+1 &amp; "號'!B" &amp; MOD(ROW()-2,24)+10)), 2))</f>
        <v>15</v>
      </c>
      <c r="D321" s="190">
        <f t="shared" ca="1" si="24"/>
        <v>7</v>
      </c>
      <c r="E321" s="190" cm="1">
        <f t="array" aca="1" ref="E321" ca="1">INDIRECT("'" &amp; A321 &amp; "號'!" &amp; ADDRESS(B321, D321))</f>
        <v>4</v>
      </c>
      <c r="F321" s="190">
        <f t="shared" ca="1" si="25"/>
        <v>0</v>
      </c>
      <c r="G321" s="190">
        <f ca="1">IF(F321=0, 0, IF(AND(F320=1, C321&lt;&gt;8, OR(C321=C320+1, AND(C320=23, C321=0))), G320, MAX($G$1:G320)+1))</f>
        <v>0</v>
      </c>
      <c r="H321" s="194">
        <f t="shared" si="26"/>
        <v>14</v>
      </c>
    </row>
    <row r="322" spans="1:8">
      <c r="A322" s="190">
        <f t="shared" si="22"/>
        <v>14</v>
      </c>
      <c r="B322" s="193">
        <f t="shared" si="23"/>
        <v>18</v>
      </c>
      <c r="C322" s="190" cm="1">
        <f t="array" aca="1" ref="C322" ca="1">VALUE(LEFT(TRIM(INDIRECT("'" &amp; INT((ROW()-2)/24)+1 &amp; "號'!B" &amp; MOD(ROW()-2,24)+10)), 2))</f>
        <v>16</v>
      </c>
      <c r="D322" s="190">
        <f t="shared" ca="1" si="24"/>
        <v>7</v>
      </c>
      <c r="E322" s="190" cm="1">
        <f t="array" aca="1" ref="E322" ca="1">INDIRECT("'" &amp; A322 &amp; "號'!" &amp; ADDRESS(B322, D322))</f>
        <v>23</v>
      </c>
      <c r="F322" s="190">
        <f t="shared" ca="1" si="25"/>
        <v>0</v>
      </c>
      <c r="G322" s="190">
        <f ca="1">IF(F322=0, 0, IF(AND(F321=1, C322&lt;&gt;8, OR(C322=C321+1, AND(C321=23, C322=0))), G321, MAX($G$1:G321)+1))</f>
        <v>0</v>
      </c>
      <c r="H322" s="194">
        <f t="shared" si="26"/>
        <v>14</v>
      </c>
    </row>
    <row r="323" spans="1:8">
      <c r="A323" s="190">
        <f t="shared" ref="A323:A386" si="27">INT((ROW()-2)/24)+1</f>
        <v>14</v>
      </c>
      <c r="B323" s="193">
        <f t="shared" ref="B323:B386" si="28">MOD(ROW()-2, 24)+10</f>
        <v>19</v>
      </c>
      <c r="C323" s="190" cm="1">
        <f t="array" aca="1" ref="C323" ca="1">VALUE(LEFT(TRIM(INDIRECT("'" &amp; INT((ROW()-2)/24)+1 &amp; "號'!B" &amp; MOD(ROW()-2,24)+10)), 2))</f>
        <v>17</v>
      </c>
      <c r="D323" s="190">
        <f t="shared" ref="D323:D386" ca="1" si="29">MAX(IFERROR(MATCH("*休息*", INDIRECT("'" &amp; A323 &amp; "號'!$5:$5"), 0), 0), IFERROR(MATCH("*休息*", INDIRECT("'" &amp; A323 &amp; "號'!$6:$6"), 0), 0), IFERROR(MATCH("*休息*", INDIRECT("'" &amp; A323 &amp; "號'!$7:$7"), 0), 0))</f>
        <v>7</v>
      </c>
      <c r="E323" s="190" cm="1">
        <f t="array" aca="1" ref="E323" ca="1">INDIRECT("'" &amp; A323 &amp; "號'!" &amp; ADDRESS(B323, D323))</f>
        <v>23</v>
      </c>
      <c r="F323" s="190">
        <f t="shared" ref="F323:F386" ca="1" si="30">IF(ISNUMBER(SEARCH(","&amp;$A$1&amp;",", ","&amp;SUBSTITUTE(SUBSTITUTE(E323," ",""),"，",",")&amp;",")), 1, 0)</f>
        <v>0</v>
      </c>
      <c r="G323" s="190">
        <f ca="1">IF(F323=0, 0, IF(AND(F322=1, C323&lt;&gt;8, OR(C323=C322+1, AND(C322=23, C323=0))), G322, MAX($G$1:G322)+1))</f>
        <v>0</v>
      </c>
      <c r="H323" s="194">
        <f t="shared" ref="H323:H386" si="31" xml:space="preserve"> A323</f>
        <v>14</v>
      </c>
    </row>
    <row r="324" spans="1:8">
      <c r="A324" s="190">
        <f t="shared" si="27"/>
        <v>14</v>
      </c>
      <c r="B324" s="193">
        <f t="shared" si="28"/>
        <v>20</v>
      </c>
      <c r="C324" s="190" cm="1">
        <f t="array" aca="1" ref="C324" ca="1">VALUE(LEFT(TRIM(INDIRECT("'" &amp; INT((ROW()-2)/24)+1 &amp; "號'!B" &amp; MOD(ROW()-2,24)+10)), 2))</f>
        <v>18</v>
      </c>
      <c r="D324" s="190">
        <f t="shared" ca="1" si="29"/>
        <v>7</v>
      </c>
      <c r="E324" s="190" cm="1">
        <f t="array" aca="1" ref="E324" ca="1">INDIRECT("'" &amp; A324 &amp; "號'!" &amp; ADDRESS(B324, D324))</f>
        <v>28</v>
      </c>
      <c r="F324" s="190">
        <f t="shared" ca="1" si="30"/>
        <v>0</v>
      </c>
      <c r="G324" s="190">
        <f ca="1">IF(F324=0, 0, IF(AND(F323=1, C324&lt;&gt;8, OR(C324=C323+1, AND(C323=23, C324=0))), G323, MAX($G$1:G323)+1))</f>
        <v>0</v>
      </c>
      <c r="H324" s="194">
        <f t="shared" si="31"/>
        <v>14</v>
      </c>
    </row>
    <row r="325" spans="1:8">
      <c r="A325" s="190">
        <f t="shared" si="27"/>
        <v>14</v>
      </c>
      <c r="B325" s="193">
        <f t="shared" si="28"/>
        <v>21</v>
      </c>
      <c r="C325" s="190" cm="1">
        <f t="array" aca="1" ref="C325" ca="1">VALUE(LEFT(TRIM(INDIRECT("'" &amp; INT((ROW()-2)/24)+1 &amp; "號'!B" &amp; MOD(ROW()-2,24)+10)), 2))</f>
        <v>19</v>
      </c>
      <c r="D325" s="190">
        <f t="shared" ca="1" si="29"/>
        <v>7</v>
      </c>
      <c r="E325" s="190" cm="1">
        <f t="array" aca="1" ref="E325" ca="1">INDIRECT("'" &amp; A325 &amp; "號'!" &amp; ADDRESS(B325, D325))</f>
        <v>28</v>
      </c>
      <c r="F325" s="190">
        <f t="shared" ca="1" si="30"/>
        <v>0</v>
      </c>
      <c r="G325" s="190">
        <f ca="1">IF(F325=0, 0, IF(AND(F324=1, C325&lt;&gt;8, OR(C325=C324+1, AND(C324=23, C325=0))), G324, MAX($G$1:G324)+1))</f>
        <v>0</v>
      </c>
      <c r="H325" s="194">
        <f t="shared" si="31"/>
        <v>14</v>
      </c>
    </row>
    <row r="326" spans="1:8">
      <c r="A326" s="190">
        <f t="shared" si="27"/>
        <v>14</v>
      </c>
      <c r="B326" s="193">
        <f t="shared" si="28"/>
        <v>22</v>
      </c>
      <c r="C326" s="190" cm="1">
        <f t="array" aca="1" ref="C326" ca="1">VALUE(LEFT(TRIM(INDIRECT("'" &amp; INT((ROW()-2)/24)+1 &amp; "號'!B" &amp; MOD(ROW()-2,24)+10)), 2))</f>
        <v>20</v>
      </c>
      <c r="D326" s="190">
        <f t="shared" ca="1" si="29"/>
        <v>7</v>
      </c>
      <c r="E326" s="190" t="str" cm="1">
        <f t="array" aca="1" ref="E326" ca="1">INDIRECT("'" &amp; A326 &amp; "號'!" &amp; ADDRESS(B326, D326))</f>
        <v>21,25</v>
      </c>
      <c r="F326" s="190">
        <f t="shared" ca="1" si="30"/>
        <v>0</v>
      </c>
      <c r="G326" s="190">
        <f ca="1">IF(F326=0, 0, IF(AND(F325=1, C326&lt;&gt;8, OR(C326=C325+1, AND(C325=23, C326=0))), G325, MAX($G$1:G325)+1))</f>
        <v>0</v>
      </c>
      <c r="H326" s="194">
        <f t="shared" si="31"/>
        <v>14</v>
      </c>
    </row>
    <row r="327" spans="1:8">
      <c r="A327" s="190">
        <f t="shared" si="27"/>
        <v>14</v>
      </c>
      <c r="B327" s="193">
        <f t="shared" si="28"/>
        <v>23</v>
      </c>
      <c r="C327" s="190" cm="1">
        <f t="array" aca="1" ref="C327" ca="1">VALUE(LEFT(TRIM(INDIRECT("'" &amp; INT((ROW()-2)/24)+1 &amp; "號'!B" &amp; MOD(ROW()-2,24)+10)), 2))</f>
        <v>21</v>
      </c>
      <c r="D327" s="190">
        <f t="shared" ca="1" si="29"/>
        <v>7</v>
      </c>
      <c r="E327" s="190" t="str" cm="1">
        <f t="array" aca="1" ref="E327" ca="1">INDIRECT("'" &amp; A327 &amp; "號'!" &amp; ADDRESS(B327, D327))</f>
        <v>21,25</v>
      </c>
      <c r="F327" s="190">
        <f t="shared" ca="1" si="30"/>
        <v>0</v>
      </c>
      <c r="G327" s="190">
        <f ca="1">IF(F327=0, 0, IF(AND(F326=1, C327&lt;&gt;8, OR(C327=C326+1, AND(C326=23, C327=0))), G326, MAX($G$1:G326)+1))</f>
        <v>0</v>
      </c>
      <c r="H327" s="194">
        <f t="shared" si="31"/>
        <v>14</v>
      </c>
    </row>
    <row r="328" spans="1:8">
      <c r="A328" s="190">
        <f t="shared" si="27"/>
        <v>14</v>
      </c>
      <c r="B328" s="193">
        <f t="shared" si="28"/>
        <v>24</v>
      </c>
      <c r="C328" s="190" cm="1">
        <f t="array" aca="1" ref="C328" ca="1">VALUE(LEFT(TRIM(INDIRECT("'" &amp; INT((ROW()-2)/24)+1 &amp; "號'!B" &amp; MOD(ROW()-2,24)+10)), 2))</f>
        <v>22</v>
      </c>
      <c r="D328" s="190">
        <f t="shared" ca="1" si="29"/>
        <v>7</v>
      </c>
      <c r="E328" s="190" cm="1">
        <f t="array" aca="1" ref="E328" ca="1">INDIRECT("'" &amp; A328 &amp; "號'!" &amp; ADDRESS(B328, D328))</f>
        <v>18</v>
      </c>
      <c r="F328" s="190">
        <f t="shared" ca="1" si="30"/>
        <v>0</v>
      </c>
      <c r="G328" s="190">
        <f ca="1">IF(F328=0, 0, IF(AND(F327=1, C328&lt;&gt;8, OR(C328=C327+1, AND(C327=23, C328=0))), G327, MAX($G$1:G327)+1))</f>
        <v>0</v>
      </c>
      <c r="H328" s="194">
        <f t="shared" si="31"/>
        <v>14</v>
      </c>
    </row>
    <row r="329" spans="1:8">
      <c r="A329" s="190">
        <f t="shared" si="27"/>
        <v>14</v>
      </c>
      <c r="B329" s="193">
        <f t="shared" si="28"/>
        <v>25</v>
      </c>
      <c r="C329" s="190" cm="1">
        <f t="array" aca="1" ref="C329" ca="1">VALUE(LEFT(TRIM(INDIRECT("'" &amp; INT((ROW()-2)/24)+1 &amp; "號'!B" &amp; MOD(ROW()-2,24)+10)), 2))</f>
        <v>23</v>
      </c>
      <c r="D329" s="190">
        <f t="shared" ca="1" si="29"/>
        <v>7</v>
      </c>
      <c r="E329" s="190" cm="1">
        <f t="array" aca="1" ref="E329" ca="1">INDIRECT("'" &amp; A329 &amp; "號'!" &amp; ADDRESS(B329, D329))</f>
        <v>18</v>
      </c>
      <c r="F329" s="190">
        <f t="shared" ca="1" si="30"/>
        <v>0</v>
      </c>
      <c r="G329" s="190">
        <f ca="1">IF(F329=0, 0, IF(AND(F328=1, C329&lt;&gt;8, OR(C329=C328+1, AND(C328=23, C329=0))), G328, MAX($G$1:G328)+1))</f>
        <v>0</v>
      </c>
      <c r="H329" s="194">
        <f t="shared" si="31"/>
        <v>14</v>
      </c>
    </row>
    <row r="330" spans="1:8">
      <c r="A330" s="190">
        <f t="shared" si="27"/>
        <v>14</v>
      </c>
      <c r="B330" s="193">
        <f t="shared" si="28"/>
        <v>26</v>
      </c>
      <c r="C330" s="190" cm="1">
        <f t="array" aca="1" ref="C330" ca="1">VALUE(LEFT(TRIM(INDIRECT("'" &amp; INT((ROW()-2)/24)+1 &amp; "號'!B" &amp; MOD(ROW()-2,24)+10)), 2))</f>
        <v>0</v>
      </c>
      <c r="D330" s="190">
        <f t="shared" ca="1" si="29"/>
        <v>7</v>
      </c>
      <c r="E330" s="190" cm="1">
        <f t="array" aca="1" ref="E330" ca="1">INDIRECT("'" &amp; A330 &amp; "號'!" &amp; ADDRESS(B330, D330))</f>
        <v>0</v>
      </c>
      <c r="F330" s="190">
        <f t="shared" ca="1" si="30"/>
        <v>0</v>
      </c>
      <c r="G330" s="190">
        <f ca="1">IF(F330=0, 0, IF(AND(F329=1, C330&lt;&gt;8, OR(C330=C329+1, AND(C329=23, C330=0))), G329, MAX($G$1:G329)+1))</f>
        <v>0</v>
      </c>
      <c r="H330" s="194">
        <f t="shared" si="31"/>
        <v>14</v>
      </c>
    </row>
    <row r="331" spans="1:8">
      <c r="A331" s="190">
        <f t="shared" si="27"/>
        <v>14</v>
      </c>
      <c r="B331" s="193">
        <f t="shared" si="28"/>
        <v>27</v>
      </c>
      <c r="C331" s="190" cm="1">
        <f t="array" aca="1" ref="C331" ca="1">VALUE(LEFT(TRIM(INDIRECT("'" &amp; INT((ROW()-2)/24)+1 &amp; "號'!B" &amp; MOD(ROW()-2,24)+10)), 2))</f>
        <v>1</v>
      </c>
      <c r="D331" s="190">
        <f t="shared" ca="1" si="29"/>
        <v>7</v>
      </c>
      <c r="E331" s="190" cm="1">
        <f t="array" aca="1" ref="E331" ca="1">INDIRECT("'" &amp; A331 &amp; "號'!" &amp; ADDRESS(B331, D331))</f>
        <v>0</v>
      </c>
      <c r="F331" s="190">
        <f t="shared" ca="1" si="30"/>
        <v>0</v>
      </c>
      <c r="G331" s="190">
        <f ca="1">IF(F331=0, 0, IF(AND(F330=1, C331&lt;&gt;8, OR(C331=C330+1, AND(C330=23, C331=0))), G330, MAX($G$1:G330)+1))</f>
        <v>0</v>
      </c>
      <c r="H331" s="194">
        <f t="shared" si="31"/>
        <v>14</v>
      </c>
    </row>
    <row r="332" spans="1:8">
      <c r="A332" s="190">
        <f t="shared" si="27"/>
        <v>14</v>
      </c>
      <c r="B332" s="193">
        <f t="shared" si="28"/>
        <v>28</v>
      </c>
      <c r="C332" s="190" cm="1">
        <f t="array" aca="1" ref="C332" ca="1">VALUE(LEFT(TRIM(INDIRECT("'" &amp; INT((ROW()-2)/24)+1 &amp; "號'!B" &amp; MOD(ROW()-2,24)+10)), 2))</f>
        <v>2</v>
      </c>
      <c r="D332" s="190">
        <f t="shared" ca="1" si="29"/>
        <v>7</v>
      </c>
      <c r="E332" s="190" cm="1">
        <f t="array" aca="1" ref="E332" ca="1">INDIRECT("'" &amp; A332 &amp; "號'!" &amp; ADDRESS(B332, D332))</f>
        <v>0</v>
      </c>
      <c r="F332" s="190">
        <f t="shared" ca="1" si="30"/>
        <v>0</v>
      </c>
      <c r="G332" s="190">
        <f ca="1">IF(F332=0, 0, IF(AND(F331=1, C332&lt;&gt;8, OR(C332=C331+1, AND(C331=23, C332=0))), G331, MAX($G$1:G331)+1))</f>
        <v>0</v>
      </c>
      <c r="H332" s="194">
        <f t="shared" si="31"/>
        <v>14</v>
      </c>
    </row>
    <row r="333" spans="1:8">
      <c r="A333" s="190">
        <f t="shared" si="27"/>
        <v>14</v>
      </c>
      <c r="B333" s="193">
        <f t="shared" si="28"/>
        <v>29</v>
      </c>
      <c r="C333" s="190" cm="1">
        <f t="array" aca="1" ref="C333" ca="1">VALUE(LEFT(TRIM(INDIRECT("'" &amp; INT((ROW()-2)/24)+1 &amp; "號'!B" &amp; MOD(ROW()-2,24)+10)), 2))</f>
        <v>3</v>
      </c>
      <c r="D333" s="190">
        <f t="shared" ca="1" si="29"/>
        <v>7</v>
      </c>
      <c r="E333" s="190" cm="1">
        <f t="array" aca="1" ref="E333" ca="1">INDIRECT("'" &amp; A333 &amp; "號'!" &amp; ADDRESS(B333, D333))</f>
        <v>0</v>
      </c>
      <c r="F333" s="190">
        <f t="shared" ca="1" si="30"/>
        <v>0</v>
      </c>
      <c r="G333" s="190">
        <f ca="1">IF(F333=0, 0, IF(AND(F332=1, C333&lt;&gt;8, OR(C333=C332+1, AND(C332=23, C333=0))), G332, MAX($G$1:G332)+1))</f>
        <v>0</v>
      </c>
      <c r="H333" s="194">
        <f t="shared" si="31"/>
        <v>14</v>
      </c>
    </row>
    <row r="334" spans="1:8">
      <c r="A334" s="190">
        <f t="shared" si="27"/>
        <v>14</v>
      </c>
      <c r="B334" s="193">
        <f t="shared" si="28"/>
        <v>30</v>
      </c>
      <c r="C334" s="190" cm="1">
        <f t="array" aca="1" ref="C334" ca="1">VALUE(LEFT(TRIM(INDIRECT("'" &amp; INT((ROW()-2)/24)+1 &amp; "號'!B" &amp; MOD(ROW()-2,24)+10)), 2))</f>
        <v>4</v>
      </c>
      <c r="D334" s="190">
        <f t="shared" ca="1" si="29"/>
        <v>7</v>
      </c>
      <c r="E334" s="190" t="str" cm="1">
        <f t="array" aca="1" ref="E334" ca="1">INDIRECT("'" &amp; A334 &amp; "號'!" &amp; ADDRESS(B334, D334))</f>
        <v/>
      </c>
      <c r="F334" s="190">
        <f t="shared" ca="1" si="30"/>
        <v>0</v>
      </c>
      <c r="G334" s="190">
        <f ca="1">IF(F334=0, 0, IF(AND(F333=1, C334&lt;&gt;8, OR(C334=C333+1, AND(C333=23, C334=0))), G333, MAX($G$1:G333)+1))</f>
        <v>0</v>
      </c>
      <c r="H334" s="194">
        <f t="shared" si="31"/>
        <v>14</v>
      </c>
    </row>
    <row r="335" spans="1:8">
      <c r="A335" s="190">
        <f t="shared" si="27"/>
        <v>14</v>
      </c>
      <c r="B335" s="193">
        <f t="shared" si="28"/>
        <v>31</v>
      </c>
      <c r="C335" s="190" cm="1">
        <f t="array" aca="1" ref="C335" ca="1">VALUE(LEFT(TRIM(INDIRECT("'" &amp; INT((ROW()-2)/24)+1 &amp; "號'!B" &amp; MOD(ROW()-2,24)+10)), 2))</f>
        <v>5</v>
      </c>
      <c r="D335" s="190">
        <f t="shared" ca="1" si="29"/>
        <v>7</v>
      </c>
      <c r="E335" s="190" t="str" cm="1">
        <f t="array" aca="1" ref="E335" ca="1">INDIRECT("'" &amp; A335 &amp; "號'!" &amp; ADDRESS(B335, D335))</f>
        <v/>
      </c>
      <c r="F335" s="190">
        <f t="shared" ca="1" si="30"/>
        <v>0</v>
      </c>
      <c r="G335" s="190">
        <f ca="1">IF(F335=0, 0, IF(AND(F334=1, C335&lt;&gt;8, OR(C335=C334+1, AND(C334=23, C335=0))), G334, MAX($G$1:G334)+1))</f>
        <v>0</v>
      </c>
      <c r="H335" s="194">
        <f t="shared" si="31"/>
        <v>14</v>
      </c>
    </row>
    <row r="336" spans="1:8">
      <c r="A336" s="190">
        <f t="shared" si="27"/>
        <v>14</v>
      </c>
      <c r="B336" s="193">
        <f t="shared" si="28"/>
        <v>32</v>
      </c>
      <c r="C336" s="190" cm="1">
        <f t="array" aca="1" ref="C336" ca="1">VALUE(LEFT(TRIM(INDIRECT("'" &amp; INT((ROW()-2)/24)+1 &amp; "號'!B" &amp; MOD(ROW()-2,24)+10)), 2))</f>
        <v>6</v>
      </c>
      <c r="D336" s="190">
        <f t="shared" ca="1" si="29"/>
        <v>7</v>
      </c>
      <c r="E336" s="190" t="str" cm="1">
        <f t="array" aca="1" ref="E336" ca="1">INDIRECT("'" &amp; A336 &amp; "號'!" &amp; ADDRESS(B336, D336))</f>
        <v>8,5</v>
      </c>
      <c r="F336" s="190">
        <f t="shared" ca="1" si="30"/>
        <v>0</v>
      </c>
      <c r="G336" s="190">
        <f ca="1">IF(F336=0, 0, IF(AND(F335=1, C336&lt;&gt;8, OR(C336=C335+1, AND(C335=23, C336=0))), G335, MAX($G$1:G335)+1))</f>
        <v>0</v>
      </c>
      <c r="H336" s="194">
        <f t="shared" si="31"/>
        <v>14</v>
      </c>
    </row>
    <row r="337" spans="1:8">
      <c r="A337" s="190">
        <f t="shared" si="27"/>
        <v>14</v>
      </c>
      <c r="B337" s="193">
        <f t="shared" si="28"/>
        <v>33</v>
      </c>
      <c r="C337" s="190" cm="1">
        <f t="array" aca="1" ref="C337" ca="1">VALUE(LEFT(TRIM(INDIRECT("'" &amp; INT((ROW()-2)/24)+1 &amp; "號'!B" &amp; MOD(ROW()-2,24)+10)), 2))</f>
        <v>7</v>
      </c>
      <c r="D337" s="190">
        <f t="shared" ca="1" si="29"/>
        <v>7</v>
      </c>
      <c r="E337" s="190" t="str" cm="1">
        <f t="array" aca="1" ref="E337" ca="1">INDIRECT("'" &amp; A337 &amp; "號'!" &amp; ADDRESS(B337, D337))</f>
        <v>8,5</v>
      </c>
      <c r="F337" s="190">
        <f t="shared" ca="1" si="30"/>
        <v>0</v>
      </c>
      <c r="G337" s="190">
        <f ca="1">IF(F337=0, 0, IF(AND(F336=1, C337&lt;&gt;8, OR(C337=C336+1, AND(C336=23, C337=0))), G336, MAX($G$1:G336)+1))</f>
        <v>0</v>
      </c>
      <c r="H337" s="194">
        <f t="shared" si="31"/>
        <v>14</v>
      </c>
    </row>
    <row r="338" spans="1:8">
      <c r="A338" s="190">
        <f t="shared" si="27"/>
        <v>15</v>
      </c>
      <c r="B338" s="193">
        <f t="shared" si="28"/>
        <v>10</v>
      </c>
      <c r="C338" s="190" cm="1">
        <f t="array" aca="1" ref="C338" ca="1">VALUE(LEFT(TRIM(INDIRECT("'" &amp; INT((ROW()-2)/24)+1 &amp; "號'!B" &amp; MOD(ROW()-2,24)+10)), 2))</f>
        <v>8</v>
      </c>
      <c r="D338" s="190">
        <f t="shared" ca="1" si="29"/>
        <v>8</v>
      </c>
      <c r="E338" s="190" cm="1">
        <f t="array" aca="1" ref="E338" ca="1">INDIRECT("'" &amp; A338 &amp; "號'!" &amp; ADDRESS(B338, D338))</f>
        <v>15</v>
      </c>
      <c r="F338" s="190">
        <f t="shared" ca="1" si="30"/>
        <v>0</v>
      </c>
      <c r="G338" s="190">
        <f ca="1">IF(F338=0, 0, IF(AND(F337=1, C338&lt;&gt;8, OR(C338=C337+1, AND(C337=23, C338=0))), G337, MAX($G$1:G337)+1))</f>
        <v>0</v>
      </c>
      <c r="H338" s="194">
        <f t="shared" si="31"/>
        <v>15</v>
      </c>
    </row>
    <row r="339" spans="1:8">
      <c r="A339" s="190">
        <f t="shared" si="27"/>
        <v>15</v>
      </c>
      <c r="B339" s="193">
        <f t="shared" si="28"/>
        <v>11</v>
      </c>
      <c r="C339" s="190" cm="1">
        <f t="array" aca="1" ref="C339" ca="1">VALUE(LEFT(TRIM(INDIRECT("'" &amp; INT((ROW()-2)/24)+1 &amp; "號'!B" &amp; MOD(ROW()-2,24)+10)), 2))</f>
        <v>9</v>
      </c>
      <c r="D339" s="190">
        <f t="shared" ca="1" si="29"/>
        <v>8</v>
      </c>
      <c r="E339" s="190" cm="1">
        <f t="array" aca="1" ref="E339" ca="1">INDIRECT("'" &amp; A339 &amp; "號'!" &amp; ADDRESS(B339, D339))</f>
        <v>15</v>
      </c>
      <c r="F339" s="190">
        <f t="shared" ca="1" si="30"/>
        <v>0</v>
      </c>
      <c r="G339" s="190">
        <f ca="1">IF(F339=0, 0, IF(AND(F338=1, C339&lt;&gt;8, OR(C339=C338+1, AND(C338=23, C339=0))), G338, MAX($G$1:G338)+1))</f>
        <v>0</v>
      </c>
      <c r="H339" s="194">
        <f t="shared" si="31"/>
        <v>15</v>
      </c>
    </row>
    <row r="340" spans="1:8">
      <c r="A340" s="190">
        <f t="shared" si="27"/>
        <v>15</v>
      </c>
      <c r="B340" s="193">
        <f t="shared" si="28"/>
        <v>12</v>
      </c>
      <c r="C340" s="190" cm="1">
        <f t="array" aca="1" ref="C340" ca="1">VALUE(LEFT(TRIM(INDIRECT("'" &amp; INT((ROW()-2)/24)+1 &amp; "號'!B" &amp; MOD(ROW()-2,24)+10)), 2))</f>
        <v>10</v>
      </c>
      <c r="D340" s="190">
        <f t="shared" ca="1" si="29"/>
        <v>8</v>
      </c>
      <c r="E340" s="190" cm="1">
        <f t="array" aca="1" ref="E340" ca="1">INDIRECT("'" &amp; A340 &amp; "號'!" &amp; ADDRESS(B340, D340))</f>
        <v>15</v>
      </c>
      <c r="F340" s="190">
        <f t="shared" ca="1" si="30"/>
        <v>0</v>
      </c>
      <c r="G340" s="190">
        <f ca="1">IF(F340=0, 0, IF(AND(F339=1, C340&lt;&gt;8, OR(C340=C339+1, AND(C339=23, C340=0))), G339, MAX($G$1:G339)+1))</f>
        <v>0</v>
      </c>
      <c r="H340" s="194">
        <f t="shared" si="31"/>
        <v>15</v>
      </c>
    </row>
    <row r="341" spans="1:8">
      <c r="A341" s="190">
        <f t="shared" si="27"/>
        <v>15</v>
      </c>
      <c r="B341" s="193">
        <f t="shared" si="28"/>
        <v>13</v>
      </c>
      <c r="C341" s="190" cm="1">
        <f t="array" aca="1" ref="C341" ca="1">VALUE(LEFT(TRIM(INDIRECT("'" &amp; INT((ROW()-2)/24)+1 &amp; "號'!B" &amp; MOD(ROW()-2,24)+10)), 2))</f>
        <v>11</v>
      </c>
      <c r="D341" s="190">
        <f t="shared" ca="1" si="29"/>
        <v>8</v>
      </c>
      <c r="E341" s="190" cm="1">
        <f t="array" aca="1" ref="E341" ca="1">INDIRECT("'" &amp; A341 &amp; "號'!" &amp; ADDRESS(B341, D341))</f>
        <v>15</v>
      </c>
      <c r="F341" s="190">
        <f t="shared" ca="1" si="30"/>
        <v>0</v>
      </c>
      <c r="G341" s="190">
        <f ca="1">IF(F341=0, 0, IF(AND(F340=1, C341&lt;&gt;8, OR(C341=C340+1, AND(C340=23, C341=0))), G340, MAX($G$1:G340)+1))</f>
        <v>0</v>
      </c>
      <c r="H341" s="194">
        <f t="shared" si="31"/>
        <v>15</v>
      </c>
    </row>
    <row r="342" spans="1:8">
      <c r="A342" s="190">
        <f t="shared" si="27"/>
        <v>15</v>
      </c>
      <c r="B342" s="193">
        <f t="shared" si="28"/>
        <v>14</v>
      </c>
      <c r="C342" s="190" cm="1">
        <f t="array" aca="1" ref="C342" ca="1">VALUE(LEFT(TRIM(INDIRECT("'" &amp; INT((ROW()-2)/24)+1 &amp; "號'!B" &amp; MOD(ROW()-2,24)+10)), 2))</f>
        <v>12</v>
      </c>
      <c r="D342" s="190">
        <f t="shared" ca="1" si="29"/>
        <v>8</v>
      </c>
      <c r="E342" s="190" t="str" cm="1">
        <f t="array" aca="1" ref="E342" ca="1">INDIRECT("'" &amp; A342 &amp; "號'!" &amp; ADDRESS(B342, D342))</f>
        <v>11</v>
      </c>
      <c r="F342" s="190">
        <f t="shared" ca="1" si="30"/>
        <v>0</v>
      </c>
      <c r="G342" s="190">
        <f ca="1">IF(F342=0, 0, IF(AND(F341=1, C342&lt;&gt;8, OR(C342=C341+1, AND(C341=23, C342=0))), G341, MAX($G$1:G341)+1))</f>
        <v>0</v>
      </c>
      <c r="H342" s="194">
        <f t="shared" si="31"/>
        <v>15</v>
      </c>
    </row>
    <row r="343" spans="1:8">
      <c r="A343" s="190">
        <f t="shared" si="27"/>
        <v>15</v>
      </c>
      <c r="B343" s="193">
        <f t="shared" si="28"/>
        <v>15</v>
      </c>
      <c r="C343" s="190" cm="1">
        <f t="array" aca="1" ref="C343" ca="1">VALUE(LEFT(TRIM(INDIRECT("'" &amp; INT((ROW()-2)/24)+1 &amp; "號'!B" &amp; MOD(ROW()-2,24)+10)), 2))</f>
        <v>13</v>
      </c>
      <c r="D343" s="190">
        <f t="shared" ca="1" si="29"/>
        <v>8</v>
      </c>
      <c r="E343" s="190" t="str" cm="1">
        <f t="array" aca="1" ref="E343" ca="1">INDIRECT("'" &amp; A343 &amp; "號'!" &amp; ADDRESS(B343, D343))</f>
        <v>11</v>
      </c>
      <c r="F343" s="190">
        <f t="shared" ca="1" si="30"/>
        <v>0</v>
      </c>
      <c r="G343" s="190">
        <f ca="1">IF(F343=0, 0, IF(AND(F342=1, C343&lt;&gt;8, OR(C343=C342+1, AND(C342=23, C343=0))), G342, MAX($G$1:G342)+1))</f>
        <v>0</v>
      </c>
      <c r="H343" s="194">
        <f t="shared" si="31"/>
        <v>15</v>
      </c>
    </row>
    <row r="344" spans="1:8">
      <c r="A344" s="190">
        <f t="shared" si="27"/>
        <v>15</v>
      </c>
      <c r="B344" s="193">
        <f t="shared" si="28"/>
        <v>16</v>
      </c>
      <c r="C344" s="190" cm="1">
        <f t="array" aca="1" ref="C344" ca="1">VALUE(LEFT(TRIM(INDIRECT("'" &amp; INT((ROW()-2)/24)+1 &amp; "號'!B" &amp; MOD(ROW()-2,24)+10)), 2))</f>
        <v>14</v>
      </c>
      <c r="D344" s="190">
        <f t="shared" ca="1" si="29"/>
        <v>8</v>
      </c>
      <c r="E344" s="190" t="str" cm="1">
        <f t="array" aca="1" ref="E344" ca="1">INDIRECT("'" &amp; A344 &amp; "號'!" &amp; ADDRESS(B344, D344))</f>
        <v/>
      </c>
      <c r="F344" s="190">
        <f t="shared" ca="1" si="30"/>
        <v>0</v>
      </c>
      <c r="G344" s="190">
        <f ca="1">IF(F344=0, 0, IF(AND(F343=1, C344&lt;&gt;8, OR(C344=C343+1, AND(C343=23, C344=0))), G343, MAX($G$1:G343)+1))</f>
        <v>0</v>
      </c>
      <c r="H344" s="194">
        <f t="shared" si="31"/>
        <v>15</v>
      </c>
    </row>
    <row r="345" spans="1:8">
      <c r="A345" s="190">
        <f t="shared" si="27"/>
        <v>15</v>
      </c>
      <c r="B345" s="193">
        <f t="shared" si="28"/>
        <v>17</v>
      </c>
      <c r="C345" s="190" cm="1">
        <f t="array" aca="1" ref="C345" ca="1">VALUE(LEFT(TRIM(INDIRECT("'" &amp; INT((ROW()-2)/24)+1 &amp; "號'!B" &amp; MOD(ROW()-2,24)+10)), 2))</f>
        <v>15</v>
      </c>
      <c r="D345" s="190">
        <f t="shared" ca="1" si="29"/>
        <v>8</v>
      </c>
      <c r="E345" s="190" t="str" cm="1">
        <f t="array" aca="1" ref="E345" ca="1">INDIRECT("'" &amp; A345 &amp; "號'!" &amp; ADDRESS(B345, D345))</f>
        <v/>
      </c>
      <c r="F345" s="190">
        <f t="shared" ca="1" si="30"/>
        <v>0</v>
      </c>
      <c r="G345" s="190">
        <f ca="1">IF(F345=0, 0, IF(AND(F344=1, C345&lt;&gt;8, OR(C345=C344+1, AND(C344=23, C345=0))), G344, MAX($G$1:G344)+1))</f>
        <v>0</v>
      </c>
      <c r="H345" s="194">
        <f t="shared" si="31"/>
        <v>15</v>
      </c>
    </row>
    <row r="346" spans="1:8">
      <c r="A346" s="190">
        <f t="shared" si="27"/>
        <v>15</v>
      </c>
      <c r="B346" s="193">
        <f t="shared" si="28"/>
        <v>18</v>
      </c>
      <c r="C346" s="190" cm="1">
        <f t="array" aca="1" ref="C346" ca="1">VALUE(LEFT(TRIM(INDIRECT("'" &amp; INT((ROW()-2)/24)+1 &amp; "號'!B" &amp; MOD(ROW()-2,24)+10)), 2))</f>
        <v>16</v>
      </c>
      <c r="D346" s="190">
        <f t="shared" ca="1" si="29"/>
        <v>8</v>
      </c>
      <c r="E346" s="190" t="str" cm="1">
        <f t="array" aca="1" ref="E346" ca="1">INDIRECT("'" &amp; A346 &amp; "號'!" &amp; ADDRESS(B346, D346))</f>
        <v>16</v>
      </c>
      <c r="F346" s="190">
        <f t="shared" ca="1" si="30"/>
        <v>0</v>
      </c>
      <c r="G346" s="190">
        <f ca="1">IF(F346=0, 0, IF(AND(F345=1, C346&lt;&gt;8, OR(C346=C345+1, AND(C345=23, C346=0))), G345, MAX($G$1:G345)+1))</f>
        <v>0</v>
      </c>
      <c r="H346" s="194">
        <f t="shared" si="31"/>
        <v>15</v>
      </c>
    </row>
    <row r="347" spans="1:8">
      <c r="A347" s="190">
        <f t="shared" si="27"/>
        <v>15</v>
      </c>
      <c r="B347" s="193">
        <f t="shared" si="28"/>
        <v>19</v>
      </c>
      <c r="C347" s="190" cm="1">
        <f t="array" aca="1" ref="C347" ca="1">VALUE(LEFT(TRIM(INDIRECT("'" &amp; INT((ROW()-2)/24)+1 &amp; "號'!B" &amp; MOD(ROW()-2,24)+10)), 2))</f>
        <v>17</v>
      </c>
      <c r="D347" s="190">
        <f t="shared" ca="1" si="29"/>
        <v>8</v>
      </c>
      <c r="E347" s="190" t="str" cm="1">
        <f t="array" aca="1" ref="E347" ca="1">INDIRECT("'" &amp; A347 &amp; "號'!" &amp; ADDRESS(B347, D347))</f>
        <v>16</v>
      </c>
      <c r="F347" s="190">
        <f t="shared" ca="1" si="30"/>
        <v>0</v>
      </c>
      <c r="G347" s="190">
        <f ca="1">IF(F347=0, 0, IF(AND(F346=1, C347&lt;&gt;8, OR(C347=C346+1, AND(C346=23, C347=0))), G346, MAX($G$1:G346)+1))</f>
        <v>0</v>
      </c>
      <c r="H347" s="194">
        <f t="shared" si="31"/>
        <v>15</v>
      </c>
    </row>
    <row r="348" spans="1:8">
      <c r="A348" s="190">
        <f t="shared" si="27"/>
        <v>15</v>
      </c>
      <c r="B348" s="193">
        <f t="shared" si="28"/>
        <v>20</v>
      </c>
      <c r="C348" s="190" cm="1">
        <f t="array" aca="1" ref="C348" ca="1">VALUE(LEFT(TRIM(INDIRECT("'" &amp; INT((ROW()-2)/24)+1 &amp; "號'!B" &amp; MOD(ROW()-2,24)+10)), 2))</f>
        <v>18</v>
      </c>
      <c r="D348" s="190">
        <f t="shared" ca="1" si="29"/>
        <v>8</v>
      </c>
      <c r="E348" s="190" t="str" cm="1">
        <f t="array" aca="1" ref="E348" ca="1">INDIRECT("'" &amp; A348 &amp; "號'!" &amp; ADDRESS(B348, D348))</f>
        <v>7,12</v>
      </c>
      <c r="F348" s="190">
        <f t="shared" ca="1" si="30"/>
        <v>0</v>
      </c>
      <c r="G348" s="190">
        <f ca="1">IF(F348=0, 0, IF(AND(F347=1, C348&lt;&gt;8, OR(C348=C347+1, AND(C347=23, C348=0))), G347, MAX($G$1:G347)+1))</f>
        <v>0</v>
      </c>
      <c r="H348" s="194">
        <f t="shared" si="31"/>
        <v>15</v>
      </c>
    </row>
    <row r="349" spans="1:8">
      <c r="A349" s="190">
        <f t="shared" si="27"/>
        <v>15</v>
      </c>
      <c r="B349" s="193">
        <f t="shared" si="28"/>
        <v>21</v>
      </c>
      <c r="C349" s="190" cm="1">
        <f t="array" aca="1" ref="C349" ca="1">VALUE(LEFT(TRIM(INDIRECT("'" &amp; INT((ROW()-2)/24)+1 &amp; "號'!B" &amp; MOD(ROW()-2,24)+10)), 2))</f>
        <v>19</v>
      </c>
      <c r="D349" s="190">
        <f t="shared" ca="1" si="29"/>
        <v>8</v>
      </c>
      <c r="E349" s="190" t="str" cm="1">
        <f t="array" aca="1" ref="E349" ca="1">INDIRECT("'" &amp; A349 &amp; "號'!" &amp; ADDRESS(B349, D349))</f>
        <v>7,12</v>
      </c>
      <c r="F349" s="190">
        <f t="shared" ca="1" si="30"/>
        <v>0</v>
      </c>
      <c r="G349" s="190">
        <f ca="1">IF(F349=0, 0, IF(AND(F348=1, C349&lt;&gt;8, OR(C349=C348+1, AND(C348=23, C349=0))), G348, MAX($G$1:G348)+1))</f>
        <v>0</v>
      </c>
      <c r="H349" s="194">
        <f t="shared" si="31"/>
        <v>15</v>
      </c>
    </row>
    <row r="350" spans="1:8">
      <c r="A350" s="190">
        <f t="shared" si="27"/>
        <v>15</v>
      </c>
      <c r="B350" s="193">
        <f t="shared" si="28"/>
        <v>22</v>
      </c>
      <c r="C350" s="190" cm="1">
        <f t="array" aca="1" ref="C350" ca="1">VALUE(LEFT(TRIM(INDIRECT("'" &amp; INT((ROW()-2)/24)+1 &amp; "號'!B" &amp; MOD(ROW()-2,24)+10)), 2))</f>
        <v>20</v>
      </c>
      <c r="D350" s="190">
        <f t="shared" ca="1" si="29"/>
        <v>8</v>
      </c>
      <c r="E350" s="190" t="str" cm="1">
        <f t="array" aca="1" ref="E350" ca="1">INDIRECT("'" &amp; A350 &amp; "號'!" &amp; ADDRESS(B350, D350))</f>
        <v>7</v>
      </c>
      <c r="F350" s="190">
        <f t="shared" ca="1" si="30"/>
        <v>0</v>
      </c>
      <c r="G350" s="190">
        <f ca="1">IF(F350=0, 0, IF(AND(F349=1, C350&lt;&gt;8, OR(C350=C349+1, AND(C349=23, C350=0))), G349, MAX($G$1:G349)+1))</f>
        <v>0</v>
      </c>
      <c r="H350" s="194">
        <f t="shared" si="31"/>
        <v>15</v>
      </c>
    </row>
    <row r="351" spans="1:8">
      <c r="A351" s="190">
        <f t="shared" si="27"/>
        <v>15</v>
      </c>
      <c r="B351" s="193">
        <f t="shared" si="28"/>
        <v>23</v>
      </c>
      <c r="C351" s="190" cm="1">
        <f t="array" aca="1" ref="C351" ca="1">VALUE(LEFT(TRIM(INDIRECT("'" &amp; INT((ROW()-2)/24)+1 &amp; "號'!B" &amp; MOD(ROW()-2,24)+10)), 2))</f>
        <v>21</v>
      </c>
      <c r="D351" s="190">
        <f t="shared" ca="1" si="29"/>
        <v>8</v>
      </c>
      <c r="E351" s="190" t="str" cm="1">
        <f t="array" aca="1" ref="E351" ca="1">INDIRECT("'" &amp; A351 &amp; "號'!" &amp; ADDRESS(B351, D351))</f>
        <v>7</v>
      </c>
      <c r="F351" s="190">
        <f t="shared" ca="1" si="30"/>
        <v>0</v>
      </c>
      <c r="G351" s="190">
        <f ca="1">IF(F351=0, 0, IF(AND(F350=1, C351&lt;&gt;8, OR(C351=C350+1, AND(C350=23, C351=0))), G350, MAX($G$1:G350)+1))</f>
        <v>0</v>
      </c>
      <c r="H351" s="194">
        <f t="shared" si="31"/>
        <v>15</v>
      </c>
    </row>
    <row r="352" spans="1:8">
      <c r="A352" s="190">
        <f t="shared" si="27"/>
        <v>15</v>
      </c>
      <c r="B352" s="193">
        <f t="shared" si="28"/>
        <v>24</v>
      </c>
      <c r="C352" s="190" cm="1">
        <f t="array" aca="1" ref="C352" ca="1">VALUE(LEFT(TRIM(INDIRECT("'" &amp; INT((ROW()-2)/24)+1 &amp; "號'!B" &amp; MOD(ROW()-2,24)+10)), 2))</f>
        <v>22</v>
      </c>
      <c r="D352" s="190">
        <f t="shared" ca="1" si="29"/>
        <v>8</v>
      </c>
      <c r="E352" s="190" cm="1">
        <f t="array" aca="1" ref="E352" ca="1">INDIRECT("'" &amp; A352 &amp; "號'!" &amp; ADDRESS(B352, D352))</f>
        <v>6</v>
      </c>
      <c r="F352" s="190">
        <f t="shared" ca="1" si="30"/>
        <v>0</v>
      </c>
      <c r="G352" s="190">
        <f ca="1">IF(F352=0, 0, IF(AND(F351=1, C352&lt;&gt;8, OR(C352=C351+1, AND(C351=23, C352=0))), G351, MAX($G$1:G351)+1))</f>
        <v>0</v>
      </c>
      <c r="H352" s="194">
        <f t="shared" si="31"/>
        <v>15</v>
      </c>
    </row>
    <row r="353" spans="1:8">
      <c r="A353" s="190">
        <f t="shared" si="27"/>
        <v>15</v>
      </c>
      <c r="B353" s="193">
        <f t="shared" si="28"/>
        <v>25</v>
      </c>
      <c r="C353" s="190" cm="1">
        <f t="array" aca="1" ref="C353" ca="1">VALUE(LEFT(TRIM(INDIRECT("'" &amp; INT((ROW()-2)/24)+1 &amp; "號'!B" &amp; MOD(ROW()-2,24)+10)), 2))</f>
        <v>23</v>
      </c>
      <c r="D353" s="190">
        <f t="shared" ca="1" si="29"/>
        <v>8</v>
      </c>
      <c r="E353" s="190" cm="1">
        <f t="array" aca="1" ref="E353" ca="1">INDIRECT("'" &amp; A353 &amp; "號'!" &amp; ADDRESS(B353, D353))</f>
        <v>6</v>
      </c>
      <c r="F353" s="190">
        <f t="shared" ca="1" si="30"/>
        <v>0</v>
      </c>
      <c r="G353" s="190">
        <f ca="1">IF(F353=0, 0, IF(AND(F352=1, C353&lt;&gt;8, OR(C353=C352+1, AND(C352=23, C353=0))), G352, MAX($G$1:G352)+1))</f>
        <v>0</v>
      </c>
      <c r="H353" s="194">
        <f t="shared" si="31"/>
        <v>15</v>
      </c>
    </row>
    <row r="354" spans="1:8">
      <c r="A354" s="190">
        <f t="shared" si="27"/>
        <v>15</v>
      </c>
      <c r="B354" s="193">
        <f t="shared" si="28"/>
        <v>26</v>
      </c>
      <c r="C354" s="190" cm="1">
        <f t="array" aca="1" ref="C354" ca="1">VALUE(LEFT(TRIM(INDIRECT("'" &amp; INT((ROW()-2)/24)+1 &amp; "號'!B" &amp; MOD(ROW()-2,24)+10)), 2))</f>
        <v>0</v>
      </c>
      <c r="D354" s="190">
        <f t="shared" ca="1" si="29"/>
        <v>8</v>
      </c>
      <c r="E354" s="190" cm="1">
        <f t="array" aca="1" ref="E354" ca="1">INDIRECT("'" &amp; A354 &amp; "號'!" &amp; ADDRESS(B354, D354))</f>
        <v>2</v>
      </c>
      <c r="F354" s="190">
        <f t="shared" ca="1" si="30"/>
        <v>0</v>
      </c>
      <c r="G354" s="190">
        <f ca="1">IF(F354=0, 0, IF(AND(F353=1, C354&lt;&gt;8, OR(C354=C353+1, AND(C353=23, C354=0))), G353, MAX($G$1:G353)+1))</f>
        <v>0</v>
      </c>
      <c r="H354" s="194">
        <f t="shared" si="31"/>
        <v>15</v>
      </c>
    </row>
    <row r="355" spans="1:8">
      <c r="A355" s="190">
        <f t="shared" si="27"/>
        <v>15</v>
      </c>
      <c r="B355" s="193">
        <f t="shared" si="28"/>
        <v>27</v>
      </c>
      <c r="C355" s="190" cm="1">
        <f t="array" aca="1" ref="C355" ca="1">VALUE(LEFT(TRIM(INDIRECT("'" &amp; INT((ROW()-2)/24)+1 &amp; "號'!B" &amp; MOD(ROW()-2,24)+10)), 2))</f>
        <v>1</v>
      </c>
      <c r="D355" s="190">
        <f t="shared" ca="1" si="29"/>
        <v>8</v>
      </c>
      <c r="E355" s="190" cm="1">
        <f t="array" aca="1" ref="E355" ca="1">INDIRECT("'" &amp; A355 &amp; "號'!" &amp; ADDRESS(B355, D355))</f>
        <v>2</v>
      </c>
      <c r="F355" s="190">
        <f t="shared" ca="1" si="30"/>
        <v>0</v>
      </c>
      <c r="G355" s="190">
        <f ca="1">IF(F355=0, 0, IF(AND(F354=1, C355&lt;&gt;8, OR(C355=C354+1, AND(C354=23, C355=0))), G354, MAX($G$1:G354)+1))</f>
        <v>0</v>
      </c>
      <c r="H355" s="194">
        <f t="shared" si="31"/>
        <v>15</v>
      </c>
    </row>
    <row r="356" spans="1:8">
      <c r="A356" s="190">
        <f t="shared" si="27"/>
        <v>15</v>
      </c>
      <c r="B356" s="193">
        <f t="shared" si="28"/>
        <v>28</v>
      </c>
      <c r="C356" s="190" cm="1">
        <f t="array" aca="1" ref="C356" ca="1">VALUE(LEFT(TRIM(INDIRECT("'" &amp; INT((ROW()-2)/24)+1 &amp; "號'!B" &amp; MOD(ROW()-2,24)+10)), 2))</f>
        <v>2</v>
      </c>
      <c r="D356" s="190">
        <f t="shared" ca="1" si="29"/>
        <v>8</v>
      </c>
      <c r="E356" s="190" t="str" cm="1">
        <f t="array" aca="1" ref="E356" ca="1">INDIRECT("'" &amp; A356 &amp; "號'!" &amp; ADDRESS(B356, D356))</f>
        <v/>
      </c>
      <c r="F356" s="190">
        <f t="shared" ca="1" si="30"/>
        <v>0</v>
      </c>
      <c r="G356" s="190">
        <f ca="1">IF(F356=0, 0, IF(AND(F355=1, C356&lt;&gt;8, OR(C356=C355+1, AND(C355=23, C356=0))), G355, MAX($G$1:G355)+1))</f>
        <v>0</v>
      </c>
      <c r="H356" s="194">
        <f t="shared" si="31"/>
        <v>15</v>
      </c>
    </row>
    <row r="357" spans="1:8">
      <c r="A357" s="190">
        <f t="shared" si="27"/>
        <v>15</v>
      </c>
      <c r="B357" s="193">
        <f t="shared" si="28"/>
        <v>29</v>
      </c>
      <c r="C357" s="190" cm="1">
        <f t="array" aca="1" ref="C357" ca="1">VALUE(LEFT(TRIM(INDIRECT("'" &amp; INT((ROW()-2)/24)+1 &amp; "號'!B" &amp; MOD(ROW()-2,24)+10)), 2))</f>
        <v>3</v>
      </c>
      <c r="D357" s="190">
        <f t="shared" ca="1" si="29"/>
        <v>8</v>
      </c>
      <c r="E357" s="190" t="str" cm="1">
        <f t="array" aca="1" ref="E357" ca="1">INDIRECT("'" &amp; A357 &amp; "號'!" &amp; ADDRESS(B357, D357))</f>
        <v/>
      </c>
      <c r="F357" s="190">
        <f t="shared" ca="1" si="30"/>
        <v>0</v>
      </c>
      <c r="G357" s="190">
        <f ca="1">IF(F357=0, 0, IF(AND(F356=1, C357&lt;&gt;8, OR(C357=C356+1, AND(C356=23, C357=0))), G356, MAX($G$1:G356)+1))</f>
        <v>0</v>
      </c>
      <c r="H357" s="194">
        <f t="shared" si="31"/>
        <v>15</v>
      </c>
    </row>
    <row r="358" spans="1:8">
      <c r="A358" s="190">
        <f t="shared" si="27"/>
        <v>15</v>
      </c>
      <c r="B358" s="193">
        <f t="shared" si="28"/>
        <v>30</v>
      </c>
      <c r="C358" s="190" cm="1">
        <f t="array" aca="1" ref="C358" ca="1">VALUE(LEFT(TRIM(INDIRECT("'" &amp; INT((ROW()-2)/24)+1 &amp; "號'!B" &amp; MOD(ROW()-2,24)+10)), 2))</f>
        <v>4</v>
      </c>
      <c r="D358" s="190">
        <f t="shared" ca="1" si="29"/>
        <v>8</v>
      </c>
      <c r="E358" s="190" t="str" cm="1">
        <f t="array" aca="1" ref="E358" ca="1">INDIRECT("'" &amp; A358 &amp; "號'!" &amp; ADDRESS(B358, D358))</f>
        <v/>
      </c>
      <c r="F358" s="190">
        <f t="shared" ca="1" si="30"/>
        <v>0</v>
      </c>
      <c r="G358" s="190">
        <f ca="1">IF(F358=0, 0, IF(AND(F357=1, C358&lt;&gt;8, OR(C358=C357+1, AND(C357=23, C358=0))), G357, MAX($G$1:G357)+1))</f>
        <v>0</v>
      </c>
      <c r="H358" s="194">
        <f t="shared" si="31"/>
        <v>15</v>
      </c>
    </row>
    <row r="359" spans="1:8">
      <c r="A359" s="190">
        <f t="shared" si="27"/>
        <v>15</v>
      </c>
      <c r="B359" s="193">
        <f t="shared" si="28"/>
        <v>31</v>
      </c>
      <c r="C359" s="190" cm="1">
        <f t="array" aca="1" ref="C359" ca="1">VALUE(LEFT(TRIM(INDIRECT("'" &amp; INT((ROW()-2)/24)+1 &amp; "號'!B" &amp; MOD(ROW()-2,24)+10)), 2))</f>
        <v>5</v>
      </c>
      <c r="D359" s="190">
        <f t="shared" ca="1" si="29"/>
        <v>8</v>
      </c>
      <c r="E359" s="190" t="str" cm="1">
        <f t="array" aca="1" ref="E359" ca="1">INDIRECT("'" &amp; A359 &amp; "號'!" &amp; ADDRESS(B359, D359))</f>
        <v/>
      </c>
      <c r="F359" s="190">
        <f t="shared" ca="1" si="30"/>
        <v>0</v>
      </c>
      <c r="G359" s="190">
        <f ca="1">IF(F359=0, 0, IF(AND(F358=1, C359&lt;&gt;8, OR(C359=C358+1, AND(C358=23, C359=0))), G358, MAX($G$1:G358)+1))</f>
        <v>0</v>
      </c>
      <c r="H359" s="194">
        <f t="shared" si="31"/>
        <v>15</v>
      </c>
    </row>
    <row r="360" spans="1:8">
      <c r="A360" s="190">
        <f t="shared" si="27"/>
        <v>15</v>
      </c>
      <c r="B360" s="193">
        <f t="shared" si="28"/>
        <v>32</v>
      </c>
      <c r="C360" s="190" cm="1">
        <f t="array" aca="1" ref="C360" ca="1">VALUE(LEFT(TRIM(INDIRECT("'" &amp; INT((ROW()-2)/24)+1 &amp; "號'!B" &amp; MOD(ROW()-2,24)+10)), 2))</f>
        <v>6</v>
      </c>
      <c r="D360" s="190">
        <f t="shared" ca="1" si="29"/>
        <v>8</v>
      </c>
      <c r="E360" s="190" t="str" cm="1">
        <f t="array" aca="1" ref="E360" ca="1">INDIRECT("'" &amp; A360 &amp; "號'!" &amp; ADDRESS(B360, D360))</f>
        <v>10,5</v>
      </c>
      <c r="F360" s="190">
        <f t="shared" ca="1" si="30"/>
        <v>0</v>
      </c>
      <c r="G360" s="190">
        <f ca="1">IF(F360=0, 0, IF(AND(F359=1, C360&lt;&gt;8, OR(C360=C359+1, AND(C359=23, C360=0))), G359, MAX($G$1:G359)+1))</f>
        <v>0</v>
      </c>
      <c r="H360" s="194">
        <f t="shared" si="31"/>
        <v>15</v>
      </c>
    </row>
    <row r="361" spans="1:8">
      <c r="A361" s="190">
        <f t="shared" si="27"/>
        <v>15</v>
      </c>
      <c r="B361" s="193">
        <f t="shared" si="28"/>
        <v>33</v>
      </c>
      <c r="C361" s="190" cm="1">
        <f t="array" aca="1" ref="C361" ca="1">VALUE(LEFT(TRIM(INDIRECT("'" &amp; INT((ROW()-2)/24)+1 &amp; "號'!B" &amp; MOD(ROW()-2,24)+10)), 2))</f>
        <v>7</v>
      </c>
      <c r="D361" s="190">
        <f t="shared" ca="1" si="29"/>
        <v>8</v>
      </c>
      <c r="E361" s="190" t="str" cm="1">
        <f t="array" aca="1" ref="E361" ca="1">INDIRECT("'" &amp; A361 &amp; "號'!" &amp; ADDRESS(B361, D361))</f>
        <v>10,5</v>
      </c>
      <c r="F361" s="190">
        <f t="shared" ca="1" si="30"/>
        <v>0</v>
      </c>
      <c r="G361" s="190">
        <f ca="1">IF(F361=0, 0, IF(AND(F360=1, C361&lt;&gt;8, OR(C361=C360+1, AND(C360=23, C361=0))), G360, MAX($G$1:G360)+1))</f>
        <v>0</v>
      </c>
      <c r="H361" s="194">
        <f t="shared" si="31"/>
        <v>15</v>
      </c>
    </row>
    <row r="362" spans="1:8">
      <c r="A362" s="190">
        <f t="shared" si="27"/>
        <v>16</v>
      </c>
      <c r="B362" s="193">
        <f t="shared" si="28"/>
        <v>10</v>
      </c>
      <c r="C362" s="190" cm="1">
        <f t="array" aca="1" ref="C362" ca="1">VALUE(LEFT(TRIM(INDIRECT("'" &amp; INT((ROW()-2)/24)+1 &amp; "號'!B" &amp; MOD(ROW()-2,24)+10)), 2))</f>
        <v>8</v>
      </c>
      <c r="D362" s="190">
        <f t="shared" ca="1" si="29"/>
        <v>7</v>
      </c>
      <c r="E362" s="190" cm="1">
        <f t="array" aca="1" ref="E362" ca="1">INDIRECT("'" &amp; A362 &amp; "號'!" &amp; ADDRESS(B362, D362))</f>
        <v>17</v>
      </c>
      <c r="F362" s="190">
        <f t="shared" ca="1" si="30"/>
        <v>0</v>
      </c>
      <c r="G362" s="190">
        <f ca="1">IF(F362=0, 0, IF(AND(F361=1, C362&lt;&gt;8, OR(C362=C361+1, AND(C361=23, C362=0))), G361, MAX($G$1:G361)+1))</f>
        <v>0</v>
      </c>
      <c r="H362" s="194">
        <f t="shared" si="31"/>
        <v>16</v>
      </c>
    </row>
    <row r="363" spans="1:8">
      <c r="A363" s="190">
        <f t="shared" si="27"/>
        <v>16</v>
      </c>
      <c r="B363" s="193">
        <f t="shared" si="28"/>
        <v>11</v>
      </c>
      <c r="C363" s="190" cm="1">
        <f t="array" aca="1" ref="C363" ca="1">VALUE(LEFT(TRIM(INDIRECT("'" &amp; INT((ROW()-2)/24)+1 &amp; "號'!B" &amp; MOD(ROW()-2,24)+10)), 2))</f>
        <v>9</v>
      </c>
      <c r="D363" s="190">
        <f t="shared" ca="1" si="29"/>
        <v>7</v>
      </c>
      <c r="E363" s="190" cm="1">
        <f t="array" aca="1" ref="E363" ca="1">INDIRECT("'" &amp; A363 &amp; "號'!" &amp; ADDRESS(B363, D363))</f>
        <v>17</v>
      </c>
      <c r="F363" s="190">
        <f t="shared" ca="1" si="30"/>
        <v>0</v>
      </c>
      <c r="G363" s="190">
        <f ca="1">IF(F363=0, 0, IF(AND(F362=1, C363&lt;&gt;8, OR(C363=C362+1, AND(C362=23, C363=0))), G362, MAX($G$1:G362)+1))</f>
        <v>0</v>
      </c>
      <c r="H363" s="194">
        <f t="shared" si="31"/>
        <v>16</v>
      </c>
    </row>
    <row r="364" spans="1:8">
      <c r="A364" s="190">
        <f t="shared" si="27"/>
        <v>16</v>
      </c>
      <c r="B364" s="193">
        <f t="shared" si="28"/>
        <v>12</v>
      </c>
      <c r="C364" s="190" cm="1">
        <f t="array" aca="1" ref="C364" ca="1">VALUE(LEFT(TRIM(INDIRECT("'" &amp; INT((ROW()-2)/24)+1 &amp; "號'!B" &amp; MOD(ROW()-2,24)+10)), 2))</f>
        <v>10</v>
      </c>
      <c r="D364" s="190">
        <f t="shared" ca="1" si="29"/>
        <v>7</v>
      </c>
      <c r="E364" s="190" cm="1">
        <f t="array" aca="1" ref="E364" ca="1">INDIRECT("'" &amp; A364 &amp; "號'!" &amp; ADDRESS(B364, D364))</f>
        <v>17</v>
      </c>
      <c r="F364" s="190">
        <f t="shared" ca="1" si="30"/>
        <v>0</v>
      </c>
      <c r="G364" s="190">
        <f ca="1">IF(F364=0, 0, IF(AND(F363=1, C364&lt;&gt;8, OR(C364=C363+1, AND(C363=23, C364=0))), G363, MAX($G$1:G363)+1))</f>
        <v>0</v>
      </c>
      <c r="H364" s="194">
        <f t="shared" si="31"/>
        <v>16</v>
      </c>
    </row>
    <row r="365" spans="1:8">
      <c r="A365" s="190">
        <f t="shared" si="27"/>
        <v>16</v>
      </c>
      <c r="B365" s="193">
        <f t="shared" si="28"/>
        <v>13</v>
      </c>
      <c r="C365" s="190" cm="1">
        <f t="array" aca="1" ref="C365" ca="1">VALUE(LEFT(TRIM(INDIRECT("'" &amp; INT((ROW()-2)/24)+1 &amp; "號'!B" &amp; MOD(ROW()-2,24)+10)), 2))</f>
        <v>11</v>
      </c>
      <c r="D365" s="190">
        <f t="shared" ca="1" si="29"/>
        <v>7</v>
      </c>
      <c r="E365" s="190" cm="1">
        <f t="array" aca="1" ref="E365" ca="1">INDIRECT("'" &amp; A365 &amp; "號'!" &amp; ADDRESS(B365, D365))</f>
        <v>17</v>
      </c>
      <c r="F365" s="190">
        <f t="shared" ca="1" si="30"/>
        <v>0</v>
      </c>
      <c r="G365" s="190">
        <f ca="1">IF(F365=0, 0, IF(AND(F364=1, C365&lt;&gt;8, OR(C365=C364+1, AND(C364=23, C365=0))), G364, MAX($G$1:G364)+1))</f>
        <v>0</v>
      </c>
      <c r="H365" s="194">
        <f t="shared" si="31"/>
        <v>16</v>
      </c>
    </row>
    <row r="366" spans="1:8">
      <c r="A366" s="190">
        <f t="shared" si="27"/>
        <v>16</v>
      </c>
      <c r="B366" s="193">
        <f t="shared" si="28"/>
        <v>14</v>
      </c>
      <c r="C366" s="190" cm="1">
        <f t="array" aca="1" ref="C366" ca="1">VALUE(LEFT(TRIM(INDIRECT("'" &amp; INT((ROW()-2)/24)+1 &amp; "號'!B" &amp; MOD(ROW()-2,24)+10)), 2))</f>
        <v>12</v>
      </c>
      <c r="D366" s="190">
        <f t="shared" ca="1" si="29"/>
        <v>7</v>
      </c>
      <c r="E366" s="190" t="str" cm="1">
        <f t="array" aca="1" ref="E366" ca="1">INDIRECT("'" &amp; A366 &amp; "號'!" &amp; ADDRESS(B366, D366))</f>
        <v>21</v>
      </c>
      <c r="F366" s="190">
        <f t="shared" ca="1" si="30"/>
        <v>0</v>
      </c>
      <c r="G366" s="190">
        <f ca="1">IF(F366=0, 0, IF(AND(F365=1, C366&lt;&gt;8, OR(C366=C365+1, AND(C365=23, C366=0))), G365, MAX($G$1:G365)+1))</f>
        <v>0</v>
      </c>
      <c r="H366" s="194">
        <f t="shared" si="31"/>
        <v>16</v>
      </c>
    </row>
    <row r="367" spans="1:8">
      <c r="A367" s="190">
        <f t="shared" si="27"/>
        <v>16</v>
      </c>
      <c r="B367" s="193">
        <f t="shared" si="28"/>
        <v>15</v>
      </c>
      <c r="C367" s="190" cm="1">
        <f t="array" aca="1" ref="C367" ca="1">VALUE(LEFT(TRIM(INDIRECT("'" &amp; INT((ROW()-2)/24)+1 &amp; "號'!B" &amp; MOD(ROW()-2,24)+10)), 2))</f>
        <v>13</v>
      </c>
      <c r="D367" s="190">
        <f t="shared" ca="1" si="29"/>
        <v>7</v>
      </c>
      <c r="E367" s="190" t="str" cm="1">
        <f t="array" aca="1" ref="E367" ca="1">INDIRECT("'" &amp; A367 &amp; "號'!" &amp; ADDRESS(B367, D367))</f>
        <v>21</v>
      </c>
      <c r="F367" s="190">
        <f t="shared" ca="1" si="30"/>
        <v>0</v>
      </c>
      <c r="G367" s="190">
        <f ca="1">IF(F367=0, 0, IF(AND(F366=1, C367&lt;&gt;8, OR(C367=C366+1, AND(C366=23, C367=0))), G366, MAX($G$1:G366)+1))</f>
        <v>0</v>
      </c>
      <c r="H367" s="194">
        <f t="shared" si="31"/>
        <v>16</v>
      </c>
    </row>
    <row r="368" spans="1:8">
      <c r="A368" s="190">
        <f t="shared" si="27"/>
        <v>16</v>
      </c>
      <c r="B368" s="193">
        <f t="shared" si="28"/>
        <v>16</v>
      </c>
      <c r="C368" s="190" cm="1">
        <f t="array" aca="1" ref="C368" ca="1">VALUE(LEFT(TRIM(INDIRECT("'" &amp; INT((ROW()-2)/24)+1 &amp; "號'!B" &amp; MOD(ROW()-2,24)+10)), 2))</f>
        <v>14</v>
      </c>
      <c r="D368" s="190">
        <f t="shared" ca="1" si="29"/>
        <v>7</v>
      </c>
      <c r="E368" s="190" t="str" cm="1">
        <f t="array" aca="1" ref="E368" ca="1">INDIRECT("'" &amp; A368 &amp; "號'!" &amp; ADDRESS(B368, D368))</f>
        <v/>
      </c>
      <c r="F368" s="190">
        <f t="shared" ca="1" si="30"/>
        <v>0</v>
      </c>
      <c r="G368" s="190">
        <f ca="1">IF(F368=0, 0, IF(AND(F367=1, C368&lt;&gt;8, OR(C368=C367+1, AND(C367=23, C368=0))), G367, MAX($G$1:G367)+1))</f>
        <v>0</v>
      </c>
      <c r="H368" s="194">
        <f t="shared" si="31"/>
        <v>16</v>
      </c>
    </row>
    <row r="369" spans="1:8">
      <c r="A369" s="190">
        <f t="shared" si="27"/>
        <v>16</v>
      </c>
      <c r="B369" s="193">
        <f t="shared" si="28"/>
        <v>17</v>
      </c>
      <c r="C369" s="190" cm="1">
        <f t="array" aca="1" ref="C369" ca="1">VALUE(LEFT(TRIM(INDIRECT("'" &amp; INT((ROW()-2)/24)+1 &amp; "號'!B" &amp; MOD(ROW()-2,24)+10)), 2))</f>
        <v>15</v>
      </c>
      <c r="D369" s="190">
        <f t="shared" ca="1" si="29"/>
        <v>7</v>
      </c>
      <c r="E369" s="190" t="str" cm="1">
        <f t="array" aca="1" ref="E369" ca="1">INDIRECT("'" &amp; A369 &amp; "號'!" &amp; ADDRESS(B369, D369))</f>
        <v/>
      </c>
      <c r="F369" s="190">
        <f t="shared" ca="1" si="30"/>
        <v>0</v>
      </c>
      <c r="G369" s="190">
        <f ca="1">IF(F369=0, 0, IF(AND(F368=1, C369&lt;&gt;8, OR(C369=C368+1, AND(C368=23, C369=0))), G368, MAX($G$1:G368)+1))</f>
        <v>0</v>
      </c>
      <c r="H369" s="194">
        <f t="shared" si="31"/>
        <v>16</v>
      </c>
    </row>
    <row r="370" spans="1:8">
      <c r="A370" s="190">
        <f t="shared" si="27"/>
        <v>16</v>
      </c>
      <c r="B370" s="193">
        <f t="shared" si="28"/>
        <v>18</v>
      </c>
      <c r="C370" s="190" cm="1">
        <f t="array" aca="1" ref="C370" ca="1">VALUE(LEFT(TRIM(INDIRECT("'" &amp; INT((ROW()-2)/24)+1 &amp; "號'!B" &amp; MOD(ROW()-2,24)+10)), 2))</f>
        <v>16</v>
      </c>
      <c r="D370" s="190">
        <f t="shared" ca="1" si="29"/>
        <v>7</v>
      </c>
      <c r="E370" s="190" t="str" cm="1">
        <f t="array" aca="1" ref="E370" ca="1">INDIRECT("'" &amp; A370 &amp; "號'!" &amp; ADDRESS(B370, D370))</f>
        <v>11</v>
      </c>
      <c r="F370" s="190">
        <f t="shared" ca="1" si="30"/>
        <v>0</v>
      </c>
      <c r="G370" s="190">
        <f ca="1">IF(F370=0, 0, IF(AND(F369=1, C370&lt;&gt;8, OR(C370=C369+1, AND(C369=23, C370=0))), G369, MAX($G$1:G369)+1))</f>
        <v>0</v>
      </c>
      <c r="H370" s="194">
        <f t="shared" si="31"/>
        <v>16</v>
      </c>
    </row>
    <row r="371" spans="1:8">
      <c r="A371" s="190">
        <f t="shared" si="27"/>
        <v>16</v>
      </c>
      <c r="B371" s="193">
        <f t="shared" si="28"/>
        <v>19</v>
      </c>
      <c r="C371" s="190" cm="1">
        <f t="array" aca="1" ref="C371" ca="1">VALUE(LEFT(TRIM(INDIRECT("'" &amp; INT((ROW()-2)/24)+1 &amp; "號'!B" &amp; MOD(ROW()-2,24)+10)), 2))</f>
        <v>17</v>
      </c>
      <c r="D371" s="190">
        <f t="shared" ca="1" si="29"/>
        <v>7</v>
      </c>
      <c r="E371" s="190" t="str" cm="1">
        <f t="array" aca="1" ref="E371" ca="1">INDIRECT("'" &amp; A371 &amp; "號'!" &amp; ADDRESS(B371, D371))</f>
        <v>11</v>
      </c>
      <c r="F371" s="190">
        <f t="shared" ca="1" si="30"/>
        <v>0</v>
      </c>
      <c r="G371" s="190">
        <f ca="1">IF(F371=0, 0, IF(AND(F370=1, C371&lt;&gt;8, OR(C371=C370+1, AND(C370=23, C371=0))), G370, MAX($G$1:G370)+1))</f>
        <v>0</v>
      </c>
      <c r="H371" s="194">
        <f t="shared" si="31"/>
        <v>16</v>
      </c>
    </row>
    <row r="372" spans="1:8">
      <c r="A372" s="190">
        <f t="shared" si="27"/>
        <v>16</v>
      </c>
      <c r="B372" s="193">
        <f t="shared" si="28"/>
        <v>20</v>
      </c>
      <c r="C372" s="190" cm="1">
        <f t="array" aca="1" ref="C372" ca="1">VALUE(LEFT(TRIM(INDIRECT("'" &amp; INT((ROW()-2)/24)+1 &amp; "號'!B" &amp; MOD(ROW()-2,24)+10)), 2))</f>
        <v>18</v>
      </c>
      <c r="D372" s="190">
        <f t="shared" ca="1" si="29"/>
        <v>7</v>
      </c>
      <c r="E372" s="190" t="str" cm="1">
        <f t="array" aca="1" ref="E372" ca="1">INDIRECT("'" &amp; A372 &amp; "號'!" &amp; ADDRESS(B372, D372))</f>
        <v>8</v>
      </c>
      <c r="F372" s="190">
        <f t="shared" ca="1" si="30"/>
        <v>0</v>
      </c>
      <c r="G372" s="190">
        <f ca="1">IF(F372=0, 0, IF(AND(F371=1, C372&lt;&gt;8, OR(C372=C371+1, AND(C371=23, C372=0))), G371, MAX($G$1:G371)+1))</f>
        <v>0</v>
      </c>
      <c r="H372" s="194">
        <f t="shared" si="31"/>
        <v>16</v>
      </c>
    </row>
    <row r="373" spans="1:8">
      <c r="A373" s="190">
        <f t="shared" si="27"/>
        <v>16</v>
      </c>
      <c r="B373" s="193">
        <f t="shared" si="28"/>
        <v>21</v>
      </c>
      <c r="C373" s="190" cm="1">
        <f t="array" aca="1" ref="C373" ca="1">VALUE(LEFT(TRIM(INDIRECT("'" &amp; INT((ROW()-2)/24)+1 &amp; "號'!B" &amp; MOD(ROW()-2,24)+10)), 2))</f>
        <v>19</v>
      </c>
      <c r="D373" s="190">
        <f t="shared" ca="1" si="29"/>
        <v>7</v>
      </c>
      <c r="E373" s="190" t="str" cm="1">
        <f t="array" aca="1" ref="E373" ca="1">INDIRECT("'" &amp; A373 &amp; "號'!" &amp; ADDRESS(B373, D373))</f>
        <v>8</v>
      </c>
      <c r="F373" s="190">
        <f t="shared" ca="1" si="30"/>
        <v>0</v>
      </c>
      <c r="G373" s="190">
        <f ca="1">IF(F373=0, 0, IF(AND(F372=1, C373&lt;&gt;8, OR(C373=C372+1, AND(C372=23, C373=0))), G372, MAX($G$1:G372)+1))</f>
        <v>0</v>
      </c>
      <c r="H373" s="194">
        <f t="shared" si="31"/>
        <v>16</v>
      </c>
    </row>
    <row r="374" spans="1:8">
      <c r="A374" s="190">
        <f t="shared" si="27"/>
        <v>16</v>
      </c>
      <c r="B374" s="193">
        <f t="shared" si="28"/>
        <v>22</v>
      </c>
      <c r="C374" s="190" cm="1">
        <f t="array" aca="1" ref="C374" ca="1">VALUE(LEFT(TRIM(INDIRECT("'" &amp; INT((ROW()-2)/24)+1 &amp; "號'!B" &amp; MOD(ROW()-2,24)+10)), 2))</f>
        <v>20</v>
      </c>
      <c r="D374" s="190">
        <f t="shared" ca="1" si="29"/>
        <v>7</v>
      </c>
      <c r="E374" s="190" t="str" cm="1">
        <f t="array" aca="1" ref="E374" ca="1">INDIRECT("'" &amp; A374 &amp; "號'!" &amp; ADDRESS(B374, D374))</f>
        <v>23</v>
      </c>
      <c r="F374" s="190">
        <f t="shared" ca="1" si="30"/>
        <v>0</v>
      </c>
      <c r="G374" s="190">
        <f ca="1">IF(F374=0, 0, IF(AND(F373=1, C374&lt;&gt;8, OR(C374=C373+1, AND(C373=23, C374=0))), G373, MAX($G$1:G373)+1))</f>
        <v>0</v>
      </c>
      <c r="H374" s="194">
        <f t="shared" si="31"/>
        <v>16</v>
      </c>
    </row>
    <row r="375" spans="1:8">
      <c r="A375" s="190">
        <f t="shared" si="27"/>
        <v>16</v>
      </c>
      <c r="B375" s="193">
        <f t="shared" si="28"/>
        <v>23</v>
      </c>
      <c r="C375" s="190" cm="1">
        <f t="array" aca="1" ref="C375" ca="1">VALUE(LEFT(TRIM(INDIRECT("'" &amp; INT((ROW()-2)/24)+1 &amp; "號'!B" &amp; MOD(ROW()-2,24)+10)), 2))</f>
        <v>21</v>
      </c>
      <c r="D375" s="190">
        <f t="shared" ca="1" si="29"/>
        <v>7</v>
      </c>
      <c r="E375" s="190" t="str" cm="1">
        <f t="array" aca="1" ref="E375" ca="1">INDIRECT("'" &amp; A375 &amp; "號'!" &amp; ADDRESS(B375, D375))</f>
        <v>23</v>
      </c>
      <c r="F375" s="190">
        <f t="shared" ca="1" si="30"/>
        <v>0</v>
      </c>
      <c r="G375" s="190">
        <f ca="1">IF(F375=0, 0, IF(AND(F374=1, C375&lt;&gt;8, OR(C375=C374+1, AND(C374=23, C375=0))), G374, MAX($G$1:G374)+1))</f>
        <v>0</v>
      </c>
      <c r="H375" s="194">
        <f t="shared" si="31"/>
        <v>16</v>
      </c>
    </row>
    <row r="376" spans="1:8">
      <c r="A376" s="190">
        <f t="shared" si="27"/>
        <v>16</v>
      </c>
      <c r="B376" s="193">
        <f t="shared" si="28"/>
        <v>24</v>
      </c>
      <c r="C376" s="190" cm="1">
        <f t="array" aca="1" ref="C376" ca="1">VALUE(LEFT(TRIM(INDIRECT("'" &amp; INT((ROW()-2)/24)+1 &amp; "號'!B" &amp; MOD(ROW()-2,24)+10)), 2))</f>
        <v>22</v>
      </c>
      <c r="D376" s="190">
        <f t="shared" ca="1" si="29"/>
        <v>7</v>
      </c>
      <c r="E376" s="190" cm="1">
        <f t="array" aca="1" ref="E376" ca="1">INDIRECT("'" &amp; A376 &amp; "號'!" &amp; ADDRESS(B376, D376))</f>
        <v>28</v>
      </c>
      <c r="F376" s="190">
        <f t="shared" ca="1" si="30"/>
        <v>0</v>
      </c>
      <c r="G376" s="190">
        <f ca="1">IF(F376=0, 0, IF(AND(F375=1, C376&lt;&gt;8, OR(C376=C375+1, AND(C375=23, C376=0))), G375, MAX($G$1:G375)+1))</f>
        <v>0</v>
      </c>
      <c r="H376" s="194">
        <f t="shared" si="31"/>
        <v>16</v>
      </c>
    </row>
    <row r="377" spans="1:8">
      <c r="A377" s="190">
        <f t="shared" si="27"/>
        <v>16</v>
      </c>
      <c r="B377" s="193">
        <f t="shared" si="28"/>
        <v>25</v>
      </c>
      <c r="C377" s="190" cm="1">
        <f t="array" aca="1" ref="C377" ca="1">VALUE(LEFT(TRIM(INDIRECT("'" &amp; INT((ROW()-2)/24)+1 &amp; "號'!B" &amp; MOD(ROW()-2,24)+10)), 2))</f>
        <v>23</v>
      </c>
      <c r="D377" s="190">
        <f t="shared" ca="1" si="29"/>
        <v>7</v>
      </c>
      <c r="E377" s="190" cm="1">
        <f t="array" aca="1" ref="E377" ca="1">INDIRECT("'" &amp; A377 &amp; "號'!" &amp; ADDRESS(B377, D377))</f>
        <v>28</v>
      </c>
      <c r="F377" s="190">
        <f t="shared" ca="1" si="30"/>
        <v>0</v>
      </c>
      <c r="G377" s="190">
        <f ca="1">IF(F377=0, 0, IF(AND(F376=1, C377&lt;&gt;8, OR(C377=C376+1, AND(C376=23, C377=0))), G376, MAX($G$1:G376)+1))</f>
        <v>0</v>
      </c>
      <c r="H377" s="194">
        <f t="shared" si="31"/>
        <v>16</v>
      </c>
    </row>
    <row r="378" spans="1:8">
      <c r="A378" s="190">
        <f t="shared" si="27"/>
        <v>16</v>
      </c>
      <c r="B378" s="193">
        <f t="shared" si="28"/>
        <v>26</v>
      </c>
      <c r="C378" s="190" cm="1">
        <f t="array" aca="1" ref="C378" ca="1">VALUE(LEFT(TRIM(INDIRECT("'" &amp; INT((ROW()-2)/24)+1 &amp; "號'!B" &amp; MOD(ROW()-2,24)+10)), 2))</f>
        <v>0</v>
      </c>
      <c r="D378" s="190">
        <f t="shared" ca="1" si="29"/>
        <v>7</v>
      </c>
      <c r="E378" s="190" cm="1">
        <f t="array" aca="1" ref="E378" ca="1">INDIRECT("'" &amp; A378 &amp; "號'!" &amp; ADDRESS(B378, D378))</f>
        <v>2</v>
      </c>
      <c r="F378" s="190">
        <f t="shared" ca="1" si="30"/>
        <v>0</v>
      </c>
      <c r="G378" s="190">
        <f ca="1">IF(F378=0, 0, IF(AND(F377=1, C378&lt;&gt;8, OR(C378=C377+1, AND(C377=23, C378=0))), G377, MAX($G$1:G377)+1))</f>
        <v>0</v>
      </c>
      <c r="H378" s="194">
        <f t="shared" si="31"/>
        <v>16</v>
      </c>
    </row>
    <row r="379" spans="1:8">
      <c r="A379" s="190">
        <f t="shared" si="27"/>
        <v>16</v>
      </c>
      <c r="B379" s="193">
        <f t="shared" si="28"/>
        <v>27</v>
      </c>
      <c r="C379" s="190" cm="1">
        <f t="array" aca="1" ref="C379" ca="1">VALUE(LEFT(TRIM(INDIRECT("'" &amp; INT((ROW()-2)/24)+1 &amp; "號'!B" &amp; MOD(ROW()-2,24)+10)), 2))</f>
        <v>1</v>
      </c>
      <c r="D379" s="190">
        <f t="shared" ca="1" si="29"/>
        <v>7</v>
      </c>
      <c r="E379" s="190" cm="1">
        <f t="array" aca="1" ref="E379" ca="1">INDIRECT("'" &amp; A379 &amp; "號'!" &amp; ADDRESS(B379, D379))</f>
        <v>2</v>
      </c>
      <c r="F379" s="190">
        <f t="shared" ca="1" si="30"/>
        <v>0</v>
      </c>
      <c r="G379" s="190">
        <f ca="1">IF(F379=0, 0, IF(AND(F378=1, C379&lt;&gt;8, OR(C379=C378+1, AND(C378=23, C379=0))), G378, MAX($G$1:G378)+1))</f>
        <v>0</v>
      </c>
      <c r="H379" s="194">
        <f t="shared" si="31"/>
        <v>16</v>
      </c>
    </row>
    <row r="380" spans="1:8">
      <c r="A380" s="190">
        <f t="shared" si="27"/>
        <v>16</v>
      </c>
      <c r="B380" s="193">
        <f t="shared" si="28"/>
        <v>28</v>
      </c>
      <c r="C380" s="190" cm="1">
        <f t="array" aca="1" ref="C380" ca="1">VALUE(LEFT(TRIM(INDIRECT("'" &amp; INT((ROW()-2)/24)+1 &amp; "號'!B" &amp; MOD(ROW()-2,24)+10)), 2))</f>
        <v>2</v>
      </c>
      <c r="D380" s="190">
        <f t="shared" ca="1" si="29"/>
        <v>7</v>
      </c>
      <c r="E380" s="190" t="str" cm="1">
        <f t="array" aca="1" ref="E380" ca="1">INDIRECT("'" &amp; A380 &amp; "號'!" &amp; ADDRESS(B380, D380))</f>
        <v/>
      </c>
      <c r="F380" s="190">
        <f t="shared" ca="1" si="30"/>
        <v>0</v>
      </c>
      <c r="G380" s="190">
        <f ca="1">IF(F380=0, 0, IF(AND(F379=1, C380&lt;&gt;8, OR(C380=C379+1, AND(C379=23, C380=0))), G379, MAX($G$1:G379)+1))</f>
        <v>0</v>
      </c>
      <c r="H380" s="194">
        <f t="shared" si="31"/>
        <v>16</v>
      </c>
    </row>
    <row r="381" spans="1:8">
      <c r="A381" s="190">
        <f t="shared" si="27"/>
        <v>16</v>
      </c>
      <c r="B381" s="193">
        <f t="shared" si="28"/>
        <v>29</v>
      </c>
      <c r="C381" s="190" cm="1">
        <f t="array" aca="1" ref="C381" ca="1">VALUE(LEFT(TRIM(INDIRECT("'" &amp; INT((ROW()-2)/24)+1 &amp; "號'!B" &amp; MOD(ROW()-2,24)+10)), 2))</f>
        <v>3</v>
      </c>
      <c r="D381" s="190">
        <f t="shared" ca="1" si="29"/>
        <v>7</v>
      </c>
      <c r="E381" s="190" t="str" cm="1">
        <f t="array" aca="1" ref="E381" ca="1">INDIRECT("'" &amp; A381 &amp; "號'!" &amp; ADDRESS(B381, D381))</f>
        <v/>
      </c>
      <c r="F381" s="190">
        <f t="shared" ca="1" si="30"/>
        <v>0</v>
      </c>
      <c r="G381" s="190">
        <f ca="1">IF(F381=0, 0, IF(AND(F380=1, C381&lt;&gt;8, OR(C381=C380+1, AND(C380=23, C381=0))), G380, MAX($G$1:G380)+1))</f>
        <v>0</v>
      </c>
      <c r="H381" s="194">
        <f t="shared" si="31"/>
        <v>16</v>
      </c>
    </row>
    <row r="382" spans="1:8">
      <c r="A382" s="190">
        <f t="shared" si="27"/>
        <v>16</v>
      </c>
      <c r="B382" s="193">
        <f t="shared" si="28"/>
        <v>30</v>
      </c>
      <c r="C382" s="190" cm="1">
        <f t="array" aca="1" ref="C382" ca="1">VALUE(LEFT(TRIM(INDIRECT("'" &amp; INT((ROW()-2)/24)+1 &amp; "號'!B" &amp; MOD(ROW()-2,24)+10)), 2))</f>
        <v>4</v>
      </c>
      <c r="D382" s="190">
        <f t="shared" ca="1" si="29"/>
        <v>7</v>
      </c>
      <c r="E382" s="190" t="str" cm="1">
        <f t="array" aca="1" ref="E382" ca="1">INDIRECT("'" &amp; A382 &amp; "號'!" &amp; ADDRESS(B382, D382))</f>
        <v/>
      </c>
      <c r="F382" s="190">
        <f t="shared" ca="1" si="30"/>
        <v>0</v>
      </c>
      <c r="G382" s="190">
        <f ca="1">IF(F382=0, 0, IF(AND(F381=1, C382&lt;&gt;8, OR(C382=C381+1, AND(C381=23, C382=0))), G381, MAX($G$1:G381)+1))</f>
        <v>0</v>
      </c>
      <c r="H382" s="194">
        <f t="shared" si="31"/>
        <v>16</v>
      </c>
    </row>
    <row r="383" spans="1:8">
      <c r="A383" s="190">
        <f t="shared" si="27"/>
        <v>16</v>
      </c>
      <c r="B383" s="193">
        <f t="shared" si="28"/>
        <v>31</v>
      </c>
      <c r="C383" s="190" cm="1">
        <f t="array" aca="1" ref="C383" ca="1">VALUE(LEFT(TRIM(INDIRECT("'" &amp; INT((ROW()-2)/24)+1 &amp; "號'!B" &amp; MOD(ROW()-2,24)+10)), 2))</f>
        <v>5</v>
      </c>
      <c r="D383" s="190">
        <f t="shared" ca="1" si="29"/>
        <v>7</v>
      </c>
      <c r="E383" s="190" t="str" cm="1">
        <f t="array" aca="1" ref="E383" ca="1">INDIRECT("'" &amp; A383 &amp; "號'!" &amp; ADDRESS(B383, D383))</f>
        <v/>
      </c>
      <c r="F383" s="190">
        <f t="shared" ca="1" si="30"/>
        <v>0</v>
      </c>
      <c r="G383" s="190">
        <f ca="1">IF(F383=0, 0, IF(AND(F382=1, C383&lt;&gt;8, OR(C383=C382+1, AND(C382=23, C383=0))), G382, MAX($G$1:G382)+1))</f>
        <v>0</v>
      </c>
      <c r="H383" s="194">
        <f t="shared" si="31"/>
        <v>16</v>
      </c>
    </row>
    <row r="384" spans="1:8">
      <c r="A384" s="190">
        <f t="shared" si="27"/>
        <v>16</v>
      </c>
      <c r="B384" s="193">
        <f t="shared" si="28"/>
        <v>32</v>
      </c>
      <c r="C384" s="190" cm="1">
        <f t="array" aca="1" ref="C384" ca="1">VALUE(LEFT(TRIM(INDIRECT("'" &amp; INT((ROW()-2)/24)+1 &amp; "號'!B" &amp; MOD(ROW()-2,24)+10)), 2))</f>
        <v>6</v>
      </c>
      <c r="D384" s="190">
        <f t="shared" ca="1" si="29"/>
        <v>7</v>
      </c>
      <c r="E384" s="190" t="str" cm="1">
        <f t="array" aca="1" ref="E384" ca="1">INDIRECT("'" &amp; A384 &amp; "號'!" &amp; ADDRESS(B384, D384))</f>
        <v>25,4</v>
      </c>
      <c r="F384" s="190">
        <f t="shared" ca="1" si="30"/>
        <v>0</v>
      </c>
      <c r="G384" s="190">
        <f ca="1">IF(F384=0, 0, IF(AND(F383=1, C384&lt;&gt;8, OR(C384=C383+1, AND(C383=23, C384=0))), G383, MAX($G$1:G383)+1))</f>
        <v>0</v>
      </c>
      <c r="H384" s="194">
        <f t="shared" si="31"/>
        <v>16</v>
      </c>
    </row>
    <row r="385" spans="1:8">
      <c r="A385" s="190">
        <f t="shared" si="27"/>
        <v>16</v>
      </c>
      <c r="B385" s="193">
        <f t="shared" si="28"/>
        <v>33</v>
      </c>
      <c r="C385" s="190" cm="1">
        <f t="array" aca="1" ref="C385" ca="1">VALUE(LEFT(TRIM(INDIRECT("'" &amp; INT((ROW()-2)/24)+1 &amp; "號'!B" &amp; MOD(ROW()-2,24)+10)), 2))</f>
        <v>7</v>
      </c>
      <c r="D385" s="190">
        <f t="shared" ca="1" si="29"/>
        <v>7</v>
      </c>
      <c r="E385" s="190" t="str" cm="1">
        <f t="array" aca="1" ref="E385" ca="1">INDIRECT("'" &amp; A385 &amp; "號'!" &amp; ADDRESS(B385, D385))</f>
        <v>25,4</v>
      </c>
      <c r="F385" s="190">
        <f t="shared" ca="1" si="30"/>
        <v>0</v>
      </c>
      <c r="G385" s="190">
        <f ca="1">IF(F385=0, 0, IF(AND(F384=1, C385&lt;&gt;8, OR(C385=C384+1, AND(C384=23, C385=0))), G384, MAX($G$1:G384)+1))</f>
        <v>0</v>
      </c>
      <c r="H385" s="194">
        <f t="shared" si="31"/>
        <v>16</v>
      </c>
    </row>
    <row r="386" spans="1:8">
      <c r="A386" s="190">
        <f t="shared" si="27"/>
        <v>17</v>
      </c>
      <c r="B386" s="193">
        <f t="shared" si="28"/>
        <v>10</v>
      </c>
      <c r="C386" s="190" cm="1">
        <f t="array" aca="1" ref="C386" ca="1">VALUE(LEFT(TRIM(INDIRECT("'" &amp; INT((ROW()-2)/24)+1 &amp; "號'!B" &amp; MOD(ROW()-2,24)+10)), 2))</f>
        <v>8</v>
      </c>
      <c r="D386" s="190">
        <f t="shared" ca="1" si="29"/>
        <v>7</v>
      </c>
      <c r="E386" s="190" cm="1">
        <f t="array" aca="1" ref="E386" ca="1">INDIRECT("'" &amp; A386 &amp; "號'!" &amp; ADDRESS(B386, D386))</f>
        <v>0</v>
      </c>
      <c r="F386" s="190">
        <f t="shared" ca="1" si="30"/>
        <v>0</v>
      </c>
      <c r="G386" s="190">
        <f ca="1">IF(F386=0, 0, IF(AND(F385=1, C386&lt;&gt;8, OR(C386=C385+1, AND(C385=23, C386=0))), G385, MAX($G$1:G385)+1))</f>
        <v>0</v>
      </c>
      <c r="H386" s="194">
        <f t="shared" si="31"/>
        <v>17</v>
      </c>
    </row>
    <row r="387" spans="1:8">
      <c r="A387" s="190">
        <f t="shared" ref="A387:A450" si="32">INT((ROW()-2)/24)+1</f>
        <v>17</v>
      </c>
      <c r="B387" s="193">
        <f t="shared" ref="B387:B450" si="33">MOD(ROW()-2, 24)+10</f>
        <v>11</v>
      </c>
      <c r="C387" s="190" cm="1">
        <f t="array" aca="1" ref="C387" ca="1">VALUE(LEFT(TRIM(INDIRECT("'" &amp; INT((ROW()-2)/24)+1 &amp; "號'!B" &amp; MOD(ROW()-2,24)+10)), 2))</f>
        <v>9</v>
      </c>
      <c r="D387" s="190">
        <f t="shared" ref="D387:D450" ca="1" si="34">MAX(IFERROR(MATCH("*休息*", INDIRECT("'" &amp; A387 &amp; "號'!$5:$5"), 0), 0), IFERROR(MATCH("*休息*", INDIRECT("'" &amp; A387 &amp; "號'!$6:$6"), 0), 0), IFERROR(MATCH("*休息*", INDIRECT("'" &amp; A387 &amp; "號'!$7:$7"), 0), 0))</f>
        <v>7</v>
      </c>
      <c r="E387" s="190" cm="1">
        <f t="array" aca="1" ref="E387" ca="1">INDIRECT("'" &amp; A387 &amp; "號'!" &amp; ADDRESS(B387, D387))</f>
        <v>0</v>
      </c>
      <c r="F387" s="190">
        <f t="shared" ref="F387:F450" ca="1" si="35">IF(ISNUMBER(SEARCH(","&amp;$A$1&amp;",", ","&amp;SUBSTITUTE(SUBSTITUTE(E387," ",""),"，",",")&amp;",")), 1, 0)</f>
        <v>0</v>
      </c>
      <c r="G387" s="190">
        <f ca="1">IF(F387=0, 0, IF(AND(F386=1, C387&lt;&gt;8, OR(C387=C386+1, AND(C386=23, C387=0))), G386, MAX($G$1:G386)+1))</f>
        <v>0</v>
      </c>
      <c r="H387" s="194">
        <f t="shared" ref="H387:H450" si="36" xml:space="preserve"> A387</f>
        <v>17</v>
      </c>
    </row>
    <row r="388" spans="1:8">
      <c r="A388" s="190">
        <f t="shared" si="32"/>
        <v>17</v>
      </c>
      <c r="B388" s="193">
        <f t="shared" si="33"/>
        <v>12</v>
      </c>
      <c r="C388" s="190" cm="1">
        <f t="array" aca="1" ref="C388" ca="1">VALUE(LEFT(TRIM(INDIRECT("'" &amp; INT((ROW()-2)/24)+1 &amp; "號'!B" &amp; MOD(ROW()-2,24)+10)), 2))</f>
        <v>10</v>
      </c>
      <c r="D388" s="190">
        <f t="shared" ca="1" si="34"/>
        <v>7</v>
      </c>
      <c r="E388" s="190" cm="1">
        <f t="array" aca="1" ref="E388" ca="1">INDIRECT("'" &amp; A388 &amp; "號'!" &amp; ADDRESS(B388, D388))</f>
        <v>9</v>
      </c>
      <c r="F388" s="190">
        <f t="shared" ca="1" si="35"/>
        <v>0</v>
      </c>
      <c r="G388" s="190">
        <f ca="1">IF(F388=0, 0, IF(AND(F387=1, C388&lt;&gt;8, OR(C388=C387+1, AND(C387=23, C388=0))), G387, MAX($G$1:G387)+1))</f>
        <v>0</v>
      </c>
      <c r="H388" s="194">
        <f t="shared" si="36"/>
        <v>17</v>
      </c>
    </row>
    <row r="389" spans="1:8">
      <c r="A389" s="190">
        <f t="shared" si="32"/>
        <v>17</v>
      </c>
      <c r="B389" s="193">
        <f t="shared" si="33"/>
        <v>13</v>
      </c>
      <c r="C389" s="190" cm="1">
        <f t="array" aca="1" ref="C389" ca="1">VALUE(LEFT(TRIM(INDIRECT("'" &amp; INT((ROW()-2)/24)+1 &amp; "號'!B" &amp; MOD(ROW()-2,24)+10)), 2))</f>
        <v>11</v>
      </c>
      <c r="D389" s="190">
        <f t="shared" ca="1" si="34"/>
        <v>7</v>
      </c>
      <c r="E389" s="190" cm="1">
        <f t="array" aca="1" ref="E389" ca="1">INDIRECT("'" &amp; A389 &amp; "號'!" &amp; ADDRESS(B389, D389))</f>
        <v>9</v>
      </c>
      <c r="F389" s="190">
        <f t="shared" ca="1" si="35"/>
        <v>0</v>
      </c>
      <c r="G389" s="190">
        <f ca="1">IF(F389=0, 0, IF(AND(F388=1, C389&lt;&gt;8, OR(C389=C388+1, AND(C388=23, C389=0))), G388, MAX($G$1:G388)+1))</f>
        <v>0</v>
      </c>
      <c r="H389" s="194">
        <f t="shared" si="36"/>
        <v>17</v>
      </c>
    </row>
    <row r="390" spans="1:8">
      <c r="A390" s="190">
        <f t="shared" si="32"/>
        <v>17</v>
      </c>
      <c r="B390" s="193">
        <f t="shared" si="33"/>
        <v>14</v>
      </c>
      <c r="C390" s="190" cm="1">
        <f t="array" aca="1" ref="C390" ca="1">VALUE(LEFT(TRIM(INDIRECT("'" &amp; INT((ROW()-2)/24)+1 &amp; "號'!B" &amp; MOD(ROW()-2,24)+10)), 2))</f>
        <v>12</v>
      </c>
      <c r="D390" s="190">
        <f t="shared" ca="1" si="34"/>
        <v>7</v>
      </c>
      <c r="E390" s="190" t="str" cm="1">
        <f t="array" aca="1" ref="E390" ca="1">INDIRECT("'" &amp; A390 &amp; "號'!" &amp; ADDRESS(B390, D390))</f>
        <v>16</v>
      </c>
      <c r="F390" s="190">
        <f t="shared" ca="1" si="35"/>
        <v>0</v>
      </c>
      <c r="G390" s="190">
        <f ca="1">IF(F390=0, 0, IF(AND(F389=1, C390&lt;&gt;8, OR(C390=C389+1, AND(C389=23, C390=0))), G389, MAX($G$1:G389)+1))</f>
        <v>0</v>
      </c>
      <c r="H390" s="194">
        <f t="shared" si="36"/>
        <v>17</v>
      </c>
    </row>
    <row r="391" spans="1:8">
      <c r="A391" s="190">
        <f t="shared" si="32"/>
        <v>17</v>
      </c>
      <c r="B391" s="193">
        <f t="shared" si="33"/>
        <v>15</v>
      </c>
      <c r="C391" s="190" cm="1">
        <f t="array" aca="1" ref="C391" ca="1">VALUE(LEFT(TRIM(INDIRECT("'" &amp; INT((ROW()-2)/24)+1 &amp; "號'!B" &amp; MOD(ROW()-2,24)+10)), 2))</f>
        <v>13</v>
      </c>
      <c r="D391" s="190">
        <f t="shared" ca="1" si="34"/>
        <v>7</v>
      </c>
      <c r="E391" s="190" t="str" cm="1">
        <f t="array" aca="1" ref="E391" ca="1">INDIRECT("'" &amp; A391 &amp; "號'!" &amp; ADDRESS(B391, D391))</f>
        <v>16</v>
      </c>
      <c r="F391" s="190">
        <f t="shared" ca="1" si="35"/>
        <v>0</v>
      </c>
      <c r="G391" s="190">
        <f ca="1">IF(F391=0, 0, IF(AND(F390=1, C391&lt;&gt;8, OR(C391=C390+1, AND(C390=23, C391=0))), G390, MAX($G$1:G390)+1))</f>
        <v>0</v>
      </c>
      <c r="H391" s="194">
        <f t="shared" si="36"/>
        <v>17</v>
      </c>
    </row>
    <row r="392" spans="1:8">
      <c r="A392" s="190">
        <f t="shared" si="32"/>
        <v>17</v>
      </c>
      <c r="B392" s="193">
        <f t="shared" si="33"/>
        <v>16</v>
      </c>
      <c r="C392" s="190" cm="1">
        <f t="array" aca="1" ref="C392" ca="1">VALUE(LEFT(TRIM(INDIRECT("'" &amp; INT((ROW()-2)/24)+1 &amp; "號'!B" &amp; MOD(ROW()-2,24)+10)), 2))</f>
        <v>14</v>
      </c>
      <c r="D392" s="190">
        <f t="shared" ca="1" si="34"/>
        <v>7</v>
      </c>
      <c r="E392" s="190" cm="1">
        <f t="array" aca="1" ref="E392" ca="1">INDIRECT("'" &amp; A392 &amp; "號'!" &amp; ADDRESS(B392, D392))</f>
        <v>1</v>
      </c>
      <c r="F392" s="190">
        <f t="shared" ca="1" si="35"/>
        <v>0</v>
      </c>
      <c r="G392" s="190">
        <f ca="1">IF(F392=0, 0, IF(AND(F391=1, C392&lt;&gt;8, OR(C392=C391+1, AND(C391=23, C392=0))), G391, MAX($G$1:G391)+1))</f>
        <v>0</v>
      </c>
      <c r="H392" s="194">
        <f t="shared" si="36"/>
        <v>17</v>
      </c>
    </row>
    <row r="393" spans="1:8">
      <c r="A393" s="190">
        <f t="shared" si="32"/>
        <v>17</v>
      </c>
      <c r="B393" s="193">
        <f t="shared" si="33"/>
        <v>17</v>
      </c>
      <c r="C393" s="190" cm="1">
        <f t="array" aca="1" ref="C393" ca="1">VALUE(LEFT(TRIM(INDIRECT("'" &amp; INT((ROW()-2)/24)+1 &amp; "號'!B" &amp; MOD(ROW()-2,24)+10)), 2))</f>
        <v>15</v>
      </c>
      <c r="D393" s="190">
        <f t="shared" ca="1" si="34"/>
        <v>7</v>
      </c>
      <c r="E393" s="190" cm="1">
        <f t="array" aca="1" ref="E393" ca="1">INDIRECT("'" &amp; A393 &amp; "號'!" &amp; ADDRESS(B393, D393))</f>
        <v>1</v>
      </c>
      <c r="F393" s="190">
        <f t="shared" ca="1" si="35"/>
        <v>0</v>
      </c>
      <c r="G393" s="190">
        <f ca="1">IF(F393=0, 0, IF(AND(F392=1, C393&lt;&gt;8, OR(C393=C392+1, AND(C392=23, C393=0))), G392, MAX($G$1:G392)+1))</f>
        <v>0</v>
      </c>
      <c r="H393" s="194">
        <f t="shared" si="36"/>
        <v>17</v>
      </c>
    </row>
    <row r="394" spans="1:8">
      <c r="A394" s="190">
        <f t="shared" si="32"/>
        <v>17</v>
      </c>
      <c r="B394" s="193">
        <f t="shared" si="33"/>
        <v>18</v>
      </c>
      <c r="C394" s="190" cm="1">
        <f t="array" aca="1" ref="C394" ca="1">VALUE(LEFT(TRIM(INDIRECT("'" &amp; INT((ROW()-2)/24)+1 &amp; "號'!B" &amp; MOD(ROW()-2,24)+10)), 2))</f>
        <v>16</v>
      </c>
      <c r="D394" s="190">
        <f t="shared" ca="1" si="34"/>
        <v>7</v>
      </c>
      <c r="E394" s="190" t="str" cm="1">
        <f t="array" aca="1" ref="E394" ca="1">INDIRECT("'" &amp; A394 &amp; "號'!" &amp; ADDRESS(B394, D394))</f>
        <v>7</v>
      </c>
      <c r="F394" s="190">
        <f t="shared" ca="1" si="35"/>
        <v>0</v>
      </c>
      <c r="G394" s="190">
        <f ca="1">IF(F394=0, 0, IF(AND(F393=1, C394&lt;&gt;8, OR(C394=C393+1, AND(C393=23, C394=0))), G393, MAX($G$1:G393)+1))</f>
        <v>0</v>
      </c>
      <c r="H394" s="194">
        <f t="shared" si="36"/>
        <v>17</v>
      </c>
    </row>
    <row r="395" spans="1:8">
      <c r="A395" s="190">
        <f t="shared" si="32"/>
        <v>17</v>
      </c>
      <c r="B395" s="193">
        <f t="shared" si="33"/>
        <v>19</v>
      </c>
      <c r="C395" s="190" cm="1">
        <f t="array" aca="1" ref="C395" ca="1">VALUE(LEFT(TRIM(INDIRECT("'" &amp; INT((ROW()-2)/24)+1 &amp; "號'!B" &amp; MOD(ROW()-2,24)+10)), 2))</f>
        <v>17</v>
      </c>
      <c r="D395" s="190">
        <f t="shared" ca="1" si="34"/>
        <v>7</v>
      </c>
      <c r="E395" s="190" t="str" cm="1">
        <f t="array" aca="1" ref="E395" ca="1">INDIRECT("'" &amp; A395 &amp; "號'!" &amp; ADDRESS(B395, D395))</f>
        <v>7</v>
      </c>
      <c r="F395" s="190">
        <f t="shared" ca="1" si="35"/>
        <v>0</v>
      </c>
      <c r="G395" s="190">
        <f ca="1">IF(F395=0, 0, IF(AND(F394=1, C395&lt;&gt;8, OR(C395=C394+1, AND(C394=23, C395=0))), G394, MAX($G$1:G394)+1))</f>
        <v>0</v>
      </c>
      <c r="H395" s="194">
        <f t="shared" si="36"/>
        <v>17</v>
      </c>
    </row>
    <row r="396" spans="1:8">
      <c r="A396" s="190">
        <f t="shared" si="32"/>
        <v>17</v>
      </c>
      <c r="B396" s="193">
        <f t="shared" si="33"/>
        <v>20</v>
      </c>
      <c r="C396" s="190" cm="1">
        <f t="array" aca="1" ref="C396" ca="1">VALUE(LEFT(TRIM(INDIRECT("'" &amp; INT((ROW()-2)/24)+1 &amp; "號'!B" &amp; MOD(ROW()-2,24)+10)), 2))</f>
        <v>18</v>
      </c>
      <c r="D396" s="190">
        <f t="shared" ca="1" si="34"/>
        <v>7</v>
      </c>
      <c r="E396" s="190" t="str" cm="1">
        <f t="array" aca="1" ref="E396" ca="1">INDIRECT("'" &amp; A396 &amp; "號'!" &amp; ADDRESS(B396, D396))</f>
        <v>18</v>
      </c>
      <c r="F396" s="190">
        <f t="shared" ca="1" si="35"/>
        <v>0</v>
      </c>
      <c r="G396" s="190">
        <f ca="1">IF(F396=0, 0, IF(AND(F395=1, C396&lt;&gt;8, OR(C396=C395+1, AND(C395=23, C396=0))), G395, MAX($G$1:G395)+1))</f>
        <v>0</v>
      </c>
      <c r="H396" s="194">
        <f t="shared" si="36"/>
        <v>17</v>
      </c>
    </row>
    <row r="397" spans="1:8">
      <c r="A397" s="190">
        <f t="shared" si="32"/>
        <v>17</v>
      </c>
      <c r="B397" s="193">
        <f t="shared" si="33"/>
        <v>21</v>
      </c>
      <c r="C397" s="190" cm="1">
        <f t="array" aca="1" ref="C397" ca="1">VALUE(LEFT(TRIM(INDIRECT("'" &amp; INT((ROW()-2)/24)+1 &amp; "號'!B" &amp; MOD(ROW()-2,24)+10)), 2))</f>
        <v>19</v>
      </c>
      <c r="D397" s="190">
        <f t="shared" ca="1" si="34"/>
        <v>7</v>
      </c>
      <c r="E397" s="190" t="str" cm="1">
        <f t="array" aca="1" ref="E397" ca="1">INDIRECT("'" &amp; A397 &amp; "號'!" &amp; ADDRESS(B397, D397))</f>
        <v>18</v>
      </c>
      <c r="F397" s="190">
        <f t="shared" ca="1" si="35"/>
        <v>0</v>
      </c>
      <c r="G397" s="190">
        <f ca="1">IF(F397=0, 0, IF(AND(F396=1, C397&lt;&gt;8, OR(C397=C396+1, AND(C396=23, C397=0))), G396, MAX($G$1:G396)+1))</f>
        <v>0</v>
      </c>
      <c r="H397" s="194">
        <f t="shared" si="36"/>
        <v>17</v>
      </c>
    </row>
    <row r="398" spans="1:8">
      <c r="A398" s="190">
        <f t="shared" si="32"/>
        <v>17</v>
      </c>
      <c r="B398" s="193">
        <f t="shared" si="33"/>
        <v>22</v>
      </c>
      <c r="C398" s="190" cm="1">
        <f t="array" aca="1" ref="C398" ca="1">VALUE(LEFT(TRIM(INDIRECT("'" &amp; INT((ROW()-2)/24)+1 &amp; "號'!B" &amp; MOD(ROW()-2,24)+10)), 2))</f>
        <v>20</v>
      </c>
      <c r="D398" s="190">
        <f t="shared" ca="1" si="34"/>
        <v>7</v>
      </c>
      <c r="E398" s="190" t="str" cm="1">
        <f t="array" aca="1" ref="E398" ca="1">INDIRECT("'" &amp; A398 &amp; "號'!" &amp; ADDRESS(B398, D398))</f>
        <v>25</v>
      </c>
      <c r="F398" s="190">
        <f t="shared" ca="1" si="35"/>
        <v>0</v>
      </c>
      <c r="G398" s="190">
        <f ca="1">IF(F398=0, 0, IF(AND(F397=1, C398&lt;&gt;8, OR(C398=C397+1, AND(C397=23, C398=0))), G397, MAX($G$1:G397)+1))</f>
        <v>0</v>
      </c>
      <c r="H398" s="194">
        <f t="shared" si="36"/>
        <v>17</v>
      </c>
    </row>
    <row r="399" spans="1:8">
      <c r="A399" s="190">
        <f t="shared" si="32"/>
        <v>17</v>
      </c>
      <c r="B399" s="193">
        <f t="shared" si="33"/>
        <v>23</v>
      </c>
      <c r="C399" s="190" cm="1">
        <f t="array" aca="1" ref="C399" ca="1">VALUE(LEFT(TRIM(INDIRECT("'" &amp; INT((ROW()-2)/24)+1 &amp; "號'!B" &amp; MOD(ROW()-2,24)+10)), 2))</f>
        <v>21</v>
      </c>
      <c r="D399" s="190">
        <f t="shared" ca="1" si="34"/>
        <v>7</v>
      </c>
      <c r="E399" s="190" t="str" cm="1">
        <f t="array" aca="1" ref="E399" ca="1">INDIRECT("'" &amp; A399 &amp; "號'!" &amp; ADDRESS(B399, D399))</f>
        <v>25</v>
      </c>
      <c r="F399" s="190">
        <f t="shared" ca="1" si="35"/>
        <v>0</v>
      </c>
      <c r="G399" s="190">
        <f ca="1">IF(F399=0, 0, IF(AND(F398=1, C399&lt;&gt;8, OR(C399=C398+1, AND(C398=23, C399=0))), G398, MAX($G$1:G398)+1))</f>
        <v>0</v>
      </c>
      <c r="H399" s="194">
        <f t="shared" si="36"/>
        <v>17</v>
      </c>
    </row>
    <row r="400" spans="1:8">
      <c r="A400" s="190">
        <f t="shared" si="32"/>
        <v>17</v>
      </c>
      <c r="B400" s="193">
        <f t="shared" si="33"/>
        <v>24</v>
      </c>
      <c r="C400" s="190" cm="1">
        <f t="array" aca="1" ref="C400" ca="1">VALUE(LEFT(TRIM(INDIRECT("'" &amp; INT((ROW()-2)/24)+1 &amp; "號'!B" &amp; MOD(ROW()-2,24)+10)), 2))</f>
        <v>22</v>
      </c>
      <c r="D400" s="190">
        <f t="shared" ca="1" si="34"/>
        <v>7</v>
      </c>
      <c r="E400" s="190" cm="1">
        <f t="array" aca="1" ref="E400" ca="1">INDIRECT("'" &amp; A400 &amp; "號'!" &amp; ADDRESS(B400, D400))</f>
        <v>10</v>
      </c>
      <c r="F400" s="190">
        <f t="shared" ca="1" si="35"/>
        <v>0</v>
      </c>
      <c r="G400" s="190">
        <f ca="1">IF(F400=0, 0, IF(AND(F399=1, C400&lt;&gt;8, OR(C400=C399+1, AND(C399=23, C400=0))), G399, MAX($G$1:G399)+1))</f>
        <v>0</v>
      </c>
      <c r="H400" s="194">
        <f t="shared" si="36"/>
        <v>17</v>
      </c>
    </row>
    <row r="401" spans="1:8">
      <c r="A401" s="190">
        <f t="shared" si="32"/>
        <v>17</v>
      </c>
      <c r="B401" s="193">
        <f t="shared" si="33"/>
        <v>25</v>
      </c>
      <c r="C401" s="190" cm="1">
        <f t="array" aca="1" ref="C401" ca="1">VALUE(LEFT(TRIM(INDIRECT("'" &amp; INT((ROW()-2)/24)+1 &amp; "號'!B" &amp; MOD(ROW()-2,24)+10)), 2))</f>
        <v>23</v>
      </c>
      <c r="D401" s="190">
        <f t="shared" ca="1" si="34"/>
        <v>7</v>
      </c>
      <c r="E401" s="190" cm="1">
        <f t="array" aca="1" ref="E401" ca="1">INDIRECT("'" &amp; A401 &amp; "號'!" &amp; ADDRESS(B401, D401))</f>
        <v>10</v>
      </c>
      <c r="F401" s="190">
        <f t="shared" ca="1" si="35"/>
        <v>0</v>
      </c>
      <c r="G401" s="190">
        <f ca="1">IF(F401=0, 0, IF(AND(F400=1, C401&lt;&gt;8, OR(C401=C400+1, AND(C400=23, C401=0))), G400, MAX($G$1:G400)+1))</f>
        <v>0</v>
      </c>
      <c r="H401" s="194">
        <f t="shared" si="36"/>
        <v>17</v>
      </c>
    </row>
    <row r="402" spans="1:8">
      <c r="A402" s="190">
        <f t="shared" si="32"/>
        <v>17</v>
      </c>
      <c r="B402" s="193">
        <f t="shared" si="33"/>
        <v>26</v>
      </c>
      <c r="C402" s="190" cm="1">
        <f t="array" aca="1" ref="C402" ca="1">VALUE(LEFT(TRIM(INDIRECT("'" &amp; INT((ROW()-2)/24)+1 &amp; "號'!B" &amp; MOD(ROW()-2,24)+10)), 2))</f>
        <v>0</v>
      </c>
      <c r="D402" s="190">
        <f t="shared" ca="1" si="34"/>
        <v>7</v>
      </c>
      <c r="E402" s="190" t="str" cm="1">
        <f t="array" aca="1" ref="E402" ca="1">INDIRECT("'" &amp; A402 &amp; "號'!" &amp; ADDRESS(B402, D402))</f>
        <v/>
      </c>
      <c r="F402" s="190">
        <f t="shared" ca="1" si="35"/>
        <v>0</v>
      </c>
      <c r="G402" s="190">
        <f ca="1">IF(F402=0, 0, IF(AND(F401=1, C402&lt;&gt;8, OR(C402=C401+1, AND(C401=23, C402=0))), G401, MAX($G$1:G401)+1))</f>
        <v>0</v>
      </c>
      <c r="H402" s="194">
        <f t="shared" si="36"/>
        <v>17</v>
      </c>
    </row>
    <row r="403" spans="1:8">
      <c r="A403" s="190">
        <f t="shared" si="32"/>
        <v>17</v>
      </c>
      <c r="B403" s="193">
        <f t="shared" si="33"/>
        <v>27</v>
      </c>
      <c r="C403" s="190" cm="1">
        <f t="array" aca="1" ref="C403" ca="1">VALUE(LEFT(TRIM(INDIRECT("'" &amp; INT((ROW()-2)/24)+1 &amp; "號'!B" &amp; MOD(ROW()-2,24)+10)), 2))</f>
        <v>1</v>
      </c>
      <c r="D403" s="190">
        <f t="shared" ca="1" si="34"/>
        <v>7</v>
      </c>
      <c r="E403" s="190" t="str" cm="1">
        <f t="array" aca="1" ref="E403" ca="1">INDIRECT("'" &amp; A403 &amp; "號'!" &amp; ADDRESS(B403, D403))</f>
        <v/>
      </c>
      <c r="F403" s="190">
        <f t="shared" ca="1" si="35"/>
        <v>0</v>
      </c>
      <c r="G403" s="190">
        <f ca="1">IF(F403=0, 0, IF(AND(F402=1, C403&lt;&gt;8, OR(C403=C402+1, AND(C402=23, C403=0))), G402, MAX($G$1:G402)+1))</f>
        <v>0</v>
      </c>
      <c r="H403" s="194">
        <f t="shared" si="36"/>
        <v>17</v>
      </c>
    </row>
    <row r="404" spans="1:8">
      <c r="A404" s="190">
        <f t="shared" si="32"/>
        <v>17</v>
      </c>
      <c r="B404" s="193">
        <f t="shared" si="33"/>
        <v>28</v>
      </c>
      <c r="C404" s="190" cm="1">
        <f t="array" aca="1" ref="C404" ca="1">VALUE(LEFT(TRIM(INDIRECT("'" &amp; INT((ROW()-2)/24)+1 &amp; "號'!B" &amp; MOD(ROW()-2,24)+10)), 2))</f>
        <v>2</v>
      </c>
      <c r="D404" s="190">
        <f t="shared" ca="1" si="34"/>
        <v>7</v>
      </c>
      <c r="E404" s="190" t="str" cm="1">
        <f t="array" aca="1" ref="E404" ca="1">INDIRECT("'" &amp; A404 &amp; "號'!" &amp; ADDRESS(B404, D404))</f>
        <v/>
      </c>
      <c r="F404" s="190">
        <f t="shared" ca="1" si="35"/>
        <v>0</v>
      </c>
      <c r="G404" s="190">
        <f ca="1">IF(F404=0, 0, IF(AND(F403=1, C404&lt;&gt;8, OR(C404=C403+1, AND(C403=23, C404=0))), G403, MAX($G$1:G403)+1))</f>
        <v>0</v>
      </c>
      <c r="H404" s="194">
        <f t="shared" si="36"/>
        <v>17</v>
      </c>
    </row>
    <row r="405" spans="1:8">
      <c r="A405" s="190">
        <f t="shared" si="32"/>
        <v>17</v>
      </c>
      <c r="B405" s="193">
        <f t="shared" si="33"/>
        <v>29</v>
      </c>
      <c r="C405" s="190" cm="1">
        <f t="array" aca="1" ref="C405" ca="1">VALUE(LEFT(TRIM(INDIRECT("'" &amp; INT((ROW()-2)/24)+1 &amp; "號'!B" &amp; MOD(ROW()-2,24)+10)), 2))</f>
        <v>3</v>
      </c>
      <c r="D405" s="190">
        <f t="shared" ca="1" si="34"/>
        <v>7</v>
      </c>
      <c r="E405" s="190" t="str" cm="1">
        <f t="array" aca="1" ref="E405" ca="1">INDIRECT("'" &amp; A405 &amp; "號'!" &amp; ADDRESS(B405, D405))</f>
        <v/>
      </c>
      <c r="F405" s="190">
        <f t="shared" ca="1" si="35"/>
        <v>0</v>
      </c>
      <c r="G405" s="190">
        <f ca="1">IF(F405=0, 0, IF(AND(F404=1, C405&lt;&gt;8, OR(C405=C404+1, AND(C404=23, C405=0))), G404, MAX($G$1:G404)+1))</f>
        <v>0</v>
      </c>
      <c r="H405" s="194">
        <f t="shared" si="36"/>
        <v>17</v>
      </c>
    </row>
    <row r="406" spans="1:8">
      <c r="A406" s="190">
        <f t="shared" si="32"/>
        <v>17</v>
      </c>
      <c r="B406" s="193">
        <f t="shared" si="33"/>
        <v>30</v>
      </c>
      <c r="C406" s="190" cm="1">
        <f t="array" aca="1" ref="C406" ca="1">VALUE(LEFT(TRIM(INDIRECT("'" &amp; INT((ROW()-2)/24)+1 &amp; "號'!B" &amp; MOD(ROW()-2,24)+10)), 2))</f>
        <v>4</v>
      </c>
      <c r="D406" s="190">
        <f t="shared" ca="1" si="34"/>
        <v>7</v>
      </c>
      <c r="E406" s="190" t="str" cm="1">
        <f t="array" aca="1" ref="E406" ca="1">INDIRECT("'" &amp; A406 &amp; "號'!" &amp; ADDRESS(B406, D406))</f>
        <v/>
      </c>
      <c r="F406" s="190">
        <f t="shared" ca="1" si="35"/>
        <v>0</v>
      </c>
      <c r="G406" s="190">
        <f ca="1">IF(F406=0, 0, IF(AND(F405=1, C406&lt;&gt;8, OR(C406=C405+1, AND(C405=23, C406=0))), G405, MAX($G$1:G405)+1))</f>
        <v>0</v>
      </c>
      <c r="H406" s="194">
        <f t="shared" si="36"/>
        <v>17</v>
      </c>
    </row>
    <row r="407" spans="1:8">
      <c r="A407" s="190">
        <f t="shared" si="32"/>
        <v>17</v>
      </c>
      <c r="B407" s="193">
        <f t="shared" si="33"/>
        <v>31</v>
      </c>
      <c r="C407" s="190" cm="1">
        <f t="array" aca="1" ref="C407" ca="1">VALUE(LEFT(TRIM(INDIRECT("'" &amp; INT((ROW()-2)/24)+1 &amp; "號'!B" &amp; MOD(ROW()-2,24)+10)), 2))</f>
        <v>5</v>
      </c>
      <c r="D407" s="190">
        <f t="shared" ca="1" si="34"/>
        <v>7</v>
      </c>
      <c r="E407" s="190" t="str" cm="1">
        <f t="array" aca="1" ref="E407" ca="1">INDIRECT("'" &amp; A407 &amp; "號'!" &amp; ADDRESS(B407, D407))</f>
        <v/>
      </c>
      <c r="F407" s="190">
        <f t="shared" ca="1" si="35"/>
        <v>0</v>
      </c>
      <c r="G407" s="190">
        <f ca="1">IF(F407=0, 0, IF(AND(F406=1, C407&lt;&gt;8, OR(C407=C406+1, AND(C406=23, C407=0))), G406, MAX($G$1:G406)+1))</f>
        <v>0</v>
      </c>
      <c r="H407" s="194">
        <f t="shared" si="36"/>
        <v>17</v>
      </c>
    </row>
    <row r="408" spans="1:8">
      <c r="A408" s="190">
        <f t="shared" si="32"/>
        <v>17</v>
      </c>
      <c r="B408" s="193">
        <f t="shared" si="33"/>
        <v>32</v>
      </c>
      <c r="C408" s="190" cm="1">
        <f t="array" aca="1" ref="C408" ca="1">VALUE(LEFT(TRIM(INDIRECT("'" &amp; INT((ROW()-2)/24)+1 &amp; "號'!B" &amp; MOD(ROW()-2,24)+10)), 2))</f>
        <v>6</v>
      </c>
      <c r="D408" s="190">
        <f t="shared" ca="1" si="34"/>
        <v>7</v>
      </c>
      <c r="E408" s="190" t="str" cm="1">
        <f t="array" aca="1" ref="E408" ca="1">INDIRECT("'" &amp; A408 &amp; "號'!" &amp; ADDRESS(B408, D408))</f>
        <v>21,5</v>
      </c>
      <c r="F408" s="190">
        <f t="shared" ca="1" si="35"/>
        <v>0</v>
      </c>
      <c r="G408" s="190">
        <f ca="1">IF(F408=0, 0, IF(AND(F407=1, C408&lt;&gt;8, OR(C408=C407+1, AND(C407=23, C408=0))), G407, MAX($G$1:G407)+1))</f>
        <v>0</v>
      </c>
      <c r="H408" s="194">
        <f t="shared" si="36"/>
        <v>17</v>
      </c>
    </row>
    <row r="409" spans="1:8">
      <c r="A409" s="190">
        <f t="shared" si="32"/>
        <v>17</v>
      </c>
      <c r="B409" s="193">
        <f t="shared" si="33"/>
        <v>33</v>
      </c>
      <c r="C409" s="190" cm="1">
        <f t="array" aca="1" ref="C409" ca="1">VALUE(LEFT(TRIM(INDIRECT("'" &amp; INT((ROW()-2)/24)+1 &amp; "號'!B" &amp; MOD(ROW()-2,24)+10)), 2))</f>
        <v>7</v>
      </c>
      <c r="D409" s="190">
        <f t="shared" ca="1" si="34"/>
        <v>7</v>
      </c>
      <c r="E409" s="190" t="str" cm="1">
        <f t="array" aca="1" ref="E409" ca="1">INDIRECT("'" &amp; A409 &amp; "號'!" &amp; ADDRESS(B409, D409))</f>
        <v>21,5</v>
      </c>
      <c r="F409" s="190">
        <f t="shared" ca="1" si="35"/>
        <v>0</v>
      </c>
      <c r="G409" s="190">
        <f ca="1">IF(F409=0, 0, IF(AND(F408=1, C409&lt;&gt;8, OR(C409=C408+1, AND(C408=23, C409=0))), G408, MAX($G$1:G408)+1))</f>
        <v>0</v>
      </c>
      <c r="H409" s="194">
        <f t="shared" si="36"/>
        <v>17</v>
      </c>
    </row>
    <row r="410" spans="1:8">
      <c r="A410" s="190">
        <f t="shared" si="32"/>
        <v>18</v>
      </c>
      <c r="B410" s="193">
        <f t="shared" si="33"/>
        <v>10</v>
      </c>
      <c r="C410" s="190" cm="1">
        <f t="array" aca="1" ref="C410" ca="1">VALUE(LEFT(TRIM(INDIRECT("'" &amp; INT((ROW()-2)/24)+1 &amp; "號'!B" &amp; MOD(ROW()-2,24)+10)), 2))</f>
        <v>8</v>
      </c>
      <c r="D410" s="190">
        <f t="shared" ca="1" si="34"/>
        <v>7</v>
      </c>
      <c r="E410" s="190" t="str" cm="1">
        <f t="array" aca="1" ref="E410" ca="1">INDIRECT("'" &amp; A410 &amp; "號'!" &amp; ADDRESS(B410, D410))</f>
        <v>6,4</v>
      </c>
      <c r="F410" s="190">
        <f t="shared" ca="1" si="35"/>
        <v>0</v>
      </c>
      <c r="G410" s="190">
        <f ca="1">IF(F410=0, 0, IF(AND(F409=1, C410&lt;&gt;8, OR(C410=C409+1, AND(C409=23, C410=0))), G409, MAX($G$1:G409)+1))</f>
        <v>0</v>
      </c>
      <c r="H410" s="194">
        <f t="shared" si="36"/>
        <v>18</v>
      </c>
    </row>
    <row r="411" spans="1:8">
      <c r="A411" s="190">
        <f t="shared" si="32"/>
        <v>18</v>
      </c>
      <c r="B411" s="193">
        <f t="shared" si="33"/>
        <v>11</v>
      </c>
      <c r="C411" s="190" cm="1">
        <f t="array" aca="1" ref="C411" ca="1">VALUE(LEFT(TRIM(INDIRECT("'" &amp; INT((ROW()-2)/24)+1 &amp; "號'!B" &amp; MOD(ROW()-2,24)+10)), 2))</f>
        <v>9</v>
      </c>
      <c r="D411" s="190">
        <f t="shared" ca="1" si="34"/>
        <v>7</v>
      </c>
      <c r="E411" s="190" t="str" cm="1">
        <f t="array" aca="1" ref="E411" ca="1">INDIRECT("'" &amp; A411 &amp; "號'!" &amp; ADDRESS(B411, D411))</f>
        <v>6,4</v>
      </c>
      <c r="F411" s="190">
        <f t="shared" ca="1" si="35"/>
        <v>0</v>
      </c>
      <c r="G411" s="190">
        <f ca="1">IF(F411=0, 0, IF(AND(F410=1, C411&lt;&gt;8, OR(C411=C410+1, AND(C410=23, C411=0))), G410, MAX($G$1:G410)+1))</f>
        <v>0</v>
      </c>
      <c r="H411" s="194">
        <f t="shared" si="36"/>
        <v>18</v>
      </c>
    </row>
    <row r="412" spans="1:8">
      <c r="A412" s="190">
        <f t="shared" si="32"/>
        <v>18</v>
      </c>
      <c r="B412" s="193">
        <f t="shared" si="33"/>
        <v>12</v>
      </c>
      <c r="C412" s="190" cm="1">
        <f t="array" aca="1" ref="C412" ca="1">VALUE(LEFT(TRIM(INDIRECT("'" &amp; INT((ROW()-2)/24)+1 &amp; "號'!B" &amp; MOD(ROW()-2,24)+10)), 2))</f>
        <v>10</v>
      </c>
      <c r="D412" s="190">
        <f t="shared" ca="1" si="34"/>
        <v>7</v>
      </c>
      <c r="E412" s="190" cm="1">
        <f t="array" aca="1" ref="E412" ca="1">INDIRECT("'" &amp; A412 &amp; "號'!" &amp; ADDRESS(B412, D412))</f>
        <v>6</v>
      </c>
      <c r="F412" s="190">
        <f t="shared" ca="1" si="35"/>
        <v>0</v>
      </c>
      <c r="G412" s="190">
        <f ca="1">IF(F412=0, 0, IF(AND(F411=1, C412&lt;&gt;8, OR(C412=C411+1, AND(C411=23, C412=0))), G411, MAX($G$1:G411)+1))</f>
        <v>0</v>
      </c>
      <c r="H412" s="194">
        <f t="shared" si="36"/>
        <v>18</v>
      </c>
    </row>
    <row r="413" spans="1:8">
      <c r="A413" s="190">
        <f t="shared" si="32"/>
        <v>18</v>
      </c>
      <c r="B413" s="193">
        <f t="shared" si="33"/>
        <v>13</v>
      </c>
      <c r="C413" s="190" cm="1">
        <f t="array" aca="1" ref="C413" ca="1">VALUE(LEFT(TRIM(INDIRECT("'" &amp; INT((ROW()-2)/24)+1 &amp; "號'!B" &amp; MOD(ROW()-2,24)+10)), 2))</f>
        <v>11</v>
      </c>
      <c r="D413" s="190">
        <f t="shared" ca="1" si="34"/>
        <v>7</v>
      </c>
      <c r="E413" s="190" cm="1">
        <f t="array" aca="1" ref="E413" ca="1">INDIRECT("'" &amp; A413 &amp; "號'!" &amp; ADDRESS(B413, D413))</f>
        <v>6</v>
      </c>
      <c r="F413" s="190">
        <f t="shared" ca="1" si="35"/>
        <v>0</v>
      </c>
      <c r="G413" s="190">
        <f ca="1">IF(F413=0, 0, IF(AND(F412=1, C413&lt;&gt;8, OR(C413=C412+1, AND(C412=23, C413=0))), G412, MAX($G$1:G412)+1))</f>
        <v>0</v>
      </c>
      <c r="H413" s="194">
        <f t="shared" si="36"/>
        <v>18</v>
      </c>
    </row>
    <row r="414" spans="1:8">
      <c r="A414" s="190">
        <f t="shared" si="32"/>
        <v>18</v>
      </c>
      <c r="B414" s="193">
        <f t="shared" si="33"/>
        <v>14</v>
      </c>
      <c r="C414" s="190" cm="1">
        <f t="array" aca="1" ref="C414" ca="1">VALUE(LEFT(TRIM(INDIRECT("'" &amp; INT((ROW()-2)/24)+1 &amp; "號'!B" &amp; MOD(ROW()-2,24)+10)), 2))</f>
        <v>12</v>
      </c>
      <c r="D414" s="190">
        <f t="shared" ca="1" si="34"/>
        <v>7</v>
      </c>
      <c r="E414" s="190" t="str" cm="1">
        <f t="array" aca="1" ref="E414" ca="1">INDIRECT("'" &amp; A414 &amp; "號'!" &amp; ADDRESS(B414, D414))</f>
        <v>23</v>
      </c>
      <c r="F414" s="190">
        <f t="shared" ca="1" si="35"/>
        <v>0</v>
      </c>
      <c r="G414" s="190">
        <f ca="1">IF(F414=0, 0, IF(AND(F413=1, C414&lt;&gt;8, OR(C414=C413+1, AND(C413=23, C414=0))), G413, MAX($G$1:G413)+1))</f>
        <v>0</v>
      </c>
      <c r="H414" s="194">
        <f t="shared" si="36"/>
        <v>18</v>
      </c>
    </row>
    <row r="415" spans="1:8">
      <c r="A415" s="190">
        <f t="shared" si="32"/>
        <v>18</v>
      </c>
      <c r="B415" s="193">
        <f t="shared" si="33"/>
        <v>15</v>
      </c>
      <c r="C415" s="190" cm="1">
        <f t="array" aca="1" ref="C415" ca="1">VALUE(LEFT(TRIM(INDIRECT("'" &amp; INT((ROW()-2)/24)+1 &amp; "號'!B" &amp; MOD(ROW()-2,24)+10)), 2))</f>
        <v>13</v>
      </c>
      <c r="D415" s="190">
        <f t="shared" ca="1" si="34"/>
        <v>7</v>
      </c>
      <c r="E415" s="190" t="str" cm="1">
        <f t="array" aca="1" ref="E415" ca="1">INDIRECT("'" &amp; A415 &amp; "號'!" &amp; ADDRESS(B415, D415))</f>
        <v>23</v>
      </c>
      <c r="F415" s="190">
        <f t="shared" ca="1" si="35"/>
        <v>0</v>
      </c>
      <c r="G415" s="190">
        <f ca="1">IF(F415=0, 0, IF(AND(F414=1, C415&lt;&gt;8, OR(C415=C414+1, AND(C414=23, C415=0))), G414, MAX($G$1:G414)+1))</f>
        <v>0</v>
      </c>
      <c r="H415" s="194">
        <f t="shared" si="36"/>
        <v>18</v>
      </c>
    </row>
    <row r="416" spans="1:8">
      <c r="A416" s="190">
        <f t="shared" si="32"/>
        <v>18</v>
      </c>
      <c r="B416" s="193">
        <f t="shared" si="33"/>
        <v>16</v>
      </c>
      <c r="C416" s="190" cm="1">
        <f t="array" aca="1" ref="C416" ca="1">VALUE(LEFT(TRIM(INDIRECT("'" &amp; INT((ROW()-2)/24)+1 &amp; "號'!B" &amp; MOD(ROW()-2,24)+10)), 2))</f>
        <v>14</v>
      </c>
      <c r="D416" s="190">
        <f t="shared" ca="1" si="34"/>
        <v>7</v>
      </c>
      <c r="E416" s="190" cm="1">
        <f t="array" aca="1" ref="E416" ca="1">INDIRECT("'" &amp; A416 &amp; "號'!" &amp; ADDRESS(B416, D416))</f>
        <v>19</v>
      </c>
      <c r="F416" s="190">
        <f t="shared" ca="1" si="35"/>
        <v>0</v>
      </c>
      <c r="G416" s="190">
        <f ca="1">IF(F416=0, 0, IF(AND(F415=1, C416&lt;&gt;8, OR(C416=C415+1, AND(C415=23, C416=0))), G415, MAX($G$1:G415)+1))</f>
        <v>0</v>
      </c>
      <c r="H416" s="194">
        <f t="shared" si="36"/>
        <v>18</v>
      </c>
    </row>
    <row r="417" spans="1:8">
      <c r="A417" s="190">
        <f t="shared" si="32"/>
        <v>18</v>
      </c>
      <c r="B417" s="193">
        <f t="shared" si="33"/>
        <v>17</v>
      </c>
      <c r="C417" s="190" cm="1">
        <f t="array" aca="1" ref="C417" ca="1">VALUE(LEFT(TRIM(INDIRECT("'" &amp; INT((ROW()-2)/24)+1 &amp; "號'!B" &amp; MOD(ROW()-2,24)+10)), 2))</f>
        <v>15</v>
      </c>
      <c r="D417" s="190">
        <f t="shared" ca="1" si="34"/>
        <v>7</v>
      </c>
      <c r="E417" s="190" cm="1">
        <f t="array" aca="1" ref="E417" ca="1">INDIRECT("'" &amp; A417 &amp; "號'!" &amp; ADDRESS(B417, D417))</f>
        <v>19</v>
      </c>
      <c r="F417" s="190">
        <f t="shared" ca="1" si="35"/>
        <v>0</v>
      </c>
      <c r="G417" s="190">
        <f ca="1">IF(F417=0, 0, IF(AND(F416=1, C417&lt;&gt;8, OR(C417=C416+1, AND(C416=23, C417=0))), G416, MAX($G$1:G416)+1))</f>
        <v>0</v>
      </c>
      <c r="H417" s="194">
        <f t="shared" si="36"/>
        <v>18</v>
      </c>
    </row>
    <row r="418" spans="1:8">
      <c r="A418" s="190">
        <f t="shared" si="32"/>
        <v>18</v>
      </c>
      <c r="B418" s="193">
        <f t="shared" si="33"/>
        <v>18</v>
      </c>
      <c r="C418" s="190" cm="1">
        <f t="array" aca="1" ref="C418" ca="1">VALUE(LEFT(TRIM(INDIRECT("'" &amp; INT((ROW()-2)/24)+1 &amp; "號'!B" &amp; MOD(ROW()-2,24)+10)), 2))</f>
        <v>16</v>
      </c>
      <c r="D418" s="190">
        <f t="shared" ca="1" si="34"/>
        <v>7</v>
      </c>
      <c r="E418" s="190" t="str" cm="1">
        <f t="array" aca="1" ref="E418" ca="1">INDIRECT("'" &amp; A418 &amp; "號'!" &amp; ADDRESS(B418, D418))</f>
        <v>28</v>
      </c>
      <c r="F418" s="190">
        <f t="shared" ca="1" si="35"/>
        <v>0</v>
      </c>
      <c r="G418" s="190">
        <f ca="1">IF(F418=0, 0, IF(AND(F417=1, C418&lt;&gt;8, OR(C418=C417+1, AND(C417=23, C418=0))), G417, MAX($G$1:G417)+1))</f>
        <v>0</v>
      </c>
      <c r="H418" s="194">
        <f t="shared" si="36"/>
        <v>18</v>
      </c>
    </row>
    <row r="419" spans="1:8">
      <c r="A419" s="190">
        <f t="shared" si="32"/>
        <v>18</v>
      </c>
      <c r="B419" s="193">
        <f t="shared" si="33"/>
        <v>19</v>
      </c>
      <c r="C419" s="190" cm="1">
        <f t="array" aca="1" ref="C419" ca="1">VALUE(LEFT(TRIM(INDIRECT("'" &amp; INT((ROW()-2)/24)+1 &amp; "號'!B" &amp; MOD(ROW()-2,24)+10)), 2))</f>
        <v>17</v>
      </c>
      <c r="D419" s="190">
        <f t="shared" ca="1" si="34"/>
        <v>7</v>
      </c>
      <c r="E419" s="190" t="str" cm="1">
        <f t="array" aca="1" ref="E419" ca="1">INDIRECT("'" &amp; A419 &amp; "號'!" &amp; ADDRESS(B419, D419))</f>
        <v>28</v>
      </c>
      <c r="F419" s="190">
        <f t="shared" ca="1" si="35"/>
        <v>0</v>
      </c>
      <c r="G419" s="190">
        <f ca="1">IF(F419=0, 0, IF(AND(F418=1, C419&lt;&gt;8, OR(C419=C418+1, AND(C418=23, C419=0))), G418, MAX($G$1:G418)+1))</f>
        <v>0</v>
      </c>
      <c r="H419" s="194">
        <f t="shared" si="36"/>
        <v>18</v>
      </c>
    </row>
    <row r="420" spans="1:8">
      <c r="A420" s="190">
        <f t="shared" si="32"/>
        <v>18</v>
      </c>
      <c r="B420" s="193">
        <f t="shared" si="33"/>
        <v>20</v>
      </c>
      <c r="C420" s="190" cm="1">
        <f t="array" aca="1" ref="C420" ca="1">VALUE(LEFT(TRIM(INDIRECT("'" &amp; INT((ROW()-2)/24)+1 &amp; "號'!B" &amp; MOD(ROW()-2,24)+10)), 2))</f>
        <v>18</v>
      </c>
      <c r="D420" s="190">
        <f t="shared" ca="1" si="34"/>
        <v>7</v>
      </c>
      <c r="E420" s="190" t="str" cm="1">
        <f t="array" aca="1" ref="E420" ca="1">INDIRECT("'" &amp; A420 &amp; "號'!" &amp; ADDRESS(B420, D420))</f>
        <v>16</v>
      </c>
      <c r="F420" s="190">
        <f t="shared" ca="1" si="35"/>
        <v>0</v>
      </c>
      <c r="G420" s="190">
        <f ca="1">IF(F420=0, 0, IF(AND(F419=1, C420&lt;&gt;8, OR(C420=C419+1, AND(C419=23, C420=0))), G419, MAX($G$1:G419)+1))</f>
        <v>0</v>
      </c>
      <c r="H420" s="194">
        <f t="shared" si="36"/>
        <v>18</v>
      </c>
    </row>
    <row r="421" spans="1:8">
      <c r="A421" s="190">
        <f t="shared" si="32"/>
        <v>18</v>
      </c>
      <c r="B421" s="193">
        <f t="shared" si="33"/>
        <v>21</v>
      </c>
      <c r="C421" s="190" cm="1">
        <f t="array" aca="1" ref="C421" ca="1">VALUE(LEFT(TRIM(INDIRECT("'" &amp; INT((ROW()-2)/24)+1 &amp; "號'!B" &amp; MOD(ROW()-2,24)+10)), 2))</f>
        <v>19</v>
      </c>
      <c r="D421" s="190">
        <f t="shared" ca="1" si="34"/>
        <v>7</v>
      </c>
      <c r="E421" s="190" t="str" cm="1">
        <f t="array" aca="1" ref="E421" ca="1">INDIRECT("'" &amp; A421 &amp; "號'!" &amp; ADDRESS(B421, D421))</f>
        <v>16</v>
      </c>
      <c r="F421" s="190">
        <f t="shared" ca="1" si="35"/>
        <v>0</v>
      </c>
      <c r="G421" s="190">
        <f ca="1">IF(F421=0, 0, IF(AND(F420=1, C421&lt;&gt;8, OR(C421=C420+1, AND(C420=23, C421=0))), G420, MAX($G$1:G420)+1))</f>
        <v>0</v>
      </c>
      <c r="H421" s="194">
        <f t="shared" si="36"/>
        <v>18</v>
      </c>
    </row>
    <row r="422" spans="1:8">
      <c r="A422" s="190">
        <f t="shared" si="32"/>
        <v>18</v>
      </c>
      <c r="B422" s="193">
        <f t="shared" si="33"/>
        <v>22</v>
      </c>
      <c r="C422" s="190" cm="1">
        <f t="array" aca="1" ref="C422" ca="1">VALUE(LEFT(TRIM(INDIRECT("'" &amp; INT((ROW()-2)/24)+1 &amp; "號'!B" &amp; MOD(ROW()-2,24)+10)), 2))</f>
        <v>20</v>
      </c>
      <c r="D422" s="190">
        <f t="shared" ca="1" si="34"/>
        <v>7</v>
      </c>
      <c r="E422" s="190" t="str" cm="1">
        <f t="array" aca="1" ref="E422" ca="1">INDIRECT("'" &amp; A422 &amp; "號'!" &amp; ADDRESS(B422, D422))</f>
        <v>18</v>
      </c>
      <c r="F422" s="190">
        <f t="shared" ca="1" si="35"/>
        <v>0</v>
      </c>
      <c r="G422" s="190">
        <f ca="1">IF(F422=0, 0, IF(AND(F421=1, C422&lt;&gt;8, OR(C422=C421+1, AND(C421=23, C422=0))), G421, MAX($G$1:G421)+1))</f>
        <v>0</v>
      </c>
      <c r="H422" s="194">
        <f t="shared" si="36"/>
        <v>18</v>
      </c>
    </row>
    <row r="423" spans="1:8">
      <c r="A423" s="190">
        <f t="shared" si="32"/>
        <v>18</v>
      </c>
      <c r="B423" s="193">
        <f t="shared" si="33"/>
        <v>23</v>
      </c>
      <c r="C423" s="190" cm="1">
        <f t="array" aca="1" ref="C423" ca="1">VALUE(LEFT(TRIM(INDIRECT("'" &amp; INT((ROW()-2)/24)+1 &amp; "號'!B" &amp; MOD(ROW()-2,24)+10)), 2))</f>
        <v>21</v>
      </c>
      <c r="D423" s="190">
        <f t="shared" ca="1" si="34"/>
        <v>7</v>
      </c>
      <c r="E423" s="190" t="str" cm="1">
        <f t="array" aca="1" ref="E423" ca="1">INDIRECT("'" &amp; A423 &amp; "號'!" &amp; ADDRESS(B423, D423))</f>
        <v>18</v>
      </c>
      <c r="F423" s="190">
        <f t="shared" ca="1" si="35"/>
        <v>0</v>
      </c>
      <c r="G423" s="190">
        <f ca="1">IF(F423=0, 0, IF(AND(F422=1, C423&lt;&gt;8, OR(C423=C422+1, AND(C422=23, C423=0))), G422, MAX($G$1:G422)+1))</f>
        <v>0</v>
      </c>
      <c r="H423" s="194">
        <f t="shared" si="36"/>
        <v>18</v>
      </c>
    </row>
    <row r="424" spans="1:8">
      <c r="A424" s="190">
        <f t="shared" si="32"/>
        <v>18</v>
      </c>
      <c r="B424" s="193">
        <f t="shared" si="33"/>
        <v>24</v>
      </c>
      <c r="C424" s="190" cm="1">
        <f t="array" aca="1" ref="C424" ca="1">VALUE(LEFT(TRIM(INDIRECT("'" &amp; INT((ROW()-2)/24)+1 &amp; "號'!B" &amp; MOD(ROW()-2,24)+10)), 2))</f>
        <v>22</v>
      </c>
      <c r="D424" s="190">
        <f t="shared" ca="1" si="34"/>
        <v>7</v>
      </c>
      <c r="E424" s="190" cm="1">
        <f t="array" aca="1" ref="E424" ca="1">INDIRECT("'" &amp; A424 &amp; "號'!" &amp; ADDRESS(B424, D424))</f>
        <v>3</v>
      </c>
      <c r="F424" s="190">
        <f t="shared" ca="1" si="35"/>
        <v>0</v>
      </c>
      <c r="G424" s="190">
        <f ca="1">IF(F424=0, 0, IF(AND(F423=1, C424&lt;&gt;8, OR(C424=C423+1, AND(C423=23, C424=0))), G423, MAX($G$1:G423)+1))</f>
        <v>0</v>
      </c>
      <c r="H424" s="194">
        <f t="shared" si="36"/>
        <v>18</v>
      </c>
    </row>
    <row r="425" spans="1:8">
      <c r="A425" s="190">
        <f t="shared" si="32"/>
        <v>18</v>
      </c>
      <c r="B425" s="193">
        <f t="shared" si="33"/>
        <v>25</v>
      </c>
      <c r="C425" s="190" cm="1">
        <f t="array" aca="1" ref="C425" ca="1">VALUE(LEFT(TRIM(INDIRECT("'" &amp; INT((ROW()-2)/24)+1 &amp; "號'!B" &amp; MOD(ROW()-2,24)+10)), 2))</f>
        <v>23</v>
      </c>
      <c r="D425" s="190">
        <f t="shared" ca="1" si="34"/>
        <v>7</v>
      </c>
      <c r="E425" s="190" cm="1">
        <f t="array" aca="1" ref="E425" ca="1">INDIRECT("'" &amp; A425 &amp; "號'!" &amp; ADDRESS(B425, D425))</f>
        <v>3</v>
      </c>
      <c r="F425" s="190">
        <f t="shared" ca="1" si="35"/>
        <v>0</v>
      </c>
      <c r="G425" s="190">
        <f ca="1">IF(F425=0, 0, IF(AND(F424=1, C425&lt;&gt;8, OR(C425=C424+1, AND(C424=23, C425=0))), G424, MAX($G$1:G424)+1))</f>
        <v>0</v>
      </c>
      <c r="H425" s="194">
        <f t="shared" si="36"/>
        <v>18</v>
      </c>
    </row>
    <row r="426" spans="1:8">
      <c r="A426" s="190">
        <f t="shared" si="32"/>
        <v>18</v>
      </c>
      <c r="B426" s="193">
        <f t="shared" si="33"/>
        <v>26</v>
      </c>
      <c r="C426" s="190" cm="1">
        <f t="array" aca="1" ref="C426" ca="1">VALUE(LEFT(TRIM(INDIRECT("'" &amp; INT((ROW()-2)/24)+1 &amp; "號'!B" &amp; MOD(ROW()-2,24)+10)), 2))</f>
        <v>0</v>
      </c>
      <c r="D426" s="190">
        <f t="shared" ca="1" si="34"/>
        <v>7</v>
      </c>
      <c r="E426" s="190" t="str" cm="1">
        <f t="array" aca="1" ref="E426" ca="1">INDIRECT("'" &amp; A426 &amp; "號'!" &amp; ADDRESS(B426, D426))</f>
        <v/>
      </c>
      <c r="F426" s="190">
        <f t="shared" ca="1" si="35"/>
        <v>0</v>
      </c>
      <c r="G426" s="190">
        <f ca="1">IF(F426=0, 0, IF(AND(F425=1, C426&lt;&gt;8, OR(C426=C425+1, AND(C425=23, C426=0))), G425, MAX($G$1:G425)+1))</f>
        <v>0</v>
      </c>
      <c r="H426" s="194">
        <f t="shared" si="36"/>
        <v>18</v>
      </c>
    </row>
    <row r="427" spans="1:8">
      <c r="A427" s="190">
        <f t="shared" si="32"/>
        <v>18</v>
      </c>
      <c r="B427" s="193">
        <f t="shared" si="33"/>
        <v>27</v>
      </c>
      <c r="C427" s="190" cm="1">
        <f t="array" aca="1" ref="C427" ca="1">VALUE(LEFT(TRIM(INDIRECT("'" &amp; INT((ROW()-2)/24)+1 &amp; "號'!B" &amp; MOD(ROW()-2,24)+10)), 2))</f>
        <v>1</v>
      </c>
      <c r="D427" s="190">
        <f t="shared" ca="1" si="34"/>
        <v>7</v>
      </c>
      <c r="E427" s="190" t="str" cm="1">
        <f t="array" aca="1" ref="E427" ca="1">INDIRECT("'" &amp; A427 &amp; "號'!" &amp; ADDRESS(B427, D427))</f>
        <v/>
      </c>
      <c r="F427" s="190">
        <f t="shared" ca="1" si="35"/>
        <v>0</v>
      </c>
      <c r="G427" s="190">
        <f ca="1">IF(F427=0, 0, IF(AND(F426=1, C427&lt;&gt;8, OR(C427=C426+1, AND(C426=23, C427=0))), G426, MAX($G$1:G426)+1))</f>
        <v>0</v>
      </c>
      <c r="H427" s="194">
        <f t="shared" si="36"/>
        <v>18</v>
      </c>
    </row>
    <row r="428" spans="1:8">
      <c r="A428" s="190">
        <f t="shared" si="32"/>
        <v>18</v>
      </c>
      <c r="B428" s="193">
        <f t="shared" si="33"/>
        <v>28</v>
      </c>
      <c r="C428" s="190" cm="1">
        <f t="array" aca="1" ref="C428" ca="1">VALUE(LEFT(TRIM(INDIRECT("'" &amp; INT((ROW()-2)/24)+1 &amp; "號'!B" &amp; MOD(ROW()-2,24)+10)), 2))</f>
        <v>2</v>
      </c>
      <c r="D428" s="190">
        <f t="shared" ca="1" si="34"/>
        <v>7</v>
      </c>
      <c r="E428" s="190" t="str" cm="1">
        <f t="array" aca="1" ref="E428" ca="1">INDIRECT("'" &amp; A428 &amp; "號'!" &amp; ADDRESS(B428, D428))</f>
        <v/>
      </c>
      <c r="F428" s="190">
        <f t="shared" ca="1" si="35"/>
        <v>0</v>
      </c>
      <c r="G428" s="190">
        <f ca="1">IF(F428=0, 0, IF(AND(F427=1, C428&lt;&gt;8, OR(C428=C427+1, AND(C427=23, C428=0))), G427, MAX($G$1:G427)+1))</f>
        <v>0</v>
      </c>
      <c r="H428" s="194">
        <f t="shared" si="36"/>
        <v>18</v>
      </c>
    </row>
    <row r="429" spans="1:8">
      <c r="A429" s="190">
        <f t="shared" si="32"/>
        <v>18</v>
      </c>
      <c r="B429" s="193">
        <f t="shared" si="33"/>
        <v>29</v>
      </c>
      <c r="C429" s="190" cm="1">
        <f t="array" aca="1" ref="C429" ca="1">VALUE(LEFT(TRIM(INDIRECT("'" &amp; INT((ROW()-2)/24)+1 &amp; "號'!B" &amp; MOD(ROW()-2,24)+10)), 2))</f>
        <v>3</v>
      </c>
      <c r="D429" s="190">
        <f t="shared" ca="1" si="34"/>
        <v>7</v>
      </c>
      <c r="E429" s="190" t="str" cm="1">
        <f t="array" aca="1" ref="E429" ca="1">INDIRECT("'" &amp; A429 &amp; "號'!" &amp; ADDRESS(B429, D429))</f>
        <v/>
      </c>
      <c r="F429" s="190">
        <f t="shared" ca="1" si="35"/>
        <v>0</v>
      </c>
      <c r="G429" s="190">
        <f ca="1">IF(F429=0, 0, IF(AND(F428=1, C429&lt;&gt;8, OR(C429=C428+1, AND(C428=23, C429=0))), G428, MAX($G$1:G428)+1))</f>
        <v>0</v>
      </c>
      <c r="H429" s="194">
        <f t="shared" si="36"/>
        <v>18</v>
      </c>
    </row>
    <row r="430" spans="1:8">
      <c r="A430" s="190">
        <f t="shared" si="32"/>
        <v>18</v>
      </c>
      <c r="B430" s="193">
        <f t="shared" si="33"/>
        <v>30</v>
      </c>
      <c r="C430" s="190" cm="1">
        <f t="array" aca="1" ref="C430" ca="1">VALUE(LEFT(TRIM(INDIRECT("'" &amp; INT((ROW()-2)/24)+1 &amp; "號'!B" &amp; MOD(ROW()-2,24)+10)), 2))</f>
        <v>4</v>
      </c>
      <c r="D430" s="190">
        <f t="shared" ca="1" si="34"/>
        <v>7</v>
      </c>
      <c r="E430" s="190" t="str" cm="1">
        <f t="array" aca="1" ref="E430" ca="1">INDIRECT("'" &amp; A430 &amp; "號'!" &amp; ADDRESS(B430, D430))</f>
        <v/>
      </c>
      <c r="F430" s="190">
        <f t="shared" ca="1" si="35"/>
        <v>0</v>
      </c>
      <c r="G430" s="190">
        <f ca="1">IF(F430=0, 0, IF(AND(F429=1, C430&lt;&gt;8, OR(C430=C429+1, AND(C429=23, C430=0))), G429, MAX($G$1:G429)+1))</f>
        <v>0</v>
      </c>
      <c r="H430" s="194">
        <f t="shared" si="36"/>
        <v>18</v>
      </c>
    </row>
    <row r="431" spans="1:8">
      <c r="A431" s="190">
        <f t="shared" si="32"/>
        <v>18</v>
      </c>
      <c r="B431" s="193">
        <f t="shared" si="33"/>
        <v>31</v>
      </c>
      <c r="C431" s="190" cm="1">
        <f t="array" aca="1" ref="C431" ca="1">VALUE(LEFT(TRIM(INDIRECT("'" &amp; INT((ROW()-2)/24)+1 &amp; "號'!B" &amp; MOD(ROW()-2,24)+10)), 2))</f>
        <v>5</v>
      </c>
      <c r="D431" s="190">
        <f t="shared" ca="1" si="34"/>
        <v>7</v>
      </c>
      <c r="E431" s="190" t="str" cm="1">
        <f t="array" aca="1" ref="E431" ca="1">INDIRECT("'" &amp; A431 &amp; "號'!" &amp; ADDRESS(B431, D431))</f>
        <v/>
      </c>
      <c r="F431" s="190">
        <f t="shared" ca="1" si="35"/>
        <v>0</v>
      </c>
      <c r="G431" s="190">
        <f ca="1">IF(F431=0, 0, IF(AND(F430=1, C431&lt;&gt;8, OR(C431=C430+1, AND(C430=23, C431=0))), G430, MAX($G$1:G430)+1))</f>
        <v>0</v>
      </c>
      <c r="H431" s="194">
        <f t="shared" si="36"/>
        <v>18</v>
      </c>
    </row>
    <row r="432" spans="1:8">
      <c r="A432" s="190">
        <f t="shared" si="32"/>
        <v>18</v>
      </c>
      <c r="B432" s="193">
        <f t="shared" si="33"/>
        <v>32</v>
      </c>
      <c r="C432" s="190" cm="1">
        <f t="array" aca="1" ref="C432" ca="1">VALUE(LEFT(TRIM(INDIRECT("'" &amp; INT((ROW()-2)/24)+1 &amp; "號'!B" &amp; MOD(ROW()-2,24)+10)), 2))</f>
        <v>6</v>
      </c>
      <c r="D432" s="190">
        <f t="shared" ca="1" si="34"/>
        <v>7</v>
      </c>
      <c r="E432" s="190" cm="1">
        <f t="array" aca="1" ref="E432" ca="1">INDIRECT("'" &amp; A432 &amp; "號'!" &amp; ADDRESS(B432, D432))</f>
        <v>15</v>
      </c>
      <c r="F432" s="190">
        <f t="shared" ca="1" si="35"/>
        <v>0</v>
      </c>
      <c r="G432" s="190">
        <f ca="1">IF(F432=0, 0, IF(AND(F431=1, C432&lt;&gt;8, OR(C432=C431+1, AND(C431=23, C432=0))), G431, MAX($G$1:G431)+1))</f>
        <v>0</v>
      </c>
      <c r="H432" s="194">
        <f t="shared" si="36"/>
        <v>18</v>
      </c>
    </row>
    <row r="433" spans="1:8">
      <c r="A433" s="190">
        <f t="shared" si="32"/>
        <v>18</v>
      </c>
      <c r="B433" s="193">
        <f t="shared" si="33"/>
        <v>33</v>
      </c>
      <c r="C433" s="190" cm="1">
        <f t="array" aca="1" ref="C433" ca="1">VALUE(LEFT(TRIM(INDIRECT("'" &amp; INT((ROW()-2)/24)+1 &amp; "號'!B" &amp; MOD(ROW()-2,24)+10)), 2))</f>
        <v>7</v>
      </c>
      <c r="D433" s="190">
        <f t="shared" ca="1" si="34"/>
        <v>7</v>
      </c>
      <c r="E433" s="190" cm="1">
        <f t="array" aca="1" ref="E433" ca="1">INDIRECT("'" &amp; A433 &amp; "號'!" &amp; ADDRESS(B433, D433))</f>
        <v>15</v>
      </c>
      <c r="F433" s="190">
        <f t="shared" ca="1" si="35"/>
        <v>0</v>
      </c>
      <c r="G433" s="190">
        <f ca="1">IF(F433=0, 0, IF(AND(F432=1, C433&lt;&gt;8, OR(C433=C432+1, AND(C432=23, C433=0))), G432, MAX($G$1:G432)+1))</f>
        <v>0</v>
      </c>
      <c r="H433" s="194">
        <f t="shared" si="36"/>
        <v>18</v>
      </c>
    </row>
    <row r="434" spans="1:8">
      <c r="A434" s="190">
        <f t="shared" si="32"/>
        <v>19</v>
      </c>
      <c r="B434" s="193">
        <f t="shared" si="33"/>
        <v>10</v>
      </c>
      <c r="C434" s="190" cm="1">
        <f t="array" aca="1" ref="C434" ca="1">VALUE(LEFT(TRIM(INDIRECT("'" &amp; INT((ROW()-2)/24)+1 &amp; "號'!B" &amp; MOD(ROW()-2,24)+10)), 2))</f>
        <v>8</v>
      </c>
      <c r="D434" s="190">
        <f t="shared" ca="1" si="34"/>
        <v>7</v>
      </c>
      <c r="E434" s="190" t="str" cm="1">
        <f t="array" aca="1" ref="E434" ca="1">INDIRECT("'" &amp; A434 &amp; "號'!" &amp; ADDRESS(B434, D434))</f>
        <v>1</v>
      </c>
      <c r="F434" s="190">
        <f t="shared" ca="1" si="35"/>
        <v>0</v>
      </c>
      <c r="G434" s="190">
        <f ca="1">IF(F434=0, 0, IF(AND(F433=1, C434&lt;&gt;8, OR(C434=C433+1, AND(C433=23, C434=0))), G433, MAX($G$1:G433)+1))</f>
        <v>0</v>
      </c>
      <c r="H434" s="194">
        <f t="shared" si="36"/>
        <v>19</v>
      </c>
    </row>
    <row r="435" spans="1:8">
      <c r="A435" s="190">
        <f t="shared" si="32"/>
        <v>19</v>
      </c>
      <c r="B435" s="193">
        <f t="shared" si="33"/>
        <v>11</v>
      </c>
      <c r="C435" s="190" cm="1">
        <f t="array" aca="1" ref="C435" ca="1">VALUE(LEFT(TRIM(INDIRECT("'" &amp; INT((ROW()-2)/24)+1 &amp; "號'!B" &amp; MOD(ROW()-2,24)+10)), 2))</f>
        <v>9</v>
      </c>
      <c r="D435" s="190">
        <f t="shared" ca="1" si="34"/>
        <v>7</v>
      </c>
      <c r="E435" s="190" t="str" cm="1">
        <f t="array" aca="1" ref="E435" ca="1">INDIRECT("'" &amp; A435 &amp; "號'!" &amp; ADDRESS(B435, D435))</f>
        <v>1</v>
      </c>
      <c r="F435" s="190">
        <f t="shared" ca="1" si="35"/>
        <v>0</v>
      </c>
      <c r="G435" s="190">
        <f ca="1">IF(F435=0, 0, IF(AND(F434=1, C435&lt;&gt;8, OR(C435=C434+1, AND(C434=23, C435=0))), G434, MAX($G$1:G434)+1))</f>
        <v>0</v>
      </c>
      <c r="H435" s="194">
        <f t="shared" si="36"/>
        <v>19</v>
      </c>
    </row>
    <row r="436" spans="1:8">
      <c r="A436" s="190">
        <f t="shared" si="32"/>
        <v>19</v>
      </c>
      <c r="B436" s="193">
        <f t="shared" si="33"/>
        <v>12</v>
      </c>
      <c r="C436" s="190" cm="1">
        <f t="array" aca="1" ref="C436" ca="1">VALUE(LEFT(TRIM(INDIRECT("'" &amp; INT((ROW()-2)/24)+1 &amp; "號'!B" &amp; MOD(ROW()-2,24)+10)), 2))</f>
        <v>10</v>
      </c>
      <c r="D436" s="190">
        <f t="shared" ca="1" si="34"/>
        <v>7</v>
      </c>
      <c r="E436" s="190" t="str" cm="1">
        <f t="array" aca="1" ref="E436" ca="1">INDIRECT("'" &amp; A436 &amp; "號'!" &amp; ADDRESS(B436, D436))</f>
        <v/>
      </c>
      <c r="F436" s="190">
        <f t="shared" ca="1" si="35"/>
        <v>0</v>
      </c>
      <c r="G436" s="190">
        <f ca="1">IF(F436=0, 0, IF(AND(F435=1, C436&lt;&gt;8, OR(C436=C435+1, AND(C435=23, C436=0))), G435, MAX($G$1:G435)+1))</f>
        <v>0</v>
      </c>
      <c r="H436" s="194">
        <f t="shared" si="36"/>
        <v>19</v>
      </c>
    </row>
    <row r="437" spans="1:8">
      <c r="A437" s="190">
        <f t="shared" si="32"/>
        <v>19</v>
      </c>
      <c r="B437" s="193">
        <f t="shared" si="33"/>
        <v>13</v>
      </c>
      <c r="C437" s="190" cm="1">
        <f t="array" aca="1" ref="C437" ca="1">VALUE(LEFT(TRIM(INDIRECT("'" &amp; INT((ROW()-2)/24)+1 &amp; "號'!B" &amp; MOD(ROW()-2,24)+10)), 2))</f>
        <v>11</v>
      </c>
      <c r="D437" s="190">
        <f t="shared" ca="1" si="34"/>
        <v>7</v>
      </c>
      <c r="E437" s="190" t="str" cm="1">
        <f t="array" aca="1" ref="E437" ca="1">INDIRECT("'" &amp; A437 &amp; "號'!" &amp; ADDRESS(B437, D437))</f>
        <v/>
      </c>
      <c r="F437" s="190">
        <f t="shared" ca="1" si="35"/>
        <v>0</v>
      </c>
      <c r="G437" s="190">
        <f ca="1">IF(F437=0, 0, IF(AND(F436=1, C437&lt;&gt;8, OR(C437=C436+1, AND(C436=23, C437=0))), G436, MAX($G$1:G436)+1))</f>
        <v>0</v>
      </c>
      <c r="H437" s="194">
        <f t="shared" si="36"/>
        <v>19</v>
      </c>
    </row>
    <row r="438" spans="1:8">
      <c r="A438" s="190">
        <f t="shared" si="32"/>
        <v>19</v>
      </c>
      <c r="B438" s="193">
        <f t="shared" si="33"/>
        <v>14</v>
      </c>
      <c r="C438" s="190" cm="1">
        <f t="array" aca="1" ref="C438" ca="1">VALUE(LEFT(TRIM(INDIRECT("'" &amp; INT((ROW()-2)/24)+1 &amp; "號'!B" &amp; MOD(ROW()-2,24)+10)), 2))</f>
        <v>12</v>
      </c>
      <c r="D438" s="190">
        <f t="shared" ca="1" si="34"/>
        <v>7</v>
      </c>
      <c r="E438" s="190" t="str" cm="1">
        <f t="array" aca="1" ref="E438" ca="1">INDIRECT("'" &amp; A438 &amp; "號'!" &amp; ADDRESS(B438, D438))</f>
        <v/>
      </c>
      <c r="F438" s="190">
        <f t="shared" ca="1" si="35"/>
        <v>0</v>
      </c>
      <c r="G438" s="190">
        <f ca="1">IF(F438=0, 0, IF(AND(F437=1, C438&lt;&gt;8, OR(C438=C437+1, AND(C437=23, C438=0))), G437, MAX($G$1:G437)+1))</f>
        <v>0</v>
      </c>
      <c r="H438" s="194">
        <f t="shared" si="36"/>
        <v>19</v>
      </c>
    </row>
    <row r="439" spans="1:8">
      <c r="A439" s="190">
        <f t="shared" si="32"/>
        <v>19</v>
      </c>
      <c r="B439" s="193">
        <f t="shared" si="33"/>
        <v>15</v>
      </c>
      <c r="C439" s="190" cm="1">
        <f t="array" aca="1" ref="C439" ca="1">VALUE(LEFT(TRIM(INDIRECT("'" &amp; INT((ROW()-2)/24)+1 &amp; "號'!B" &amp; MOD(ROW()-2,24)+10)), 2))</f>
        <v>13</v>
      </c>
      <c r="D439" s="190">
        <f t="shared" ca="1" si="34"/>
        <v>7</v>
      </c>
      <c r="E439" s="190" t="str" cm="1">
        <f t="array" aca="1" ref="E439" ca="1">INDIRECT("'" &amp; A439 &amp; "號'!" &amp; ADDRESS(B439, D439))</f>
        <v/>
      </c>
      <c r="F439" s="190">
        <f t="shared" ca="1" si="35"/>
        <v>0</v>
      </c>
      <c r="G439" s="190">
        <f ca="1">IF(F439=0, 0, IF(AND(F438=1, C439&lt;&gt;8, OR(C439=C438+1, AND(C438=23, C439=0))), G438, MAX($G$1:G438)+1))</f>
        <v>0</v>
      </c>
      <c r="H439" s="194">
        <f t="shared" si="36"/>
        <v>19</v>
      </c>
    </row>
    <row r="440" spans="1:8">
      <c r="A440" s="190">
        <f t="shared" si="32"/>
        <v>19</v>
      </c>
      <c r="B440" s="193">
        <f t="shared" si="33"/>
        <v>16</v>
      </c>
      <c r="C440" s="190" cm="1">
        <f t="array" aca="1" ref="C440" ca="1">VALUE(LEFT(TRIM(INDIRECT("'" &amp; INT((ROW()-2)/24)+1 &amp; "號'!B" &amp; MOD(ROW()-2,24)+10)), 2))</f>
        <v>14</v>
      </c>
      <c r="D440" s="190">
        <f t="shared" ca="1" si="34"/>
        <v>7</v>
      </c>
      <c r="E440" s="190" t="str" cm="1">
        <f t="array" aca="1" ref="E440" ca="1">INDIRECT("'" &amp; A440 &amp; "號'!" &amp; ADDRESS(B440, D440))</f>
        <v/>
      </c>
      <c r="F440" s="190">
        <f t="shared" ca="1" si="35"/>
        <v>0</v>
      </c>
      <c r="G440" s="190">
        <f ca="1">IF(F440=0, 0, IF(AND(F439=1, C440&lt;&gt;8, OR(C440=C439+1, AND(C439=23, C440=0))), G439, MAX($G$1:G439)+1))</f>
        <v>0</v>
      </c>
      <c r="H440" s="194">
        <f t="shared" si="36"/>
        <v>19</v>
      </c>
    </row>
    <row r="441" spans="1:8">
      <c r="A441" s="190">
        <f t="shared" si="32"/>
        <v>19</v>
      </c>
      <c r="B441" s="193">
        <f t="shared" si="33"/>
        <v>17</v>
      </c>
      <c r="C441" s="190" cm="1">
        <f t="array" aca="1" ref="C441" ca="1">VALUE(LEFT(TRIM(INDIRECT("'" &amp; INT((ROW()-2)/24)+1 &amp; "號'!B" &amp; MOD(ROW()-2,24)+10)), 2))</f>
        <v>15</v>
      </c>
      <c r="D441" s="190">
        <f t="shared" ca="1" si="34"/>
        <v>7</v>
      </c>
      <c r="E441" s="190" t="str" cm="1">
        <f t="array" aca="1" ref="E441" ca="1">INDIRECT("'" &amp; A441 &amp; "號'!" &amp; ADDRESS(B441, D441))</f>
        <v/>
      </c>
      <c r="F441" s="190">
        <f t="shared" ca="1" si="35"/>
        <v>0</v>
      </c>
      <c r="G441" s="190">
        <f ca="1">IF(F441=0, 0, IF(AND(F440=1, C441&lt;&gt;8, OR(C441=C440+1, AND(C440=23, C441=0))), G440, MAX($G$1:G440)+1))</f>
        <v>0</v>
      </c>
      <c r="H441" s="194">
        <f t="shared" si="36"/>
        <v>19</v>
      </c>
    </row>
    <row r="442" spans="1:8">
      <c r="A442" s="190">
        <f t="shared" si="32"/>
        <v>19</v>
      </c>
      <c r="B442" s="193">
        <f t="shared" si="33"/>
        <v>18</v>
      </c>
      <c r="C442" s="190" cm="1">
        <f t="array" aca="1" ref="C442" ca="1">VALUE(LEFT(TRIM(INDIRECT("'" &amp; INT((ROW()-2)/24)+1 &amp; "號'!B" &amp; MOD(ROW()-2,24)+10)), 2))</f>
        <v>16</v>
      </c>
      <c r="D442" s="190">
        <f t="shared" ca="1" si="34"/>
        <v>7</v>
      </c>
      <c r="E442" s="190" t="str" cm="1">
        <f t="array" aca="1" ref="E442" ca="1">INDIRECT("'" &amp; A442 &amp; "號'!" &amp; ADDRESS(B442, D442))</f>
        <v/>
      </c>
      <c r="F442" s="190">
        <f t="shared" ca="1" si="35"/>
        <v>0</v>
      </c>
      <c r="G442" s="190">
        <f ca="1">IF(F442=0, 0, IF(AND(F441=1, C442&lt;&gt;8, OR(C442=C441+1, AND(C441=23, C442=0))), G441, MAX($G$1:G441)+1))</f>
        <v>0</v>
      </c>
      <c r="H442" s="194">
        <f t="shared" si="36"/>
        <v>19</v>
      </c>
    </row>
    <row r="443" spans="1:8">
      <c r="A443" s="190">
        <f t="shared" si="32"/>
        <v>19</v>
      </c>
      <c r="B443" s="193">
        <f t="shared" si="33"/>
        <v>19</v>
      </c>
      <c r="C443" s="190" cm="1">
        <f t="array" aca="1" ref="C443" ca="1">VALUE(LEFT(TRIM(INDIRECT("'" &amp; INT((ROW()-2)/24)+1 &amp; "號'!B" &amp; MOD(ROW()-2,24)+10)), 2))</f>
        <v>17</v>
      </c>
      <c r="D443" s="190">
        <f t="shared" ca="1" si="34"/>
        <v>7</v>
      </c>
      <c r="E443" s="190" t="str" cm="1">
        <f t="array" aca="1" ref="E443" ca="1">INDIRECT("'" &amp; A443 &amp; "號'!" &amp; ADDRESS(B443, D443))</f>
        <v/>
      </c>
      <c r="F443" s="190">
        <f t="shared" ca="1" si="35"/>
        <v>0</v>
      </c>
      <c r="G443" s="190">
        <f ca="1">IF(F443=0, 0, IF(AND(F442=1, C443&lt;&gt;8, OR(C443=C442+1, AND(C442=23, C443=0))), G442, MAX($G$1:G442)+1))</f>
        <v>0</v>
      </c>
      <c r="H443" s="194">
        <f t="shared" si="36"/>
        <v>19</v>
      </c>
    </row>
    <row r="444" spans="1:8">
      <c r="A444" s="190">
        <f t="shared" si="32"/>
        <v>19</v>
      </c>
      <c r="B444" s="193">
        <f t="shared" si="33"/>
        <v>20</v>
      </c>
      <c r="C444" s="190" cm="1">
        <f t="array" aca="1" ref="C444" ca="1">VALUE(LEFT(TRIM(INDIRECT("'" &amp; INT((ROW()-2)/24)+1 &amp; "號'!B" &amp; MOD(ROW()-2,24)+10)), 2))</f>
        <v>18</v>
      </c>
      <c r="D444" s="190">
        <f t="shared" ca="1" si="34"/>
        <v>7</v>
      </c>
      <c r="E444" s="190" t="str" cm="1">
        <f t="array" aca="1" ref="E444" ca="1">INDIRECT("'" &amp; A444 &amp; "號'!" &amp; ADDRESS(B444, D444))</f>
        <v/>
      </c>
      <c r="F444" s="190">
        <f t="shared" ca="1" si="35"/>
        <v>0</v>
      </c>
      <c r="G444" s="190">
        <f ca="1">IF(F444=0, 0, IF(AND(F443=1, C444&lt;&gt;8, OR(C444=C443+1, AND(C443=23, C444=0))), G443, MAX($G$1:G443)+1))</f>
        <v>0</v>
      </c>
      <c r="H444" s="194">
        <f t="shared" si="36"/>
        <v>19</v>
      </c>
    </row>
    <row r="445" spans="1:8">
      <c r="A445" s="190">
        <f t="shared" si="32"/>
        <v>19</v>
      </c>
      <c r="B445" s="193">
        <f t="shared" si="33"/>
        <v>21</v>
      </c>
      <c r="C445" s="190" cm="1">
        <f t="array" aca="1" ref="C445" ca="1">VALUE(LEFT(TRIM(INDIRECT("'" &amp; INT((ROW()-2)/24)+1 &amp; "號'!B" &amp; MOD(ROW()-2,24)+10)), 2))</f>
        <v>19</v>
      </c>
      <c r="D445" s="190">
        <f t="shared" ca="1" si="34"/>
        <v>7</v>
      </c>
      <c r="E445" s="190" t="str" cm="1">
        <f t="array" aca="1" ref="E445" ca="1">INDIRECT("'" &amp; A445 &amp; "號'!" &amp; ADDRESS(B445, D445))</f>
        <v/>
      </c>
      <c r="F445" s="190">
        <f t="shared" ca="1" si="35"/>
        <v>0</v>
      </c>
      <c r="G445" s="190">
        <f ca="1">IF(F445=0, 0, IF(AND(F444=1, C445&lt;&gt;8, OR(C445=C444+1, AND(C444=23, C445=0))), G444, MAX($G$1:G444)+1))</f>
        <v>0</v>
      </c>
      <c r="H445" s="194">
        <f t="shared" si="36"/>
        <v>19</v>
      </c>
    </row>
    <row r="446" spans="1:8">
      <c r="A446" s="190">
        <f t="shared" si="32"/>
        <v>19</v>
      </c>
      <c r="B446" s="193">
        <f t="shared" si="33"/>
        <v>22</v>
      </c>
      <c r="C446" s="190" cm="1">
        <f t="array" aca="1" ref="C446" ca="1">VALUE(LEFT(TRIM(INDIRECT("'" &amp; INT((ROW()-2)/24)+1 &amp; "號'!B" &amp; MOD(ROW()-2,24)+10)), 2))</f>
        <v>20</v>
      </c>
      <c r="D446" s="190">
        <f t="shared" ca="1" si="34"/>
        <v>7</v>
      </c>
      <c r="E446" s="190" t="str" cm="1">
        <f t="array" aca="1" ref="E446" ca="1">INDIRECT("'" &amp; A446 &amp; "號'!" &amp; ADDRESS(B446, D446))</f>
        <v/>
      </c>
      <c r="F446" s="190">
        <f t="shared" ca="1" si="35"/>
        <v>0</v>
      </c>
      <c r="G446" s="190">
        <f ca="1">IF(F446=0, 0, IF(AND(F445=1, C446&lt;&gt;8, OR(C446=C445+1, AND(C445=23, C446=0))), G445, MAX($G$1:G445)+1))</f>
        <v>0</v>
      </c>
      <c r="H446" s="194">
        <f t="shared" si="36"/>
        <v>19</v>
      </c>
    </row>
    <row r="447" spans="1:8">
      <c r="A447" s="190">
        <f t="shared" si="32"/>
        <v>19</v>
      </c>
      <c r="B447" s="193">
        <f t="shared" si="33"/>
        <v>23</v>
      </c>
      <c r="C447" s="190" cm="1">
        <f t="array" aca="1" ref="C447" ca="1">VALUE(LEFT(TRIM(INDIRECT("'" &amp; INT((ROW()-2)/24)+1 &amp; "號'!B" &amp; MOD(ROW()-2,24)+10)), 2))</f>
        <v>21</v>
      </c>
      <c r="D447" s="190">
        <f t="shared" ca="1" si="34"/>
        <v>7</v>
      </c>
      <c r="E447" s="190" t="str" cm="1">
        <f t="array" aca="1" ref="E447" ca="1">INDIRECT("'" &amp; A447 &amp; "號'!" &amp; ADDRESS(B447, D447))</f>
        <v/>
      </c>
      <c r="F447" s="190">
        <f t="shared" ca="1" si="35"/>
        <v>0</v>
      </c>
      <c r="G447" s="190">
        <f ca="1">IF(F447=0, 0, IF(AND(F446=1, C447&lt;&gt;8, OR(C447=C446+1, AND(C446=23, C447=0))), G446, MAX($G$1:G446)+1))</f>
        <v>0</v>
      </c>
      <c r="H447" s="194">
        <f t="shared" si="36"/>
        <v>19</v>
      </c>
    </row>
    <row r="448" spans="1:8">
      <c r="A448" s="190">
        <f t="shared" si="32"/>
        <v>19</v>
      </c>
      <c r="B448" s="193">
        <f t="shared" si="33"/>
        <v>24</v>
      </c>
      <c r="C448" s="190" cm="1">
        <f t="array" aca="1" ref="C448" ca="1">VALUE(LEFT(TRIM(INDIRECT("'" &amp; INT((ROW()-2)/24)+1 &amp; "號'!B" &amp; MOD(ROW()-2,24)+10)), 2))</f>
        <v>22</v>
      </c>
      <c r="D448" s="190">
        <f t="shared" ca="1" si="34"/>
        <v>7</v>
      </c>
      <c r="E448" s="190" t="str" cm="1">
        <f t="array" aca="1" ref="E448" ca="1">INDIRECT("'" &amp; A448 &amp; "號'!" &amp; ADDRESS(B448, D448))</f>
        <v/>
      </c>
      <c r="F448" s="190">
        <f t="shared" ca="1" si="35"/>
        <v>0</v>
      </c>
      <c r="G448" s="190">
        <f ca="1">IF(F448=0, 0, IF(AND(F447=1, C448&lt;&gt;8, OR(C448=C447+1, AND(C447=23, C448=0))), G447, MAX($G$1:G447)+1))</f>
        <v>0</v>
      </c>
      <c r="H448" s="194">
        <f t="shared" si="36"/>
        <v>19</v>
      </c>
    </row>
    <row r="449" spans="1:8">
      <c r="A449" s="190">
        <f t="shared" si="32"/>
        <v>19</v>
      </c>
      <c r="B449" s="193">
        <f t="shared" si="33"/>
        <v>25</v>
      </c>
      <c r="C449" s="190" cm="1">
        <f t="array" aca="1" ref="C449" ca="1">VALUE(LEFT(TRIM(INDIRECT("'" &amp; INT((ROW()-2)/24)+1 &amp; "號'!B" &amp; MOD(ROW()-2,24)+10)), 2))</f>
        <v>23</v>
      </c>
      <c r="D449" s="190">
        <f t="shared" ca="1" si="34"/>
        <v>7</v>
      </c>
      <c r="E449" s="190" t="str" cm="1">
        <f t="array" aca="1" ref="E449" ca="1">INDIRECT("'" &amp; A449 &amp; "號'!" &amp; ADDRESS(B449, D449))</f>
        <v/>
      </c>
      <c r="F449" s="190">
        <f t="shared" ca="1" si="35"/>
        <v>0</v>
      </c>
      <c r="G449" s="190">
        <f ca="1">IF(F449=0, 0, IF(AND(F448=1, C449&lt;&gt;8, OR(C449=C448+1, AND(C448=23, C449=0))), G448, MAX($G$1:G448)+1))</f>
        <v>0</v>
      </c>
      <c r="H449" s="194">
        <f t="shared" si="36"/>
        <v>19</v>
      </c>
    </row>
    <row r="450" spans="1:8">
      <c r="A450" s="190">
        <f t="shared" si="32"/>
        <v>19</v>
      </c>
      <c r="B450" s="193">
        <f t="shared" si="33"/>
        <v>26</v>
      </c>
      <c r="C450" s="190" cm="1">
        <f t="array" aca="1" ref="C450" ca="1">VALUE(LEFT(TRIM(INDIRECT("'" &amp; INT((ROW()-2)/24)+1 &amp; "號'!B" &amp; MOD(ROW()-2,24)+10)), 2))</f>
        <v>0</v>
      </c>
      <c r="D450" s="190">
        <f t="shared" ca="1" si="34"/>
        <v>7</v>
      </c>
      <c r="E450" s="190" t="str" cm="1">
        <f t="array" aca="1" ref="E450" ca="1">INDIRECT("'" &amp; A450 &amp; "號'!" &amp; ADDRESS(B450, D450))</f>
        <v/>
      </c>
      <c r="F450" s="190">
        <f t="shared" ca="1" si="35"/>
        <v>0</v>
      </c>
      <c r="G450" s="190">
        <f ca="1">IF(F450=0, 0, IF(AND(F449=1, C450&lt;&gt;8, OR(C450=C449+1, AND(C449=23, C450=0))), G449, MAX($G$1:G449)+1))</f>
        <v>0</v>
      </c>
      <c r="H450" s="194">
        <f t="shared" si="36"/>
        <v>19</v>
      </c>
    </row>
    <row r="451" spans="1:8">
      <c r="A451" s="190">
        <f t="shared" ref="A451:A514" si="37">INT((ROW()-2)/24)+1</f>
        <v>19</v>
      </c>
      <c r="B451" s="193">
        <f t="shared" ref="B451:B514" si="38">MOD(ROW()-2, 24)+10</f>
        <v>27</v>
      </c>
      <c r="C451" s="190" cm="1">
        <f t="array" aca="1" ref="C451" ca="1">VALUE(LEFT(TRIM(INDIRECT("'" &amp; INT((ROW()-2)/24)+1 &amp; "號'!B" &amp; MOD(ROW()-2,24)+10)), 2))</f>
        <v>1</v>
      </c>
      <c r="D451" s="190">
        <f t="shared" ref="D451:D514" ca="1" si="39">MAX(IFERROR(MATCH("*休息*", INDIRECT("'" &amp; A451 &amp; "號'!$5:$5"), 0), 0), IFERROR(MATCH("*休息*", INDIRECT("'" &amp; A451 &amp; "號'!$6:$6"), 0), 0), IFERROR(MATCH("*休息*", INDIRECT("'" &amp; A451 &amp; "號'!$7:$7"), 0), 0))</f>
        <v>7</v>
      </c>
      <c r="E451" s="190" t="str" cm="1">
        <f t="array" aca="1" ref="E451" ca="1">INDIRECT("'" &amp; A451 &amp; "號'!" &amp; ADDRESS(B451, D451))</f>
        <v/>
      </c>
      <c r="F451" s="190">
        <f t="shared" ref="F451:F514" ca="1" si="40">IF(ISNUMBER(SEARCH(","&amp;$A$1&amp;",", ","&amp;SUBSTITUTE(SUBSTITUTE(E451," ",""),"，",",")&amp;",")), 1, 0)</f>
        <v>0</v>
      </c>
      <c r="G451" s="190">
        <f ca="1">IF(F451=0, 0, IF(AND(F450=1, C451&lt;&gt;8, OR(C451=C450+1, AND(C450=23, C451=0))), G450, MAX($G$1:G450)+1))</f>
        <v>0</v>
      </c>
      <c r="H451" s="194">
        <f t="shared" ref="H451:H514" si="41" xml:space="preserve"> A451</f>
        <v>19</v>
      </c>
    </row>
    <row r="452" spans="1:8">
      <c r="A452" s="190">
        <f t="shared" si="37"/>
        <v>19</v>
      </c>
      <c r="B452" s="193">
        <f t="shared" si="38"/>
        <v>28</v>
      </c>
      <c r="C452" s="190" cm="1">
        <f t="array" aca="1" ref="C452" ca="1">VALUE(LEFT(TRIM(INDIRECT("'" &amp; INT((ROW()-2)/24)+1 &amp; "號'!B" &amp; MOD(ROW()-2,24)+10)), 2))</f>
        <v>2</v>
      </c>
      <c r="D452" s="190">
        <f t="shared" ca="1" si="39"/>
        <v>7</v>
      </c>
      <c r="E452" s="190" t="str" cm="1">
        <f t="array" aca="1" ref="E452" ca="1">INDIRECT("'" &amp; A452 &amp; "號'!" &amp; ADDRESS(B452, D452))</f>
        <v/>
      </c>
      <c r="F452" s="190">
        <f t="shared" ca="1" si="40"/>
        <v>0</v>
      </c>
      <c r="G452" s="190">
        <f ca="1">IF(F452=0, 0, IF(AND(F451=1, C452&lt;&gt;8, OR(C452=C451+1, AND(C451=23, C452=0))), G451, MAX($G$1:G451)+1))</f>
        <v>0</v>
      </c>
      <c r="H452" s="194">
        <f t="shared" si="41"/>
        <v>19</v>
      </c>
    </row>
    <row r="453" spans="1:8">
      <c r="A453" s="190">
        <f t="shared" si="37"/>
        <v>19</v>
      </c>
      <c r="B453" s="193">
        <f t="shared" si="38"/>
        <v>29</v>
      </c>
      <c r="C453" s="190" cm="1">
        <f t="array" aca="1" ref="C453" ca="1">VALUE(LEFT(TRIM(INDIRECT("'" &amp; INT((ROW()-2)/24)+1 &amp; "號'!B" &amp; MOD(ROW()-2,24)+10)), 2))</f>
        <v>3</v>
      </c>
      <c r="D453" s="190">
        <f t="shared" ca="1" si="39"/>
        <v>7</v>
      </c>
      <c r="E453" s="190" t="str" cm="1">
        <f t="array" aca="1" ref="E453" ca="1">INDIRECT("'" &amp; A453 &amp; "號'!" &amp; ADDRESS(B453, D453))</f>
        <v/>
      </c>
      <c r="F453" s="190">
        <f t="shared" ca="1" si="40"/>
        <v>0</v>
      </c>
      <c r="G453" s="190">
        <f ca="1">IF(F453=0, 0, IF(AND(F452=1, C453&lt;&gt;8, OR(C453=C452+1, AND(C452=23, C453=0))), G452, MAX($G$1:G452)+1))</f>
        <v>0</v>
      </c>
      <c r="H453" s="194">
        <f t="shared" si="41"/>
        <v>19</v>
      </c>
    </row>
    <row r="454" spans="1:8">
      <c r="A454" s="190">
        <f t="shared" si="37"/>
        <v>19</v>
      </c>
      <c r="B454" s="193">
        <f t="shared" si="38"/>
        <v>30</v>
      </c>
      <c r="C454" s="190" cm="1">
        <f t="array" aca="1" ref="C454" ca="1">VALUE(LEFT(TRIM(INDIRECT("'" &amp; INT((ROW()-2)/24)+1 &amp; "號'!B" &amp; MOD(ROW()-2,24)+10)), 2))</f>
        <v>4</v>
      </c>
      <c r="D454" s="190">
        <f t="shared" ca="1" si="39"/>
        <v>7</v>
      </c>
      <c r="E454" s="190" t="str" cm="1">
        <f t="array" aca="1" ref="E454" ca="1">INDIRECT("'" &amp; A454 &amp; "號'!" &amp; ADDRESS(B454, D454))</f>
        <v/>
      </c>
      <c r="F454" s="190">
        <f t="shared" ca="1" si="40"/>
        <v>0</v>
      </c>
      <c r="G454" s="190">
        <f ca="1">IF(F454=0, 0, IF(AND(F453=1, C454&lt;&gt;8, OR(C454=C453+1, AND(C453=23, C454=0))), G453, MAX($G$1:G453)+1))</f>
        <v>0</v>
      </c>
      <c r="H454" s="194">
        <f t="shared" si="41"/>
        <v>19</v>
      </c>
    </row>
    <row r="455" spans="1:8">
      <c r="A455" s="190">
        <f t="shared" si="37"/>
        <v>19</v>
      </c>
      <c r="B455" s="193">
        <f t="shared" si="38"/>
        <v>31</v>
      </c>
      <c r="C455" s="190" cm="1">
        <f t="array" aca="1" ref="C455" ca="1">VALUE(LEFT(TRIM(INDIRECT("'" &amp; INT((ROW()-2)/24)+1 &amp; "號'!B" &amp; MOD(ROW()-2,24)+10)), 2))</f>
        <v>5</v>
      </c>
      <c r="D455" s="190">
        <f t="shared" ca="1" si="39"/>
        <v>7</v>
      </c>
      <c r="E455" s="190" t="str" cm="1">
        <f t="array" aca="1" ref="E455" ca="1">INDIRECT("'" &amp; A455 &amp; "號'!" &amp; ADDRESS(B455, D455))</f>
        <v/>
      </c>
      <c r="F455" s="190">
        <f t="shared" ca="1" si="40"/>
        <v>0</v>
      </c>
      <c r="G455" s="190">
        <f ca="1">IF(F455=0, 0, IF(AND(F454=1, C455&lt;&gt;8, OR(C455=C454+1, AND(C454=23, C455=0))), G454, MAX($G$1:G454)+1))</f>
        <v>0</v>
      </c>
      <c r="H455" s="194">
        <f t="shared" si="41"/>
        <v>19</v>
      </c>
    </row>
    <row r="456" spans="1:8">
      <c r="A456" s="190">
        <f t="shared" si="37"/>
        <v>19</v>
      </c>
      <c r="B456" s="193">
        <f t="shared" si="38"/>
        <v>32</v>
      </c>
      <c r="C456" s="190" cm="1">
        <f t="array" aca="1" ref="C456" ca="1">VALUE(LEFT(TRIM(INDIRECT("'" &amp; INT((ROW()-2)/24)+1 &amp; "號'!B" &amp; MOD(ROW()-2,24)+10)), 2))</f>
        <v>6</v>
      </c>
      <c r="D456" s="190">
        <f t="shared" ca="1" si="39"/>
        <v>7</v>
      </c>
      <c r="E456" s="190" t="str" cm="1">
        <f t="array" aca="1" ref="E456" ca="1">INDIRECT("'" &amp; A456 &amp; "號'!" &amp; ADDRESS(B456, D456))</f>
        <v>2</v>
      </c>
      <c r="F456" s="190">
        <f t="shared" ca="1" si="40"/>
        <v>0</v>
      </c>
      <c r="G456" s="190">
        <f ca="1">IF(F456=0, 0, IF(AND(F455=1, C456&lt;&gt;8, OR(C456=C455+1, AND(C455=23, C456=0))), G455, MAX($G$1:G455)+1))</f>
        <v>0</v>
      </c>
      <c r="H456" s="194">
        <f t="shared" si="41"/>
        <v>19</v>
      </c>
    </row>
    <row r="457" spans="1:8">
      <c r="A457" s="190">
        <f t="shared" si="37"/>
        <v>19</v>
      </c>
      <c r="B457" s="193">
        <f t="shared" si="38"/>
        <v>33</v>
      </c>
      <c r="C457" s="190" cm="1">
        <f t="array" aca="1" ref="C457" ca="1">VALUE(LEFT(TRIM(INDIRECT("'" &amp; INT((ROW()-2)/24)+1 &amp; "號'!B" &amp; MOD(ROW()-2,24)+10)), 2))</f>
        <v>7</v>
      </c>
      <c r="D457" s="190">
        <f t="shared" ca="1" si="39"/>
        <v>7</v>
      </c>
      <c r="E457" s="190" t="str" cm="1">
        <f t="array" aca="1" ref="E457" ca="1">INDIRECT("'" &amp; A457 &amp; "號'!" &amp; ADDRESS(B457, D457))</f>
        <v>2</v>
      </c>
      <c r="F457" s="190">
        <f t="shared" ca="1" si="40"/>
        <v>0</v>
      </c>
      <c r="G457" s="190">
        <f ca="1">IF(F457=0, 0, IF(AND(F456=1, C457&lt;&gt;8, OR(C457=C456+1, AND(C456=23, C457=0))), G456, MAX($G$1:G456)+1))</f>
        <v>0</v>
      </c>
      <c r="H457" s="194">
        <f t="shared" si="41"/>
        <v>19</v>
      </c>
    </row>
    <row r="458" spans="1:8">
      <c r="A458" s="190">
        <f t="shared" si="37"/>
        <v>20</v>
      </c>
      <c r="B458" s="193">
        <f t="shared" si="38"/>
        <v>10</v>
      </c>
      <c r="C458" s="190" cm="1">
        <f t="array" aca="1" ref="C458" ca="1">VALUE(LEFT(TRIM(INDIRECT("'" &amp; INT((ROW()-2)/24)+1 &amp; "號'!B" &amp; MOD(ROW()-2,24)+10)), 2))</f>
        <v>8</v>
      </c>
      <c r="D458" s="190">
        <f t="shared" ca="1" si="39"/>
        <v>7</v>
      </c>
      <c r="E458" s="190" t="str" cm="1">
        <f t="array" aca="1" ref="E458" ca="1">INDIRECT("'" &amp; A458 &amp; "號'!" &amp; ADDRESS(B458, D458))</f>
        <v/>
      </c>
      <c r="F458" s="190">
        <f t="shared" ca="1" si="40"/>
        <v>0</v>
      </c>
      <c r="G458" s="190">
        <f ca="1">IF(F458=0, 0, IF(AND(F457=1, C458&lt;&gt;8, OR(C458=C457+1, AND(C457=23, C458=0))), G457, MAX($G$1:G457)+1))</f>
        <v>0</v>
      </c>
      <c r="H458" s="194">
        <f t="shared" si="41"/>
        <v>20</v>
      </c>
    </row>
    <row r="459" spans="1:8">
      <c r="A459" s="190">
        <f t="shared" si="37"/>
        <v>20</v>
      </c>
      <c r="B459" s="193">
        <f t="shared" si="38"/>
        <v>11</v>
      </c>
      <c r="C459" s="190" cm="1">
        <f t="array" aca="1" ref="C459" ca="1">VALUE(LEFT(TRIM(INDIRECT("'" &amp; INT((ROW()-2)/24)+1 &amp; "號'!B" &amp; MOD(ROW()-2,24)+10)), 2))</f>
        <v>9</v>
      </c>
      <c r="D459" s="190">
        <f t="shared" ca="1" si="39"/>
        <v>7</v>
      </c>
      <c r="E459" s="190" t="str" cm="1">
        <f t="array" aca="1" ref="E459" ca="1">INDIRECT("'" &amp; A459 &amp; "號'!" &amp; ADDRESS(B459, D459))</f>
        <v/>
      </c>
      <c r="F459" s="190">
        <f t="shared" ca="1" si="40"/>
        <v>0</v>
      </c>
      <c r="G459" s="190">
        <f ca="1">IF(F459=0, 0, IF(AND(F458=1, C459&lt;&gt;8, OR(C459=C458+1, AND(C458=23, C459=0))), G458, MAX($G$1:G458)+1))</f>
        <v>0</v>
      </c>
      <c r="H459" s="194">
        <f t="shared" si="41"/>
        <v>20</v>
      </c>
    </row>
    <row r="460" spans="1:8">
      <c r="A460" s="190">
        <f t="shared" si="37"/>
        <v>20</v>
      </c>
      <c r="B460" s="193">
        <f t="shared" si="38"/>
        <v>12</v>
      </c>
      <c r="C460" s="190" cm="1">
        <f t="array" aca="1" ref="C460" ca="1">VALUE(LEFT(TRIM(INDIRECT("'" &amp; INT((ROW()-2)/24)+1 &amp; "號'!B" &amp; MOD(ROW()-2,24)+10)), 2))</f>
        <v>10</v>
      </c>
      <c r="D460" s="190">
        <f t="shared" ca="1" si="39"/>
        <v>7</v>
      </c>
      <c r="E460" s="190" t="str" cm="1">
        <f t="array" aca="1" ref="E460" ca="1">INDIRECT("'" &amp; A460 &amp; "號'!" &amp; ADDRESS(B460, D460))</f>
        <v/>
      </c>
      <c r="F460" s="190">
        <f t="shared" ca="1" si="40"/>
        <v>0</v>
      </c>
      <c r="G460" s="190">
        <f ca="1">IF(F460=0, 0, IF(AND(F459=1, C460&lt;&gt;8, OR(C460=C459+1, AND(C459=23, C460=0))), G459, MAX($G$1:G459)+1))</f>
        <v>0</v>
      </c>
      <c r="H460" s="194">
        <f t="shared" si="41"/>
        <v>20</v>
      </c>
    </row>
    <row r="461" spans="1:8">
      <c r="A461" s="190">
        <f t="shared" si="37"/>
        <v>20</v>
      </c>
      <c r="B461" s="193">
        <f t="shared" si="38"/>
        <v>13</v>
      </c>
      <c r="C461" s="190" cm="1">
        <f t="array" aca="1" ref="C461" ca="1">VALUE(LEFT(TRIM(INDIRECT("'" &amp; INT((ROW()-2)/24)+1 &amp; "號'!B" &amp; MOD(ROW()-2,24)+10)), 2))</f>
        <v>11</v>
      </c>
      <c r="D461" s="190">
        <f t="shared" ca="1" si="39"/>
        <v>7</v>
      </c>
      <c r="E461" s="190" t="str" cm="1">
        <f t="array" aca="1" ref="E461" ca="1">INDIRECT("'" &amp; A461 &amp; "號'!" &amp; ADDRESS(B461, D461))</f>
        <v/>
      </c>
      <c r="F461" s="190">
        <f t="shared" ca="1" si="40"/>
        <v>0</v>
      </c>
      <c r="G461" s="190">
        <f ca="1">IF(F461=0, 0, IF(AND(F460=1, C461&lt;&gt;8, OR(C461=C460+1, AND(C460=23, C461=0))), G460, MAX($G$1:G460)+1))</f>
        <v>0</v>
      </c>
      <c r="H461" s="194">
        <f t="shared" si="41"/>
        <v>20</v>
      </c>
    </row>
    <row r="462" spans="1:8">
      <c r="A462" s="190">
        <f t="shared" si="37"/>
        <v>20</v>
      </c>
      <c r="B462" s="193">
        <f t="shared" si="38"/>
        <v>14</v>
      </c>
      <c r="C462" s="190" cm="1">
        <f t="array" aca="1" ref="C462" ca="1">VALUE(LEFT(TRIM(INDIRECT("'" &amp; INT((ROW()-2)/24)+1 &amp; "號'!B" &amp; MOD(ROW()-2,24)+10)), 2))</f>
        <v>12</v>
      </c>
      <c r="D462" s="190">
        <f t="shared" ca="1" si="39"/>
        <v>7</v>
      </c>
      <c r="E462" s="190" t="str" cm="1">
        <f t="array" aca="1" ref="E462" ca="1">INDIRECT("'" &amp; A462 &amp; "號'!" &amp; ADDRESS(B462, D462))</f>
        <v>3</v>
      </c>
      <c r="F462" s="190">
        <f t="shared" ca="1" si="40"/>
        <v>0</v>
      </c>
      <c r="G462" s="190">
        <f ca="1">IF(F462=0, 0, IF(AND(F461=1, C462&lt;&gt;8, OR(C462=C461+1, AND(C461=23, C462=0))), G461, MAX($G$1:G461)+1))</f>
        <v>0</v>
      </c>
      <c r="H462" s="194">
        <f t="shared" si="41"/>
        <v>20</v>
      </c>
    </row>
    <row r="463" spans="1:8">
      <c r="A463" s="190">
        <f t="shared" si="37"/>
        <v>20</v>
      </c>
      <c r="B463" s="193">
        <f t="shared" si="38"/>
        <v>15</v>
      </c>
      <c r="C463" s="190" cm="1">
        <f t="array" aca="1" ref="C463" ca="1">VALUE(LEFT(TRIM(INDIRECT("'" &amp; INT((ROW()-2)/24)+1 &amp; "號'!B" &amp; MOD(ROW()-2,24)+10)), 2))</f>
        <v>13</v>
      </c>
      <c r="D463" s="190">
        <f t="shared" ca="1" si="39"/>
        <v>7</v>
      </c>
      <c r="E463" s="190" t="str" cm="1">
        <f t="array" aca="1" ref="E463" ca="1">INDIRECT("'" &amp; A463 &amp; "號'!" &amp; ADDRESS(B463, D463))</f>
        <v>3</v>
      </c>
      <c r="F463" s="190">
        <f t="shared" ca="1" si="40"/>
        <v>0</v>
      </c>
      <c r="G463" s="190">
        <f ca="1">IF(F463=0, 0, IF(AND(F462=1, C463&lt;&gt;8, OR(C463=C462+1, AND(C462=23, C463=0))), G462, MAX($G$1:G462)+1))</f>
        <v>0</v>
      </c>
      <c r="H463" s="194">
        <f t="shared" si="41"/>
        <v>20</v>
      </c>
    </row>
    <row r="464" spans="1:8">
      <c r="A464" s="190">
        <f t="shared" si="37"/>
        <v>20</v>
      </c>
      <c r="B464" s="193">
        <f t="shared" si="38"/>
        <v>16</v>
      </c>
      <c r="C464" s="190" cm="1">
        <f t="array" aca="1" ref="C464" ca="1">VALUE(LEFT(TRIM(INDIRECT("'" &amp; INT((ROW()-2)/24)+1 &amp; "號'!B" &amp; MOD(ROW()-2,24)+10)), 2))</f>
        <v>14</v>
      </c>
      <c r="D464" s="190">
        <f t="shared" ca="1" si="39"/>
        <v>7</v>
      </c>
      <c r="E464" s="190" t="str" cm="1">
        <f t="array" aca="1" ref="E464" ca="1">INDIRECT("'" &amp; A464 &amp; "號'!" &amp; ADDRESS(B464, D464))</f>
        <v/>
      </c>
      <c r="F464" s="190">
        <f t="shared" ca="1" si="40"/>
        <v>0</v>
      </c>
      <c r="G464" s="190">
        <f ca="1">IF(F464=0, 0, IF(AND(F463=1, C464&lt;&gt;8, OR(C464=C463+1, AND(C463=23, C464=0))), G463, MAX($G$1:G463)+1))</f>
        <v>0</v>
      </c>
      <c r="H464" s="194">
        <f t="shared" si="41"/>
        <v>20</v>
      </c>
    </row>
    <row r="465" spans="1:8">
      <c r="A465" s="190">
        <f t="shared" si="37"/>
        <v>20</v>
      </c>
      <c r="B465" s="193">
        <f t="shared" si="38"/>
        <v>17</v>
      </c>
      <c r="C465" s="190" cm="1">
        <f t="array" aca="1" ref="C465" ca="1">VALUE(LEFT(TRIM(INDIRECT("'" &amp; INT((ROW()-2)/24)+1 &amp; "號'!B" &amp; MOD(ROW()-2,24)+10)), 2))</f>
        <v>15</v>
      </c>
      <c r="D465" s="190">
        <f t="shared" ca="1" si="39"/>
        <v>7</v>
      </c>
      <c r="E465" s="190" t="str" cm="1">
        <f t="array" aca="1" ref="E465" ca="1">INDIRECT("'" &amp; A465 &amp; "號'!" &amp; ADDRESS(B465, D465))</f>
        <v/>
      </c>
      <c r="F465" s="190">
        <f t="shared" ca="1" si="40"/>
        <v>0</v>
      </c>
      <c r="G465" s="190">
        <f ca="1">IF(F465=0, 0, IF(AND(F464=1, C465&lt;&gt;8, OR(C465=C464+1, AND(C464=23, C465=0))), G464, MAX($G$1:G464)+1))</f>
        <v>0</v>
      </c>
      <c r="H465" s="194">
        <f t="shared" si="41"/>
        <v>20</v>
      </c>
    </row>
    <row r="466" spans="1:8">
      <c r="A466" s="190">
        <f t="shared" si="37"/>
        <v>20</v>
      </c>
      <c r="B466" s="193">
        <f t="shared" si="38"/>
        <v>18</v>
      </c>
      <c r="C466" s="190" cm="1">
        <f t="array" aca="1" ref="C466" ca="1">VALUE(LEFT(TRIM(INDIRECT("'" &amp; INT((ROW()-2)/24)+1 &amp; "號'!B" &amp; MOD(ROW()-2,24)+10)), 2))</f>
        <v>16</v>
      </c>
      <c r="D466" s="190">
        <f t="shared" ca="1" si="39"/>
        <v>7</v>
      </c>
      <c r="E466" s="190" t="str" cm="1">
        <f t="array" aca="1" ref="E466" ca="1">INDIRECT("'" &amp; A466 &amp; "號'!" &amp; ADDRESS(B466, D466))</f>
        <v/>
      </c>
      <c r="F466" s="190">
        <f t="shared" ca="1" si="40"/>
        <v>0</v>
      </c>
      <c r="G466" s="190">
        <f ca="1">IF(F466=0, 0, IF(AND(F465=1, C466&lt;&gt;8, OR(C466=C465+1, AND(C465=23, C466=0))), G465, MAX($G$1:G465)+1))</f>
        <v>0</v>
      </c>
      <c r="H466" s="194">
        <f t="shared" si="41"/>
        <v>20</v>
      </c>
    </row>
    <row r="467" spans="1:8">
      <c r="A467" s="190">
        <f t="shared" si="37"/>
        <v>20</v>
      </c>
      <c r="B467" s="193">
        <f t="shared" si="38"/>
        <v>19</v>
      </c>
      <c r="C467" s="190" cm="1">
        <f t="array" aca="1" ref="C467" ca="1">VALUE(LEFT(TRIM(INDIRECT("'" &amp; INT((ROW()-2)/24)+1 &amp; "號'!B" &amp; MOD(ROW()-2,24)+10)), 2))</f>
        <v>17</v>
      </c>
      <c r="D467" s="190">
        <f t="shared" ca="1" si="39"/>
        <v>7</v>
      </c>
      <c r="E467" s="190" t="str" cm="1">
        <f t="array" aca="1" ref="E467" ca="1">INDIRECT("'" &amp; A467 &amp; "號'!" &amp; ADDRESS(B467, D467))</f>
        <v/>
      </c>
      <c r="F467" s="190">
        <f t="shared" ca="1" si="40"/>
        <v>0</v>
      </c>
      <c r="G467" s="190">
        <f ca="1">IF(F467=0, 0, IF(AND(F466=1, C467&lt;&gt;8, OR(C467=C466+1, AND(C466=23, C467=0))), G466, MAX($G$1:G466)+1))</f>
        <v>0</v>
      </c>
      <c r="H467" s="194">
        <f t="shared" si="41"/>
        <v>20</v>
      </c>
    </row>
    <row r="468" spans="1:8">
      <c r="A468" s="190">
        <f t="shared" si="37"/>
        <v>20</v>
      </c>
      <c r="B468" s="193">
        <f t="shared" si="38"/>
        <v>20</v>
      </c>
      <c r="C468" s="190" cm="1">
        <f t="array" aca="1" ref="C468" ca="1">VALUE(LEFT(TRIM(INDIRECT("'" &amp; INT((ROW()-2)/24)+1 &amp; "號'!B" &amp; MOD(ROW()-2,24)+10)), 2))</f>
        <v>18</v>
      </c>
      <c r="D468" s="190">
        <f t="shared" ca="1" si="39"/>
        <v>7</v>
      </c>
      <c r="E468" s="190" t="str" cm="1">
        <f t="array" aca="1" ref="E468" ca="1">INDIRECT("'" &amp; A468 &amp; "號'!" &amp; ADDRESS(B468, D468))</f>
        <v/>
      </c>
      <c r="F468" s="190">
        <f t="shared" ca="1" si="40"/>
        <v>0</v>
      </c>
      <c r="G468" s="190">
        <f ca="1">IF(F468=0, 0, IF(AND(F467=1, C468&lt;&gt;8, OR(C468=C467+1, AND(C467=23, C468=0))), G467, MAX($G$1:G467)+1))</f>
        <v>0</v>
      </c>
      <c r="H468" s="194">
        <f t="shared" si="41"/>
        <v>20</v>
      </c>
    </row>
    <row r="469" spans="1:8">
      <c r="A469" s="190">
        <f t="shared" si="37"/>
        <v>20</v>
      </c>
      <c r="B469" s="193">
        <f t="shared" si="38"/>
        <v>21</v>
      </c>
      <c r="C469" s="190" cm="1">
        <f t="array" aca="1" ref="C469" ca="1">VALUE(LEFT(TRIM(INDIRECT("'" &amp; INT((ROW()-2)/24)+1 &amp; "號'!B" &amp; MOD(ROW()-2,24)+10)), 2))</f>
        <v>19</v>
      </c>
      <c r="D469" s="190">
        <f t="shared" ca="1" si="39"/>
        <v>7</v>
      </c>
      <c r="E469" s="190" t="str" cm="1">
        <f t="array" aca="1" ref="E469" ca="1">INDIRECT("'" &amp; A469 &amp; "號'!" &amp; ADDRESS(B469, D469))</f>
        <v/>
      </c>
      <c r="F469" s="190">
        <f t="shared" ca="1" si="40"/>
        <v>0</v>
      </c>
      <c r="G469" s="190">
        <f ca="1">IF(F469=0, 0, IF(AND(F468=1, C469&lt;&gt;8, OR(C469=C468+1, AND(C468=23, C469=0))), G468, MAX($G$1:G468)+1))</f>
        <v>0</v>
      </c>
      <c r="H469" s="194">
        <f t="shared" si="41"/>
        <v>20</v>
      </c>
    </row>
    <row r="470" spans="1:8">
      <c r="A470" s="190">
        <f t="shared" si="37"/>
        <v>20</v>
      </c>
      <c r="B470" s="193">
        <f t="shared" si="38"/>
        <v>22</v>
      </c>
      <c r="C470" s="190" cm="1">
        <f t="array" aca="1" ref="C470" ca="1">VALUE(LEFT(TRIM(INDIRECT("'" &amp; INT((ROW()-2)/24)+1 &amp; "號'!B" &amp; MOD(ROW()-2,24)+10)), 2))</f>
        <v>20</v>
      </c>
      <c r="D470" s="190">
        <f t="shared" ca="1" si="39"/>
        <v>7</v>
      </c>
      <c r="E470" s="190" t="str" cm="1">
        <f t="array" aca="1" ref="E470" ca="1">INDIRECT("'" &amp; A470 &amp; "號'!" &amp; ADDRESS(B470, D470))</f>
        <v/>
      </c>
      <c r="F470" s="190">
        <f t="shared" ca="1" si="40"/>
        <v>0</v>
      </c>
      <c r="G470" s="190">
        <f ca="1">IF(F470=0, 0, IF(AND(F469=1, C470&lt;&gt;8, OR(C470=C469+1, AND(C469=23, C470=0))), G469, MAX($G$1:G469)+1))</f>
        <v>0</v>
      </c>
      <c r="H470" s="194">
        <f t="shared" si="41"/>
        <v>20</v>
      </c>
    </row>
    <row r="471" spans="1:8">
      <c r="A471" s="190">
        <f t="shared" si="37"/>
        <v>20</v>
      </c>
      <c r="B471" s="193">
        <f t="shared" si="38"/>
        <v>23</v>
      </c>
      <c r="C471" s="190" cm="1">
        <f t="array" aca="1" ref="C471" ca="1">VALUE(LEFT(TRIM(INDIRECT("'" &amp; INT((ROW()-2)/24)+1 &amp; "號'!B" &amp; MOD(ROW()-2,24)+10)), 2))</f>
        <v>21</v>
      </c>
      <c r="D471" s="190">
        <f t="shared" ca="1" si="39"/>
        <v>7</v>
      </c>
      <c r="E471" s="190" t="str" cm="1">
        <f t="array" aca="1" ref="E471" ca="1">INDIRECT("'" &amp; A471 &amp; "號'!" &amp; ADDRESS(B471, D471))</f>
        <v/>
      </c>
      <c r="F471" s="190">
        <f t="shared" ca="1" si="40"/>
        <v>0</v>
      </c>
      <c r="G471" s="190">
        <f ca="1">IF(F471=0, 0, IF(AND(F470=1, C471&lt;&gt;8, OR(C471=C470+1, AND(C470=23, C471=0))), G470, MAX($G$1:G470)+1))</f>
        <v>0</v>
      </c>
      <c r="H471" s="194">
        <f t="shared" si="41"/>
        <v>20</v>
      </c>
    </row>
    <row r="472" spans="1:8">
      <c r="A472" s="190">
        <f t="shared" si="37"/>
        <v>20</v>
      </c>
      <c r="B472" s="193">
        <f t="shared" si="38"/>
        <v>24</v>
      </c>
      <c r="C472" s="190" cm="1">
        <f t="array" aca="1" ref="C472" ca="1">VALUE(LEFT(TRIM(INDIRECT("'" &amp; INT((ROW()-2)/24)+1 &amp; "號'!B" &amp; MOD(ROW()-2,24)+10)), 2))</f>
        <v>22</v>
      </c>
      <c r="D472" s="190">
        <f t="shared" ca="1" si="39"/>
        <v>7</v>
      </c>
      <c r="E472" s="190" t="str" cm="1">
        <f t="array" aca="1" ref="E472" ca="1">INDIRECT("'" &amp; A472 &amp; "號'!" &amp; ADDRESS(B472, D472))</f>
        <v/>
      </c>
      <c r="F472" s="190">
        <f t="shared" ca="1" si="40"/>
        <v>0</v>
      </c>
      <c r="G472" s="190">
        <f ca="1">IF(F472=0, 0, IF(AND(F471=1, C472&lt;&gt;8, OR(C472=C471+1, AND(C471=23, C472=0))), G471, MAX($G$1:G471)+1))</f>
        <v>0</v>
      </c>
      <c r="H472" s="194">
        <f t="shared" si="41"/>
        <v>20</v>
      </c>
    </row>
    <row r="473" spans="1:8">
      <c r="A473" s="190">
        <f t="shared" si="37"/>
        <v>20</v>
      </c>
      <c r="B473" s="193">
        <f t="shared" si="38"/>
        <v>25</v>
      </c>
      <c r="C473" s="190" cm="1">
        <f t="array" aca="1" ref="C473" ca="1">VALUE(LEFT(TRIM(INDIRECT("'" &amp; INT((ROW()-2)/24)+1 &amp; "號'!B" &amp; MOD(ROW()-2,24)+10)), 2))</f>
        <v>23</v>
      </c>
      <c r="D473" s="190">
        <f t="shared" ca="1" si="39"/>
        <v>7</v>
      </c>
      <c r="E473" s="190" t="str" cm="1">
        <f t="array" aca="1" ref="E473" ca="1">INDIRECT("'" &amp; A473 &amp; "號'!" &amp; ADDRESS(B473, D473))</f>
        <v/>
      </c>
      <c r="F473" s="190">
        <f t="shared" ca="1" si="40"/>
        <v>0</v>
      </c>
      <c r="G473" s="190">
        <f ca="1">IF(F473=0, 0, IF(AND(F472=1, C473&lt;&gt;8, OR(C473=C472+1, AND(C472=23, C473=0))), G472, MAX($G$1:G472)+1))</f>
        <v>0</v>
      </c>
      <c r="H473" s="194">
        <f t="shared" si="41"/>
        <v>20</v>
      </c>
    </row>
    <row r="474" spans="1:8">
      <c r="A474" s="190">
        <f t="shared" si="37"/>
        <v>20</v>
      </c>
      <c r="B474" s="193">
        <f t="shared" si="38"/>
        <v>26</v>
      </c>
      <c r="C474" s="190" cm="1">
        <f t="array" aca="1" ref="C474" ca="1">VALUE(LEFT(TRIM(INDIRECT("'" &amp; INT((ROW()-2)/24)+1 &amp; "號'!B" &amp; MOD(ROW()-2,24)+10)), 2))</f>
        <v>0</v>
      </c>
      <c r="D474" s="190">
        <f t="shared" ca="1" si="39"/>
        <v>7</v>
      </c>
      <c r="E474" s="190" t="str" cm="1">
        <f t="array" aca="1" ref="E474" ca="1">INDIRECT("'" &amp; A474 &amp; "號'!" &amp; ADDRESS(B474, D474))</f>
        <v/>
      </c>
      <c r="F474" s="190">
        <f t="shared" ca="1" si="40"/>
        <v>0</v>
      </c>
      <c r="G474" s="190">
        <f ca="1">IF(F474=0, 0, IF(AND(F473=1, C474&lt;&gt;8, OR(C474=C473+1, AND(C473=23, C474=0))), G473, MAX($G$1:G473)+1))</f>
        <v>0</v>
      </c>
      <c r="H474" s="194">
        <f t="shared" si="41"/>
        <v>20</v>
      </c>
    </row>
    <row r="475" spans="1:8">
      <c r="A475" s="190">
        <f t="shared" si="37"/>
        <v>20</v>
      </c>
      <c r="B475" s="193">
        <f t="shared" si="38"/>
        <v>27</v>
      </c>
      <c r="C475" s="190" cm="1">
        <f t="array" aca="1" ref="C475" ca="1">VALUE(LEFT(TRIM(INDIRECT("'" &amp; INT((ROW()-2)/24)+1 &amp; "號'!B" &amp; MOD(ROW()-2,24)+10)), 2))</f>
        <v>1</v>
      </c>
      <c r="D475" s="190">
        <f t="shared" ca="1" si="39"/>
        <v>7</v>
      </c>
      <c r="E475" s="190" t="str" cm="1">
        <f t="array" aca="1" ref="E475" ca="1">INDIRECT("'" &amp; A475 &amp; "號'!" &amp; ADDRESS(B475, D475))</f>
        <v/>
      </c>
      <c r="F475" s="190">
        <f t="shared" ca="1" si="40"/>
        <v>0</v>
      </c>
      <c r="G475" s="190">
        <f ca="1">IF(F475=0, 0, IF(AND(F474=1, C475&lt;&gt;8, OR(C475=C474+1, AND(C474=23, C475=0))), G474, MAX($G$1:G474)+1))</f>
        <v>0</v>
      </c>
      <c r="H475" s="194">
        <f t="shared" si="41"/>
        <v>20</v>
      </c>
    </row>
    <row r="476" spans="1:8">
      <c r="A476" s="190">
        <f t="shared" si="37"/>
        <v>20</v>
      </c>
      <c r="B476" s="193">
        <f t="shared" si="38"/>
        <v>28</v>
      </c>
      <c r="C476" s="190" cm="1">
        <f t="array" aca="1" ref="C476" ca="1">VALUE(LEFT(TRIM(INDIRECT("'" &amp; INT((ROW()-2)/24)+1 &amp; "號'!B" &amp; MOD(ROW()-2,24)+10)), 2))</f>
        <v>2</v>
      </c>
      <c r="D476" s="190">
        <f t="shared" ca="1" si="39"/>
        <v>7</v>
      </c>
      <c r="E476" s="190" t="str" cm="1">
        <f t="array" aca="1" ref="E476" ca="1">INDIRECT("'" &amp; A476 &amp; "號'!" &amp; ADDRESS(B476, D476))</f>
        <v/>
      </c>
      <c r="F476" s="190">
        <f t="shared" ca="1" si="40"/>
        <v>0</v>
      </c>
      <c r="G476" s="190">
        <f ca="1">IF(F476=0, 0, IF(AND(F475=1, C476&lt;&gt;8, OR(C476=C475+1, AND(C475=23, C476=0))), G475, MAX($G$1:G475)+1))</f>
        <v>0</v>
      </c>
      <c r="H476" s="194">
        <f t="shared" si="41"/>
        <v>20</v>
      </c>
    </row>
    <row r="477" spans="1:8">
      <c r="A477" s="190">
        <f t="shared" si="37"/>
        <v>20</v>
      </c>
      <c r="B477" s="193">
        <f t="shared" si="38"/>
        <v>29</v>
      </c>
      <c r="C477" s="190" cm="1">
        <f t="array" aca="1" ref="C477" ca="1">VALUE(LEFT(TRIM(INDIRECT("'" &amp; INT((ROW()-2)/24)+1 &amp; "號'!B" &amp; MOD(ROW()-2,24)+10)), 2))</f>
        <v>3</v>
      </c>
      <c r="D477" s="190">
        <f t="shared" ca="1" si="39"/>
        <v>7</v>
      </c>
      <c r="E477" s="190" t="str" cm="1">
        <f t="array" aca="1" ref="E477" ca="1">INDIRECT("'" &amp; A477 &amp; "號'!" &amp; ADDRESS(B477, D477))</f>
        <v/>
      </c>
      <c r="F477" s="190">
        <f t="shared" ca="1" si="40"/>
        <v>0</v>
      </c>
      <c r="G477" s="190">
        <f ca="1">IF(F477=0, 0, IF(AND(F476=1, C477&lt;&gt;8, OR(C477=C476+1, AND(C476=23, C477=0))), G476, MAX($G$1:G476)+1))</f>
        <v>0</v>
      </c>
      <c r="H477" s="194">
        <f t="shared" si="41"/>
        <v>20</v>
      </c>
    </row>
    <row r="478" spans="1:8">
      <c r="A478" s="190">
        <f t="shared" si="37"/>
        <v>20</v>
      </c>
      <c r="B478" s="193">
        <f t="shared" si="38"/>
        <v>30</v>
      </c>
      <c r="C478" s="190" cm="1">
        <f t="array" aca="1" ref="C478" ca="1">VALUE(LEFT(TRIM(INDIRECT("'" &amp; INT((ROW()-2)/24)+1 &amp; "號'!B" &amp; MOD(ROW()-2,24)+10)), 2))</f>
        <v>4</v>
      </c>
      <c r="D478" s="190">
        <f t="shared" ca="1" si="39"/>
        <v>7</v>
      </c>
      <c r="E478" s="190" t="str" cm="1">
        <f t="array" aca="1" ref="E478" ca="1">INDIRECT("'" &amp; A478 &amp; "號'!" &amp; ADDRESS(B478, D478))</f>
        <v/>
      </c>
      <c r="F478" s="190">
        <f t="shared" ca="1" si="40"/>
        <v>0</v>
      </c>
      <c r="G478" s="190">
        <f ca="1">IF(F478=0, 0, IF(AND(F477=1, C478&lt;&gt;8, OR(C478=C477+1, AND(C477=23, C478=0))), G477, MAX($G$1:G477)+1))</f>
        <v>0</v>
      </c>
      <c r="H478" s="194">
        <f t="shared" si="41"/>
        <v>20</v>
      </c>
    </row>
    <row r="479" spans="1:8">
      <c r="A479" s="190">
        <f t="shared" si="37"/>
        <v>20</v>
      </c>
      <c r="B479" s="193">
        <f t="shared" si="38"/>
        <v>31</v>
      </c>
      <c r="C479" s="190" cm="1">
        <f t="array" aca="1" ref="C479" ca="1">VALUE(LEFT(TRIM(INDIRECT("'" &amp; INT((ROW()-2)/24)+1 &amp; "號'!B" &amp; MOD(ROW()-2,24)+10)), 2))</f>
        <v>5</v>
      </c>
      <c r="D479" s="190">
        <f t="shared" ca="1" si="39"/>
        <v>7</v>
      </c>
      <c r="E479" s="190" t="str" cm="1">
        <f t="array" aca="1" ref="E479" ca="1">INDIRECT("'" &amp; A479 &amp; "號'!" &amp; ADDRESS(B479, D479))</f>
        <v/>
      </c>
      <c r="F479" s="190">
        <f t="shared" ca="1" si="40"/>
        <v>0</v>
      </c>
      <c r="G479" s="190">
        <f ca="1">IF(F479=0, 0, IF(AND(F478=1, C479&lt;&gt;8, OR(C479=C478+1, AND(C478=23, C479=0))), G478, MAX($G$1:G478)+1))</f>
        <v>0</v>
      </c>
      <c r="H479" s="194">
        <f t="shared" si="41"/>
        <v>20</v>
      </c>
    </row>
    <row r="480" spans="1:8">
      <c r="A480" s="190">
        <f t="shared" si="37"/>
        <v>20</v>
      </c>
      <c r="B480" s="193">
        <f t="shared" si="38"/>
        <v>32</v>
      </c>
      <c r="C480" s="190" cm="1">
        <f t="array" aca="1" ref="C480" ca="1">VALUE(LEFT(TRIM(INDIRECT("'" &amp; INT((ROW()-2)/24)+1 &amp; "號'!B" &amp; MOD(ROW()-2,24)+10)), 2))</f>
        <v>6</v>
      </c>
      <c r="D480" s="190">
        <f t="shared" ca="1" si="39"/>
        <v>7</v>
      </c>
      <c r="E480" s="190" t="str" cm="1">
        <f t="array" aca="1" ref="E480" ca="1">INDIRECT("'" &amp; A480 &amp; "號'!" &amp; ADDRESS(B480, D480))</f>
        <v/>
      </c>
      <c r="F480" s="190">
        <f t="shared" ca="1" si="40"/>
        <v>0</v>
      </c>
      <c r="G480" s="190">
        <f ca="1">IF(F480=0, 0, IF(AND(F479=1, C480&lt;&gt;8, OR(C480=C479+1, AND(C479=23, C480=0))), G479, MAX($G$1:G479)+1))</f>
        <v>0</v>
      </c>
      <c r="H480" s="194">
        <f t="shared" si="41"/>
        <v>20</v>
      </c>
    </row>
    <row r="481" spans="1:8">
      <c r="A481" s="190">
        <f t="shared" si="37"/>
        <v>20</v>
      </c>
      <c r="B481" s="193">
        <f t="shared" si="38"/>
        <v>33</v>
      </c>
      <c r="C481" s="190" cm="1">
        <f t="array" aca="1" ref="C481" ca="1">VALUE(LEFT(TRIM(INDIRECT("'" &amp; INT((ROW()-2)/24)+1 &amp; "號'!B" &amp; MOD(ROW()-2,24)+10)), 2))</f>
        <v>7</v>
      </c>
      <c r="D481" s="190">
        <f t="shared" ca="1" si="39"/>
        <v>7</v>
      </c>
      <c r="E481" s="190" t="str" cm="1">
        <f t="array" aca="1" ref="E481" ca="1">INDIRECT("'" &amp; A481 &amp; "號'!" &amp; ADDRESS(B481, D481))</f>
        <v/>
      </c>
      <c r="F481" s="190">
        <f t="shared" ca="1" si="40"/>
        <v>0</v>
      </c>
      <c r="G481" s="190">
        <f ca="1">IF(F481=0, 0, IF(AND(F480=1, C481&lt;&gt;8, OR(C481=C480+1, AND(C480=23, C481=0))), G480, MAX($G$1:G480)+1))</f>
        <v>0</v>
      </c>
      <c r="H481" s="194">
        <f t="shared" si="41"/>
        <v>20</v>
      </c>
    </row>
    <row r="482" spans="1:8">
      <c r="A482" s="190">
        <f t="shared" si="37"/>
        <v>21</v>
      </c>
      <c r="B482" s="193">
        <f t="shared" si="38"/>
        <v>10</v>
      </c>
      <c r="C482" s="190" cm="1">
        <f t="array" aca="1" ref="C482" ca="1">VALUE(LEFT(TRIM(INDIRECT("'" &amp; INT((ROW()-2)/24)+1 &amp; "號'!B" &amp; MOD(ROW()-2,24)+10)), 2))</f>
        <v>8</v>
      </c>
      <c r="D482" s="190">
        <f t="shared" ca="1" si="39"/>
        <v>7</v>
      </c>
      <c r="E482" s="190" t="str" cm="1">
        <f t="array" aca="1" ref="E482" ca="1">INDIRECT("'" &amp; A482 &amp; "號'!" &amp; ADDRESS(B482, D482))</f>
        <v>1</v>
      </c>
      <c r="F482" s="190">
        <f t="shared" ca="1" si="40"/>
        <v>0</v>
      </c>
      <c r="G482" s="190">
        <f ca="1">IF(F482=0, 0, IF(AND(F481=1, C482&lt;&gt;8, OR(C482=C481+1, AND(C481=23, C482=0))), G481, MAX($G$1:G481)+1))</f>
        <v>0</v>
      </c>
      <c r="H482" s="194">
        <f t="shared" si="41"/>
        <v>21</v>
      </c>
    </row>
    <row r="483" spans="1:8">
      <c r="A483" s="190">
        <f t="shared" si="37"/>
        <v>21</v>
      </c>
      <c r="B483" s="193">
        <f t="shared" si="38"/>
        <v>11</v>
      </c>
      <c r="C483" s="190" cm="1">
        <f t="array" aca="1" ref="C483" ca="1">VALUE(LEFT(TRIM(INDIRECT("'" &amp; INT((ROW()-2)/24)+1 &amp; "號'!B" &amp; MOD(ROW()-2,24)+10)), 2))</f>
        <v>9</v>
      </c>
      <c r="D483" s="190">
        <f t="shared" ca="1" si="39"/>
        <v>7</v>
      </c>
      <c r="E483" s="190" t="str" cm="1">
        <f t="array" aca="1" ref="E483" ca="1">INDIRECT("'" &amp; A483 &amp; "號'!" &amp; ADDRESS(B483, D483))</f>
        <v>1</v>
      </c>
      <c r="F483" s="190">
        <f t="shared" ca="1" si="40"/>
        <v>0</v>
      </c>
      <c r="G483" s="190">
        <f ca="1">IF(F483=0, 0, IF(AND(F482=1, C483&lt;&gt;8, OR(C483=C482+1, AND(C482=23, C483=0))), G482, MAX($G$1:G482)+1))</f>
        <v>0</v>
      </c>
      <c r="H483" s="194">
        <f t="shared" si="41"/>
        <v>21</v>
      </c>
    </row>
    <row r="484" spans="1:8">
      <c r="A484" s="190">
        <f t="shared" si="37"/>
        <v>21</v>
      </c>
      <c r="B484" s="193">
        <f t="shared" si="38"/>
        <v>12</v>
      </c>
      <c r="C484" s="190" cm="1">
        <f t="array" aca="1" ref="C484" ca="1">VALUE(LEFT(TRIM(INDIRECT("'" &amp; INT((ROW()-2)/24)+1 &amp; "號'!B" &amp; MOD(ROW()-2,24)+10)), 2))</f>
        <v>10</v>
      </c>
      <c r="D484" s="190">
        <f t="shared" ca="1" si="39"/>
        <v>7</v>
      </c>
      <c r="E484" s="190" t="str" cm="1">
        <f t="array" aca="1" ref="E484" ca="1">INDIRECT("'" &amp; A484 &amp; "號'!" &amp; ADDRESS(B484, D484))</f>
        <v/>
      </c>
      <c r="F484" s="190">
        <f t="shared" ca="1" si="40"/>
        <v>0</v>
      </c>
      <c r="G484" s="190">
        <f ca="1">IF(F484=0, 0, IF(AND(F483=1, C484&lt;&gt;8, OR(C484=C483+1, AND(C483=23, C484=0))), G483, MAX($G$1:G483)+1))</f>
        <v>0</v>
      </c>
      <c r="H484" s="194">
        <f t="shared" si="41"/>
        <v>21</v>
      </c>
    </row>
    <row r="485" spans="1:8">
      <c r="A485" s="190">
        <f t="shared" si="37"/>
        <v>21</v>
      </c>
      <c r="B485" s="193">
        <f t="shared" si="38"/>
        <v>13</v>
      </c>
      <c r="C485" s="190" cm="1">
        <f t="array" aca="1" ref="C485" ca="1">VALUE(LEFT(TRIM(INDIRECT("'" &amp; INT((ROW()-2)/24)+1 &amp; "號'!B" &amp; MOD(ROW()-2,24)+10)), 2))</f>
        <v>11</v>
      </c>
      <c r="D485" s="190">
        <f t="shared" ca="1" si="39"/>
        <v>7</v>
      </c>
      <c r="E485" s="190" t="str" cm="1">
        <f t="array" aca="1" ref="E485" ca="1">INDIRECT("'" &amp; A485 &amp; "號'!" &amp; ADDRESS(B485, D485))</f>
        <v/>
      </c>
      <c r="F485" s="190">
        <f t="shared" ca="1" si="40"/>
        <v>0</v>
      </c>
      <c r="G485" s="190">
        <f ca="1">IF(F485=0, 0, IF(AND(F484=1, C485&lt;&gt;8, OR(C485=C484+1, AND(C484=23, C485=0))), G484, MAX($G$1:G484)+1))</f>
        <v>0</v>
      </c>
      <c r="H485" s="194">
        <f t="shared" si="41"/>
        <v>21</v>
      </c>
    </row>
    <row r="486" spans="1:8">
      <c r="A486" s="190">
        <f t="shared" si="37"/>
        <v>21</v>
      </c>
      <c r="B486" s="193">
        <f t="shared" si="38"/>
        <v>14</v>
      </c>
      <c r="C486" s="190" cm="1">
        <f t="array" aca="1" ref="C486" ca="1">VALUE(LEFT(TRIM(INDIRECT("'" &amp; INT((ROW()-2)/24)+1 &amp; "號'!B" &amp; MOD(ROW()-2,24)+10)), 2))</f>
        <v>12</v>
      </c>
      <c r="D486" s="190">
        <f t="shared" ca="1" si="39"/>
        <v>7</v>
      </c>
      <c r="E486" s="190" t="str" cm="1">
        <f t="array" aca="1" ref="E486" ca="1">INDIRECT("'" &amp; A486 &amp; "號'!" &amp; ADDRESS(B486, D486))</f>
        <v/>
      </c>
      <c r="F486" s="190">
        <f t="shared" ca="1" si="40"/>
        <v>0</v>
      </c>
      <c r="G486" s="190">
        <f ca="1">IF(F486=0, 0, IF(AND(F485=1, C486&lt;&gt;8, OR(C486=C485+1, AND(C485=23, C486=0))), G485, MAX($G$1:G485)+1))</f>
        <v>0</v>
      </c>
      <c r="H486" s="194">
        <f t="shared" si="41"/>
        <v>21</v>
      </c>
    </row>
    <row r="487" spans="1:8">
      <c r="A487" s="190">
        <f t="shared" si="37"/>
        <v>21</v>
      </c>
      <c r="B487" s="193">
        <f t="shared" si="38"/>
        <v>15</v>
      </c>
      <c r="C487" s="190" cm="1">
        <f t="array" aca="1" ref="C487" ca="1">VALUE(LEFT(TRIM(INDIRECT("'" &amp; INT((ROW()-2)/24)+1 &amp; "號'!B" &amp; MOD(ROW()-2,24)+10)), 2))</f>
        <v>13</v>
      </c>
      <c r="D487" s="190">
        <f t="shared" ca="1" si="39"/>
        <v>7</v>
      </c>
      <c r="E487" s="190" t="str" cm="1">
        <f t="array" aca="1" ref="E487" ca="1">INDIRECT("'" &amp; A487 &amp; "號'!" &amp; ADDRESS(B487, D487))</f>
        <v/>
      </c>
      <c r="F487" s="190">
        <f t="shared" ca="1" si="40"/>
        <v>0</v>
      </c>
      <c r="G487" s="190">
        <f ca="1">IF(F487=0, 0, IF(AND(F486=1, C487&lt;&gt;8, OR(C487=C486+1, AND(C486=23, C487=0))), G486, MAX($G$1:G486)+1))</f>
        <v>0</v>
      </c>
      <c r="H487" s="194">
        <f t="shared" si="41"/>
        <v>21</v>
      </c>
    </row>
    <row r="488" spans="1:8">
      <c r="A488" s="190">
        <f t="shared" si="37"/>
        <v>21</v>
      </c>
      <c r="B488" s="193">
        <f t="shared" si="38"/>
        <v>16</v>
      </c>
      <c r="C488" s="190" cm="1">
        <f t="array" aca="1" ref="C488" ca="1">VALUE(LEFT(TRIM(INDIRECT("'" &amp; INT((ROW()-2)/24)+1 &amp; "號'!B" &amp; MOD(ROW()-2,24)+10)), 2))</f>
        <v>14</v>
      </c>
      <c r="D488" s="190">
        <f t="shared" ca="1" si="39"/>
        <v>7</v>
      </c>
      <c r="E488" s="190" t="str" cm="1">
        <f t="array" aca="1" ref="E488" ca="1">INDIRECT("'" &amp; A488 &amp; "號'!" &amp; ADDRESS(B488, D488))</f>
        <v/>
      </c>
      <c r="F488" s="190">
        <f t="shared" ca="1" si="40"/>
        <v>0</v>
      </c>
      <c r="G488" s="190">
        <f ca="1">IF(F488=0, 0, IF(AND(F487=1, C488&lt;&gt;8, OR(C488=C487+1, AND(C487=23, C488=0))), G487, MAX($G$1:G487)+1))</f>
        <v>0</v>
      </c>
      <c r="H488" s="194">
        <f t="shared" si="41"/>
        <v>21</v>
      </c>
    </row>
    <row r="489" spans="1:8">
      <c r="A489" s="190">
        <f t="shared" si="37"/>
        <v>21</v>
      </c>
      <c r="B489" s="193">
        <f t="shared" si="38"/>
        <v>17</v>
      </c>
      <c r="C489" s="190" cm="1">
        <f t="array" aca="1" ref="C489" ca="1">VALUE(LEFT(TRIM(INDIRECT("'" &amp; INT((ROW()-2)/24)+1 &amp; "號'!B" &amp; MOD(ROW()-2,24)+10)), 2))</f>
        <v>15</v>
      </c>
      <c r="D489" s="190">
        <f t="shared" ca="1" si="39"/>
        <v>7</v>
      </c>
      <c r="E489" s="190" t="str" cm="1">
        <f t="array" aca="1" ref="E489" ca="1">INDIRECT("'" &amp; A489 &amp; "號'!" &amp; ADDRESS(B489, D489))</f>
        <v/>
      </c>
      <c r="F489" s="190">
        <f t="shared" ca="1" si="40"/>
        <v>0</v>
      </c>
      <c r="G489" s="190">
        <f ca="1">IF(F489=0, 0, IF(AND(F488=1, C489&lt;&gt;8, OR(C489=C488+1, AND(C488=23, C489=0))), G488, MAX($G$1:G488)+1))</f>
        <v>0</v>
      </c>
      <c r="H489" s="194">
        <f t="shared" si="41"/>
        <v>21</v>
      </c>
    </row>
    <row r="490" spans="1:8">
      <c r="A490" s="190">
        <f t="shared" si="37"/>
        <v>21</v>
      </c>
      <c r="B490" s="193">
        <f t="shared" si="38"/>
        <v>18</v>
      </c>
      <c r="C490" s="190" cm="1">
        <f t="array" aca="1" ref="C490" ca="1">VALUE(LEFT(TRIM(INDIRECT("'" &amp; INT((ROW()-2)/24)+1 &amp; "號'!B" &amp; MOD(ROW()-2,24)+10)), 2))</f>
        <v>16</v>
      </c>
      <c r="D490" s="190">
        <f t="shared" ca="1" si="39"/>
        <v>7</v>
      </c>
      <c r="E490" s="190" t="str" cm="1">
        <f t="array" aca="1" ref="E490" ca="1">INDIRECT("'" &amp; A490 &amp; "號'!" &amp; ADDRESS(B490, D490))</f>
        <v/>
      </c>
      <c r="F490" s="190">
        <f t="shared" ca="1" si="40"/>
        <v>0</v>
      </c>
      <c r="G490" s="190">
        <f ca="1">IF(F490=0, 0, IF(AND(F489=1, C490&lt;&gt;8, OR(C490=C489+1, AND(C489=23, C490=0))), G489, MAX($G$1:G489)+1))</f>
        <v>0</v>
      </c>
      <c r="H490" s="194">
        <f t="shared" si="41"/>
        <v>21</v>
      </c>
    </row>
    <row r="491" spans="1:8">
      <c r="A491" s="190">
        <f t="shared" si="37"/>
        <v>21</v>
      </c>
      <c r="B491" s="193">
        <f t="shared" si="38"/>
        <v>19</v>
      </c>
      <c r="C491" s="190" cm="1">
        <f t="array" aca="1" ref="C491" ca="1">VALUE(LEFT(TRIM(INDIRECT("'" &amp; INT((ROW()-2)/24)+1 &amp; "號'!B" &amp; MOD(ROW()-2,24)+10)), 2))</f>
        <v>17</v>
      </c>
      <c r="D491" s="190">
        <f t="shared" ca="1" si="39"/>
        <v>7</v>
      </c>
      <c r="E491" s="190" t="str" cm="1">
        <f t="array" aca="1" ref="E491" ca="1">INDIRECT("'" &amp; A491 &amp; "號'!" &amp; ADDRESS(B491, D491))</f>
        <v/>
      </c>
      <c r="F491" s="190">
        <f t="shared" ca="1" si="40"/>
        <v>0</v>
      </c>
      <c r="G491" s="190">
        <f ca="1">IF(F491=0, 0, IF(AND(F490=1, C491&lt;&gt;8, OR(C491=C490+1, AND(C490=23, C491=0))), G490, MAX($G$1:G490)+1))</f>
        <v>0</v>
      </c>
      <c r="H491" s="194">
        <f t="shared" si="41"/>
        <v>21</v>
      </c>
    </row>
    <row r="492" spans="1:8">
      <c r="A492" s="190">
        <f t="shared" si="37"/>
        <v>21</v>
      </c>
      <c r="B492" s="193">
        <f t="shared" si="38"/>
        <v>20</v>
      </c>
      <c r="C492" s="190" cm="1">
        <f t="array" aca="1" ref="C492" ca="1">VALUE(LEFT(TRIM(INDIRECT("'" &amp; INT((ROW()-2)/24)+1 &amp; "號'!B" &amp; MOD(ROW()-2,24)+10)), 2))</f>
        <v>18</v>
      </c>
      <c r="D492" s="190">
        <f t="shared" ca="1" si="39"/>
        <v>7</v>
      </c>
      <c r="E492" s="190" t="str" cm="1">
        <f t="array" aca="1" ref="E492" ca="1">INDIRECT("'" &amp; A492 &amp; "號'!" &amp; ADDRESS(B492, D492))</f>
        <v/>
      </c>
      <c r="F492" s="190">
        <f t="shared" ca="1" si="40"/>
        <v>0</v>
      </c>
      <c r="G492" s="190">
        <f ca="1">IF(F492=0, 0, IF(AND(F491=1, C492&lt;&gt;8, OR(C492=C491+1, AND(C491=23, C492=0))), G491, MAX($G$1:G491)+1))</f>
        <v>0</v>
      </c>
      <c r="H492" s="194">
        <f t="shared" si="41"/>
        <v>21</v>
      </c>
    </row>
    <row r="493" spans="1:8">
      <c r="A493" s="190">
        <f t="shared" si="37"/>
        <v>21</v>
      </c>
      <c r="B493" s="193">
        <f t="shared" si="38"/>
        <v>21</v>
      </c>
      <c r="C493" s="190" cm="1">
        <f t="array" aca="1" ref="C493" ca="1">VALUE(LEFT(TRIM(INDIRECT("'" &amp; INT((ROW()-2)/24)+1 &amp; "號'!B" &amp; MOD(ROW()-2,24)+10)), 2))</f>
        <v>19</v>
      </c>
      <c r="D493" s="190">
        <f t="shared" ca="1" si="39"/>
        <v>7</v>
      </c>
      <c r="E493" s="190" t="str" cm="1">
        <f t="array" aca="1" ref="E493" ca="1">INDIRECT("'" &amp; A493 &amp; "號'!" &amp; ADDRESS(B493, D493))</f>
        <v/>
      </c>
      <c r="F493" s="190">
        <f t="shared" ca="1" si="40"/>
        <v>0</v>
      </c>
      <c r="G493" s="190">
        <f ca="1">IF(F493=0, 0, IF(AND(F492=1, C493&lt;&gt;8, OR(C493=C492+1, AND(C492=23, C493=0))), G492, MAX($G$1:G492)+1))</f>
        <v>0</v>
      </c>
      <c r="H493" s="194">
        <f t="shared" si="41"/>
        <v>21</v>
      </c>
    </row>
    <row r="494" spans="1:8">
      <c r="A494" s="190">
        <f t="shared" si="37"/>
        <v>21</v>
      </c>
      <c r="B494" s="193">
        <f t="shared" si="38"/>
        <v>22</v>
      </c>
      <c r="C494" s="190" cm="1">
        <f t="array" aca="1" ref="C494" ca="1">VALUE(LEFT(TRIM(INDIRECT("'" &amp; INT((ROW()-2)/24)+1 &amp; "號'!B" &amp; MOD(ROW()-2,24)+10)), 2))</f>
        <v>20</v>
      </c>
      <c r="D494" s="190">
        <f t="shared" ca="1" si="39"/>
        <v>7</v>
      </c>
      <c r="E494" s="190" t="str" cm="1">
        <f t="array" aca="1" ref="E494" ca="1">INDIRECT("'" &amp; A494 &amp; "號'!" &amp; ADDRESS(B494, D494))</f>
        <v/>
      </c>
      <c r="F494" s="190">
        <f t="shared" ca="1" si="40"/>
        <v>0</v>
      </c>
      <c r="G494" s="190">
        <f ca="1">IF(F494=0, 0, IF(AND(F493=1, C494&lt;&gt;8, OR(C494=C493+1, AND(C493=23, C494=0))), G493, MAX($G$1:G493)+1))</f>
        <v>0</v>
      </c>
      <c r="H494" s="194">
        <f t="shared" si="41"/>
        <v>21</v>
      </c>
    </row>
    <row r="495" spans="1:8">
      <c r="A495" s="190">
        <f t="shared" si="37"/>
        <v>21</v>
      </c>
      <c r="B495" s="193">
        <f t="shared" si="38"/>
        <v>23</v>
      </c>
      <c r="C495" s="190" cm="1">
        <f t="array" aca="1" ref="C495" ca="1">VALUE(LEFT(TRIM(INDIRECT("'" &amp; INT((ROW()-2)/24)+1 &amp; "號'!B" &amp; MOD(ROW()-2,24)+10)), 2))</f>
        <v>21</v>
      </c>
      <c r="D495" s="190">
        <f t="shared" ca="1" si="39"/>
        <v>7</v>
      </c>
      <c r="E495" s="190" t="str" cm="1">
        <f t="array" aca="1" ref="E495" ca="1">INDIRECT("'" &amp; A495 &amp; "號'!" &amp; ADDRESS(B495, D495))</f>
        <v/>
      </c>
      <c r="F495" s="190">
        <f t="shared" ca="1" si="40"/>
        <v>0</v>
      </c>
      <c r="G495" s="190">
        <f ca="1">IF(F495=0, 0, IF(AND(F494=1, C495&lt;&gt;8, OR(C495=C494+1, AND(C494=23, C495=0))), G494, MAX($G$1:G494)+1))</f>
        <v>0</v>
      </c>
      <c r="H495" s="194">
        <f t="shared" si="41"/>
        <v>21</v>
      </c>
    </row>
    <row r="496" spans="1:8">
      <c r="A496" s="190">
        <f t="shared" si="37"/>
        <v>21</v>
      </c>
      <c r="B496" s="193">
        <f t="shared" si="38"/>
        <v>24</v>
      </c>
      <c r="C496" s="190" cm="1">
        <f t="array" aca="1" ref="C496" ca="1">VALUE(LEFT(TRIM(INDIRECT("'" &amp; INT((ROW()-2)/24)+1 &amp; "號'!B" &amp; MOD(ROW()-2,24)+10)), 2))</f>
        <v>22</v>
      </c>
      <c r="D496" s="190">
        <f t="shared" ca="1" si="39"/>
        <v>7</v>
      </c>
      <c r="E496" s="190" t="str" cm="1">
        <f t="array" aca="1" ref="E496" ca="1">INDIRECT("'" &amp; A496 &amp; "號'!" &amp; ADDRESS(B496, D496))</f>
        <v/>
      </c>
      <c r="F496" s="190">
        <f t="shared" ca="1" si="40"/>
        <v>0</v>
      </c>
      <c r="G496" s="190">
        <f ca="1">IF(F496=0, 0, IF(AND(F495=1, C496&lt;&gt;8, OR(C496=C495+1, AND(C495=23, C496=0))), G495, MAX($G$1:G495)+1))</f>
        <v>0</v>
      </c>
      <c r="H496" s="194">
        <f t="shared" si="41"/>
        <v>21</v>
      </c>
    </row>
    <row r="497" spans="1:8">
      <c r="A497" s="190">
        <f t="shared" si="37"/>
        <v>21</v>
      </c>
      <c r="B497" s="193">
        <f t="shared" si="38"/>
        <v>25</v>
      </c>
      <c r="C497" s="190" cm="1">
        <f t="array" aca="1" ref="C497" ca="1">VALUE(LEFT(TRIM(INDIRECT("'" &amp; INT((ROW()-2)/24)+1 &amp; "號'!B" &amp; MOD(ROW()-2,24)+10)), 2))</f>
        <v>23</v>
      </c>
      <c r="D497" s="190">
        <f t="shared" ca="1" si="39"/>
        <v>7</v>
      </c>
      <c r="E497" s="190" t="str" cm="1">
        <f t="array" aca="1" ref="E497" ca="1">INDIRECT("'" &amp; A497 &amp; "號'!" &amp; ADDRESS(B497, D497))</f>
        <v/>
      </c>
      <c r="F497" s="190">
        <f t="shared" ca="1" si="40"/>
        <v>0</v>
      </c>
      <c r="G497" s="190">
        <f ca="1">IF(F497=0, 0, IF(AND(F496=1, C497&lt;&gt;8, OR(C497=C496+1, AND(C496=23, C497=0))), G496, MAX($G$1:G496)+1))</f>
        <v>0</v>
      </c>
      <c r="H497" s="194">
        <f t="shared" si="41"/>
        <v>21</v>
      </c>
    </row>
    <row r="498" spans="1:8">
      <c r="A498" s="190">
        <f t="shared" si="37"/>
        <v>21</v>
      </c>
      <c r="B498" s="193">
        <f t="shared" si="38"/>
        <v>26</v>
      </c>
      <c r="C498" s="190" cm="1">
        <f t="array" aca="1" ref="C498" ca="1">VALUE(LEFT(TRIM(INDIRECT("'" &amp; INT((ROW()-2)/24)+1 &amp; "號'!B" &amp; MOD(ROW()-2,24)+10)), 2))</f>
        <v>0</v>
      </c>
      <c r="D498" s="190">
        <f t="shared" ca="1" si="39"/>
        <v>7</v>
      </c>
      <c r="E498" s="190" t="str" cm="1">
        <f t="array" aca="1" ref="E498" ca="1">INDIRECT("'" &amp; A498 &amp; "號'!" &amp; ADDRESS(B498, D498))</f>
        <v/>
      </c>
      <c r="F498" s="190">
        <f t="shared" ca="1" si="40"/>
        <v>0</v>
      </c>
      <c r="G498" s="190">
        <f ca="1">IF(F498=0, 0, IF(AND(F497=1, C498&lt;&gt;8, OR(C498=C497+1, AND(C497=23, C498=0))), G497, MAX($G$1:G497)+1))</f>
        <v>0</v>
      </c>
      <c r="H498" s="194">
        <f t="shared" si="41"/>
        <v>21</v>
      </c>
    </row>
    <row r="499" spans="1:8">
      <c r="A499" s="190">
        <f t="shared" si="37"/>
        <v>21</v>
      </c>
      <c r="B499" s="193">
        <f t="shared" si="38"/>
        <v>27</v>
      </c>
      <c r="C499" s="190" cm="1">
        <f t="array" aca="1" ref="C499" ca="1">VALUE(LEFT(TRIM(INDIRECT("'" &amp; INT((ROW()-2)/24)+1 &amp; "號'!B" &amp; MOD(ROW()-2,24)+10)), 2))</f>
        <v>1</v>
      </c>
      <c r="D499" s="190">
        <f t="shared" ca="1" si="39"/>
        <v>7</v>
      </c>
      <c r="E499" s="190" t="str" cm="1">
        <f t="array" aca="1" ref="E499" ca="1">INDIRECT("'" &amp; A499 &amp; "號'!" &amp; ADDRESS(B499, D499))</f>
        <v/>
      </c>
      <c r="F499" s="190">
        <f t="shared" ca="1" si="40"/>
        <v>0</v>
      </c>
      <c r="G499" s="190">
        <f ca="1">IF(F499=0, 0, IF(AND(F498=1, C499&lt;&gt;8, OR(C499=C498+1, AND(C498=23, C499=0))), G498, MAX($G$1:G498)+1))</f>
        <v>0</v>
      </c>
      <c r="H499" s="194">
        <f t="shared" si="41"/>
        <v>21</v>
      </c>
    </row>
    <row r="500" spans="1:8">
      <c r="A500" s="190">
        <f t="shared" si="37"/>
        <v>21</v>
      </c>
      <c r="B500" s="193">
        <f t="shared" si="38"/>
        <v>28</v>
      </c>
      <c r="C500" s="190" cm="1">
        <f t="array" aca="1" ref="C500" ca="1">VALUE(LEFT(TRIM(INDIRECT("'" &amp; INT((ROW()-2)/24)+1 &amp; "號'!B" &amp; MOD(ROW()-2,24)+10)), 2))</f>
        <v>2</v>
      </c>
      <c r="D500" s="190">
        <f t="shared" ca="1" si="39"/>
        <v>7</v>
      </c>
      <c r="E500" s="190" t="str" cm="1">
        <f t="array" aca="1" ref="E500" ca="1">INDIRECT("'" &amp; A500 &amp; "號'!" &amp; ADDRESS(B500, D500))</f>
        <v/>
      </c>
      <c r="F500" s="190">
        <f t="shared" ca="1" si="40"/>
        <v>0</v>
      </c>
      <c r="G500" s="190">
        <f ca="1">IF(F500=0, 0, IF(AND(F499=1, C500&lt;&gt;8, OR(C500=C499+1, AND(C499=23, C500=0))), G499, MAX($G$1:G499)+1))</f>
        <v>0</v>
      </c>
      <c r="H500" s="194">
        <f t="shared" si="41"/>
        <v>21</v>
      </c>
    </row>
    <row r="501" spans="1:8">
      <c r="A501" s="190">
        <f t="shared" si="37"/>
        <v>21</v>
      </c>
      <c r="B501" s="193">
        <f t="shared" si="38"/>
        <v>29</v>
      </c>
      <c r="C501" s="190" cm="1">
        <f t="array" aca="1" ref="C501" ca="1">VALUE(LEFT(TRIM(INDIRECT("'" &amp; INT((ROW()-2)/24)+1 &amp; "號'!B" &amp; MOD(ROW()-2,24)+10)), 2))</f>
        <v>3</v>
      </c>
      <c r="D501" s="190">
        <f t="shared" ca="1" si="39"/>
        <v>7</v>
      </c>
      <c r="E501" s="190" t="str" cm="1">
        <f t="array" aca="1" ref="E501" ca="1">INDIRECT("'" &amp; A501 &amp; "號'!" &amp; ADDRESS(B501, D501))</f>
        <v/>
      </c>
      <c r="F501" s="190">
        <f t="shared" ca="1" si="40"/>
        <v>0</v>
      </c>
      <c r="G501" s="190">
        <f ca="1">IF(F501=0, 0, IF(AND(F500=1, C501&lt;&gt;8, OR(C501=C500+1, AND(C500=23, C501=0))), G500, MAX($G$1:G500)+1))</f>
        <v>0</v>
      </c>
      <c r="H501" s="194">
        <f t="shared" si="41"/>
        <v>21</v>
      </c>
    </row>
    <row r="502" spans="1:8">
      <c r="A502" s="190">
        <f t="shared" si="37"/>
        <v>21</v>
      </c>
      <c r="B502" s="193">
        <f t="shared" si="38"/>
        <v>30</v>
      </c>
      <c r="C502" s="190" cm="1">
        <f t="array" aca="1" ref="C502" ca="1">VALUE(LEFT(TRIM(INDIRECT("'" &amp; INT((ROW()-2)/24)+1 &amp; "號'!B" &amp; MOD(ROW()-2,24)+10)), 2))</f>
        <v>4</v>
      </c>
      <c r="D502" s="190">
        <f t="shared" ca="1" si="39"/>
        <v>7</v>
      </c>
      <c r="E502" s="190" t="str" cm="1">
        <f t="array" aca="1" ref="E502" ca="1">INDIRECT("'" &amp; A502 &amp; "號'!" &amp; ADDRESS(B502, D502))</f>
        <v/>
      </c>
      <c r="F502" s="190">
        <f t="shared" ca="1" si="40"/>
        <v>0</v>
      </c>
      <c r="G502" s="190">
        <f ca="1">IF(F502=0, 0, IF(AND(F501=1, C502&lt;&gt;8, OR(C502=C501+1, AND(C501=23, C502=0))), G501, MAX($G$1:G501)+1))</f>
        <v>0</v>
      </c>
      <c r="H502" s="194">
        <f t="shared" si="41"/>
        <v>21</v>
      </c>
    </row>
    <row r="503" spans="1:8">
      <c r="A503" s="190">
        <f t="shared" si="37"/>
        <v>21</v>
      </c>
      <c r="B503" s="193">
        <f t="shared" si="38"/>
        <v>31</v>
      </c>
      <c r="C503" s="190" cm="1">
        <f t="array" aca="1" ref="C503" ca="1">VALUE(LEFT(TRIM(INDIRECT("'" &amp; INT((ROW()-2)/24)+1 &amp; "號'!B" &amp; MOD(ROW()-2,24)+10)), 2))</f>
        <v>5</v>
      </c>
      <c r="D503" s="190">
        <f t="shared" ca="1" si="39"/>
        <v>7</v>
      </c>
      <c r="E503" s="190" t="str" cm="1">
        <f t="array" aca="1" ref="E503" ca="1">INDIRECT("'" &amp; A503 &amp; "號'!" &amp; ADDRESS(B503, D503))</f>
        <v/>
      </c>
      <c r="F503" s="190">
        <f t="shared" ca="1" si="40"/>
        <v>0</v>
      </c>
      <c r="G503" s="190">
        <f ca="1">IF(F503=0, 0, IF(AND(F502=1, C503&lt;&gt;8, OR(C503=C502+1, AND(C502=23, C503=0))), G502, MAX($G$1:G502)+1))</f>
        <v>0</v>
      </c>
      <c r="H503" s="194">
        <f t="shared" si="41"/>
        <v>21</v>
      </c>
    </row>
    <row r="504" spans="1:8">
      <c r="A504" s="190">
        <f t="shared" si="37"/>
        <v>21</v>
      </c>
      <c r="B504" s="193">
        <f t="shared" si="38"/>
        <v>32</v>
      </c>
      <c r="C504" s="190" cm="1">
        <f t="array" aca="1" ref="C504" ca="1">VALUE(LEFT(TRIM(INDIRECT("'" &amp; INT((ROW()-2)/24)+1 &amp; "號'!B" &amp; MOD(ROW()-2,24)+10)), 2))</f>
        <v>6</v>
      </c>
      <c r="D504" s="190">
        <f t="shared" ca="1" si="39"/>
        <v>7</v>
      </c>
      <c r="E504" s="190" t="str" cm="1">
        <f t="array" aca="1" ref="E504" ca="1">INDIRECT("'" &amp; A504 &amp; "號'!" &amp; ADDRESS(B504, D504))</f>
        <v>2</v>
      </c>
      <c r="F504" s="190">
        <f t="shared" ca="1" si="40"/>
        <v>0</v>
      </c>
      <c r="G504" s="190">
        <f ca="1">IF(F504=0, 0, IF(AND(F503=1, C504&lt;&gt;8, OR(C504=C503+1, AND(C503=23, C504=0))), G503, MAX($G$1:G503)+1))</f>
        <v>0</v>
      </c>
      <c r="H504" s="194">
        <f t="shared" si="41"/>
        <v>21</v>
      </c>
    </row>
    <row r="505" spans="1:8">
      <c r="A505" s="190">
        <f t="shared" si="37"/>
        <v>21</v>
      </c>
      <c r="B505" s="193">
        <f t="shared" si="38"/>
        <v>33</v>
      </c>
      <c r="C505" s="190" cm="1">
        <f t="array" aca="1" ref="C505" ca="1">VALUE(LEFT(TRIM(INDIRECT("'" &amp; INT((ROW()-2)/24)+1 &amp; "號'!B" &amp; MOD(ROW()-2,24)+10)), 2))</f>
        <v>7</v>
      </c>
      <c r="D505" s="190">
        <f t="shared" ca="1" si="39"/>
        <v>7</v>
      </c>
      <c r="E505" s="190" t="str" cm="1">
        <f t="array" aca="1" ref="E505" ca="1">INDIRECT("'" &amp; A505 &amp; "號'!" &amp; ADDRESS(B505, D505))</f>
        <v>2</v>
      </c>
      <c r="F505" s="190">
        <f t="shared" ca="1" si="40"/>
        <v>0</v>
      </c>
      <c r="G505" s="190">
        <f ca="1">IF(F505=0, 0, IF(AND(F504=1, C505&lt;&gt;8, OR(C505=C504+1, AND(C504=23, C505=0))), G504, MAX($G$1:G504)+1))</f>
        <v>0</v>
      </c>
      <c r="H505" s="194">
        <f t="shared" si="41"/>
        <v>21</v>
      </c>
    </row>
    <row r="506" spans="1:8">
      <c r="A506" s="190">
        <f t="shared" si="37"/>
        <v>22</v>
      </c>
      <c r="B506" s="193">
        <f t="shared" si="38"/>
        <v>10</v>
      </c>
      <c r="C506" s="190" cm="1">
        <f t="array" aca="1" ref="C506" ca="1">VALUE(LEFT(TRIM(INDIRECT("'" &amp; INT((ROW()-2)/24)+1 &amp; "號'!B" &amp; MOD(ROW()-2,24)+10)), 2))</f>
        <v>8</v>
      </c>
      <c r="D506" s="190">
        <f t="shared" ca="1" si="39"/>
        <v>7</v>
      </c>
      <c r="E506" s="190" t="str" cm="1">
        <f t="array" aca="1" ref="E506" ca="1">INDIRECT("'" &amp; A506 &amp; "號'!" &amp; ADDRESS(B506, D506))</f>
        <v>3</v>
      </c>
      <c r="F506" s="190">
        <f t="shared" ca="1" si="40"/>
        <v>0</v>
      </c>
      <c r="G506" s="190">
        <f ca="1">IF(F506=0, 0, IF(AND(F505=1, C506&lt;&gt;8, OR(C506=C505+1, AND(C505=23, C506=0))), G505, MAX($G$1:G505)+1))</f>
        <v>0</v>
      </c>
      <c r="H506" s="194">
        <f t="shared" si="41"/>
        <v>22</v>
      </c>
    </row>
    <row r="507" spans="1:8">
      <c r="A507" s="190">
        <f t="shared" si="37"/>
        <v>22</v>
      </c>
      <c r="B507" s="193">
        <f t="shared" si="38"/>
        <v>11</v>
      </c>
      <c r="C507" s="190" cm="1">
        <f t="array" aca="1" ref="C507" ca="1">VALUE(LEFT(TRIM(INDIRECT("'" &amp; INT((ROW()-2)/24)+1 &amp; "號'!B" &amp; MOD(ROW()-2,24)+10)), 2))</f>
        <v>9</v>
      </c>
      <c r="D507" s="190">
        <f t="shared" ca="1" si="39"/>
        <v>7</v>
      </c>
      <c r="E507" s="190" t="str" cm="1">
        <f t="array" aca="1" ref="E507" ca="1">INDIRECT("'" &amp; A507 &amp; "號'!" &amp; ADDRESS(B507, D507))</f>
        <v>3</v>
      </c>
      <c r="F507" s="190">
        <f t="shared" ca="1" si="40"/>
        <v>0</v>
      </c>
      <c r="G507" s="190">
        <f ca="1">IF(F507=0, 0, IF(AND(F506=1, C507&lt;&gt;8, OR(C507=C506+1, AND(C506=23, C507=0))), G506, MAX($G$1:G506)+1))</f>
        <v>0</v>
      </c>
      <c r="H507" s="194">
        <f t="shared" si="41"/>
        <v>22</v>
      </c>
    </row>
    <row r="508" spans="1:8">
      <c r="A508" s="190">
        <f t="shared" si="37"/>
        <v>22</v>
      </c>
      <c r="B508" s="193">
        <f t="shared" si="38"/>
        <v>12</v>
      </c>
      <c r="C508" s="190" cm="1">
        <f t="array" aca="1" ref="C508" ca="1">VALUE(LEFT(TRIM(INDIRECT("'" &amp; INT((ROW()-2)/24)+1 &amp; "號'!B" &amp; MOD(ROW()-2,24)+10)), 2))</f>
        <v>10</v>
      </c>
      <c r="D508" s="190">
        <f t="shared" ca="1" si="39"/>
        <v>7</v>
      </c>
      <c r="E508" s="190" t="str" cm="1">
        <f t="array" aca="1" ref="E508" ca="1">INDIRECT("'" &amp; A508 &amp; "號'!" &amp; ADDRESS(B508, D508))</f>
        <v/>
      </c>
      <c r="F508" s="190">
        <f t="shared" ca="1" si="40"/>
        <v>0</v>
      </c>
      <c r="G508" s="190">
        <f ca="1">IF(F508=0, 0, IF(AND(F507=1, C508&lt;&gt;8, OR(C508=C507+1, AND(C507=23, C508=0))), G507, MAX($G$1:G507)+1))</f>
        <v>0</v>
      </c>
      <c r="H508" s="194">
        <f t="shared" si="41"/>
        <v>22</v>
      </c>
    </row>
    <row r="509" spans="1:8">
      <c r="A509" s="190">
        <f t="shared" si="37"/>
        <v>22</v>
      </c>
      <c r="B509" s="193">
        <f t="shared" si="38"/>
        <v>13</v>
      </c>
      <c r="C509" s="190" cm="1">
        <f t="array" aca="1" ref="C509" ca="1">VALUE(LEFT(TRIM(INDIRECT("'" &amp; INT((ROW()-2)/24)+1 &amp; "號'!B" &amp; MOD(ROW()-2,24)+10)), 2))</f>
        <v>11</v>
      </c>
      <c r="D509" s="190">
        <f t="shared" ca="1" si="39"/>
        <v>7</v>
      </c>
      <c r="E509" s="190" t="str" cm="1">
        <f t="array" aca="1" ref="E509" ca="1">INDIRECT("'" &amp; A509 &amp; "號'!" &amp; ADDRESS(B509, D509))</f>
        <v/>
      </c>
      <c r="F509" s="190">
        <f t="shared" ca="1" si="40"/>
        <v>0</v>
      </c>
      <c r="G509" s="190">
        <f ca="1">IF(F509=0, 0, IF(AND(F508=1, C509&lt;&gt;8, OR(C509=C508+1, AND(C508=23, C509=0))), G508, MAX($G$1:G508)+1))</f>
        <v>0</v>
      </c>
      <c r="H509" s="194">
        <f t="shared" si="41"/>
        <v>22</v>
      </c>
    </row>
    <row r="510" spans="1:8">
      <c r="A510" s="190">
        <f t="shared" si="37"/>
        <v>22</v>
      </c>
      <c r="B510" s="193">
        <f t="shared" si="38"/>
        <v>14</v>
      </c>
      <c r="C510" s="190" cm="1">
        <f t="array" aca="1" ref="C510" ca="1">VALUE(LEFT(TRIM(INDIRECT("'" &amp; INT((ROW()-2)/24)+1 &amp; "號'!B" &amp; MOD(ROW()-2,24)+10)), 2))</f>
        <v>12</v>
      </c>
      <c r="D510" s="190">
        <f t="shared" ca="1" si="39"/>
        <v>7</v>
      </c>
      <c r="E510" s="190" t="str" cm="1">
        <f t="array" aca="1" ref="E510" ca="1">INDIRECT("'" &amp; A510 &amp; "號'!" &amp; ADDRESS(B510, D510))</f>
        <v/>
      </c>
      <c r="F510" s="190">
        <f t="shared" ca="1" si="40"/>
        <v>0</v>
      </c>
      <c r="G510" s="190">
        <f ca="1">IF(F510=0, 0, IF(AND(F509=1, C510&lt;&gt;8, OR(C510=C509+1, AND(C509=23, C510=0))), G509, MAX($G$1:G509)+1))</f>
        <v>0</v>
      </c>
      <c r="H510" s="194">
        <f t="shared" si="41"/>
        <v>22</v>
      </c>
    </row>
    <row r="511" spans="1:8">
      <c r="A511" s="190">
        <f t="shared" si="37"/>
        <v>22</v>
      </c>
      <c r="B511" s="193">
        <f t="shared" si="38"/>
        <v>15</v>
      </c>
      <c r="C511" s="190" cm="1">
        <f t="array" aca="1" ref="C511" ca="1">VALUE(LEFT(TRIM(INDIRECT("'" &amp; INT((ROW()-2)/24)+1 &amp; "號'!B" &amp; MOD(ROW()-2,24)+10)), 2))</f>
        <v>13</v>
      </c>
      <c r="D511" s="190">
        <f t="shared" ca="1" si="39"/>
        <v>7</v>
      </c>
      <c r="E511" s="190" t="str" cm="1">
        <f t="array" aca="1" ref="E511" ca="1">INDIRECT("'" &amp; A511 &amp; "號'!" &amp; ADDRESS(B511, D511))</f>
        <v/>
      </c>
      <c r="F511" s="190">
        <f t="shared" ca="1" si="40"/>
        <v>0</v>
      </c>
      <c r="G511" s="190">
        <f ca="1">IF(F511=0, 0, IF(AND(F510=1, C511&lt;&gt;8, OR(C511=C510+1, AND(C510=23, C511=0))), G510, MAX($G$1:G510)+1))</f>
        <v>0</v>
      </c>
      <c r="H511" s="194">
        <f t="shared" si="41"/>
        <v>22</v>
      </c>
    </row>
    <row r="512" spans="1:8">
      <c r="A512" s="190">
        <f t="shared" si="37"/>
        <v>22</v>
      </c>
      <c r="B512" s="193">
        <f t="shared" si="38"/>
        <v>16</v>
      </c>
      <c r="C512" s="190" cm="1">
        <f t="array" aca="1" ref="C512" ca="1">VALUE(LEFT(TRIM(INDIRECT("'" &amp; INT((ROW()-2)/24)+1 &amp; "號'!B" &amp; MOD(ROW()-2,24)+10)), 2))</f>
        <v>14</v>
      </c>
      <c r="D512" s="190">
        <f t="shared" ca="1" si="39"/>
        <v>7</v>
      </c>
      <c r="E512" s="190" t="str" cm="1">
        <f t="array" aca="1" ref="E512" ca="1">INDIRECT("'" &amp; A512 &amp; "號'!" &amp; ADDRESS(B512, D512))</f>
        <v/>
      </c>
      <c r="F512" s="190">
        <f t="shared" ca="1" si="40"/>
        <v>0</v>
      </c>
      <c r="G512" s="190">
        <f ca="1">IF(F512=0, 0, IF(AND(F511=1, C512&lt;&gt;8, OR(C512=C511+1, AND(C511=23, C512=0))), G511, MAX($G$1:G511)+1))</f>
        <v>0</v>
      </c>
      <c r="H512" s="194">
        <f t="shared" si="41"/>
        <v>22</v>
      </c>
    </row>
    <row r="513" spans="1:8">
      <c r="A513" s="190">
        <f t="shared" si="37"/>
        <v>22</v>
      </c>
      <c r="B513" s="193">
        <f t="shared" si="38"/>
        <v>17</v>
      </c>
      <c r="C513" s="190" cm="1">
        <f t="array" aca="1" ref="C513" ca="1">VALUE(LEFT(TRIM(INDIRECT("'" &amp; INT((ROW()-2)/24)+1 &amp; "號'!B" &amp; MOD(ROW()-2,24)+10)), 2))</f>
        <v>15</v>
      </c>
      <c r="D513" s="190">
        <f t="shared" ca="1" si="39"/>
        <v>7</v>
      </c>
      <c r="E513" s="190" t="str" cm="1">
        <f t="array" aca="1" ref="E513" ca="1">INDIRECT("'" &amp; A513 &amp; "號'!" &amp; ADDRESS(B513, D513))</f>
        <v/>
      </c>
      <c r="F513" s="190">
        <f t="shared" ca="1" si="40"/>
        <v>0</v>
      </c>
      <c r="G513" s="190">
        <f ca="1">IF(F513=0, 0, IF(AND(F512=1, C513&lt;&gt;8, OR(C513=C512+1, AND(C512=23, C513=0))), G512, MAX($G$1:G512)+1))</f>
        <v>0</v>
      </c>
      <c r="H513" s="194">
        <f t="shared" si="41"/>
        <v>22</v>
      </c>
    </row>
    <row r="514" spans="1:8">
      <c r="A514" s="190">
        <f t="shared" si="37"/>
        <v>22</v>
      </c>
      <c r="B514" s="193">
        <f t="shared" si="38"/>
        <v>18</v>
      </c>
      <c r="C514" s="190" cm="1">
        <f t="array" aca="1" ref="C514" ca="1">VALUE(LEFT(TRIM(INDIRECT("'" &amp; INT((ROW()-2)/24)+1 &amp; "號'!B" &amp; MOD(ROW()-2,24)+10)), 2))</f>
        <v>16</v>
      </c>
      <c r="D514" s="190">
        <f t="shared" ca="1" si="39"/>
        <v>7</v>
      </c>
      <c r="E514" s="190" t="str" cm="1">
        <f t="array" aca="1" ref="E514" ca="1">INDIRECT("'" &amp; A514 &amp; "號'!" &amp; ADDRESS(B514, D514))</f>
        <v/>
      </c>
      <c r="F514" s="190">
        <f t="shared" ca="1" si="40"/>
        <v>0</v>
      </c>
      <c r="G514" s="190">
        <f ca="1">IF(F514=0, 0, IF(AND(F513=1, C514&lt;&gt;8, OR(C514=C513+1, AND(C513=23, C514=0))), G513, MAX($G$1:G513)+1))</f>
        <v>0</v>
      </c>
      <c r="H514" s="194">
        <f t="shared" si="41"/>
        <v>22</v>
      </c>
    </row>
    <row r="515" spans="1:8">
      <c r="A515" s="190">
        <f t="shared" ref="A515:A578" si="42">INT((ROW()-2)/24)+1</f>
        <v>22</v>
      </c>
      <c r="B515" s="193">
        <f t="shared" ref="B515:B578" si="43">MOD(ROW()-2, 24)+10</f>
        <v>19</v>
      </c>
      <c r="C515" s="190" cm="1">
        <f t="array" aca="1" ref="C515" ca="1">VALUE(LEFT(TRIM(INDIRECT("'" &amp; INT((ROW()-2)/24)+1 &amp; "號'!B" &amp; MOD(ROW()-2,24)+10)), 2))</f>
        <v>17</v>
      </c>
      <c r="D515" s="190">
        <f t="shared" ref="D515:D578" ca="1" si="44">MAX(IFERROR(MATCH("*休息*", INDIRECT("'" &amp; A515 &amp; "號'!$5:$5"), 0), 0), IFERROR(MATCH("*休息*", INDIRECT("'" &amp; A515 &amp; "號'!$6:$6"), 0), 0), IFERROR(MATCH("*休息*", INDIRECT("'" &amp; A515 &amp; "號'!$7:$7"), 0), 0))</f>
        <v>7</v>
      </c>
      <c r="E515" s="190" t="str" cm="1">
        <f t="array" aca="1" ref="E515" ca="1">INDIRECT("'" &amp; A515 &amp; "號'!" &amp; ADDRESS(B515, D515))</f>
        <v/>
      </c>
      <c r="F515" s="190">
        <f t="shared" ref="F515:F578" ca="1" si="45">IF(ISNUMBER(SEARCH(","&amp;$A$1&amp;",", ","&amp;SUBSTITUTE(SUBSTITUTE(E515," ",""),"，",",")&amp;",")), 1, 0)</f>
        <v>0</v>
      </c>
      <c r="G515" s="190">
        <f ca="1">IF(F515=0, 0, IF(AND(F514=1, C515&lt;&gt;8, OR(C515=C514+1, AND(C514=23, C515=0))), G514, MAX($G$1:G514)+1))</f>
        <v>0</v>
      </c>
      <c r="H515" s="194">
        <f t="shared" ref="H515:H578" si="46" xml:space="preserve"> A515</f>
        <v>22</v>
      </c>
    </row>
    <row r="516" spans="1:8">
      <c r="A516" s="190">
        <f t="shared" si="42"/>
        <v>22</v>
      </c>
      <c r="B516" s="193">
        <f t="shared" si="43"/>
        <v>20</v>
      </c>
      <c r="C516" s="190" cm="1">
        <f t="array" aca="1" ref="C516" ca="1">VALUE(LEFT(TRIM(INDIRECT("'" &amp; INT((ROW()-2)/24)+1 &amp; "號'!B" &amp; MOD(ROW()-2,24)+10)), 2))</f>
        <v>18</v>
      </c>
      <c r="D516" s="190">
        <f t="shared" ca="1" si="44"/>
        <v>7</v>
      </c>
      <c r="E516" s="190" t="str" cm="1">
        <f t="array" aca="1" ref="E516" ca="1">INDIRECT("'" &amp; A516 &amp; "號'!" &amp; ADDRESS(B516, D516))</f>
        <v/>
      </c>
      <c r="F516" s="190">
        <f t="shared" ca="1" si="45"/>
        <v>0</v>
      </c>
      <c r="G516" s="190">
        <f ca="1">IF(F516=0, 0, IF(AND(F515=1, C516&lt;&gt;8, OR(C516=C515+1, AND(C515=23, C516=0))), G515, MAX($G$1:G515)+1))</f>
        <v>0</v>
      </c>
      <c r="H516" s="194">
        <f t="shared" si="46"/>
        <v>22</v>
      </c>
    </row>
    <row r="517" spans="1:8">
      <c r="A517" s="190">
        <f t="shared" si="42"/>
        <v>22</v>
      </c>
      <c r="B517" s="193">
        <f t="shared" si="43"/>
        <v>21</v>
      </c>
      <c r="C517" s="190" cm="1">
        <f t="array" aca="1" ref="C517" ca="1">VALUE(LEFT(TRIM(INDIRECT("'" &amp; INT((ROW()-2)/24)+1 &amp; "號'!B" &amp; MOD(ROW()-2,24)+10)), 2))</f>
        <v>19</v>
      </c>
      <c r="D517" s="190">
        <f t="shared" ca="1" si="44"/>
        <v>7</v>
      </c>
      <c r="E517" s="190" t="str" cm="1">
        <f t="array" aca="1" ref="E517" ca="1">INDIRECT("'" &amp; A517 &amp; "號'!" &amp; ADDRESS(B517, D517))</f>
        <v/>
      </c>
      <c r="F517" s="190">
        <f t="shared" ca="1" si="45"/>
        <v>0</v>
      </c>
      <c r="G517" s="190">
        <f ca="1">IF(F517=0, 0, IF(AND(F516=1, C517&lt;&gt;8, OR(C517=C516+1, AND(C516=23, C517=0))), G516, MAX($G$1:G516)+1))</f>
        <v>0</v>
      </c>
      <c r="H517" s="194">
        <f t="shared" si="46"/>
        <v>22</v>
      </c>
    </row>
    <row r="518" spans="1:8">
      <c r="A518" s="190">
        <f t="shared" si="42"/>
        <v>22</v>
      </c>
      <c r="B518" s="193">
        <f t="shared" si="43"/>
        <v>22</v>
      </c>
      <c r="C518" s="190" cm="1">
        <f t="array" aca="1" ref="C518" ca="1">VALUE(LEFT(TRIM(INDIRECT("'" &amp; INT((ROW()-2)/24)+1 &amp; "號'!B" &amp; MOD(ROW()-2,24)+10)), 2))</f>
        <v>20</v>
      </c>
      <c r="D518" s="190">
        <f t="shared" ca="1" si="44"/>
        <v>7</v>
      </c>
      <c r="E518" s="190" t="str" cm="1">
        <f t="array" aca="1" ref="E518" ca="1">INDIRECT("'" &amp; A518 &amp; "號'!" &amp; ADDRESS(B518, D518))</f>
        <v/>
      </c>
      <c r="F518" s="190">
        <f t="shared" ca="1" si="45"/>
        <v>0</v>
      </c>
      <c r="G518" s="190">
        <f ca="1">IF(F518=0, 0, IF(AND(F517=1, C518&lt;&gt;8, OR(C518=C517+1, AND(C517=23, C518=0))), G517, MAX($G$1:G517)+1))</f>
        <v>0</v>
      </c>
      <c r="H518" s="194">
        <f t="shared" si="46"/>
        <v>22</v>
      </c>
    </row>
    <row r="519" spans="1:8">
      <c r="A519" s="190">
        <f t="shared" si="42"/>
        <v>22</v>
      </c>
      <c r="B519" s="193">
        <f t="shared" si="43"/>
        <v>23</v>
      </c>
      <c r="C519" s="190" cm="1">
        <f t="array" aca="1" ref="C519" ca="1">VALUE(LEFT(TRIM(INDIRECT("'" &amp; INT((ROW()-2)/24)+1 &amp; "號'!B" &amp; MOD(ROW()-2,24)+10)), 2))</f>
        <v>21</v>
      </c>
      <c r="D519" s="190">
        <f t="shared" ca="1" si="44"/>
        <v>7</v>
      </c>
      <c r="E519" s="190" t="str" cm="1">
        <f t="array" aca="1" ref="E519" ca="1">INDIRECT("'" &amp; A519 &amp; "號'!" &amp; ADDRESS(B519, D519))</f>
        <v/>
      </c>
      <c r="F519" s="190">
        <f t="shared" ca="1" si="45"/>
        <v>0</v>
      </c>
      <c r="G519" s="190">
        <f ca="1">IF(F519=0, 0, IF(AND(F518=1, C519&lt;&gt;8, OR(C519=C518+1, AND(C518=23, C519=0))), G518, MAX($G$1:G518)+1))</f>
        <v>0</v>
      </c>
      <c r="H519" s="194">
        <f t="shared" si="46"/>
        <v>22</v>
      </c>
    </row>
    <row r="520" spans="1:8">
      <c r="A520" s="190">
        <f t="shared" si="42"/>
        <v>22</v>
      </c>
      <c r="B520" s="193">
        <f t="shared" si="43"/>
        <v>24</v>
      </c>
      <c r="C520" s="190" cm="1">
        <f t="array" aca="1" ref="C520" ca="1">VALUE(LEFT(TRIM(INDIRECT("'" &amp; INT((ROW()-2)/24)+1 &amp; "號'!B" &amp; MOD(ROW()-2,24)+10)), 2))</f>
        <v>22</v>
      </c>
      <c r="D520" s="190">
        <f t="shared" ca="1" si="44"/>
        <v>7</v>
      </c>
      <c r="E520" s="190" t="str" cm="1">
        <f t="array" aca="1" ref="E520" ca="1">INDIRECT("'" &amp; A520 &amp; "號'!" &amp; ADDRESS(B520, D520))</f>
        <v/>
      </c>
      <c r="F520" s="190">
        <f t="shared" ca="1" si="45"/>
        <v>0</v>
      </c>
      <c r="G520" s="190">
        <f ca="1">IF(F520=0, 0, IF(AND(F519=1, C520&lt;&gt;8, OR(C520=C519+1, AND(C519=23, C520=0))), G519, MAX($G$1:G519)+1))</f>
        <v>0</v>
      </c>
      <c r="H520" s="194">
        <f t="shared" si="46"/>
        <v>22</v>
      </c>
    </row>
    <row r="521" spans="1:8">
      <c r="A521" s="190">
        <f t="shared" si="42"/>
        <v>22</v>
      </c>
      <c r="B521" s="193">
        <f t="shared" si="43"/>
        <v>25</v>
      </c>
      <c r="C521" s="190" cm="1">
        <f t="array" aca="1" ref="C521" ca="1">VALUE(LEFT(TRIM(INDIRECT("'" &amp; INT((ROW()-2)/24)+1 &amp; "號'!B" &amp; MOD(ROW()-2,24)+10)), 2))</f>
        <v>23</v>
      </c>
      <c r="D521" s="190">
        <f t="shared" ca="1" si="44"/>
        <v>7</v>
      </c>
      <c r="E521" s="190" t="str" cm="1">
        <f t="array" aca="1" ref="E521" ca="1">INDIRECT("'" &amp; A521 &amp; "號'!" &amp; ADDRESS(B521, D521))</f>
        <v/>
      </c>
      <c r="F521" s="190">
        <f t="shared" ca="1" si="45"/>
        <v>0</v>
      </c>
      <c r="G521" s="190">
        <f ca="1">IF(F521=0, 0, IF(AND(F520=1, C521&lt;&gt;8, OR(C521=C520+1, AND(C520=23, C521=0))), G520, MAX($G$1:G520)+1))</f>
        <v>0</v>
      </c>
      <c r="H521" s="194">
        <f t="shared" si="46"/>
        <v>22</v>
      </c>
    </row>
    <row r="522" spans="1:8">
      <c r="A522" s="190">
        <f t="shared" si="42"/>
        <v>22</v>
      </c>
      <c r="B522" s="193">
        <f t="shared" si="43"/>
        <v>26</v>
      </c>
      <c r="C522" s="190" cm="1">
        <f t="array" aca="1" ref="C522" ca="1">VALUE(LEFT(TRIM(INDIRECT("'" &amp; INT((ROW()-2)/24)+1 &amp; "號'!B" &amp; MOD(ROW()-2,24)+10)), 2))</f>
        <v>0</v>
      </c>
      <c r="D522" s="190">
        <f t="shared" ca="1" si="44"/>
        <v>7</v>
      </c>
      <c r="E522" s="190" t="str" cm="1">
        <f t="array" aca="1" ref="E522" ca="1">INDIRECT("'" &amp; A522 &amp; "號'!" &amp; ADDRESS(B522, D522))</f>
        <v/>
      </c>
      <c r="F522" s="190">
        <f t="shared" ca="1" si="45"/>
        <v>0</v>
      </c>
      <c r="G522" s="190">
        <f ca="1">IF(F522=0, 0, IF(AND(F521=1, C522&lt;&gt;8, OR(C522=C521+1, AND(C521=23, C522=0))), G521, MAX($G$1:G521)+1))</f>
        <v>0</v>
      </c>
      <c r="H522" s="194">
        <f t="shared" si="46"/>
        <v>22</v>
      </c>
    </row>
    <row r="523" spans="1:8">
      <c r="A523" s="190">
        <f t="shared" si="42"/>
        <v>22</v>
      </c>
      <c r="B523" s="193">
        <f t="shared" si="43"/>
        <v>27</v>
      </c>
      <c r="C523" s="190" cm="1">
        <f t="array" aca="1" ref="C523" ca="1">VALUE(LEFT(TRIM(INDIRECT("'" &amp; INT((ROW()-2)/24)+1 &amp; "號'!B" &amp; MOD(ROW()-2,24)+10)), 2))</f>
        <v>1</v>
      </c>
      <c r="D523" s="190">
        <f t="shared" ca="1" si="44"/>
        <v>7</v>
      </c>
      <c r="E523" s="190" t="str" cm="1">
        <f t="array" aca="1" ref="E523" ca="1">INDIRECT("'" &amp; A523 &amp; "號'!" &amp; ADDRESS(B523, D523))</f>
        <v/>
      </c>
      <c r="F523" s="190">
        <f t="shared" ca="1" si="45"/>
        <v>0</v>
      </c>
      <c r="G523" s="190">
        <f ca="1">IF(F523=0, 0, IF(AND(F522=1, C523&lt;&gt;8, OR(C523=C522+1, AND(C522=23, C523=0))), G522, MAX($G$1:G522)+1))</f>
        <v>0</v>
      </c>
      <c r="H523" s="194">
        <f t="shared" si="46"/>
        <v>22</v>
      </c>
    </row>
    <row r="524" spans="1:8">
      <c r="A524" s="190">
        <f t="shared" si="42"/>
        <v>22</v>
      </c>
      <c r="B524" s="193">
        <f t="shared" si="43"/>
        <v>28</v>
      </c>
      <c r="C524" s="190" cm="1">
        <f t="array" aca="1" ref="C524" ca="1">VALUE(LEFT(TRIM(INDIRECT("'" &amp; INT((ROW()-2)/24)+1 &amp; "號'!B" &amp; MOD(ROW()-2,24)+10)), 2))</f>
        <v>2</v>
      </c>
      <c r="D524" s="190">
        <f t="shared" ca="1" si="44"/>
        <v>7</v>
      </c>
      <c r="E524" s="190" t="str" cm="1">
        <f t="array" aca="1" ref="E524" ca="1">INDIRECT("'" &amp; A524 &amp; "號'!" &amp; ADDRESS(B524, D524))</f>
        <v/>
      </c>
      <c r="F524" s="190">
        <f t="shared" ca="1" si="45"/>
        <v>0</v>
      </c>
      <c r="G524" s="190">
        <f ca="1">IF(F524=0, 0, IF(AND(F523=1, C524&lt;&gt;8, OR(C524=C523+1, AND(C523=23, C524=0))), G523, MAX($G$1:G523)+1))</f>
        <v>0</v>
      </c>
      <c r="H524" s="194">
        <f t="shared" si="46"/>
        <v>22</v>
      </c>
    </row>
    <row r="525" spans="1:8">
      <c r="A525" s="190">
        <f t="shared" si="42"/>
        <v>22</v>
      </c>
      <c r="B525" s="193">
        <f t="shared" si="43"/>
        <v>29</v>
      </c>
      <c r="C525" s="190" cm="1">
        <f t="array" aca="1" ref="C525" ca="1">VALUE(LEFT(TRIM(INDIRECT("'" &amp; INT((ROW()-2)/24)+1 &amp; "號'!B" &amp; MOD(ROW()-2,24)+10)), 2))</f>
        <v>3</v>
      </c>
      <c r="D525" s="190">
        <f t="shared" ca="1" si="44"/>
        <v>7</v>
      </c>
      <c r="E525" s="190" t="str" cm="1">
        <f t="array" aca="1" ref="E525" ca="1">INDIRECT("'" &amp; A525 &amp; "號'!" &amp; ADDRESS(B525, D525))</f>
        <v/>
      </c>
      <c r="F525" s="190">
        <f t="shared" ca="1" si="45"/>
        <v>0</v>
      </c>
      <c r="G525" s="190">
        <f ca="1">IF(F525=0, 0, IF(AND(F524=1, C525&lt;&gt;8, OR(C525=C524+1, AND(C524=23, C525=0))), G524, MAX($G$1:G524)+1))</f>
        <v>0</v>
      </c>
      <c r="H525" s="194">
        <f t="shared" si="46"/>
        <v>22</v>
      </c>
    </row>
    <row r="526" spans="1:8">
      <c r="A526" s="190">
        <f t="shared" si="42"/>
        <v>22</v>
      </c>
      <c r="B526" s="193">
        <f t="shared" si="43"/>
        <v>30</v>
      </c>
      <c r="C526" s="190" cm="1">
        <f t="array" aca="1" ref="C526" ca="1">VALUE(LEFT(TRIM(INDIRECT("'" &amp; INT((ROW()-2)/24)+1 &amp; "號'!B" &amp; MOD(ROW()-2,24)+10)), 2))</f>
        <v>4</v>
      </c>
      <c r="D526" s="190">
        <f t="shared" ca="1" si="44"/>
        <v>7</v>
      </c>
      <c r="E526" s="190" t="str" cm="1">
        <f t="array" aca="1" ref="E526" ca="1">INDIRECT("'" &amp; A526 &amp; "號'!" &amp; ADDRESS(B526, D526))</f>
        <v/>
      </c>
      <c r="F526" s="190">
        <f t="shared" ca="1" si="45"/>
        <v>0</v>
      </c>
      <c r="G526" s="190">
        <f ca="1">IF(F526=0, 0, IF(AND(F525=1, C526&lt;&gt;8, OR(C526=C525+1, AND(C525=23, C526=0))), G525, MAX($G$1:G525)+1))</f>
        <v>0</v>
      </c>
      <c r="H526" s="194">
        <f t="shared" si="46"/>
        <v>22</v>
      </c>
    </row>
    <row r="527" spans="1:8">
      <c r="A527" s="190">
        <f t="shared" si="42"/>
        <v>22</v>
      </c>
      <c r="B527" s="193">
        <f t="shared" si="43"/>
        <v>31</v>
      </c>
      <c r="C527" s="190" cm="1">
        <f t="array" aca="1" ref="C527" ca="1">VALUE(LEFT(TRIM(INDIRECT("'" &amp; INT((ROW()-2)/24)+1 &amp; "號'!B" &amp; MOD(ROW()-2,24)+10)), 2))</f>
        <v>5</v>
      </c>
      <c r="D527" s="190">
        <f t="shared" ca="1" si="44"/>
        <v>7</v>
      </c>
      <c r="E527" s="190" t="str" cm="1">
        <f t="array" aca="1" ref="E527" ca="1">INDIRECT("'" &amp; A527 &amp; "號'!" &amp; ADDRESS(B527, D527))</f>
        <v/>
      </c>
      <c r="F527" s="190">
        <f t="shared" ca="1" si="45"/>
        <v>0</v>
      </c>
      <c r="G527" s="190">
        <f ca="1">IF(F527=0, 0, IF(AND(F526=1, C527&lt;&gt;8, OR(C527=C526+1, AND(C526=23, C527=0))), G526, MAX($G$1:G526)+1))</f>
        <v>0</v>
      </c>
      <c r="H527" s="194">
        <f t="shared" si="46"/>
        <v>22</v>
      </c>
    </row>
    <row r="528" spans="1:8">
      <c r="A528" s="190">
        <f t="shared" si="42"/>
        <v>22</v>
      </c>
      <c r="B528" s="193">
        <f t="shared" si="43"/>
        <v>32</v>
      </c>
      <c r="C528" s="190" cm="1">
        <f t="array" aca="1" ref="C528" ca="1">VALUE(LEFT(TRIM(INDIRECT("'" &amp; INT((ROW()-2)/24)+1 &amp; "號'!B" &amp; MOD(ROW()-2,24)+10)), 2))</f>
        <v>6</v>
      </c>
      <c r="D528" s="190">
        <f t="shared" ca="1" si="44"/>
        <v>7</v>
      </c>
      <c r="E528" s="190" t="str" cm="1">
        <f t="array" aca="1" ref="E528" ca="1">INDIRECT("'" &amp; A528 &amp; "號'!" &amp; ADDRESS(B528, D528))</f>
        <v>4</v>
      </c>
      <c r="F528" s="190">
        <f t="shared" ca="1" si="45"/>
        <v>0</v>
      </c>
      <c r="G528" s="190">
        <f ca="1">IF(F528=0, 0, IF(AND(F527=1, C528&lt;&gt;8, OR(C528=C527+1, AND(C527=23, C528=0))), G527, MAX($G$1:G527)+1))</f>
        <v>0</v>
      </c>
      <c r="H528" s="194">
        <f t="shared" si="46"/>
        <v>22</v>
      </c>
    </row>
    <row r="529" spans="1:8">
      <c r="A529" s="190">
        <f t="shared" si="42"/>
        <v>22</v>
      </c>
      <c r="B529" s="193">
        <f t="shared" si="43"/>
        <v>33</v>
      </c>
      <c r="C529" s="190" cm="1">
        <f t="array" aca="1" ref="C529" ca="1">VALUE(LEFT(TRIM(INDIRECT("'" &amp; INT((ROW()-2)/24)+1 &amp; "號'!B" &amp; MOD(ROW()-2,24)+10)), 2))</f>
        <v>7</v>
      </c>
      <c r="D529" s="190">
        <f t="shared" ca="1" si="44"/>
        <v>7</v>
      </c>
      <c r="E529" s="190" t="str" cm="1">
        <f t="array" aca="1" ref="E529" ca="1">INDIRECT("'" &amp; A529 &amp; "號'!" &amp; ADDRESS(B529, D529))</f>
        <v>4</v>
      </c>
      <c r="F529" s="190">
        <f t="shared" ca="1" si="45"/>
        <v>0</v>
      </c>
      <c r="G529" s="190">
        <f ca="1">IF(F529=0, 0, IF(AND(F528=1, C529&lt;&gt;8, OR(C529=C528+1, AND(C528=23, C529=0))), G528, MAX($G$1:G528)+1))</f>
        <v>0</v>
      </c>
      <c r="H529" s="194">
        <f t="shared" si="46"/>
        <v>22</v>
      </c>
    </row>
    <row r="530" spans="1:8">
      <c r="A530" s="190">
        <f t="shared" si="42"/>
        <v>23</v>
      </c>
      <c r="B530" s="193">
        <f t="shared" si="43"/>
        <v>10</v>
      </c>
      <c r="C530" s="190" cm="1">
        <f t="array" aca="1" ref="C530" ca="1">VALUE(LEFT(TRIM(INDIRECT("'" &amp; INT((ROW()-2)/24)+1 &amp; "號'!B" &amp; MOD(ROW()-2,24)+10)), 2))</f>
        <v>8</v>
      </c>
      <c r="D530" s="190">
        <f t="shared" ca="1" si="44"/>
        <v>7</v>
      </c>
      <c r="E530" s="190" t="str" cm="1">
        <f t="array" aca="1" ref="E530" ca="1">INDIRECT("'" &amp; A530 &amp; "號'!" &amp; ADDRESS(B530, D530))</f>
        <v/>
      </c>
      <c r="F530" s="190">
        <f t="shared" ca="1" si="45"/>
        <v>0</v>
      </c>
      <c r="G530" s="190">
        <f ca="1">IF(F530=0, 0, IF(AND(F529=1, C530&lt;&gt;8, OR(C530=C529+1, AND(C529=23, C530=0))), G529, MAX($G$1:G529)+1))</f>
        <v>0</v>
      </c>
      <c r="H530" s="194">
        <f t="shared" si="46"/>
        <v>23</v>
      </c>
    </row>
    <row r="531" spans="1:8">
      <c r="A531" s="190">
        <f t="shared" si="42"/>
        <v>23</v>
      </c>
      <c r="B531" s="193">
        <f t="shared" si="43"/>
        <v>11</v>
      </c>
      <c r="C531" s="190" cm="1">
        <f t="array" aca="1" ref="C531" ca="1">VALUE(LEFT(TRIM(INDIRECT("'" &amp; INT((ROW()-2)/24)+1 &amp; "號'!B" &amp; MOD(ROW()-2,24)+10)), 2))</f>
        <v>9</v>
      </c>
      <c r="D531" s="190">
        <f t="shared" ca="1" si="44"/>
        <v>7</v>
      </c>
      <c r="E531" s="190" t="str" cm="1">
        <f t="array" aca="1" ref="E531" ca="1">INDIRECT("'" &amp; A531 &amp; "號'!" &amp; ADDRESS(B531, D531))</f>
        <v/>
      </c>
      <c r="F531" s="190">
        <f t="shared" ca="1" si="45"/>
        <v>0</v>
      </c>
      <c r="G531" s="190">
        <f ca="1">IF(F531=0, 0, IF(AND(F530=1, C531&lt;&gt;8, OR(C531=C530+1, AND(C530=23, C531=0))), G530, MAX($G$1:G530)+1))</f>
        <v>0</v>
      </c>
      <c r="H531" s="194">
        <f t="shared" si="46"/>
        <v>23</v>
      </c>
    </row>
    <row r="532" spans="1:8">
      <c r="A532" s="190">
        <f t="shared" si="42"/>
        <v>23</v>
      </c>
      <c r="B532" s="193">
        <f t="shared" si="43"/>
        <v>12</v>
      </c>
      <c r="C532" s="190" cm="1">
        <f t="array" aca="1" ref="C532" ca="1">VALUE(LEFT(TRIM(INDIRECT("'" &amp; INT((ROW()-2)/24)+1 &amp; "號'!B" &amp; MOD(ROW()-2,24)+10)), 2))</f>
        <v>10</v>
      </c>
      <c r="D532" s="190">
        <f t="shared" ca="1" si="44"/>
        <v>7</v>
      </c>
      <c r="E532" s="190" t="str" cm="1">
        <f t="array" aca="1" ref="E532" ca="1">INDIRECT("'" &amp; A532 &amp; "號'!" &amp; ADDRESS(B532, D532))</f>
        <v/>
      </c>
      <c r="F532" s="190">
        <f t="shared" ca="1" si="45"/>
        <v>0</v>
      </c>
      <c r="G532" s="190">
        <f ca="1">IF(F532=0, 0, IF(AND(F531=1, C532&lt;&gt;8, OR(C532=C531+1, AND(C531=23, C532=0))), G531, MAX($G$1:G531)+1))</f>
        <v>0</v>
      </c>
      <c r="H532" s="194">
        <f t="shared" si="46"/>
        <v>23</v>
      </c>
    </row>
    <row r="533" spans="1:8">
      <c r="A533" s="190">
        <f t="shared" si="42"/>
        <v>23</v>
      </c>
      <c r="B533" s="193">
        <f t="shared" si="43"/>
        <v>13</v>
      </c>
      <c r="C533" s="190" cm="1">
        <f t="array" aca="1" ref="C533" ca="1">VALUE(LEFT(TRIM(INDIRECT("'" &amp; INT((ROW()-2)/24)+1 &amp; "號'!B" &amp; MOD(ROW()-2,24)+10)), 2))</f>
        <v>11</v>
      </c>
      <c r="D533" s="190">
        <f t="shared" ca="1" si="44"/>
        <v>7</v>
      </c>
      <c r="E533" s="190" t="str" cm="1">
        <f t="array" aca="1" ref="E533" ca="1">INDIRECT("'" &amp; A533 &amp; "號'!" &amp; ADDRESS(B533, D533))</f>
        <v/>
      </c>
      <c r="F533" s="190">
        <f t="shared" ca="1" si="45"/>
        <v>0</v>
      </c>
      <c r="G533" s="190">
        <f ca="1">IF(F533=0, 0, IF(AND(F532=1, C533&lt;&gt;8, OR(C533=C532+1, AND(C532=23, C533=0))), G532, MAX($G$1:G532)+1))</f>
        <v>0</v>
      </c>
      <c r="H533" s="194">
        <f t="shared" si="46"/>
        <v>23</v>
      </c>
    </row>
    <row r="534" spans="1:8">
      <c r="A534" s="190">
        <f t="shared" si="42"/>
        <v>23</v>
      </c>
      <c r="B534" s="193">
        <f t="shared" si="43"/>
        <v>14</v>
      </c>
      <c r="C534" s="190" cm="1">
        <f t="array" aca="1" ref="C534" ca="1">VALUE(LEFT(TRIM(INDIRECT("'" &amp; INT((ROW()-2)/24)+1 &amp; "號'!B" &amp; MOD(ROW()-2,24)+10)), 2))</f>
        <v>12</v>
      </c>
      <c r="D534" s="190">
        <f t="shared" ca="1" si="44"/>
        <v>7</v>
      </c>
      <c r="E534" s="190" t="str" cm="1">
        <f t="array" aca="1" ref="E534" ca="1">INDIRECT("'" &amp; A534 &amp; "號'!" &amp; ADDRESS(B534, D534))</f>
        <v>1</v>
      </c>
      <c r="F534" s="190">
        <f t="shared" ca="1" si="45"/>
        <v>0</v>
      </c>
      <c r="G534" s="190">
        <f ca="1">IF(F534=0, 0, IF(AND(F533=1, C534&lt;&gt;8, OR(C534=C533+1, AND(C533=23, C534=0))), G533, MAX($G$1:G533)+1))</f>
        <v>0</v>
      </c>
      <c r="H534" s="194">
        <f t="shared" si="46"/>
        <v>23</v>
      </c>
    </row>
    <row r="535" spans="1:8">
      <c r="A535" s="190">
        <f t="shared" si="42"/>
        <v>23</v>
      </c>
      <c r="B535" s="193">
        <f t="shared" si="43"/>
        <v>15</v>
      </c>
      <c r="C535" s="190" cm="1">
        <f t="array" aca="1" ref="C535" ca="1">VALUE(LEFT(TRIM(INDIRECT("'" &amp; INT((ROW()-2)/24)+1 &amp; "號'!B" &amp; MOD(ROW()-2,24)+10)), 2))</f>
        <v>13</v>
      </c>
      <c r="D535" s="190">
        <f t="shared" ca="1" si="44"/>
        <v>7</v>
      </c>
      <c r="E535" s="190" t="str" cm="1">
        <f t="array" aca="1" ref="E535" ca="1">INDIRECT("'" &amp; A535 &amp; "號'!" &amp; ADDRESS(B535, D535))</f>
        <v>1</v>
      </c>
      <c r="F535" s="190">
        <f t="shared" ca="1" si="45"/>
        <v>0</v>
      </c>
      <c r="G535" s="190">
        <f ca="1">IF(F535=0, 0, IF(AND(F534=1, C535&lt;&gt;8, OR(C535=C534+1, AND(C534=23, C535=0))), G534, MAX($G$1:G534)+1))</f>
        <v>0</v>
      </c>
      <c r="H535" s="194">
        <f t="shared" si="46"/>
        <v>23</v>
      </c>
    </row>
    <row r="536" spans="1:8">
      <c r="A536" s="190">
        <f t="shared" si="42"/>
        <v>23</v>
      </c>
      <c r="B536" s="193">
        <f t="shared" si="43"/>
        <v>16</v>
      </c>
      <c r="C536" s="190" cm="1">
        <f t="array" aca="1" ref="C536" ca="1">VALUE(LEFT(TRIM(INDIRECT("'" &amp; INT((ROW()-2)/24)+1 &amp; "號'!B" &amp; MOD(ROW()-2,24)+10)), 2))</f>
        <v>14</v>
      </c>
      <c r="D536" s="190">
        <f t="shared" ca="1" si="44"/>
        <v>7</v>
      </c>
      <c r="E536" s="190" t="str" cm="1">
        <f t="array" aca="1" ref="E536" ca="1">INDIRECT("'" &amp; A536 &amp; "號'!" &amp; ADDRESS(B536, D536))</f>
        <v/>
      </c>
      <c r="F536" s="190">
        <f t="shared" ca="1" si="45"/>
        <v>0</v>
      </c>
      <c r="G536" s="190">
        <f ca="1">IF(F536=0, 0, IF(AND(F535=1, C536&lt;&gt;8, OR(C536=C535+1, AND(C535=23, C536=0))), G535, MAX($G$1:G535)+1))</f>
        <v>0</v>
      </c>
      <c r="H536" s="194">
        <f t="shared" si="46"/>
        <v>23</v>
      </c>
    </row>
    <row r="537" spans="1:8">
      <c r="A537" s="190">
        <f t="shared" si="42"/>
        <v>23</v>
      </c>
      <c r="B537" s="193">
        <f t="shared" si="43"/>
        <v>17</v>
      </c>
      <c r="C537" s="190" cm="1">
        <f t="array" aca="1" ref="C537" ca="1">VALUE(LEFT(TRIM(INDIRECT("'" &amp; INT((ROW()-2)/24)+1 &amp; "號'!B" &amp; MOD(ROW()-2,24)+10)), 2))</f>
        <v>15</v>
      </c>
      <c r="D537" s="190">
        <f t="shared" ca="1" si="44"/>
        <v>7</v>
      </c>
      <c r="E537" s="190" t="str" cm="1">
        <f t="array" aca="1" ref="E537" ca="1">INDIRECT("'" &amp; A537 &amp; "號'!" &amp; ADDRESS(B537, D537))</f>
        <v/>
      </c>
      <c r="F537" s="190">
        <f t="shared" ca="1" si="45"/>
        <v>0</v>
      </c>
      <c r="G537" s="190">
        <f ca="1">IF(F537=0, 0, IF(AND(F536=1, C537&lt;&gt;8, OR(C537=C536+1, AND(C536=23, C537=0))), G536, MAX($G$1:G536)+1))</f>
        <v>0</v>
      </c>
      <c r="H537" s="194">
        <f t="shared" si="46"/>
        <v>23</v>
      </c>
    </row>
    <row r="538" spans="1:8">
      <c r="A538" s="190">
        <f t="shared" si="42"/>
        <v>23</v>
      </c>
      <c r="B538" s="193">
        <f t="shared" si="43"/>
        <v>18</v>
      </c>
      <c r="C538" s="190" cm="1">
        <f t="array" aca="1" ref="C538" ca="1">VALUE(LEFT(TRIM(INDIRECT("'" &amp; INT((ROW()-2)/24)+1 &amp; "號'!B" &amp; MOD(ROW()-2,24)+10)), 2))</f>
        <v>16</v>
      </c>
      <c r="D538" s="190">
        <f t="shared" ca="1" si="44"/>
        <v>7</v>
      </c>
      <c r="E538" s="190" t="str" cm="1">
        <f t="array" aca="1" ref="E538" ca="1">INDIRECT("'" &amp; A538 &amp; "號'!" &amp; ADDRESS(B538, D538))</f>
        <v/>
      </c>
      <c r="F538" s="190">
        <f t="shared" ca="1" si="45"/>
        <v>0</v>
      </c>
      <c r="G538" s="190">
        <f ca="1">IF(F538=0, 0, IF(AND(F537=1, C538&lt;&gt;8, OR(C538=C537+1, AND(C537=23, C538=0))), G537, MAX($G$1:G537)+1))</f>
        <v>0</v>
      </c>
      <c r="H538" s="194">
        <f t="shared" si="46"/>
        <v>23</v>
      </c>
    </row>
    <row r="539" spans="1:8">
      <c r="A539" s="190">
        <f t="shared" si="42"/>
        <v>23</v>
      </c>
      <c r="B539" s="193">
        <f t="shared" si="43"/>
        <v>19</v>
      </c>
      <c r="C539" s="190" cm="1">
        <f t="array" aca="1" ref="C539" ca="1">VALUE(LEFT(TRIM(INDIRECT("'" &amp; INT((ROW()-2)/24)+1 &amp; "號'!B" &amp; MOD(ROW()-2,24)+10)), 2))</f>
        <v>17</v>
      </c>
      <c r="D539" s="190">
        <f t="shared" ca="1" si="44"/>
        <v>7</v>
      </c>
      <c r="E539" s="190" t="str" cm="1">
        <f t="array" aca="1" ref="E539" ca="1">INDIRECT("'" &amp; A539 &amp; "號'!" &amp; ADDRESS(B539, D539))</f>
        <v/>
      </c>
      <c r="F539" s="190">
        <f t="shared" ca="1" si="45"/>
        <v>0</v>
      </c>
      <c r="G539" s="190">
        <f ca="1">IF(F539=0, 0, IF(AND(F538=1, C539&lt;&gt;8, OR(C539=C538+1, AND(C538=23, C539=0))), G538, MAX($G$1:G538)+1))</f>
        <v>0</v>
      </c>
      <c r="H539" s="194">
        <f t="shared" si="46"/>
        <v>23</v>
      </c>
    </row>
    <row r="540" spans="1:8">
      <c r="A540" s="190">
        <f t="shared" si="42"/>
        <v>23</v>
      </c>
      <c r="B540" s="193">
        <f t="shared" si="43"/>
        <v>20</v>
      </c>
      <c r="C540" s="190" cm="1">
        <f t="array" aca="1" ref="C540" ca="1">VALUE(LEFT(TRIM(INDIRECT("'" &amp; INT((ROW()-2)/24)+1 &amp; "號'!B" &amp; MOD(ROW()-2,24)+10)), 2))</f>
        <v>18</v>
      </c>
      <c r="D540" s="190">
        <f t="shared" ca="1" si="44"/>
        <v>7</v>
      </c>
      <c r="E540" s="190" t="str" cm="1">
        <f t="array" aca="1" ref="E540" ca="1">INDIRECT("'" &amp; A540 &amp; "號'!" &amp; ADDRESS(B540, D540))</f>
        <v/>
      </c>
      <c r="F540" s="190">
        <f t="shared" ca="1" si="45"/>
        <v>0</v>
      </c>
      <c r="G540" s="190">
        <f ca="1">IF(F540=0, 0, IF(AND(F539=1, C540&lt;&gt;8, OR(C540=C539+1, AND(C539=23, C540=0))), G539, MAX($G$1:G539)+1))</f>
        <v>0</v>
      </c>
      <c r="H540" s="194">
        <f t="shared" si="46"/>
        <v>23</v>
      </c>
    </row>
    <row r="541" spans="1:8">
      <c r="A541" s="190">
        <f t="shared" si="42"/>
        <v>23</v>
      </c>
      <c r="B541" s="193">
        <f t="shared" si="43"/>
        <v>21</v>
      </c>
      <c r="C541" s="190" cm="1">
        <f t="array" aca="1" ref="C541" ca="1">VALUE(LEFT(TRIM(INDIRECT("'" &amp; INT((ROW()-2)/24)+1 &amp; "號'!B" &amp; MOD(ROW()-2,24)+10)), 2))</f>
        <v>19</v>
      </c>
      <c r="D541" s="190">
        <f t="shared" ca="1" si="44"/>
        <v>7</v>
      </c>
      <c r="E541" s="190" t="str" cm="1">
        <f t="array" aca="1" ref="E541" ca="1">INDIRECT("'" &amp; A541 &amp; "號'!" &amp; ADDRESS(B541, D541))</f>
        <v/>
      </c>
      <c r="F541" s="190">
        <f t="shared" ca="1" si="45"/>
        <v>0</v>
      </c>
      <c r="G541" s="190">
        <f ca="1">IF(F541=0, 0, IF(AND(F540=1, C541&lt;&gt;8, OR(C541=C540+1, AND(C540=23, C541=0))), G540, MAX($G$1:G540)+1))</f>
        <v>0</v>
      </c>
      <c r="H541" s="194">
        <f t="shared" si="46"/>
        <v>23</v>
      </c>
    </row>
    <row r="542" spans="1:8">
      <c r="A542" s="190">
        <f t="shared" si="42"/>
        <v>23</v>
      </c>
      <c r="B542" s="193">
        <f t="shared" si="43"/>
        <v>22</v>
      </c>
      <c r="C542" s="190" cm="1">
        <f t="array" aca="1" ref="C542" ca="1">VALUE(LEFT(TRIM(INDIRECT("'" &amp; INT((ROW()-2)/24)+1 &amp; "號'!B" &amp; MOD(ROW()-2,24)+10)), 2))</f>
        <v>20</v>
      </c>
      <c r="D542" s="190">
        <f t="shared" ca="1" si="44"/>
        <v>7</v>
      </c>
      <c r="E542" s="190" t="str" cm="1">
        <f t="array" aca="1" ref="E542" ca="1">INDIRECT("'" &amp; A542 &amp; "號'!" &amp; ADDRESS(B542, D542))</f>
        <v/>
      </c>
      <c r="F542" s="190">
        <f t="shared" ca="1" si="45"/>
        <v>0</v>
      </c>
      <c r="G542" s="190">
        <f ca="1">IF(F542=0, 0, IF(AND(F541=1, C542&lt;&gt;8, OR(C542=C541+1, AND(C541=23, C542=0))), G541, MAX($G$1:G541)+1))</f>
        <v>0</v>
      </c>
      <c r="H542" s="194">
        <f t="shared" si="46"/>
        <v>23</v>
      </c>
    </row>
    <row r="543" spans="1:8">
      <c r="A543" s="190">
        <f t="shared" si="42"/>
        <v>23</v>
      </c>
      <c r="B543" s="193">
        <f t="shared" si="43"/>
        <v>23</v>
      </c>
      <c r="C543" s="190" cm="1">
        <f t="array" aca="1" ref="C543" ca="1">VALUE(LEFT(TRIM(INDIRECT("'" &amp; INT((ROW()-2)/24)+1 &amp; "號'!B" &amp; MOD(ROW()-2,24)+10)), 2))</f>
        <v>21</v>
      </c>
      <c r="D543" s="190">
        <f t="shared" ca="1" si="44"/>
        <v>7</v>
      </c>
      <c r="E543" s="190" t="str" cm="1">
        <f t="array" aca="1" ref="E543" ca="1">INDIRECT("'" &amp; A543 &amp; "號'!" &amp; ADDRESS(B543, D543))</f>
        <v/>
      </c>
      <c r="F543" s="190">
        <f t="shared" ca="1" si="45"/>
        <v>0</v>
      </c>
      <c r="G543" s="190">
        <f ca="1">IF(F543=0, 0, IF(AND(F542=1, C543&lt;&gt;8, OR(C543=C542+1, AND(C542=23, C543=0))), G542, MAX($G$1:G542)+1))</f>
        <v>0</v>
      </c>
      <c r="H543" s="194">
        <f t="shared" si="46"/>
        <v>23</v>
      </c>
    </row>
    <row r="544" spans="1:8">
      <c r="A544" s="190">
        <f t="shared" si="42"/>
        <v>23</v>
      </c>
      <c r="B544" s="193">
        <f t="shared" si="43"/>
        <v>24</v>
      </c>
      <c r="C544" s="190" cm="1">
        <f t="array" aca="1" ref="C544" ca="1">VALUE(LEFT(TRIM(INDIRECT("'" &amp; INT((ROW()-2)/24)+1 &amp; "號'!B" &amp; MOD(ROW()-2,24)+10)), 2))</f>
        <v>22</v>
      </c>
      <c r="D544" s="190">
        <f t="shared" ca="1" si="44"/>
        <v>7</v>
      </c>
      <c r="E544" s="190" t="str" cm="1">
        <f t="array" aca="1" ref="E544" ca="1">INDIRECT("'" &amp; A544 &amp; "號'!" &amp; ADDRESS(B544, D544))</f>
        <v/>
      </c>
      <c r="F544" s="190">
        <f t="shared" ca="1" si="45"/>
        <v>0</v>
      </c>
      <c r="G544" s="190">
        <f ca="1">IF(F544=0, 0, IF(AND(F543=1, C544&lt;&gt;8, OR(C544=C543+1, AND(C543=23, C544=0))), G543, MAX($G$1:G543)+1))</f>
        <v>0</v>
      </c>
      <c r="H544" s="194">
        <f t="shared" si="46"/>
        <v>23</v>
      </c>
    </row>
    <row r="545" spans="1:8">
      <c r="A545" s="190">
        <f t="shared" si="42"/>
        <v>23</v>
      </c>
      <c r="B545" s="193">
        <f t="shared" si="43"/>
        <v>25</v>
      </c>
      <c r="C545" s="190" cm="1">
        <f t="array" aca="1" ref="C545" ca="1">VALUE(LEFT(TRIM(INDIRECT("'" &amp; INT((ROW()-2)/24)+1 &amp; "號'!B" &amp; MOD(ROW()-2,24)+10)), 2))</f>
        <v>23</v>
      </c>
      <c r="D545" s="190">
        <f t="shared" ca="1" si="44"/>
        <v>7</v>
      </c>
      <c r="E545" s="190" t="str" cm="1">
        <f t="array" aca="1" ref="E545" ca="1">INDIRECT("'" &amp; A545 &amp; "號'!" &amp; ADDRESS(B545, D545))</f>
        <v/>
      </c>
      <c r="F545" s="190">
        <f t="shared" ca="1" si="45"/>
        <v>0</v>
      </c>
      <c r="G545" s="190">
        <f ca="1">IF(F545=0, 0, IF(AND(F544=1, C545&lt;&gt;8, OR(C545=C544+1, AND(C544=23, C545=0))), G544, MAX($G$1:G544)+1))</f>
        <v>0</v>
      </c>
      <c r="H545" s="194">
        <f t="shared" si="46"/>
        <v>23</v>
      </c>
    </row>
    <row r="546" spans="1:8">
      <c r="A546" s="190">
        <f t="shared" si="42"/>
        <v>23</v>
      </c>
      <c r="B546" s="193">
        <f t="shared" si="43"/>
        <v>26</v>
      </c>
      <c r="C546" s="190" cm="1">
        <f t="array" aca="1" ref="C546" ca="1">VALUE(LEFT(TRIM(INDIRECT("'" &amp; INT((ROW()-2)/24)+1 &amp; "號'!B" &amp; MOD(ROW()-2,24)+10)), 2))</f>
        <v>0</v>
      </c>
      <c r="D546" s="190">
        <f t="shared" ca="1" si="44"/>
        <v>7</v>
      </c>
      <c r="E546" s="190" t="str" cm="1">
        <f t="array" aca="1" ref="E546" ca="1">INDIRECT("'" &amp; A546 &amp; "號'!" &amp; ADDRESS(B546, D546))</f>
        <v/>
      </c>
      <c r="F546" s="190">
        <f t="shared" ca="1" si="45"/>
        <v>0</v>
      </c>
      <c r="G546" s="190">
        <f ca="1">IF(F546=0, 0, IF(AND(F545=1, C546&lt;&gt;8, OR(C546=C545+1, AND(C545=23, C546=0))), G545, MAX($G$1:G545)+1))</f>
        <v>0</v>
      </c>
      <c r="H546" s="194">
        <f t="shared" si="46"/>
        <v>23</v>
      </c>
    </row>
    <row r="547" spans="1:8">
      <c r="A547" s="190">
        <f t="shared" si="42"/>
        <v>23</v>
      </c>
      <c r="B547" s="193">
        <f t="shared" si="43"/>
        <v>27</v>
      </c>
      <c r="C547" s="190" cm="1">
        <f t="array" aca="1" ref="C547" ca="1">VALUE(LEFT(TRIM(INDIRECT("'" &amp; INT((ROW()-2)/24)+1 &amp; "號'!B" &amp; MOD(ROW()-2,24)+10)), 2))</f>
        <v>1</v>
      </c>
      <c r="D547" s="190">
        <f t="shared" ca="1" si="44"/>
        <v>7</v>
      </c>
      <c r="E547" s="190" t="str" cm="1">
        <f t="array" aca="1" ref="E547" ca="1">INDIRECT("'" &amp; A547 &amp; "號'!" &amp; ADDRESS(B547, D547))</f>
        <v/>
      </c>
      <c r="F547" s="190">
        <f t="shared" ca="1" si="45"/>
        <v>0</v>
      </c>
      <c r="G547" s="190">
        <f ca="1">IF(F547=0, 0, IF(AND(F546=1, C547&lt;&gt;8, OR(C547=C546+1, AND(C546=23, C547=0))), G546, MAX($G$1:G546)+1))</f>
        <v>0</v>
      </c>
      <c r="H547" s="194">
        <f t="shared" si="46"/>
        <v>23</v>
      </c>
    </row>
    <row r="548" spans="1:8">
      <c r="A548" s="190">
        <f t="shared" si="42"/>
        <v>23</v>
      </c>
      <c r="B548" s="193">
        <f t="shared" si="43"/>
        <v>28</v>
      </c>
      <c r="C548" s="190" cm="1">
        <f t="array" aca="1" ref="C548" ca="1">VALUE(LEFT(TRIM(INDIRECT("'" &amp; INT((ROW()-2)/24)+1 &amp; "號'!B" &amp; MOD(ROW()-2,24)+10)), 2))</f>
        <v>2</v>
      </c>
      <c r="D548" s="190">
        <f t="shared" ca="1" si="44"/>
        <v>7</v>
      </c>
      <c r="E548" s="190" t="str" cm="1">
        <f t="array" aca="1" ref="E548" ca="1">INDIRECT("'" &amp; A548 &amp; "號'!" &amp; ADDRESS(B548, D548))</f>
        <v/>
      </c>
      <c r="F548" s="190">
        <f t="shared" ca="1" si="45"/>
        <v>0</v>
      </c>
      <c r="G548" s="190">
        <f ca="1">IF(F548=0, 0, IF(AND(F547=1, C548&lt;&gt;8, OR(C548=C547+1, AND(C547=23, C548=0))), G547, MAX($G$1:G547)+1))</f>
        <v>0</v>
      </c>
      <c r="H548" s="194">
        <f t="shared" si="46"/>
        <v>23</v>
      </c>
    </row>
    <row r="549" spans="1:8">
      <c r="A549" s="190">
        <f t="shared" si="42"/>
        <v>23</v>
      </c>
      <c r="B549" s="193">
        <f t="shared" si="43"/>
        <v>29</v>
      </c>
      <c r="C549" s="190" cm="1">
        <f t="array" aca="1" ref="C549" ca="1">VALUE(LEFT(TRIM(INDIRECT("'" &amp; INT((ROW()-2)/24)+1 &amp; "號'!B" &amp; MOD(ROW()-2,24)+10)), 2))</f>
        <v>3</v>
      </c>
      <c r="D549" s="190">
        <f t="shared" ca="1" si="44"/>
        <v>7</v>
      </c>
      <c r="E549" s="190" t="str" cm="1">
        <f t="array" aca="1" ref="E549" ca="1">INDIRECT("'" &amp; A549 &amp; "號'!" &amp; ADDRESS(B549, D549))</f>
        <v/>
      </c>
      <c r="F549" s="190">
        <f t="shared" ca="1" si="45"/>
        <v>0</v>
      </c>
      <c r="G549" s="190">
        <f ca="1">IF(F549=0, 0, IF(AND(F548=1, C549&lt;&gt;8, OR(C549=C548+1, AND(C548=23, C549=0))), G548, MAX($G$1:G548)+1))</f>
        <v>0</v>
      </c>
      <c r="H549" s="194">
        <f t="shared" si="46"/>
        <v>23</v>
      </c>
    </row>
    <row r="550" spans="1:8">
      <c r="A550" s="190">
        <f t="shared" si="42"/>
        <v>23</v>
      </c>
      <c r="B550" s="193">
        <f t="shared" si="43"/>
        <v>30</v>
      </c>
      <c r="C550" s="190" cm="1">
        <f t="array" aca="1" ref="C550" ca="1">VALUE(LEFT(TRIM(INDIRECT("'" &amp; INT((ROW()-2)/24)+1 &amp; "號'!B" &amp; MOD(ROW()-2,24)+10)), 2))</f>
        <v>4</v>
      </c>
      <c r="D550" s="190">
        <f t="shared" ca="1" si="44"/>
        <v>7</v>
      </c>
      <c r="E550" s="190" t="str" cm="1">
        <f t="array" aca="1" ref="E550" ca="1">INDIRECT("'" &amp; A550 &amp; "號'!" &amp; ADDRESS(B550, D550))</f>
        <v/>
      </c>
      <c r="F550" s="190">
        <f t="shared" ca="1" si="45"/>
        <v>0</v>
      </c>
      <c r="G550" s="190">
        <f ca="1">IF(F550=0, 0, IF(AND(F549=1, C550&lt;&gt;8, OR(C550=C549+1, AND(C549=23, C550=0))), G549, MAX($G$1:G549)+1))</f>
        <v>0</v>
      </c>
      <c r="H550" s="194">
        <f t="shared" si="46"/>
        <v>23</v>
      </c>
    </row>
    <row r="551" spans="1:8">
      <c r="A551" s="190">
        <f t="shared" si="42"/>
        <v>23</v>
      </c>
      <c r="B551" s="193">
        <f t="shared" si="43"/>
        <v>31</v>
      </c>
      <c r="C551" s="190" cm="1">
        <f t="array" aca="1" ref="C551" ca="1">VALUE(LEFT(TRIM(INDIRECT("'" &amp; INT((ROW()-2)/24)+1 &amp; "號'!B" &amp; MOD(ROW()-2,24)+10)), 2))</f>
        <v>5</v>
      </c>
      <c r="D551" s="190">
        <f t="shared" ca="1" si="44"/>
        <v>7</v>
      </c>
      <c r="E551" s="190" t="str" cm="1">
        <f t="array" aca="1" ref="E551" ca="1">INDIRECT("'" &amp; A551 &amp; "號'!" &amp; ADDRESS(B551, D551))</f>
        <v/>
      </c>
      <c r="F551" s="190">
        <f t="shared" ca="1" si="45"/>
        <v>0</v>
      </c>
      <c r="G551" s="190">
        <f ca="1">IF(F551=0, 0, IF(AND(F550=1, C551&lt;&gt;8, OR(C551=C550+1, AND(C550=23, C551=0))), G550, MAX($G$1:G550)+1))</f>
        <v>0</v>
      </c>
      <c r="H551" s="194">
        <f t="shared" si="46"/>
        <v>23</v>
      </c>
    </row>
    <row r="552" spans="1:8">
      <c r="A552" s="190">
        <f t="shared" si="42"/>
        <v>23</v>
      </c>
      <c r="B552" s="193">
        <f t="shared" si="43"/>
        <v>32</v>
      </c>
      <c r="C552" s="190" cm="1">
        <f t="array" aca="1" ref="C552" ca="1">VALUE(LEFT(TRIM(INDIRECT("'" &amp; INT((ROW()-2)/24)+1 &amp; "號'!B" &amp; MOD(ROW()-2,24)+10)), 2))</f>
        <v>6</v>
      </c>
      <c r="D552" s="190">
        <f t="shared" ca="1" si="44"/>
        <v>7</v>
      </c>
      <c r="E552" s="190" t="str" cm="1">
        <f t="array" aca="1" ref="E552" ca="1">INDIRECT("'" &amp; A552 &amp; "號'!" &amp; ADDRESS(B552, D552))</f>
        <v/>
      </c>
      <c r="F552" s="190">
        <f t="shared" ca="1" si="45"/>
        <v>0</v>
      </c>
      <c r="G552" s="190">
        <f ca="1">IF(F552=0, 0, IF(AND(F551=1, C552&lt;&gt;8, OR(C552=C551+1, AND(C551=23, C552=0))), G551, MAX($G$1:G551)+1))</f>
        <v>0</v>
      </c>
      <c r="H552" s="194">
        <f t="shared" si="46"/>
        <v>23</v>
      </c>
    </row>
    <row r="553" spans="1:8">
      <c r="A553" s="190">
        <f t="shared" si="42"/>
        <v>23</v>
      </c>
      <c r="B553" s="193">
        <f t="shared" si="43"/>
        <v>33</v>
      </c>
      <c r="C553" s="190" cm="1">
        <f t="array" aca="1" ref="C553" ca="1">VALUE(LEFT(TRIM(INDIRECT("'" &amp; INT((ROW()-2)/24)+1 &amp; "號'!B" &amp; MOD(ROW()-2,24)+10)), 2))</f>
        <v>7</v>
      </c>
      <c r="D553" s="190">
        <f t="shared" ca="1" si="44"/>
        <v>7</v>
      </c>
      <c r="E553" s="190" t="str" cm="1">
        <f t="array" aca="1" ref="E553" ca="1">INDIRECT("'" &amp; A553 &amp; "號'!" &amp; ADDRESS(B553, D553))</f>
        <v/>
      </c>
      <c r="F553" s="190">
        <f t="shared" ca="1" si="45"/>
        <v>0</v>
      </c>
      <c r="G553" s="190">
        <f ca="1">IF(F553=0, 0, IF(AND(F552=1, C553&lt;&gt;8, OR(C553=C552+1, AND(C552=23, C553=0))), G552, MAX($G$1:G552)+1))</f>
        <v>0</v>
      </c>
      <c r="H553" s="194">
        <f t="shared" si="46"/>
        <v>23</v>
      </c>
    </row>
    <row r="554" spans="1:8">
      <c r="A554" s="190">
        <f t="shared" si="42"/>
        <v>24</v>
      </c>
      <c r="B554" s="193">
        <f t="shared" si="43"/>
        <v>10</v>
      </c>
      <c r="C554" s="190" cm="1">
        <f t="array" aca="1" ref="C554" ca="1">VALUE(LEFT(TRIM(INDIRECT("'" &amp; INT((ROW()-2)/24)+1 &amp; "號'!B" &amp; MOD(ROW()-2,24)+10)), 2))</f>
        <v>8</v>
      </c>
      <c r="D554" s="190">
        <f t="shared" ca="1" si="44"/>
        <v>7</v>
      </c>
      <c r="E554" s="190" t="str" cm="1">
        <f t="array" aca="1" ref="E554" ca="1">INDIRECT("'" &amp; A554 &amp; "號'!" &amp; ADDRESS(B554, D554))</f>
        <v>2</v>
      </c>
      <c r="F554" s="190">
        <f t="shared" ca="1" si="45"/>
        <v>0</v>
      </c>
      <c r="G554" s="190">
        <f ca="1">IF(F554=0, 0, IF(AND(F553=1, C554&lt;&gt;8, OR(C554=C553+1, AND(C553=23, C554=0))), G553, MAX($G$1:G553)+1))</f>
        <v>0</v>
      </c>
      <c r="H554" s="194">
        <f t="shared" si="46"/>
        <v>24</v>
      </c>
    </row>
    <row r="555" spans="1:8">
      <c r="A555" s="190">
        <f t="shared" si="42"/>
        <v>24</v>
      </c>
      <c r="B555" s="193">
        <f t="shared" si="43"/>
        <v>11</v>
      </c>
      <c r="C555" s="190" cm="1">
        <f t="array" aca="1" ref="C555" ca="1">VALUE(LEFT(TRIM(INDIRECT("'" &amp; INT((ROW()-2)/24)+1 &amp; "號'!B" &amp; MOD(ROW()-2,24)+10)), 2))</f>
        <v>9</v>
      </c>
      <c r="D555" s="190">
        <f t="shared" ca="1" si="44"/>
        <v>7</v>
      </c>
      <c r="E555" s="190" t="str" cm="1">
        <f t="array" aca="1" ref="E555" ca="1">INDIRECT("'" &amp; A555 &amp; "號'!" &amp; ADDRESS(B555, D555))</f>
        <v>2</v>
      </c>
      <c r="F555" s="190">
        <f t="shared" ca="1" si="45"/>
        <v>0</v>
      </c>
      <c r="G555" s="190">
        <f ca="1">IF(F555=0, 0, IF(AND(F554=1, C555&lt;&gt;8, OR(C555=C554+1, AND(C554=23, C555=0))), G554, MAX($G$1:G554)+1))</f>
        <v>0</v>
      </c>
      <c r="H555" s="194">
        <f t="shared" si="46"/>
        <v>24</v>
      </c>
    </row>
    <row r="556" spans="1:8">
      <c r="A556" s="190">
        <f t="shared" si="42"/>
        <v>24</v>
      </c>
      <c r="B556" s="193">
        <f t="shared" si="43"/>
        <v>12</v>
      </c>
      <c r="C556" s="190" cm="1">
        <f t="array" aca="1" ref="C556" ca="1">VALUE(LEFT(TRIM(INDIRECT("'" &amp; INT((ROW()-2)/24)+1 &amp; "號'!B" &amp; MOD(ROW()-2,24)+10)), 2))</f>
        <v>10</v>
      </c>
      <c r="D556" s="190">
        <f t="shared" ca="1" si="44"/>
        <v>7</v>
      </c>
      <c r="E556" s="190" t="str" cm="1">
        <f t="array" aca="1" ref="E556" ca="1">INDIRECT("'" &amp; A556 &amp; "號'!" &amp; ADDRESS(B556, D556))</f>
        <v/>
      </c>
      <c r="F556" s="190">
        <f t="shared" ca="1" si="45"/>
        <v>0</v>
      </c>
      <c r="G556" s="190">
        <f ca="1">IF(F556=0, 0, IF(AND(F555=1, C556&lt;&gt;8, OR(C556=C555+1, AND(C555=23, C556=0))), G555, MAX($G$1:G555)+1))</f>
        <v>0</v>
      </c>
      <c r="H556" s="194">
        <f t="shared" si="46"/>
        <v>24</v>
      </c>
    </row>
    <row r="557" spans="1:8">
      <c r="A557" s="190">
        <f t="shared" si="42"/>
        <v>24</v>
      </c>
      <c r="B557" s="193">
        <f t="shared" si="43"/>
        <v>13</v>
      </c>
      <c r="C557" s="190" cm="1">
        <f t="array" aca="1" ref="C557" ca="1">VALUE(LEFT(TRIM(INDIRECT("'" &amp; INT((ROW()-2)/24)+1 &amp; "號'!B" &amp; MOD(ROW()-2,24)+10)), 2))</f>
        <v>11</v>
      </c>
      <c r="D557" s="190">
        <f t="shared" ca="1" si="44"/>
        <v>7</v>
      </c>
      <c r="E557" s="190" t="str" cm="1">
        <f t="array" aca="1" ref="E557" ca="1">INDIRECT("'" &amp; A557 &amp; "號'!" &amp; ADDRESS(B557, D557))</f>
        <v/>
      </c>
      <c r="F557" s="190">
        <f t="shared" ca="1" si="45"/>
        <v>0</v>
      </c>
      <c r="G557" s="190">
        <f ca="1">IF(F557=0, 0, IF(AND(F556=1, C557&lt;&gt;8, OR(C557=C556+1, AND(C556=23, C557=0))), G556, MAX($G$1:G556)+1))</f>
        <v>0</v>
      </c>
      <c r="H557" s="194">
        <f t="shared" si="46"/>
        <v>24</v>
      </c>
    </row>
    <row r="558" spans="1:8">
      <c r="A558" s="190">
        <f t="shared" si="42"/>
        <v>24</v>
      </c>
      <c r="B558" s="193">
        <f t="shared" si="43"/>
        <v>14</v>
      </c>
      <c r="C558" s="190" cm="1">
        <f t="array" aca="1" ref="C558" ca="1">VALUE(LEFT(TRIM(INDIRECT("'" &amp; INT((ROW()-2)/24)+1 &amp; "號'!B" &amp; MOD(ROW()-2,24)+10)), 2))</f>
        <v>12</v>
      </c>
      <c r="D558" s="190">
        <f t="shared" ca="1" si="44"/>
        <v>7</v>
      </c>
      <c r="E558" s="190" t="str" cm="1">
        <f t="array" aca="1" ref="E558" ca="1">INDIRECT("'" &amp; A558 &amp; "號'!" &amp; ADDRESS(B558, D558))</f>
        <v/>
      </c>
      <c r="F558" s="190">
        <f t="shared" ca="1" si="45"/>
        <v>0</v>
      </c>
      <c r="G558" s="190">
        <f ca="1">IF(F558=0, 0, IF(AND(F557=1, C558&lt;&gt;8, OR(C558=C557+1, AND(C557=23, C558=0))), G557, MAX($G$1:G557)+1))</f>
        <v>0</v>
      </c>
      <c r="H558" s="194">
        <f t="shared" si="46"/>
        <v>24</v>
      </c>
    </row>
    <row r="559" spans="1:8">
      <c r="A559" s="190">
        <f t="shared" si="42"/>
        <v>24</v>
      </c>
      <c r="B559" s="193">
        <f t="shared" si="43"/>
        <v>15</v>
      </c>
      <c r="C559" s="190" cm="1">
        <f t="array" aca="1" ref="C559" ca="1">VALUE(LEFT(TRIM(INDIRECT("'" &amp; INT((ROW()-2)/24)+1 &amp; "號'!B" &amp; MOD(ROW()-2,24)+10)), 2))</f>
        <v>13</v>
      </c>
      <c r="D559" s="190">
        <f t="shared" ca="1" si="44"/>
        <v>7</v>
      </c>
      <c r="E559" s="190" t="str" cm="1">
        <f t="array" aca="1" ref="E559" ca="1">INDIRECT("'" &amp; A559 &amp; "號'!" &amp; ADDRESS(B559, D559))</f>
        <v/>
      </c>
      <c r="F559" s="190">
        <f t="shared" ca="1" si="45"/>
        <v>0</v>
      </c>
      <c r="G559" s="190">
        <f ca="1">IF(F559=0, 0, IF(AND(F558=1, C559&lt;&gt;8, OR(C559=C558+1, AND(C558=23, C559=0))), G558, MAX($G$1:G558)+1))</f>
        <v>0</v>
      </c>
      <c r="H559" s="194">
        <f t="shared" si="46"/>
        <v>24</v>
      </c>
    </row>
    <row r="560" spans="1:8">
      <c r="A560" s="190">
        <f t="shared" si="42"/>
        <v>24</v>
      </c>
      <c r="B560" s="193">
        <f t="shared" si="43"/>
        <v>16</v>
      </c>
      <c r="C560" s="190" cm="1">
        <f t="array" aca="1" ref="C560" ca="1">VALUE(LEFT(TRIM(INDIRECT("'" &amp; INT((ROW()-2)/24)+1 &amp; "號'!B" &amp; MOD(ROW()-2,24)+10)), 2))</f>
        <v>14</v>
      </c>
      <c r="D560" s="190">
        <f t="shared" ca="1" si="44"/>
        <v>7</v>
      </c>
      <c r="E560" s="190" t="str" cm="1">
        <f t="array" aca="1" ref="E560" ca="1">INDIRECT("'" &amp; A560 &amp; "號'!" &amp; ADDRESS(B560, D560))</f>
        <v/>
      </c>
      <c r="F560" s="190">
        <f t="shared" ca="1" si="45"/>
        <v>0</v>
      </c>
      <c r="G560" s="190">
        <f ca="1">IF(F560=0, 0, IF(AND(F559=1, C560&lt;&gt;8, OR(C560=C559+1, AND(C559=23, C560=0))), G559, MAX($G$1:G559)+1))</f>
        <v>0</v>
      </c>
      <c r="H560" s="194">
        <f t="shared" si="46"/>
        <v>24</v>
      </c>
    </row>
    <row r="561" spans="1:8">
      <c r="A561" s="190">
        <f t="shared" si="42"/>
        <v>24</v>
      </c>
      <c r="B561" s="193">
        <f t="shared" si="43"/>
        <v>17</v>
      </c>
      <c r="C561" s="190" cm="1">
        <f t="array" aca="1" ref="C561" ca="1">VALUE(LEFT(TRIM(INDIRECT("'" &amp; INT((ROW()-2)/24)+1 &amp; "號'!B" &amp; MOD(ROW()-2,24)+10)), 2))</f>
        <v>15</v>
      </c>
      <c r="D561" s="190">
        <f t="shared" ca="1" si="44"/>
        <v>7</v>
      </c>
      <c r="E561" s="190" t="str" cm="1">
        <f t="array" aca="1" ref="E561" ca="1">INDIRECT("'" &amp; A561 &amp; "號'!" &amp; ADDRESS(B561, D561))</f>
        <v/>
      </c>
      <c r="F561" s="190">
        <f t="shared" ca="1" si="45"/>
        <v>0</v>
      </c>
      <c r="G561" s="190">
        <f ca="1">IF(F561=0, 0, IF(AND(F560=1, C561&lt;&gt;8, OR(C561=C560+1, AND(C560=23, C561=0))), G560, MAX($G$1:G560)+1))</f>
        <v>0</v>
      </c>
      <c r="H561" s="194">
        <f t="shared" si="46"/>
        <v>24</v>
      </c>
    </row>
    <row r="562" spans="1:8">
      <c r="A562" s="190">
        <f t="shared" si="42"/>
        <v>24</v>
      </c>
      <c r="B562" s="193">
        <f t="shared" si="43"/>
        <v>18</v>
      </c>
      <c r="C562" s="190" cm="1">
        <f t="array" aca="1" ref="C562" ca="1">VALUE(LEFT(TRIM(INDIRECT("'" &amp; INT((ROW()-2)/24)+1 &amp; "號'!B" &amp; MOD(ROW()-2,24)+10)), 2))</f>
        <v>16</v>
      </c>
      <c r="D562" s="190">
        <f t="shared" ca="1" si="44"/>
        <v>7</v>
      </c>
      <c r="E562" s="190" t="str" cm="1">
        <f t="array" aca="1" ref="E562" ca="1">INDIRECT("'" &amp; A562 &amp; "號'!" &amp; ADDRESS(B562, D562))</f>
        <v/>
      </c>
      <c r="F562" s="190">
        <f t="shared" ca="1" si="45"/>
        <v>0</v>
      </c>
      <c r="G562" s="190">
        <f ca="1">IF(F562=0, 0, IF(AND(F561=1, C562&lt;&gt;8, OR(C562=C561+1, AND(C561=23, C562=0))), G561, MAX($G$1:G561)+1))</f>
        <v>0</v>
      </c>
      <c r="H562" s="194">
        <f t="shared" si="46"/>
        <v>24</v>
      </c>
    </row>
    <row r="563" spans="1:8">
      <c r="A563" s="190">
        <f t="shared" si="42"/>
        <v>24</v>
      </c>
      <c r="B563" s="193">
        <f t="shared" si="43"/>
        <v>19</v>
      </c>
      <c r="C563" s="190" cm="1">
        <f t="array" aca="1" ref="C563" ca="1">VALUE(LEFT(TRIM(INDIRECT("'" &amp; INT((ROW()-2)/24)+1 &amp; "號'!B" &amp; MOD(ROW()-2,24)+10)), 2))</f>
        <v>17</v>
      </c>
      <c r="D563" s="190">
        <f t="shared" ca="1" si="44"/>
        <v>7</v>
      </c>
      <c r="E563" s="190" t="str" cm="1">
        <f t="array" aca="1" ref="E563" ca="1">INDIRECT("'" &amp; A563 &amp; "號'!" &amp; ADDRESS(B563, D563))</f>
        <v/>
      </c>
      <c r="F563" s="190">
        <f t="shared" ca="1" si="45"/>
        <v>0</v>
      </c>
      <c r="G563" s="190">
        <f ca="1">IF(F563=0, 0, IF(AND(F562=1, C563&lt;&gt;8, OR(C563=C562+1, AND(C562=23, C563=0))), G562, MAX($G$1:G562)+1))</f>
        <v>0</v>
      </c>
      <c r="H563" s="194">
        <f t="shared" si="46"/>
        <v>24</v>
      </c>
    </row>
    <row r="564" spans="1:8">
      <c r="A564" s="190">
        <f t="shared" si="42"/>
        <v>24</v>
      </c>
      <c r="B564" s="193">
        <f t="shared" si="43"/>
        <v>20</v>
      </c>
      <c r="C564" s="190" cm="1">
        <f t="array" aca="1" ref="C564" ca="1">VALUE(LEFT(TRIM(INDIRECT("'" &amp; INT((ROW()-2)/24)+1 &amp; "號'!B" &amp; MOD(ROW()-2,24)+10)), 2))</f>
        <v>18</v>
      </c>
      <c r="D564" s="190">
        <f t="shared" ca="1" si="44"/>
        <v>7</v>
      </c>
      <c r="E564" s="190" t="str" cm="1">
        <f t="array" aca="1" ref="E564" ca="1">INDIRECT("'" &amp; A564 &amp; "號'!" &amp; ADDRESS(B564, D564))</f>
        <v/>
      </c>
      <c r="F564" s="190">
        <f t="shared" ca="1" si="45"/>
        <v>0</v>
      </c>
      <c r="G564" s="190">
        <f ca="1">IF(F564=0, 0, IF(AND(F563=1, C564&lt;&gt;8, OR(C564=C563+1, AND(C563=23, C564=0))), G563, MAX($G$1:G563)+1))</f>
        <v>0</v>
      </c>
      <c r="H564" s="194">
        <f t="shared" si="46"/>
        <v>24</v>
      </c>
    </row>
    <row r="565" spans="1:8">
      <c r="A565" s="190">
        <f t="shared" si="42"/>
        <v>24</v>
      </c>
      <c r="B565" s="193">
        <f t="shared" si="43"/>
        <v>21</v>
      </c>
      <c r="C565" s="190" cm="1">
        <f t="array" aca="1" ref="C565" ca="1">VALUE(LEFT(TRIM(INDIRECT("'" &amp; INT((ROW()-2)/24)+1 &amp; "號'!B" &amp; MOD(ROW()-2,24)+10)), 2))</f>
        <v>19</v>
      </c>
      <c r="D565" s="190">
        <f t="shared" ca="1" si="44"/>
        <v>7</v>
      </c>
      <c r="E565" s="190" t="str" cm="1">
        <f t="array" aca="1" ref="E565" ca="1">INDIRECT("'" &amp; A565 &amp; "號'!" &amp; ADDRESS(B565, D565))</f>
        <v/>
      </c>
      <c r="F565" s="190">
        <f t="shared" ca="1" si="45"/>
        <v>0</v>
      </c>
      <c r="G565" s="190">
        <f ca="1">IF(F565=0, 0, IF(AND(F564=1, C565&lt;&gt;8, OR(C565=C564+1, AND(C564=23, C565=0))), G564, MAX($G$1:G564)+1))</f>
        <v>0</v>
      </c>
      <c r="H565" s="194">
        <f t="shared" si="46"/>
        <v>24</v>
      </c>
    </row>
    <row r="566" spans="1:8">
      <c r="A566" s="190">
        <f t="shared" si="42"/>
        <v>24</v>
      </c>
      <c r="B566" s="193">
        <f t="shared" si="43"/>
        <v>22</v>
      </c>
      <c r="C566" s="190" cm="1">
        <f t="array" aca="1" ref="C566" ca="1">VALUE(LEFT(TRIM(INDIRECT("'" &amp; INT((ROW()-2)/24)+1 &amp; "號'!B" &amp; MOD(ROW()-2,24)+10)), 2))</f>
        <v>20</v>
      </c>
      <c r="D566" s="190">
        <f t="shared" ca="1" si="44"/>
        <v>7</v>
      </c>
      <c r="E566" s="190" t="str" cm="1">
        <f t="array" aca="1" ref="E566" ca="1">INDIRECT("'" &amp; A566 &amp; "號'!" &amp; ADDRESS(B566, D566))</f>
        <v/>
      </c>
      <c r="F566" s="190">
        <f t="shared" ca="1" si="45"/>
        <v>0</v>
      </c>
      <c r="G566" s="190">
        <f ca="1">IF(F566=0, 0, IF(AND(F565=1, C566&lt;&gt;8, OR(C566=C565+1, AND(C565=23, C566=0))), G565, MAX($G$1:G565)+1))</f>
        <v>0</v>
      </c>
      <c r="H566" s="194">
        <f t="shared" si="46"/>
        <v>24</v>
      </c>
    </row>
    <row r="567" spans="1:8">
      <c r="A567" s="190">
        <f t="shared" si="42"/>
        <v>24</v>
      </c>
      <c r="B567" s="193">
        <f t="shared" si="43"/>
        <v>23</v>
      </c>
      <c r="C567" s="190" cm="1">
        <f t="array" aca="1" ref="C567" ca="1">VALUE(LEFT(TRIM(INDIRECT("'" &amp; INT((ROW()-2)/24)+1 &amp; "號'!B" &amp; MOD(ROW()-2,24)+10)), 2))</f>
        <v>21</v>
      </c>
      <c r="D567" s="190">
        <f t="shared" ca="1" si="44"/>
        <v>7</v>
      </c>
      <c r="E567" s="190" t="str" cm="1">
        <f t="array" aca="1" ref="E567" ca="1">INDIRECT("'" &amp; A567 &amp; "號'!" &amp; ADDRESS(B567, D567))</f>
        <v/>
      </c>
      <c r="F567" s="190">
        <f t="shared" ca="1" si="45"/>
        <v>0</v>
      </c>
      <c r="G567" s="190">
        <f ca="1">IF(F567=0, 0, IF(AND(F566=1, C567&lt;&gt;8, OR(C567=C566+1, AND(C566=23, C567=0))), G566, MAX($G$1:G566)+1))</f>
        <v>0</v>
      </c>
      <c r="H567" s="194">
        <f t="shared" si="46"/>
        <v>24</v>
      </c>
    </row>
    <row r="568" spans="1:8">
      <c r="A568" s="190">
        <f t="shared" si="42"/>
        <v>24</v>
      </c>
      <c r="B568" s="193">
        <f t="shared" si="43"/>
        <v>24</v>
      </c>
      <c r="C568" s="190" cm="1">
        <f t="array" aca="1" ref="C568" ca="1">VALUE(LEFT(TRIM(INDIRECT("'" &amp; INT((ROW()-2)/24)+1 &amp; "號'!B" &amp; MOD(ROW()-2,24)+10)), 2))</f>
        <v>22</v>
      </c>
      <c r="D568" s="190">
        <f t="shared" ca="1" si="44"/>
        <v>7</v>
      </c>
      <c r="E568" s="190" t="str" cm="1">
        <f t="array" aca="1" ref="E568" ca="1">INDIRECT("'" &amp; A568 &amp; "號'!" &amp; ADDRESS(B568, D568))</f>
        <v/>
      </c>
      <c r="F568" s="190">
        <f t="shared" ca="1" si="45"/>
        <v>0</v>
      </c>
      <c r="G568" s="190">
        <f ca="1">IF(F568=0, 0, IF(AND(F567=1, C568&lt;&gt;8, OR(C568=C567+1, AND(C567=23, C568=0))), G567, MAX($G$1:G567)+1))</f>
        <v>0</v>
      </c>
      <c r="H568" s="194">
        <f t="shared" si="46"/>
        <v>24</v>
      </c>
    </row>
    <row r="569" spans="1:8">
      <c r="A569" s="190">
        <f t="shared" si="42"/>
        <v>24</v>
      </c>
      <c r="B569" s="193">
        <f t="shared" si="43"/>
        <v>25</v>
      </c>
      <c r="C569" s="190" cm="1">
        <f t="array" aca="1" ref="C569" ca="1">VALUE(LEFT(TRIM(INDIRECT("'" &amp; INT((ROW()-2)/24)+1 &amp; "號'!B" &amp; MOD(ROW()-2,24)+10)), 2))</f>
        <v>23</v>
      </c>
      <c r="D569" s="190">
        <f t="shared" ca="1" si="44"/>
        <v>7</v>
      </c>
      <c r="E569" s="190" t="str" cm="1">
        <f t="array" aca="1" ref="E569" ca="1">INDIRECT("'" &amp; A569 &amp; "號'!" &amp; ADDRESS(B569, D569))</f>
        <v/>
      </c>
      <c r="F569" s="190">
        <f t="shared" ca="1" si="45"/>
        <v>0</v>
      </c>
      <c r="G569" s="190">
        <f ca="1">IF(F569=0, 0, IF(AND(F568=1, C569&lt;&gt;8, OR(C569=C568+1, AND(C568=23, C569=0))), G568, MAX($G$1:G568)+1))</f>
        <v>0</v>
      </c>
      <c r="H569" s="194">
        <f t="shared" si="46"/>
        <v>24</v>
      </c>
    </row>
    <row r="570" spans="1:8">
      <c r="A570" s="190">
        <f t="shared" si="42"/>
        <v>24</v>
      </c>
      <c r="B570" s="193">
        <f t="shared" si="43"/>
        <v>26</v>
      </c>
      <c r="C570" s="190" cm="1">
        <f t="array" aca="1" ref="C570" ca="1">VALUE(LEFT(TRIM(INDIRECT("'" &amp; INT((ROW()-2)/24)+1 &amp; "號'!B" &amp; MOD(ROW()-2,24)+10)), 2))</f>
        <v>0</v>
      </c>
      <c r="D570" s="190">
        <f t="shared" ca="1" si="44"/>
        <v>7</v>
      </c>
      <c r="E570" s="190" t="str" cm="1">
        <f t="array" aca="1" ref="E570" ca="1">INDIRECT("'" &amp; A570 &amp; "號'!" &amp; ADDRESS(B570, D570))</f>
        <v/>
      </c>
      <c r="F570" s="190">
        <f t="shared" ca="1" si="45"/>
        <v>0</v>
      </c>
      <c r="G570" s="190">
        <f ca="1">IF(F570=0, 0, IF(AND(F569=1, C570&lt;&gt;8, OR(C570=C569+1, AND(C569=23, C570=0))), G569, MAX($G$1:G569)+1))</f>
        <v>0</v>
      </c>
      <c r="H570" s="194">
        <f t="shared" si="46"/>
        <v>24</v>
      </c>
    </row>
    <row r="571" spans="1:8">
      <c r="A571" s="190">
        <f t="shared" si="42"/>
        <v>24</v>
      </c>
      <c r="B571" s="193">
        <f t="shared" si="43"/>
        <v>27</v>
      </c>
      <c r="C571" s="190" cm="1">
        <f t="array" aca="1" ref="C571" ca="1">VALUE(LEFT(TRIM(INDIRECT("'" &amp; INT((ROW()-2)/24)+1 &amp; "號'!B" &amp; MOD(ROW()-2,24)+10)), 2))</f>
        <v>1</v>
      </c>
      <c r="D571" s="190">
        <f t="shared" ca="1" si="44"/>
        <v>7</v>
      </c>
      <c r="E571" s="190" t="str" cm="1">
        <f t="array" aca="1" ref="E571" ca="1">INDIRECT("'" &amp; A571 &amp; "號'!" &amp; ADDRESS(B571, D571))</f>
        <v/>
      </c>
      <c r="F571" s="190">
        <f t="shared" ca="1" si="45"/>
        <v>0</v>
      </c>
      <c r="G571" s="190">
        <f ca="1">IF(F571=0, 0, IF(AND(F570=1, C571&lt;&gt;8, OR(C571=C570+1, AND(C570=23, C571=0))), G570, MAX($G$1:G570)+1))</f>
        <v>0</v>
      </c>
      <c r="H571" s="194">
        <f t="shared" si="46"/>
        <v>24</v>
      </c>
    </row>
    <row r="572" spans="1:8">
      <c r="A572" s="190">
        <f t="shared" si="42"/>
        <v>24</v>
      </c>
      <c r="B572" s="193">
        <f t="shared" si="43"/>
        <v>28</v>
      </c>
      <c r="C572" s="190" cm="1">
        <f t="array" aca="1" ref="C572" ca="1">VALUE(LEFT(TRIM(INDIRECT("'" &amp; INT((ROW()-2)/24)+1 &amp; "號'!B" &amp; MOD(ROW()-2,24)+10)), 2))</f>
        <v>2</v>
      </c>
      <c r="D572" s="190">
        <f t="shared" ca="1" si="44"/>
        <v>7</v>
      </c>
      <c r="E572" s="190" t="str" cm="1">
        <f t="array" aca="1" ref="E572" ca="1">INDIRECT("'" &amp; A572 &amp; "號'!" &amp; ADDRESS(B572, D572))</f>
        <v/>
      </c>
      <c r="F572" s="190">
        <f t="shared" ca="1" si="45"/>
        <v>0</v>
      </c>
      <c r="G572" s="190">
        <f ca="1">IF(F572=0, 0, IF(AND(F571=1, C572&lt;&gt;8, OR(C572=C571+1, AND(C571=23, C572=0))), G571, MAX($G$1:G571)+1))</f>
        <v>0</v>
      </c>
      <c r="H572" s="194">
        <f t="shared" si="46"/>
        <v>24</v>
      </c>
    </row>
    <row r="573" spans="1:8">
      <c r="A573" s="190">
        <f t="shared" si="42"/>
        <v>24</v>
      </c>
      <c r="B573" s="193">
        <f t="shared" si="43"/>
        <v>29</v>
      </c>
      <c r="C573" s="190" cm="1">
        <f t="array" aca="1" ref="C573" ca="1">VALUE(LEFT(TRIM(INDIRECT("'" &amp; INT((ROW()-2)/24)+1 &amp; "號'!B" &amp; MOD(ROW()-2,24)+10)), 2))</f>
        <v>3</v>
      </c>
      <c r="D573" s="190">
        <f t="shared" ca="1" si="44"/>
        <v>7</v>
      </c>
      <c r="E573" s="190" t="str" cm="1">
        <f t="array" aca="1" ref="E573" ca="1">INDIRECT("'" &amp; A573 &amp; "號'!" &amp; ADDRESS(B573, D573))</f>
        <v/>
      </c>
      <c r="F573" s="190">
        <f t="shared" ca="1" si="45"/>
        <v>0</v>
      </c>
      <c r="G573" s="190">
        <f ca="1">IF(F573=0, 0, IF(AND(F572=1, C573&lt;&gt;8, OR(C573=C572+1, AND(C572=23, C573=0))), G572, MAX($G$1:G572)+1))</f>
        <v>0</v>
      </c>
      <c r="H573" s="194">
        <f t="shared" si="46"/>
        <v>24</v>
      </c>
    </row>
    <row r="574" spans="1:8">
      <c r="A574" s="190">
        <f t="shared" si="42"/>
        <v>24</v>
      </c>
      <c r="B574" s="193">
        <f t="shared" si="43"/>
        <v>30</v>
      </c>
      <c r="C574" s="190" cm="1">
        <f t="array" aca="1" ref="C574" ca="1">VALUE(LEFT(TRIM(INDIRECT("'" &amp; INT((ROW()-2)/24)+1 &amp; "號'!B" &amp; MOD(ROW()-2,24)+10)), 2))</f>
        <v>4</v>
      </c>
      <c r="D574" s="190">
        <f t="shared" ca="1" si="44"/>
        <v>7</v>
      </c>
      <c r="E574" s="190" t="str" cm="1">
        <f t="array" aca="1" ref="E574" ca="1">INDIRECT("'" &amp; A574 &amp; "號'!" &amp; ADDRESS(B574, D574))</f>
        <v/>
      </c>
      <c r="F574" s="190">
        <f t="shared" ca="1" si="45"/>
        <v>0</v>
      </c>
      <c r="G574" s="190">
        <f ca="1">IF(F574=0, 0, IF(AND(F573=1, C574&lt;&gt;8, OR(C574=C573+1, AND(C573=23, C574=0))), G573, MAX($G$1:G573)+1))</f>
        <v>0</v>
      </c>
      <c r="H574" s="194">
        <f t="shared" si="46"/>
        <v>24</v>
      </c>
    </row>
    <row r="575" spans="1:8">
      <c r="A575" s="190">
        <f t="shared" si="42"/>
        <v>24</v>
      </c>
      <c r="B575" s="193">
        <f t="shared" si="43"/>
        <v>31</v>
      </c>
      <c r="C575" s="190" cm="1">
        <f t="array" aca="1" ref="C575" ca="1">VALUE(LEFT(TRIM(INDIRECT("'" &amp; INT((ROW()-2)/24)+1 &amp; "號'!B" &amp; MOD(ROW()-2,24)+10)), 2))</f>
        <v>5</v>
      </c>
      <c r="D575" s="190">
        <f t="shared" ca="1" si="44"/>
        <v>7</v>
      </c>
      <c r="E575" s="190" t="str" cm="1">
        <f t="array" aca="1" ref="E575" ca="1">INDIRECT("'" &amp; A575 &amp; "號'!" &amp; ADDRESS(B575, D575))</f>
        <v/>
      </c>
      <c r="F575" s="190">
        <f t="shared" ca="1" si="45"/>
        <v>0</v>
      </c>
      <c r="G575" s="190">
        <f ca="1">IF(F575=0, 0, IF(AND(F574=1, C575&lt;&gt;8, OR(C575=C574+1, AND(C574=23, C575=0))), G574, MAX($G$1:G574)+1))</f>
        <v>0</v>
      </c>
      <c r="H575" s="194">
        <f t="shared" si="46"/>
        <v>24</v>
      </c>
    </row>
    <row r="576" spans="1:8">
      <c r="A576" s="190">
        <f t="shared" si="42"/>
        <v>24</v>
      </c>
      <c r="B576" s="193">
        <f t="shared" si="43"/>
        <v>32</v>
      </c>
      <c r="C576" s="190" cm="1">
        <f t="array" aca="1" ref="C576" ca="1">VALUE(LEFT(TRIM(INDIRECT("'" &amp; INT((ROW()-2)/24)+1 &amp; "號'!B" &amp; MOD(ROW()-2,24)+10)), 2))</f>
        <v>6</v>
      </c>
      <c r="D576" s="190">
        <f t="shared" ca="1" si="44"/>
        <v>7</v>
      </c>
      <c r="E576" s="190" t="str" cm="1">
        <f t="array" aca="1" ref="E576" ca="1">INDIRECT("'" &amp; A576 &amp; "號'!" &amp; ADDRESS(B576, D576))</f>
        <v>4</v>
      </c>
      <c r="F576" s="190">
        <f t="shared" ca="1" si="45"/>
        <v>0</v>
      </c>
      <c r="G576" s="190">
        <f ca="1">IF(F576=0, 0, IF(AND(F575=1, C576&lt;&gt;8, OR(C576=C575+1, AND(C575=23, C576=0))), G575, MAX($G$1:G575)+1))</f>
        <v>0</v>
      </c>
      <c r="H576" s="194">
        <f t="shared" si="46"/>
        <v>24</v>
      </c>
    </row>
    <row r="577" spans="1:8">
      <c r="A577" s="190">
        <f t="shared" si="42"/>
        <v>24</v>
      </c>
      <c r="B577" s="193">
        <f t="shared" si="43"/>
        <v>33</v>
      </c>
      <c r="C577" s="190" cm="1">
        <f t="array" aca="1" ref="C577" ca="1">VALUE(LEFT(TRIM(INDIRECT("'" &amp; INT((ROW()-2)/24)+1 &amp; "號'!B" &amp; MOD(ROW()-2,24)+10)), 2))</f>
        <v>7</v>
      </c>
      <c r="D577" s="190">
        <f t="shared" ca="1" si="44"/>
        <v>7</v>
      </c>
      <c r="E577" s="190" t="str" cm="1">
        <f t="array" aca="1" ref="E577" ca="1">INDIRECT("'" &amp; A577 &amp; "號'!" &amp; ADDRESS(B577, D577))</f>
        <v>4</v>
      </c>
      <c r="F577" s="190">
        <f t="shared" ca="1" si="45"/>
        <v>0</v>
      </c>
      <c r="G577" s="190">
        <f ca="1">IF(F577=0, 0, IF(AND(F576=1, C577&lt;&gt;8, OR(C577=C576+1, AND(C576=23, C577=0))), G576, MAX($G$1:G576)+1))</f>
        <v>0</v>
      </c>
      <c r="H577" s="194">
        <f t="shared" si="46"/>
        <v>24</v>
      </c>
    </row>
    <row r="578" spans="1:8">
      <c r="A578" s="190">
        <f t="shared" si="42"/>
        <v>25</v>
      </c>
      <c r="B578" s="193">
        <f t="shared" si="43"/>
        <v>10</v>
      </c>
      <c r="C578" s="190" cm="1">
        <f t="array" aca="1" ref="C578" ca="1">VALUE(LEFT(TRIM(INDIRECT("'" &amp; INT((ROW()-2)/24)+1 &amp; "號'!B" &amp; MOD(ROW()-2,24)+10)), 2))</f>
        <v>8</v>
      </c>
      <c r="D578" s="190">
        <f t="shared" ca="1" si="44"/>
        <v>7</v>
      </c>
      <c r="E578" s="190" t="str" cm="1">
        <f t="array" aca="1" ref="E578" ca="1">INDIRECT("'" &amp; A578 &amp; "號'!" &amp; ADDRESS(B578, D578))</f>
        <v/>
      </c>
      <c r="F578" s="190">
        <f t="shared" ca="1" si="45"/>
        <v>0</v>
      </c>
      <c r="G578" s="190">
        <f ca="1">IF(F578=0, 0, IF(AND(F577=1, C578&lt;&gt;8, OR(C578=C577+1, AND(C577=23, C578=0))), G577, MAX($G$1:G577)+1))</f>
        <v>0</v>
      </c>
      <c r="H578" s="194">
        <f t="shared" si="46"/>
        <v>25</v>
      </c>
    </row>
    <row r="579" spans="1:8">
      <c r="A579" s="190">
        <f t="shared" ref="A579:A642" si="47">INT((ROW()-2)/24)+1</f>
        <v>25</v>
      </c>
      <c r="B579" s="193">
        <f t="shared" ref="B579:B642" si="48">MOD(ROW()-2, 24)+10</f>
        <v>11</v>
      </c>
      <c r="C579" s="190" cm="1">
        <f t="array" aca="1" ref="C579" ca="1">VALUE(LEFT(TRIM(INDIRECT("'" &amp; INT((ROW()-2)/24)+1 &amp; "號'!B" &amp; MOD(ROW()-2,24)+10)), 2))</f>
        <v>9</v>
      </c>
      <c r="D579" s="190">
        <f t="shared" ref="D579:D642" ca="1" si="49">MAX(IFERROR(MATCH("*休息*", INDIRECT("'" &amp; A579 &amp; "號'!$5:$5"), 0), 0), IFERROR(MATCH("*休息*", INDIRECT("'" &amp; A579 &amp; "號'!$6:$6"), 0), 0), IFERROR(MATCH("*休息*", INDIRECT("'" &amp; A579 &amp; "號'!$7:$7"), 0), 0))</f>
        <v>7</v>
      </c>
      <c r="E579" s="190" t="str" cm="1">
        <f t="array" aca="1" ref="E579" ca="1">INDIRECT("'" &amp; A579 &amp; "號'!" &amp; ADDRESS(B579, D579))</f>
        <v/>
      </c>
      <c r="F579" s="190">
        <f t="shared" ref="F579:F642" ca="1" si="50">IF(ISNUMBER(SEARCH(","&amp;$A$1&amp;",", ","&amp;SUBSTITUTE(SUBSTITUTE(E579," ",""),"，",",")&amp;",")), 1, 0)</f>
        <v>0</v>
      </c>
      <c r="G579" s="190">
        <f ca="1">IF(F579=0, 0, IF(AND(F578=1, C579&lt;&gt;8, OR(C579=C578+1, AND(C578=23, C579=0))), G578, MAX($G$1:G578)+1))</f>
        <v>0</v>
      </c>
      <c r="H579" s="194">
        <f t="shared" ref="H579:H642" si="51" xml:space="preserve"> A579</f>
        <v>25</v>
      </c>
    </row>
    <row r="580" spans="1:8">
      <c r="A580" s="190">
        <f t="shared" si="47"/>
        <v>25</v>
      </c>
      <c r="B580" s="193">
        <f t="shared" si="48"/>
        <v>12</v>
      </c>
      <c r="C580" s="190" cm="1">
        <f t="array" aca="1" ref="C580" ca="1">VALUE(LEFT(TRIM(INDIRECT("'" &amp; INT((ROW()-2)/24)+1 &amp; "號'!B" &amp; MOD(ROW()-2,24)+10)), 2))</f>
        <v>10</v>
      </c>
      <c r="D580" s="190">
        <f t="shared" ca="1" si="49"/>
        <v>7</v>
      </c>
      <c r="E580" s="190" t="str" cm="1">
        <f t="array" aca="1" ref="E580" ca="1">INDIRECT("'" &amp; A580 &amp; "號'!" &amp; ADDRESS(B580, D580))</f>
        <v/>
      </c>
      <c r="F580" s="190">
        <f t="shared" ca="1" si="50"/>
        <v>0</v>
      </c>
      <c r="G580" s="190">
        <f ca="1">IF(F580=0, 0, IF(AND(F579=1, C580&lt;&gt;8, OR(C580=C579+1, AND(C579=23, C580=0))), G579, MAX($G$1:G579)+1))</f>
        <v>0</v>
      </c>
      <c r="H580" s="194">
        <f t="shared" si="51"/>
        <v>25</v>
      </c>
    </row>
    <row r="581" spans="1:8">
      <c r="A581" s="190">
        <f t="shared" si="47"/>
        <v>25</v>
      </c>
      <c r="B581" s="193">
        <f t="shared" si="48"/>
        <v>13</v>
      </c>
      <c r="C581" s="190" cm="1">
        <f t="array" aca="1" ref="C581" ca="1">VALUE(LEFT(TRIM(INDIRECT("'" &amp; INT((ROW()-2)/24)+1 &amp; "號'!B" &amp; MOD(ROW()-2,24)+10)), 2))</f>
        <v>11</v>
      </c>
      <c r="D581" s="190">
        <f t="shared" ca="1" si="49"/>
        <v>7</v>
      </c>
      <c r="E581" s="190" t="str" cm="1">
        <f t="array" aca="1" ref="E581" ca="1">INDIRECT("'" &amp; A581 &amp; "號'!" &amp; ADDRESS(B581, D581))</f>
        <v/>
      </c>
      <c r="F581" s="190">
        <f t="shared" ca="1" si="50"/>
        <v>0</v>
      </c>
      <c r="G581" s="190">
        <f ca="1">IF(F581=0, 0, IF(AND(F580=1, C581&lt;&gt;8, OR(C581=C580+1, AND(C580=23, C581=0))), G580, MAX($G$1:G580)+1))</f>
        <v>0</v>
      </c>
      <c r="H581" s="194">
        <f t="shared" si="51"/>
        <v>25</v>
      </c>
    </row>
    <row r="582" spans="1:8">
      <c r="A582" s="190">
        <f t="shared" si="47"/>
        <v>25</v>
      </c>
      <c r="B582" s="193">
        <f t="shared" si="48"/>
        <v>14</v>
      </c>
      <c r="C582" s="190" cm="1">
        <f t="array" aca="1" ref="C582" ca="1">VALUE(LEFT(TRIM(INDIRECT("'" &amp; INT((ROW()-2)/24)+1 &amp; "號'!B" &amp; MOD(ROW()-2,24)+10)), 2))</f>
        <v>12</v>
      </c>
      <c r="D582" s="190">
        <f t="shared" ca="1" si="49"/>
        <v>7</v>
      </c>
      <c r="E582" s="190" t="str" cm="1">
        <f t="array" aca="1" ref="E582" ca="1">INDIRECT("'" &amp; A582 &amp; "號'!" &amp; ADDRESS(B582, D582))</f>
        <v>3</v>
      </c>
      <c r="F582" s="190">
        <f t="shared" ca="1" si="50"/>
        <v>0</v>
      </c>
      <c r="G582" s="190">
        <f ca="1">IF(F582=0, 0, IF(AND(F581=1, C582&lt;&gt;8, OR(C582=C581+1, AND(C581=23, C582=0))), G581, MAX($G$1:G581)+1))</f>
        <v>0</v>
      </c>
      <c r="H582" s="194">
        <f t="shared" si="51"/>
        <v>25</v>
      </c>
    </row>
    <row r="583" spans="1:8">
      <c r="A583" s="190">
        <f t="shared" si="47"/>
        <v>25</v>
      </c>
      <c r="B583" s="193">
        <f t="shared" si="48"/>
        <v>15</v>
      </c>
      <c r="C583" s="190" cm="1">
        <f t="array" aca="1" ref="C583" ca="1">VALUE(LEFT(TRIM(INDIRECT("'" &amp; INT((ROW()-2)/24)+1 &amp; "號'!B" &amp; MOD(ROW()-2,24)+10)), 2))</f>
        <v>13</v>
      </c>
      <c r="D583" s="190">
        <f t="shared" ca="1" si="49"/>
        <v>7</v>
      </c>
      <c r="E583" s="190" t="str" cm="1">
        <f t="array" aca="1" ref="E583" ca="1">INDIRECT("'" &amp; A583 &amp; "號'!" &amp; ADDRESS(B583, D583))</f>
        <v>3</v>
      </c>
      <c r="F583" s="190">
        <f t="shared" ca="1" si="50"/>
        <v>0</v>
      </c>
      <c r="G583" s="190">
        <f ca="1">IF(F583=0, 0, IF(AND(F582=1, C583&lt;&gt;8, OR(C583=C582+1, AND(C582=23, C583=0))), G582, MAX($G$1:G582)+1))</f>
        <v>0</v>
      </c>
      <c r="H583" s="194">
        <f t="shared" si="51"/>
        <v>25</v>
      </c>
    </row>
    <row r="584" spans="1:8">
      <c r="A584" s="190">
        <f t="shared" si="47"/>
        <v>25</v>
      </c>
      <c r="B584" s="193">
        <f t="shared" si="48"/>
        <v>16</v>
      </c>
      <c r="C584" s="190" cm="1">
        <f t="array" aca="1" ref="C584" ca="1">VALUE(LEFT(TRIM(INDIRECT("'" &amp; INT((ROW()-2)/24)+1 &amp; "號'!B" &amp; MOD(ROW()-2,24)+10)), 2))</f>
        <v>14</v>
      </c>
      <c r="D584" s="190">
        <f t="shared" ca="1" si="49"/>
        <v>7</v>
      </c>
      <c r="E584" s="190" t="str" cm="1">
        <f t="array" aca="1" ref="E584" ca="1">INDIRECT("'" &amp; A584 &amp; "號'!" &amp; ADDRESS(B584, D584))</f>
        <v/>
      </c>
      <c r="F584" s="190">
        <f t="shared" ca="1" si="50"/>
        <v>0</v>
      </c>
      <c r="G584" s="190">
        <f ca="1">IF(F584=0, 0, IF(AND(F583=1, C584&lt;&gt;8, OR(C584=C583+1, AND(C583=23, C584=0))), G583, MAX($G$1:G583)+1))</f>
        <v>0</v>
      </c>
      <c r="H584" s="194">
        <f t="shared" si="51"/>
        <v>25</v>
      </c>
    </row>
    <row r="585" spans="1:8">
      <c r="A585" s="190">
        <f t="shared" si="47"/>
        <v>25</v>
      </c>
      <c r="B585" s="193">
        <f t="shared" si="48"/>
        <v>17</v>
      </c>
      <c r="C585" s="190" cm="1">
        <f t="array" aca="1" ref="C585" ca="1">VALUE(LEFT(TRIM(INDIRECT("'" &amp; INT((ROW()-2)/24)+1 &amp; "號'!B" &amp; MOD(ROW()-2,24)+10)), 2))</f>
        <v>15</v>
      </c>
      <c r="D585" s="190">
        <f t="shared" ca="1" si="49"/>
        <v>7</v>
      </c>
      <c r="E585" s="190" t="str" cm="1">
        <f t="array" aca="1" ref="E585" ca="1">INDIRECT("'" &amp; A585 &amp; "號'!" &amp; ADDRESS(B585, D585))</f>
        <v/>
      </c>
      <c r="F585" s="190">
        <f t="shared" ca="1" si="50"/>
        <v>0</v>
      </c>
      <c r="G585" s="190">
        <f ca="1">IF(F585=0, 0, IF(AND(F584=1, C585&lt;&gt;8, OR(C585=C584+1, AND(C584=23, C585=0))), G584, MAX($G$1:G584)+1))</f>
        <v>0</v>
      </c>
      <c r="H585" s="194">
        <f t="shared" si="51"/>
        <v>25</v>
      </c>
    </row>
    <row r="586" spans="1:8">
      <c r="A586" s="190">
        <f t="shared" si="47"/>
        <v>25</v>
      </c>
      <c r="B586" s="193">
        <f t="shared" si="48"/>
        <v>18</v>
      </c>
      <c r="C586" s="190" cm="1">
        <f t="array" aca="1" ref="C586" ca="1">VALUE(LEFT(TRIM(INDIRECT("'" &amp; INT((ROW()-2)/24)+1 &amp; "號'!B" &amp; MOD(ROW()-2,24)+10)), 2))</f>
        <v>16</v>
      </c>
      <c r="D586" s="190">
        <f t="shared" ca="1" si="49"/>
        <v>7</v>
      </c>
      <c r="E586" s="190" t="str" cm="1">
        <f t="array" aca="1" ref="E586" ca="1">INDIRECT("'" &amp; A586 &amp; "號'!" &amp; ADDRESS(B586, D586))</f>
        <v/>
      </c>
      <c r="F586" s="190">
        <f t="shared" ca="1" si="50"/>
        <v>0</v>
      </c>
      <c r="G586" s="190">
        <f ca="1">IF(F586=0, 0, IF(AND(F585=1, C586&lt;&gt;8, OR(C586=C585+1, AND(C585=23, C586=0))), G585, MAX($G$1:G585)+1))</f>
        <v>0</v>
      </c>
      <c r="H586" s="194">
        <f t="shared" si="51"/>
        <v>25</v>
      </c>
    </row>
    <row r="587" spans="1:8">
      <c r="A587" s="190">
        <f t="shared" si="47"/>
        <v>25</v>
      </c>
      <c r="B587" s="193">
        <f t="shared" si="48"/>
        <v>19</v>
      </c>
      <c r="C587" s="190" cm="1">
        <f t="array" aca="1" ref="C587" ca="1">VALUE(LEFT(TRIM(INDIRECT("'" &amp; INT((ROW()-2)/24)+1 &amp; "號'!B" &amp; MOD(ROW()-2,24)+10)), 2))</f>
        <v>17</v>
      </c>
      <c r="D587" s="190">
        <f t="shared" ca="1" si="49"/>
        <v>7</v>
      </c>
      <c r="E587" s="190" t="str" cm="1">
        <f t="array" aca="1" ref="E587" ca="1">INDIRECT("'" &amp; A587 &amp; "號'!" &amp; ADDRESS(B587, D587))</f>
        <v/>
      </c>
      <c r="F587" s="190">
        <f t="shared" ca="1" si="50"/>
        <v>0</v>
      </c>
      <c r="G587" s="190">
        <f ca="1">IF(F587=0, 0, IF(AND(F586=1, C587&lt;&gt;8, OR(C587=C586+1, AND(C586=23, C587=0))), G586, MAX($G$1:G586)+1))</f>
        <v>0</v>
      </c>
      <c r="H587" s="194">
        <f t="shared" si="51"/>
        <v>25</v>
      </c>
    </row>
    <row r="588" spans="1:8">
      <c r="A588" s="190">
        <f t="shared" si="47"/>
        <v>25</v>
      </c>
      <c r="B588" s="193">
        <f t="shared" si="48"/>
        <v>20</v>
      </c>
      <c r="C588" s="190" cm="1">
        <f t="array" aca="1" ref="C588" ca="1">VALUE(LEFT(TRIM(INDIRECT("'" &amp; INT((ROW()-2)/24)+1 &amp; "號'!B" &amp; MOD(ROW()-2,24)+10)), 2))</f>
        <v>18</v>
      </c>
      <c r="D588" s="190">
        <f t="shared" ca="1" si="49"/>
        <v>7</v>
      </c>
      <c r="E588" s="190" t="str" cm="1">
        <f t="array" aca="1" ref="E588" ca="1">INDIRECT("'" &amp; A588 &amp; "號'!" &amp; ADDRESS(B588, D588))</f>
        <v/>
      </c>
      <c r="F588" s="190">
        <f t="shared" ca="1" si="50"/>
        <v>0</v>
      </c>
      <c r="G588" s="190">
        <f ca="1">IF(F588=0, 0, IF(AND(F587=1, C588&lt;&gt;8, OR(C588=C587+1, AND(C587=23, C588=0))), G587, MAX($G$1:G587)+1))</f>
        <v>0</v>
      </c>
      <c r="H588" s="194">
        <f t="shared" si="51"/>
        <v>25</v>
      </c>
    </row>
    <row r="589" spans="1:8">
      <c r="A589" s="190">
        <f t="shared" si="47"/>
        <v>25</v>
      </c>
      <c r="B589" s="193">
        <f t="shared" si="48"/>
        <v>21</v>
      </c>
      <c r="C589" s="190" cm="1">
        <f t="array" aca="1" ref="C589" ca="1">VALUE(LEFT(TRIM(INDIRECT("'" &amp; INT((ROW()-2)/24)+1 &amp; "號'!B" &amp; MOD(ROW()-2,24)+10)), 2))</f>
        <v>19</v>
      </c>
      <c r="D589" s="190">
        <f t="shared" ca="1" si="49"/>
        <v>7</v>
      </c>
      <c r="E589" s="190" t="str" cm="1">
        <f t="array" aca="1" ref="E589" ca="1">INDIRECT("'" &amp; A589 &amp; "號'!" &amp; ADDRESS(B589, D589))</f>
        <v/>
      </c>
      <c r="F589" s="190">
        <f t="shared" ca="1" si="50"/>
        <v>0</v>
      </c>
      <c r="G589" s="190">
        <f ca="1">IF(F589=0, 0, IF(AND(F588=1, C589&lt;&gt;8, OR(C589=C588+1, AND(C588=23, C589=0))), G588, MAX($G$1:G588)+1))</f>
        <v>0</v>
      </c>
      <c r="H589" s="194">
        <f t="shared" si="51"/>
        <v>25</v>
      </c>
    </row>
    <row r="590" spans="1:8">
      <c r="A590" s="190">
        <f t="shared" si="47"/>
        <v>25</v>
      </c>
      <c r="B590" s="193">
        <f t="shared" si="48"/>
        <v>22</v>
      </c>
      <c r="C590" s="190" cm="1">
        <f t="array" aca="1" ref="C590" ca="1">VALUE(LEFT(TRIM(INDIRECT("'" &amp; INT((ROW()-2)/24)+1 &amp; "號'!B" &amp; MOD(ROW()-2,24)+10)), 2))</f>
        <v>20</v>
      </c>
      <c r="D590" s="190">
        <f t="shared" ca="1" si="49"/>
        <v>7</v>
      </c>
      <c r="E590" s="190" t="str" cm="1">
        <f t="array" aca="1" ref="E590" ca="1">INDIRECT("'" &amp; A590 &amp; "號'!" &amp; ADDRESS(B590, D590))</f>
        <v/>
      </c>
      <c r="F590" s="190">
        <f t="shared" ca="1" si="50"/>
        <v>0</v>
      </c>
      <c r="G590" s="190">
        <f ca="1">IF(F590=0, 0, IF(AND(F589=1, C590&lt;&gt;8, OR(C590=C589+1, AND(C589=23, C590=0))), G589, MAX($G$1:G589)+1))</f>
        <v>0</v>
      </c>
      <c r="H590" s="194">
        <f t="shared" si="51"/>
        <v>25</v>
      </c>
    </row>
    <row r="591" spans="1:8">
      <c r="A591" s="190">
        <f t="shared" si="47"/>
        <v>25</v>
      </c>
      <c r="B591" s="193">
        <f t="shared" si="48"/>
        <v>23</v>
      </c>
      <c r="C591" s="190" cm="1">
        <f t="array" aca="1" ref="C591" ca="1">VALUE(LEFT(TRIM(INDIRECT("'" &amp; INT((ROW()-2)/24)+1 &amp; "號'!B" &amp; MOD(ROW()-2,24)+10)), 2))</f>
        <v>21</v>
      </c>
      <c r="D591" s="190">
        <f t="shared" ca="1" si="49"/>
        <v>7</v>
      </c>
      <c r="E591" s="190" t="str" cm="1">
        <f t="array" aca="1" ref="E591" ca="1">INDIRECT("'" &amp; A591 &amp; "號'!" &amp; ADDRESS(B591, D591))</f>
        <v/>
      </c>
      <c r="F591" s="190">
        <f t="shared" ca="1" si="50"/>
        <v>0</v>
      </c>
      <c r="G591" s="190">
        <f ca="1">IF(F591=0, 0, IF(AND(F590=1, C591&lt;&gt;8, OR(C591=C590+1, AND(C590=23, C591=0))), G590, MAX($G$1:G590)+1))</f>
        <v>0</v>
      </c>
      <c r="H591" s="194">
        <f t="shared" si="51"/>
        <v>25</v>
      </c>
    </row>
    <row r="592" spans="1:8">
      <c r="A592" s="190">
        <f t="shared" si="47"/>
        <v>25</v>
      </c>
      <c r="B592" s="193">
        <f t="shared" si="48"/>
        <v>24</v>
      </c>
      <c r="C592" s="190" cm="1">
        <f t="array" aca="1" ref="C592" ca="1">VALUE(LEFT(TRIM(INDIRECT("'" &amp; INT((ROW()-2)/24)+1 &amp; "號'!B" &amp; MOD(ROW()-2,24)+10)), 2))</f>
        <v>22</v>
      </c>
      <c r="D592" s="190">
        <f t="shared" ca="1" si="49"/>
        <v>7</v>
      </c>
      <c r="E592" s="190" t="str" cm="1">
        <f t="array" aca="1" ref="E592" ca="1">INDIRECT("'" &amp; A592 &amp; "號'!" &amp; ADDRESS(B592, D592))</f>
        <v/>
      </c>
      <c r="F592" s="190">
        <f t="shared" ca="1" si="50"/>
        <v>0</v>
      </c>
      <c r="G592" s="190">
        <f ca="1">IF(F592=0, 0, IF(AND(F591=1, C592&lt;&gt;8, OR(C592=C591+1, AND(C591=23, C592=0))), G591, MAX($G$1:G591)+1))</f>
        <v>0</v>
      </c>
      <c r="H592" s="194">
        <f t="shared" si="51"/>
        <v>25</v>
      </c>
    </row>
    <row r="593" spans="1:8">
      <c r="A593" s="190">
        <f t="shared" si="47"/>
        <v>25</v>
      </c>
      <c r="B593" s="193">
        <f t="shared" si="48"/>
        <v>25</v>
      </c>
      <c r="C593" s="190" cm="1">
        <f t="array" aca="1" ref="C593" ca="1">VALUE(LEFT(TRIM(INDIRECT("'" &amp; INT((ROW()-2)/24)+1 &amp; "號'!B" &amp; MOD(ROW()-2,24)+10)), 2))</f>
        <v>23</v>
      </c>
      <c r="D593" s="190">
        <f t="shared" ca="1" si="49"/>
        <v>7</v>
      </c>
      <c r="E593" s="190" t="str" cm="1">
        <f t="array" aca="1" ref="E593" ca="1">INDIRECT("'" &amp; A593 &amp; "號'!" &amp; ADDRESS(B593, D593))</f>
        <v/>
      </c>
      <c r="F593" s="190">
        <f t="shared" ca="1" si="50"/>
        <v>0</v>
      </c>
      <c r="G593" s="190">
        <f ca="1">IF(F593=0, 0, IF(AND(F592=1, C593&lt;&gt;8, OR(C593=C592+1, AND(C592=23, C593=0))), G592, MAX($G$1:G592)+1))</f>
        <v>0</v>
      </c>
      <c r="H593" s="194">
        <f t="shared" si="51"/>
        <v>25</v>
      </c>
    </row>
    <row r="594" spans="1:8">
      <c r="A594" s="190">
        <f t="shared" si="47"/>
        <v>25</v>
      </c>
      <c r="B594" s="193">
        <f t="shared" si="48"/>
        <v>26</v>
      </c>
      <c r="C594" s="190" cm="1">
        <f t="array" aca="1" ref="C594" ca="1">VALUE(LEFT(TRIM(INDIRECT("'" &amp; INT((ROW()-2)/24)+1 &amp; "號'!B" &amp; MOD(ROW()-2,24)+10)), 2))</f>
        <v>0</v>
      </c>
      <c r="D594" s="190">
        <f t="shared" ca="1" si="49"/>
        <v>7</v>
      </c>
      <c r="E594" s="190" t="str" cm="1">
        <f t="array" aca="1" ref="E594" ca="1">INDIRECT("'" &amp; A594 &amp; "號'!" &amp; ADDRESS(B594, D594))</f>
        <v/>
      </c>
      <c r="F594" s="190">
        <f t="shared" ca="1" si="50"/>
        <v>0</v>
      </c>
      <c r="G594" s="190">
        <f ca="1">IF(F594=0, 0, IF(AND(F593=1, C594&lt;&gt;8, OR(C594=C593+1, AND(C593=23, C594=0))), G593, MAX($G$1:G593)+1))</f>
        <v>0</v>
      </c>
      <c r="H594" s="194">
        <f t="shared" si="51"/>
        <v>25</v>
      </c>
    </row>
    <row r="595" spans="1:8">
      <c r="A595" s="190">
        <f t="shared" si="47"/>
        <v>25</v>
      </c>
      <c r="B595" s="193">
        <f t="shared" si="48"/>
        <v>27</v>
      </c>
      <c r="C595" s="190" cm="1">
        <f t="array" aca="1" ref="C595" ca="1">VALUE(LEFT(TRIM(INDIRECT("'" &amp; INT((ROW()-2)/24)+1 &amp; "號'!B" &amp; MOD(ROW()-2,24)+10)), 2))</f>
        <v>1</v>
      </c>
      <c r="D595" s="190">
        <f t="shared" ca="1" si="49"/>
        <v>7</v>
      </c>
      <c r="E595" s="190" t="str" cm="1">
        <f t="array" aca="1" ref="E595" ca="1">INDIRECT("'" &amp; A595 &amp; "號'!" &amp; ADDRESS(B595, D595))</f>
        <v/>
      </c>
      <c r="F595" s="190">
        <f t="shared" ca="1" si="50"/>
        <v>0</v>
      </c>
      <c r="G595" s="190">
        <f ca="1">IF(F595=0, 0, IF(AND(F594=1, C595&lt;&gt;8, OR(C595=C594+1, AND(C594=23, C595=0))), G594, MAX($G$1:G594)+1))</f>
        <v>0</v>
      </c>
      <c r="H595" s="194">
        <f t="shared" si="51"/>
        <v>25</v>
      </c>
    </row>
    <row r="596" spans="1:8">
      <c r="A596" s="190">
        <f t="shared" si="47"/>
        <v>25</v>
      </c>
      <c r="B596" s="193">
        <f t="shared" si="48"/>
        <v>28</v>
      </c>
      <c r="C596" s="190" cm="1">
        <f t="array" aca="1" ref="C596" ca="1">VALUE(LEFT(TRIM(INDIRECT("'" &amp; INT((ROW()-2)/24)+1 &amp; "號'!B" &amp; MOD(ROW()-2,24)+10)), 2))</f>
        <v>2</v>
      </c>
      <c r="D596" s="190">
        <f t="shared" ca="1" si="49"/>
        <v>7</v>
      </c>
      <c r="E596" s="190" t="str" cm="1">
        <f t="array" aca="1" ref="E596" ca="1">INDIRECT("'" &amp; A596 &amp; "號'!" &amp; ADDRESS(B596, D596))</f>
        <v/>
      </c>
      <c r="F596" s="190">
        <f t="shared" ca="1" si="50"/>
        <v>0</v>
      </c>
      <c r="G596" s="190">
        <f ca="1">IF(F596=0, 0, IF(AND(F595=1, C596&lt;&gt;8, OR(C596=C595+1, AND(C595=23, C596=0))), G595, MAX($G$1:G595)+1))</f>
        <v>0</v>
      </c>
      <c r="H596" s="194">
        <f t="shared" si="51"/>
        <v>25</v>
      </c>
    </row>
    <row r="597" spans="1:8">
      <c r="A597" s="190">
        <f t="shared" si="47"/>
        <v>25</v>
      </c>
      <c r="B597" s="193">
        <f t="shared" si="48"/>
        <v>29</v>
      </c>
      <c r="C597" s="190" cm="1">
        <f t="array" aca="1" ref="C597" ca="1">VALUE(LEFT(TRIM(INDIRECT("'" &amp; INT((ROW()-2)/24)+1 &amp; "號'!B" &amp; MOD(ROW()-2,24)+10)), 2))</f>
        <v>3</v>
      </c>
      <c r="D597" s="190">
        <f t="shared" ca="1" si="49"/>
        <v>7</v>
      </c>
      <c r="E597" s="190" t="str" cm="1">
        <f t="array" aca="1" ref="E597" ca="1">INDIRECT("'" &amp; A597 &amp; "號'!" &amp; ADDRESS(B597, D597))</f>
        <v/>
      </c>
      <c r="F597" s="190">
        <f t="shared" ca="1" si="50"/>
        <v>0</v>
      </c>
      <c r="G597" s="190">
        <f ca="1">IF(F597=0, 0, IF(AND(F596=1, C597&lt;&gt;8, OR(C597=C596+1, AND(C596=23, C597=0))), G596, MAX($G$1:G596)+1))</f>
        <v>0</v>
      </c>
      <c r="H597" s="194">
        <f t="shared" si="51"/>
        <v>25</v>
      </c>
    </row>
    <row r="598" spans="1:8">
      <c r="A598" s="190">
        <f t="shared" si="47"/>
        <v>25</v>
      </c>
      <c r="B598" s="193">
        <f t="shared" si="48"/>
        <v>30</v>
      </c>
      <c r="C598" s="190" cm="1">
        <f t="array" aca="1" ref="C598" ca="1">VALUE(LEFT(TRIM(INDIRECT("'" &amp; INT((ROW()-2)/24)+1 &amp; "號'!B" &amp; MOD(ROW()-2,24)+10)), 2))</f>
        <v>4</v>
      </c>
      <c r="D598" s="190">
        <f t="shared" ca="1" si="49"/>
        <v>7</v>
      </c>
      <c r="E598" s="190" t="str" cm="1">
        <f t="array" aca="1" ref="E598" ca="1">INDIRECT("'" &amp; A598 &amp; "號'!" &amp; ADDRESS(B598, D598))</f>
        <v/>
      </c>
      <c r="F598" s="190">
        <f t="shared" ca="1" si="50"/>
        <v>0</v>
      </c>
      <c r="G598" s="190">
        <f ca="1">IF(F598=0, 0, IF(AND(F597=1, C598&lt;&gt;8, OR(C598=C597+1, AND(C597=23, C598=0))), G597, MAX($G$1:G597)+1))</f>
        <v>0</v>
      </c>
      <c r="H598" s="194">
        <f t="shared" si="51"/>
        <v>25</v>
      </c>
    </row>
    <row r="599" spans="1:8">
      <c r="A599" s="190">
        <f t="shared" si="47"/>
        <v>25</v>
      </c>
      <c r="B599" s="193">
        <f t="shared" si="48"/>
        <v>31</v>
      </c>
      <c r="C599" s="190" cm="1">
        <f t="array" aca="1" ref="C599" ca="1">VALUE(LEFT(TRIM(INDIRECT("'" &amp; INT((ROW()-2)/24)+1 &amp; "號'!B" &amp; MOD(ROW()-2,24)+10)), 2))</f>
        <v>5</v>
      </c>
      <c r="D599" s="190">
        <f t="shared" ca="1" si="49"/>
        <v>7</v>
      </c>
      <c r="E599" s="190" t="str" cm="1">
        <f t="array" aca="1" ref="E599" ca="1">INDIRECT("'" &amp; A599 &amp; "號'!" &amp; ADDRESS(B599, D599))</f>
        <v/>
      </c>
      <c r="F599" s="190">
        <f t="shared" ca="1" si="50"/>
        <v>0</v>
      </c>
      <c r="G599" s="190">
        <f ca="1">IF(F599=0, 0, IF(AND(F598=1, C599&lt;&gt;8, OR(C599=C598+1, AND(C598=23, C599=0))), G598, MAX($G$1:G598)+1))</f>
        <v>0</v>
      </c>
      <c r="H599" s="194">
        <f t="shared" si="51"/>
        <v>25</v>
      </c>
    </row>
    <row r="600" spans="1:8">
      <c r="A600" s="190">
        <f t="shared" si="47"/>
        <v>25</v>
      </c>
      <c r="B600" s="193">
        <f t="shared" si="48"/>
        <v>32</v>
      </c>
      <c r="C600" s="190" cm="1">
        <f t="array" aca="1" ref="C600" ca="1">VALUE(LEFT(TRIM(INDIRECT("'" &amp; INT((ROW()-2)/24)+1 &amp; "號'!B" &amp; MOD(ROW()-2,24)+10)), 2))</f>
        <v>6</v>
      </c>
      <c r="D600" s="190">
        <f t="shared" ca="1" si="49"/>
        <v>7</v>
      </c>
      <c r="E600" s="190" t="str" cm="1">
        <f t="array" aca="1" ref="E600" ca="1">INDIRECT("'" &amp; A600 &amp; "號'!" &amp; ADDRESS(B600, D600))</f>
        <v/>
      </c>
      <c r="F600" s="190">
        <f t="shared" ca="1" si="50"/>
        <v>0</v>
      </c>
      <c r="G600" s="190">
        <f ca="1">IF(F600=0, 0, IF(AND(F599=1, C600&lt;&gt;8, OR(C600=C599+1, AND(C599=23, C600=0))), G599, MAX($G$1:G599)+1))</f>
        <v>0</v>
      </c>
      <c r="H600" s="194">
        <f t="shared" si="51"/>
        <v>25</v>
      </c>
    </row>
    <row r="601" spans="1:8">
      <c r="A601" s="190">
        <f t="shared" si="47"/>
        <v>25</v>
      </c>
      <c r="B601" s="193">
        <f t="shared" si="48"/>
        <v>33</v>
      </c>
      <c r="C601" s="190" cm="1">
        <f t="array" aca="1" ref="C601" ca="1">VALUE(LEFT(TRIM(INDIRECT("'" &amp; INT((ROW()-2)/24)+1 &amp; "號'!B" &amp; MOD(ROW()-2,24)+10)), 2))</f>
        <v>7</v>
      </c>
      <c r="D601" s="190">
        <f t="shared" ca="1" si="49"/>
        <v>7</v>
      </c>
      <c r="E601" s="190" t="str" cm="1">
        <f t="array" aca="1" ref="E601" ca="1">INDIRECT("'" &amp; A601 &amp; "號'!" &amp; ADDRESS(B601, D601))</f>
        <v/>
      </c>
      <c r="F601" s="190">
        <f t="shared" ca="1" si="50"/>
        <v>0</v>
      </c>
      <c r="G601" s="190">
        <f ca="1">IF(F601=0, 0, IF(AND(F600=1, C601&lt;&gt;8, OR(C601=C600+1, AND(C600=23, C601=0))), G600, MAX($G$1:G600)+1))</f>
        <v>0</v>
      </c>
      <c r="H601" s="194">
        <f t="shared" si="51"/>
        <v>25</v>
      </c>
    </row>
    <row r="602" spans="1:8">
      <c r="A602" s="190">
        <f t="shared" si="47"/>
        <v>26</v>
      </c>
      <c r="B602" s="193">
        <f t="shared" si="48"/>
        <v>10</v>
      </c>
      <c r="C602" s="190" cm="1">
        <f t="array" aca="1" ref="C602" ca="1">VALUE(LEFT(TRIM(INDIRECT("'" &amp; INT((ROW()-2)/24)+1 &amp; "號'!B" &amp; MOD(ROW()-2,24)+10)), 2))</f>
        <v>8</v>
      </c>
      <c r="D602" s="190">
        <f t="shared" ca="1" si="49"/>
        <v>7</v>
      </c>
      <c r="E602" s="190" t="str" cm="1">
        <f t="array" aca="1" ref="E602" ca="1">INDIRECT("'" &amp; A602 &amp; "號'!" &amp; ADDRESS(B602, D602))</f>
        <v>2</v>
      </c>
      <c r="F602" s="190">
        <f t="shared" ca="1" si="50"/>
        <v>0</v>
      </c>
      <c r="G602" s="190">
        <f ca="1">IF(F602=0, 0, IF(AND(F601=1, C602&lt;&gt;8, OR(C602=C601+1, AND(C601=23, C602=0))), G601, MAX($G$1:G601)+1))</f>
        <v>0</v>
      </c>
      <c r="H602" s="194">
        <f t="shared" si="51"/>
        <v>26</v>
      </c>
    </row>
    <row r="603" spans="1:8">
      <c r="A603" s="190">
        <f t="shared" si="47"/>
        <v>26</v>
      </c>
      <c r="B603" s="193">
        <f t="shared" si="48"/>
        <v>11</v>
      </c>
      <c r="C603" s="190" cm="1">
        <f t="array" aca="1" ref="C603" ca="1">VALUE(LEFT(TRIM(INDIRECT("'" &amp; INT((ROW()-2)/24)+1 &amp; "號'!B" &amp; MOD(ROW()-2,24)+10)), 2))</f>
        <v>9</v>
      </c>
      <c r="D603" s="190">
        <f t="shared" ca="1" si="49"/>
        <v>7</v>
      </c>
      <c r="E603" s="190" t="str" cm="1">
        <f t="array" aca="1" ref="E603" ca="1">INDIRECT("'" &amp; A603 &amp; "號'!" &amp; ADDRESS(B603, D603))</f>
        <v>2</v>
      </c>
      <c r="F603" s="190">
        <f t="shared" ca="1" si="50"/>
        <v>0</v>
      </c>
      <c r="G603" s="190">
        <f ca="1">IF(F603=0, 0, IF(AND(F602=1, C603&lt;&gt;8, OR(C603=C602+1, AND(C602=23, C603=0))), G602, MAX($G$1:G602)+1))</f>
        <v>0</v>
      </c>
      <c r="H603" s="194">
        <f t="shared" si="51"/>
        <v>26</v>
      </c>
    </row>
    <row r="604" spans="1:8">
      <c r="A604" s="190">
        <f t="shared" si="47"/>
        <v>26</v>
      </c>
      <c r="B604" s="193">
        <f t="shared" si="48"/>
        <v>12</v>
      </c>
      <c r="C604" s="190" cm="1">
        <f t="array" aca="1" ref="C604" ca="1">VALUE(LEFT(TRIM(INDIRECT("'" &amp; INT((ROW()-2)/24)+1 &amp; "號'!B" &amp; MOD(ROW()-2,24)+10)), 2))</f>
        <v>10</v>
      </c>
      <c r="D604" s="190">
        <f t="shared" ca="1" si="49"/>
        <v>7</v>
      </c>
      <c r="E604" s="190" t="str" cm="1">
        <f t="array" aca="1" ref="E604" ca="1">INDIRECT("'" &amp; A604 &amp; "號'!" &amp; ADDRESS(B604, D604))</f>
        <v/>
      </c>
      <c r="F604" s="190">
        <f t="shared" ca="1" si="50"/>
        <v>0</v>
      </c>
      <c r="G604" s="190">
        <f ca="1">IF(F604=0, 0, IF(AND(F603=1, C604&lt;&gt;8, OR(C604=C603+1, AND(C603=23, C604=0))), G603, MAX($G$1:G603)+1))</f>
        <v>0</v>
      </c>
      <c r="H604" s="194">
        <f t="shared" si="51"/>
        <v>26</v>
      </c>
    </row>
    <row r="605" spans="1:8">
      <c r="A605" s="190">
        <f t="shared" si="47"/>
        <v>26</v>
      </c>
      <c r="B605" s="193">
        <f t="shared" si="48"/>
        <v>13</v>
      </c>
      <c r="C605" s="190" cm="1">
        <f t="array" aca="1" ref="C605" ca="1">VALUE(LEFT(TRIM(INDIRECT("'" &amp; INT((ROW()-2)/24)+1 &amp; "號'!B" &amp; MOD(ROW()-2,24)+10)), 2))</f>
        <v>11</v>
      </c>
      <c r="D605" s="190">
        <f t="shared" ca="1" si="49"/>
        <v>7</v>
      </c>
      <c r="E605" s="190" t="str" cm="1">
        <f t="array" aca="1" ref="E605" ca="1">INDIRECT("'" &amp; A605 &amp; "號'!" &amp; ADDRESS(B605, D605))</f>
        <v/>
      </c>
      <c r="F605" s="190">
        <f t="shared" ca="1" si="50"/>
        <v>0</v>
      </c>
      <c r="G605" s="190">
        <f ca="1">IF(F605=0, 0, IF(AND(F604=1, C605&lt;&gt;8, OR(C605=C604+1, AND(C604=23, C605=0))), G604, MAX($G$1:G604)+1))</f>
        <v>0</v>
      </c>
      <c r="H605" s="194">
        <f t="shared" si="51"/>
        <v>26</v>
      </c>
    </row>
    <row r="606" spans="1:8">
      <c r="A606" s="190">
        <f t="shared" si="47"/>
        <v>26</v>
      </c>
      <c r="B606" s="193">
        <f t="shared" si="48"/>
        <v>14</v>
      </c>
      <c r="C606" s="190" cm="1">
        <f t="array" aca="1" ref="C606" ca="1">VALUE(LEFT(TRIM(INDIRECT("'" &amp; INT((ROW()-2)/24)+1 &amp; "號'!B" &amp; MOD(ROW()-2,24)+10)), 2))</f>
        <v>12</v>
      </c>
      <c r="D606" s="190">
        <f t="shared" ca="1" si="49"/>
        <v>7</v>
      </c>
      <c r="E606" s="190" t="str" cm="1">
        <f t="array" aca="1" ref="E606" ca="1">INDIRECT("'" &amp; A606 &amp; "號'!" &amp; ADDRESS(B606, D606))</f>
        <v/>
      </c>
      <c r="F606" s="190">
        <f t="shared" ca="1" si="50"/>
        <v>0</v>
      </c>
      <c r="G606" s="190">
        <f ca="1">IF(F606=0, 0, IF(AND(F605=1, C606&lt;&gt;8, OR(C606=C605+1, AND(C605=23, C606=0))), G605, MAX($G$1:G605)+1))</f>
        <v>0</v>
      </c>
      <c r="H606" s="194">
        <f t="shared" si="51"/>
        <v>26</v>
      </c>
    </row>
    <row r="607" spans="1:8">
      <c r="A607" s="190">
        <f t="shared" si="47"/>
        <v>26</v>
      </c>
      <c r="B607" s="193">
        <f t="shared" si="48"/>
        <v>15</v>
      </c>
      <c r="C607" s="190" cm="1">
        <f t="array" aca="1" ref="C607" ca="1">VALUE(LEFT(TRIM(INDIRECT("'" &amp; INT((ROW()-2)/24)+1 &amp; "號'!B" &amp; MOD(ROW()-2,24)+10)), 2))</f>
        <v>13</v>
      </c>
      <c r="D607" s="190">
        <f t="shared" ca="1" si="49"/>
        <v>7</v>
      </c>
      <c r="E607" s="190" t="str" cm="1">
        <f t="array" aca="1" ref="E607" ca="1">INDIRECT("'" &amp; A607 &amp; "號'!" &amp; ADDRESS(B607, D607))</f>
        <v/>
      </c>
      <c r="F607" s="190">
        <f t="shared" ca="1" si="50"/>
        <v>0</v>
      </c>
      <c r="G607" s="190">
        <f ca="1">IF(F607=0, 0, IF(AND(F606=1, C607&lt;&gt;8, OR(C607=C606+1, AND(C606=23, C607=0))), G606, MAX($G$1:G606)+1))</f>
        <v>0</v>
      </c>
      <c r="H607" s="194">
        <f t="shared" si="51"/>
        <v>26</v>
      </c>
    </row>
    <row r="608" spans="1:8">
      <c r="A608" s="190">
        <f t="shared" si="47"/>
        <v>26</v>
      </c>
      <c r="B608" s="193">
        <f t="shared" si="48"/>
        <v>16</v>
      </c>
      <c r="C608" s="190" cm="1">
        <f t="array" aca="1" ref="C608" ca="1">VALUE(LEFT(TRIM(INDIRECT("'" &amp; INT((ROW()-2)/24)+1 &amp; "號'!B" &amp; MOD(ROW()-2,24)+10)), 2))</f>
        <v>14</v>
      </c>
      <c r="D608" s="190">
        <f t="shared" ca="1" si="49"/>
        <v>7</v>
      </c>
      <c r="E608" s="190" t="str" cm="1">
        <f t="array" aca="1" ref="E608" ca="1">INDIRECT("'" &amp; A608 &amp; "號'!" &amp; ADDRESS(B608, D608))</f>
        <v/>
      </c>
      <c r="F608" s="190">
        <f t="shared" ca="1" si="50"/>
        <v>0</v>
      </c>
      <c r="G608" s="190">
        <f ca="1">IF(F608=0, 0, IF(AND(F607=1, C608&lt;&gt;8, OR(C608=C607+1, AND(C607=23, C608=0))), G607, MAX($G$1:G607)+1))</f>
        <v>0</v>
      </c>
      <c r="H608" s="194">
        <f t="shared" si="51"/>
        <v>26</v>
      </c>
    </row>
    <row r="609" spans="1:8">
      <c r="A609" s="190">
        <f t="shared" si="47"/>
        <v>26</v>
      </c>
      <c r="B609" s="193">
        <f t="shared" si="48"/>
        <v>17</v>
      </c>
      <c r="C609" s="190" cm="1">
        <f t="array" aca="1" ref="C609" ca="1">VALUE(LEFT(TRIM(INDIRECT("'" &amp; INT((ROW()-2)/24)+1 &amp; "號'!B" &amp; MOD(ROW()-2,24)+10)), 2))</f>
        <v>15</v>
      </c>
      <c r="D609" s="190">
        <f t="shared" ca="1" si="49"/>
        <v>7</v>
      </c>
      <c r="E609" s="190" t="str" cm="1">
        <f t="array" aca="1" ref="E609" ca="1">INDIRECT("'" &amp; A609 &amp; "號'!" &amp; ADDRESS(B609, D609))</f>
        <v/>
      </c>
      <c r="F609" s="190">
        <f t="shared" ca="1" si="50"/>
        <v>0</v>
      </c>
      <c r="G609" s="190">
        <f ca="1">IF(F609=0, 0, IF(AND(F608=1, C609&lt;&gt;8, OR(C609=C608+1, AND(C608=23, C609=0))), G608, MAX($G$1:G608)+1))</f>
        <v>0</v>
      </c>
      <c r="H609" s="194">
        <f t="shared" si="51"/>
        <v>26</v>
      </c>
    </row>
    <row r="610" spans="1:8">
      <c r="A610" s="190">
        <f t="shared" si="47"/>
        <v>26</v>
      </c>
      <c r="B610" s="193">
        <f t="shared" si="48"/>
        <v>18</v>
      </c>
      <c r="C610" s="190" cm="1">
        <f t="array" aca="1" ref="C610" ca="1">VALUE(LEFT(TRIM(INDIRECT("'" &amp; INT((ROW()-2)/24)+1 &amp; "號'!B" &amp; MOD(ROW()-2,24)+10)), 2))</f>
        <v>16</v>
      </c>
      <c r="D610" s="190">
        <f t="shared" ca="1" si="49"/>
        <v>7</v>
      </c>
      <c r="E610" s="190" t="str" cm="1">
        <f t="array" aca="1" ref="E610" ca="1">INDIRECT("'" &amp; A610 &amp; "號'!" &amp; ADDRESS(B610, D610))</f>
        <v/>
      </c>
      <c r="F610" s="190">
        <f t="shared" ca="1" si="50"/>
        <v>0</v>
      </c>
      <c r="G610" s="190">
        <f ca="1">IF(F610=0, 0, IF(AND(F609=1, C610&lt;&gt;8, OR(C610=C609+1, AND(C609=23, C610=0))), G609, MAX($G$1:G609)+1))</f>
        <v>0</v>
      </c>
      <c r="H610" s="194">
        <f t="shared" si="51"/>
        <v>26</v>
      </c>
    </row>
    <row r="611" spans="1:8">
      <c r="A611" s="190">
        <f t="shared" si="47"/>
        <v>26</v>
      </c>
      <c r="B611" s="193">
        <f t="shared" si="48"/>
        <v>19</v>
      </c>
      <c r="C611" s="190" cm="1">
        <f t="array" aca="1" ref="C611" ca="1">VALUE(LEFT(TRIM(INDIRECT("'" &amp; INT((ROW()-2)/24)+1 &amp; "號'!B" &amp; MOD(ROW()-2,24)+10)), 2))</f>
        <v>17</v>
      </c>
      <c r="D611" s="190">
        <f t="shared" ca="1" si="49"/>
        <v>7</v>
      </c>
      <c r="E611" s="190" t="str" cm="1">
        <f t="array" aca="1" ref="E611" ca="1">INDIRECT("'" &amp; A611 &amp; "號'!" &amp; ADDRESS(B611, D611))</f>
        <v/>
      </c>
      <c r="F611" s="190">
        <f t="shared" ca="1" si="50"/>
        <v>0</v>
      </c>
      <c r="G611" s="190">
        <f ca="1">IF(F611=0, 0, IF(AND(F610=1, C611&lt;&gt;8, OR(C611=C610+1, AND(C610=23, C611=0))), G610, MAX($G$1:G610)+1))</f>
        <v>0</v>
      </c>
      <c r="H611" s="194">
        <f t="shared" si="51"/>
        <v>26</v>
      </c>
    </row>
    <row r="612" spans="1:8">
      <c r="A612" s="190">
        <f t="shared" si="47"/>
        <v>26</v>
      </c>
      <c r="B612" s="193">
        <f t="shared" si="48"/>
        <v>20</v>
      </c>
      <c r="C612" s="190" cm="1">
        <f t="array" aca="1" ref="C612" ca="1">VALUE(LEFT(TRIM(INDIRECT("'" &amp; INT((ROW()-2)/24)+1 &amp; "號'!B" &amp; MOD(ROW()-2,24)+10)), 2))</f>
        <v>18</v>
      </c>
      <c r="D612" s="190">
        <f t="shared" ca="1" si="49"/>
        <v>7</v>
      </c>
      <c r="E612" s="190" t="str" cm="1">
        <f t="array" aca="1" ref="E612" ca="1">INDIRECT("'" &amp; A612 &amp; "號'!" &amp; ADDRESS(B612, D612))</f>
        <v/>
      </c>
      <c r="F612" s="190">
        <f t="shared" ca="1" si="50"/>
        <v>0</v>
      </c>
      <c r="G612" s="190">
        <f ca="1">IF(F612=0, 0, IF(AND(F611=1, C612&lt;&gt;8, OR(C612=C611+1, AND(C611=23, C612=0))), G611, MAX($G$1:G611)+1))</f>
        <v>0</v>
      </c>
      <c r="H612" s="194">
        <f t="shared" si="51"/>
        <v>26</v>
      </c>
    </row>
    <row r="613" spans="1:8">
      <c r="A613" s="190">
        <f t="shared" si="47"/>
        <v>26</v>
      </c>
      <c r="B613" s="193">
        <f t="shared" si="48"/>
        <v>21</v>
      </c>
      <c r="C613" s="190" cm="1">
        <f t="array" aca="1" ref="C613" ca="1">VALUE(LEFT(TRIM(INDIRECT("'" &amp; INT((ROW()-2)/24)+1 &amp; "號'!B" &amp; MOD(ROW()-2,24)+10)), 2))</f>
        <v>19</v>
      </c>
      <c r="D613" s="190">
        <f t="shared" ca="1" si="49"/>
        <v>7</v>
      </c>
      <c r="E613" s="190" t="str" cm="1">
        <f t="array" aca="1" ref="E613" ca="1">INDIRECT("'" &amp; A613 &amp; "號'!" &amp; ADDRESS(B613, D613))</f>
        <v/>
      </c>
      <c r="F613" s="190">
        <f t="shared" ca="1" si="50"/>
        <v>0</v>
      </c>
      <c r="G613" s="190">
        <f ca="1">IF(F613=0, 0, IF(AND(F612=1, C613&lt;&gt;8, OR(C613=C612+1, AND(C612=23, C613=0))), G612, MAX($G$1:G612)+1))</f>
        <v>0</v>
      </c>
      <c r="H613" s="194">
        <f t="shared" si="51"/>
        <v>26</v>
      </c>
    </row>
    <row r="614" spans="1:8">
      <c r="A614" s="190">
        <f t="shared" si="47"/>
        <v>26</v>
      </c>
      <c r="B614" s="193">
        <f t="shared" si="48"/>
        <v>22</v>
      </c>
      <c r="C614" s="190" cm="1">
        <f t="array" aca="1" ref="C614" ca="1">VALUE(LEFT(TRIM(INDIRECT("'" &amp; INT((ROW()-2)/24)+1 &amp; "號'!B" &amp; MOD(ROW()-2,24)+10)), 2))</f>
        <v>20</v>
      </c>
      <c r="D614" s="190">
        <f t="shared" ca="1" si="49"/>
        <v>7</v>
      </c>
      <c r="E614" s="190" t="str" cm="1">
        <f t="array" aca="1" ref="E614" ca="1">INDIRECT("'" &amp; A614 &amp; "號'!" &amp; ADDRESS(B614, D614))</f>
        <v/>
      </c>
      <c r="F614" s="190">
        <f t="shared" ca="1" si="50"/>
        <v>0</v>
      </c>
      <c r="G614" s="190">
        <f ca="1">IF(F614=0, 0, IF(AND(F613=1, C614&lt;&gt;8, OR(C614=C613+1, AND(C613=23, C614=0))), G613, MAX($G$1:G613)+1))</f>
        <v>0</v>
      </c>
      <c r="H614" s="194">
        <f t="shared" si="51"/>
        <v>26</v>
      </c>
    </row>
    <row r="615" spans="1:8">
      <c r="A615" s="190">
        <f t="shared" si="47"/>
        <v>26</v>
      </c>
      <c r="B615" s="193">
        <f t="shared" si="48"/>
        <v>23</v>
      </c>
      <c r="C615" s="190" cm="1">
        <f t="array" aca="1" ref="C615" ca="1">VALUE(LEFT(TRIM(INDIRECT("'" &amp; INT((ROW()-2)/24)+1 &amp; "號'!B" &amp; MOD(ROW()-2,24)+10)), 2))</f>
        <v>21</v>
      </c>
      <c r="D615" s="190">
        <f t="shared" ca="1" si="49"/>
        <v>7</v>
      </c>
      <c r="E615" s="190" t="str" cm="1">
        <f t="array" aca="1" ref="E615" ca="1">INDIRECT("'" &amp; A615 &amp; "號'!" &amp; ADDRESS(B615, D615))</f>
        <v/>
      </c>
      <c r="F615" s="190">
        <f t="shared" ca="1" si="50"/>
        <v>0</v>
      </c>
      <c r="G615" s="190">
        <f ca="1">IF(F615=0, 0, IF(AND(F614=1, C615&lt;&gt;8, OR(C615=C614+1, AND(C614=23, C615=0))), G614, MAX($G$1:G614)+1))</f>
        <v>0</v>
      </c>
      <c r="H615" s="194">
        <f t="shared" si="51"/>
        <v>26</v>
      </c>
    </row>
    <row r="616" spans="1:8">
      <c r="A616" s="190">
        <f t="shared" si="47"/>
        <v>26</v>
      </c>
      <c r="B616" s="193">
        <f t="shared" si="48"/>
        <v>24</v>
      </c>
      <c r="C616" s="190" cm="1">
        <f t="array" aca="1" ref="C616" ca="1">VALUE(LEFT(TRIM(INDIRECT("'" &amp; INT((ROW()-2)/24)+1 &amp; "號'!B" &amp; MOD(ROW()-2,24)+10)), 2))</f>
        <v>22</v>
      </c>
      <c r="D616" s="190">
        <f t="shared" ca="1" si="49"/>
        <v>7</v>
      </c>
      <c r="E616" s="190" t="str" cm="1">
        <f t="array" aca="1" ref="E616" ca="1">INDIRECT("'" &amp; A616 &amp; "號'!" &amp; ADDRESS(B616, D616))</f>
        <v/>
      </c>
      <c r="F616" s="190">
        <f t="shared" ca="1" si="50"/>
        <v>0</v>
      </c>
      <c r="G616" s="190">
        <f ca="1">IF(F616=0, 0, IF(AND(F615=1, C616&lt;&gt;8, OR(C616=C615+1, AND(C615=23, C616=0))), G615, MAX($G$1:G615)+1))</f>
        <v>0</v>
      </c>
      <c r="H616" s="194">
        <f t="shared" si="51"/>
        <v>26</v>
      </c>
    </row>
    <row r="617" spans="1:8">
      <c r="A617" s="190">
        <f t="shared" si="47"/>
        <v>26</v>
      </c>
      <c r="B617" s="193">
        <f t="shared" si="48"/>
        <v>25</v>
      </c>
      <c r="C617" s="190" cm="1">
        <f t="array" aca="1" ref="C617" ca="1">VALUE(LEFT(TRIM(INDIRECT("'" &amp; INT((ROW()-2)/24)+1 &amp; "號'!B" &amp; MOD(ROW()-2,24)+10)), 2))</f>
        <v>23</v>
      </c>
      <c r="D617" s="190">
        <f t="shared" ca="1" si="49"/>
        <v>7</v>
      </c>
      <c r="E617" s="190" t="str" cm="1">
        <f t="array" aca="1" ref="E617" ca="1">INDIRECT("'" &amp; A617 &amp; "號'!" &amp; ADDRESS(B617, D617))</f>
        <v/>
      </c>
      <c r="F617" s="190">
        <f t="shared" ca="1" si="50"/>
        <v>0</v>
      </c>
      <c r="G617" s="190">
        <f ca="1">IF(F617=0, 0, IF(AND(F616=1, C617&lt;&gt;8, OR(C617=C616+1, AND(C616=23, C617=0))), G616, MAX($G$1:G616)+1))</f>
        <v>0</v>
      </c>
      <c r="H617" s="194">
        <f t="shared" si="51"/>
        <v>26</v>
      </c>
    </row>
    <row r="618" spans="1:8">
      <c r="A618" s="190">
        <f t="shared" si="47"/>
        <v>26</v>
      </c>
      <c r="B618" s="193">
        <f t="shared" si="48"/>
        <v>26</v>
      </c>
      <c r="C618" s="190" cm="1">
        <f t="array" aca="1" ref="C618" ca="1">VALUE(LEFT(TRIM(INDIRECT("'" &amp; INT((ROW()-2)/24)+1 &amp; "號'!B" &amp; MOD(ROW()-2,24)+10)), 2))</f>
        <v>0</v>
      </c>
      <c r="D618" s="190">
        <f t="shared" ca="1" si="49"/>
        <v>7</v>
      </c>
      <c r="E618" s="190" t="str" cm="1">
        <f t="array" aca="1" ref="E618" ca="1">INDIRECT("'" &amp; A618 &amp; "號'!" &amp; ADDRESS(B618, D618))</f>
        <v/>
      </c>
      <c r="F618" s="190">
        <f t="shared" ca="1" si="50"/>
        <v>0</v>
      </c>
      <c r="G618" s="190">
        <f ca="1">IF(F618=0, 0, IF(AND(F617=1, C618&lt;&gt;8, OR(C618=C617+1, AND(C617=23, C618=0))), G617, MAX($G$1:G617)+1))</f>
        <v>0</v>
      </c>
      <c r="H618" s="194">
        <f t="shared" si="51"/>
        <v>26</v>
      </c>
    </row>
    <row r="619" spans="1:8">
      <c r="A619" s="190">
        <f t="shared" si="47"/>
        <v>26</v>
      </c>
      <c r="B619" s="193">
        <f t="shared" si="48"/>
        <v>27</v>
      </c>
      <c r="C619" s="190" cm="1">
        <f t="array" aca="1" ref="C619" ca="1">VALUE(LEFT(TRIM(INDIRECT("'" &amp; INT((ROW()-2)/24)+1 &amp; "號'!B" &amp; MOD(ROW()-2,24)+10)), 2))</f>
        <v>1</v>
      </c>
      <c r="D619" s="190">
        <f t="shared" ca="1" si="49"/>
        <v>7</v>
      </c>
      <c r="E619" s="190" t="str" cm="1">
        <f t="array" aca="1" ref="E619" ca="1">INDIRECT("'" &amp; A619 &amp; "號'!" &amp; ADDRESS(B619, D619))</f>
        <v/>
      </c>
      <c r="F619" s="190">
        <f t="shared" ca="1" si="50"/>
        <v>0</v>
      </c>
      <c r="G619" s="190">
        <f ca="1">IF(F619=0, 0, IF(AND(F618=1, C619&lt;&gt;8, OR(C619=C618+1, AND(C618=23, C619=0))), G618, MAX($G$1:G618)+1))</f>
        <v>0</v>
      </c>
      <c r="H619" s="194">
        <f t="shared" si="51"/>
        <v>26</v>
      </c>
    </row>
    <row r="620" spans="1:8">
      <c r="A620" s="190">
        <f t="shared" si="47"/>
        <v>26</v>
      </c>
      <c r="B620" s="193">
        <f t="shared" si="48"/>
        <v>28</v>
      </c>
      <c r="C620" s="190" cm="1">
        <f t="array" aca="1" ref="C620" ca="1">VALUE(LEFT(TRIM(INDIRECT("'" &amp; INT((ROW()-2)/24)+1 &amp; "號'!B" &amp; MOD(ROW()-2,24)+10)), 2))</f>
        <v>2</v>
      </c>
      <c r="D620" s="190">
        <f t="shared" ca="1" si="49"/>
        <v>7</v>
      </c>
      <c r="E620" s="190" t="str" cm="1">
        <f t="array" aca="1" ref="E620" ca="1">INDIRECT("'" &amp; A620 &amp; "號'!" &amp; ADDRESS(B620, D620))</f>
        <v/>
      </c>
      <c r="F620" s="190">
        <f t="shared" ca="1" si="50"/>
        <v>0</v>
      </c>
      <c r="G620" s="190">
        <f ca="1">IF(F620=0, 0, IF(AND(F619=1, C620&lt;&gt;8, OR(C620=C619+1, AND(C619=23, C620=0))), G619, MAX($G$1:G619)+1))</f>
        <v>0</v>
      </c>
      <c r="H620" s="194">
        <f t="shared" si="51"/>
        <v>26</v>
      </c>
    </row>
    <row r="621" spans="1:8">
      <c r="A621" s="190">
        <f t="shared" si="47"/>
        <v>26</v>
      </c>
      <c r="B621" s="193">
        <f t="shared" si="48"/>
        <v>29</v>
      </c>
      <c r="C621" s="190" cm="1">
        <f t="array" aca="1" ref="C621" ca="1">VALUE(LEFT(TRIM(INDIRECT("'" &amp; INT((ROW()-2)/24)+1 &amp; "號'!B" &amp; MOD(ROW()-2,24)+10)), 2))</f>
        <v>3</v>
      </c>
      <c r="D621" s="190">
        <f t="shared" ca="1" si="49"/>
        <v>7</v>
      </c>
      <c r="E621" s="190" t="str" cm="1">
        <f t="array" aca="1" ref="E621" ca="1">INDIRECT("'" &amp; A621 &amp; "號'!" &amp; ADDRESS(B621, D621))</f>
        <v/>
      </c>
      <c r="F621" s="190">
        <f t="shared" ca="1" si="50"/>
        <v>0</v>
      </c>
      <c r="G621" s="190">
        <f ca="1">IF(F621=0, 0, IF(AND(F620=1, C621&lt;&gt;8, OR(C621=C620+1, AND(C620=23, C621=0))), G620, MAX($G$1:G620)+1))</f>
        <v>0</v>
      </c>
      <c r="H621" s="194">
        <f t="shared" si="51"/>
        <v>26</v>
      </c>
    </row>
    <row r="622" spans="1:8">
      <c r="A622" s="190">
        <f t="shared" si="47"/>
        <v>26</v>
      </c>
      <c r="B622" s="193">
        <f t="shared" si="48"/>
        <v>30</v>
      </c>
      <c r="C622" s="190" cm="1">
        <f t="array" aca="1" ref="C622" ca="1">VALUE(LEFT(TRIM(INDIRECT("'" &amp; INT((ROW()-2)/24)+1 &amp; "號'!B" &amp; MOD(ROW()-2,24)+10)), 2))</f>
        <v>4</v>
      </c>
      <c r="D622" s="190">
        <f t="shared" ca="1" si="49"/>
        <v>7</v>
      </c>
      <c r="E622" s="190" t="str" cm="1">
        <f t="array" aca="1" ref="E622" ca="1">INDIRECT("'" &amp; A622 &amp; "號'!" &amp; ADDRESS(B622, D622))</f>
        <v/>
      </c>
      <c r="F622" s="190">
        <f t="shared" ca="1" si="50"/>
        <v>0</v>
      </c>
      <c r="G622" s="190">
        <f ca="1">IF(F622=0, 0, IF(AND(F621=1, C622&lt;&gt;8, OR(C622=C621+1, AND(C621=23, C622=0))), G621, MAX($G$1:G621)+1))</f>
        <v>0</v>
      </c>
      <c r="H622" s="194">
        <f t="shared" si="51"/>
        <v>26</v>
      </c>
    </row>
    <row r="623" spans="1:8">
      <c r="A623" s="190">
        <f t="shared" si="47"/>
        <v>26</v>
      </c>
      <c r="B623" s="193">
        <f t="shared" si="48"/>
        <v>31</v>
      </c>
      <c r="C623" s="190" cm="1">
        <f t="array" aca="1" ref="C623" ca="1">VALUE(LEFT(TRIM(INDIRECT("'" &amp; INT((ROW()-2)/24)+1 &amp; "號'!B" &amp; MOD(ROW()-2,24)+10)), 2))</f>
        <v>5</v>
      </c>
      <c r="D623" s="190">
        <f t="shared" ca="1" si="49"/>
        <v>7</v>
      </c>
      <c r="E623" s="190" t="str" cm="1">
        <f t="array" aca="1" ref="E623" ca="1">INDIRECT("'" &amp; A623 &amp; "號'!" &amp; ADDRESS(B623, D623))</f>
        <v/>
      </c>
      <c r="F623" s="190">
        <f t="shared" ca="1" si="50"/>
        <v>0</v>
      </c>
      <c r="G623" s="190">
        <f ca="1">IF(F623=0, 0, IF(AND(F622=1, C623&lt;&gt;8, OR(C623=C622+1, AND(C622=23, C623=0))), G622, MAX($G$1:G622)+1))</f>
        <v>0</v>
      </c>
      <c r="H623" s="194">
        <f t="shared" si="51"/>
        <v>26</v>
      </c>
    </row>
    <row r="624" spans="1:8">
      <c r="A624" s="190">
        <f t="shared" si="47"/>
        <v>26</v>
      </c>
      <c r="B624" s="193">
        <f t="shared" si="48"/>
        <v>32</v>
      </c>
      <c r="C624" s="190" cm="1">
        <f t="array" aca="1" ref="C624" ca="1">VALUE(LEFT(TRIM(INDIRECT("'" &amp; INT((ROW()-2)/24)+1 &amp; "號'!B" &amp; MOD(ROW()-2,24)+10)), 2))</f>
        <v>6</v>
      </c>
      <c r="D624" s="190">
        <f t="shared" ca="1" si="49"/>
        <v>7</v>
      </c>
      <c r="E624" s="190" t="str" cm="1">
        <f t="array" aca="1" ref="E624" ca="1">INDIRECT("'" &amp; A624 &amp; "號'!" &amp; ADDRESS(B624, D624))</f>
        <v>4</v>
      </c>
      <c r="F624" s="190">
        <f t="shared" ca="1" si="50"/>
        <v>0</v>
      </c>
      <c r="G624" s="190">
        <f ca="1">IF(F624=0, 0, IF(AND(F623=1, C624&lt;&gt;8, OR(C624=C623+1, AND(C623=23, C624=0))), G623, MAX($G$1:G623)+1))</f>
        <v>0</v>
      </c>
      <c r="H624" s="194">
        <f t="shared" si="51"/>
        <v>26</v>
      </c>
    </row>
    <row r="625" spans="1:8">
      <c r="A625" s="190">
        <f t="shared" si="47"/>
        <v>26</v>
      </c>
      <c r="B625" s="193">
        <f t="shared" si="48"/>
        <v>33</v>
      </c>
      <c r="C625" s="190" cm="1">
        <f t="array" aca="1" ref="C625" ca="1">VALUE(LEFT(TRIM(INDIRECT("'" &amp; INT((ROW()-2)/24)+1 &amp; "號'!B" &amp; MOD(ROW()-2,24)+10)), 2))</f>
        <v>7</v>
      </c>
      <c r="D625" s="190">
        <f t="shared" ca="1" si="49"/>
        <v>7</v>
      </c>
      <c r="E625" s="190" t="str" cm="1">
        <f t="array" aca="1" ref="E625" ca="1">INDIRECT("'" &amp; A625 &amp; "號'!" &amp; ADDRESS(B625, D625))</f>
        <v>4</v>
      </c>
      <c r="F625" s="190">
        <f t="shared" ca="1" si="50"/>
        <v>0</v>
      </c>
      <c r="G625" s="190">
        <f ca="1">IF(F625=0, 0, IF(AND(F624=1, C625&lt;&gt;8, OR(C625=C624+1, AND(C624=23, C625=0))), G624, MAX($G$1:G624)+1))</f>
        <v>0</v>
      </c>
      <c r="H625" s="194">
        <f t="shared" si="51"/>
        <v>26</v>
      </c>
    </row>
    <row r="626" spans="1:8">
      <c r="A626" s="190">
        <f t="shared" si="47"/>
        <v>27</v>
      </c>
      <c r="B626" s="193">
        <f t="shared" si="48"/>
        <v>10</v>
      </c>
      <c r="C626" s="190" cm="1">
        <f t="array" aca="1" ref="C626" ca="1">VALUE(LEFT(TRIM(INDIRECT("'" &amp; INT((ROW()-2)/24)+1 &amp; "號'!B" &amp; MOD(ROW()-2,24)+10)), 2))</f>
        <v>8</v>
      </c>
      <c r="D626" s="190">
        <f t="shared" ca="1" si="49"/>
        <v>7</v>
      </c>
      <c r="E626" s="190" t="str" cm="1">
        <f t="array" aca="1" ref="E626" ca="1">INDIRECT("'" &amp; A626 &amp; "號'!" &amp; ADDRESS(B626, D626))</f>
        <v>1</v>
      </c>
      <c r="F626" s="190">
        <f t="shared" ca="1" si="50"/>
        <v>0</v>
      </c>
      <c r="G626" s="190">
        <f ca="1">IF(F626=0, 0, IF(AND(F625=1, C626&lt;&gt;8, OR(C626=C625+1, AND(C625=23, C626=0))), G625, MAX($G$1:G625)+1))</f>
        <v>0</v>
      </c>
      <c r="H626" s="194">
        <f t="shared" si="51"/>
        <v>27</v>
      </c>
    </row>
    <row r="627" spans="1:8">
      <c r="A627" s="190">
        <f t="shared" si="47"/>
        <v>27</v>
      </c>
      <c r="B627" s="193">
        <f t="shared" si="48"/>
        <v>11</v>
      </c>
      <c r="C627" s="190" cm="1">
        <f t="array" aca="1" ref="C627" ca="1">VALUE(LEFT(TRIM(INDIRECT("'" &amp; INT((ROW()-2)/24)+1 &amp; "號'!B" &amp; MOD(ROW()-2,24)+10)), 2))</f>
        <v>9</v>
      </c>
      <c r="D627" s="190">
        <f t="shared" ca="1" si="49"/>
        <v>7</v>
      </c>
      <c r="E627" s="190" t="str" cm="1">
        <f t="array" aca="1" ref="E627" ca="1">INDIRECT("'" &amp; A627 &amp; "號'!" &amp; ADDRESS(B627, D627))</f>
        <v>1</v>
      </c>
      <c r="F627" s="190">
        <f t="shared" ca="1" si="50"/>
        <v>0</v>
      </c>
      <c r="G627" s="190">
        <f ca="1">IF(F627=0, 0, IF(AND(F626=1, C627&lt;&gt;8, OR(C627=C626+1, AND(C626=23, C627=0))), G626, MAX($G$1:G626)+1))</f>
        <v>0</v>
      </c>
      <c r="H627" s="194">
        <f t="shared" si="51"/>
        <v>27</v>
      </c>
    </row>
    <row r="628" spans="1:8">
      <c r="A628" s="190">
        <f t="shared" si="47"/>
        <v>27</v>
      </c>
      <c r="B628" s="193">
        <f t="shared" si="48"/>
        <v>12</v>
      </c>
      <c r="C628" s="190" cm="1">
        <f t="array" aca="1" ref="C628" ca="1">VALUE(LEFT(TRIM(INDIRECT("'" &amp; INT((ROW()-2)/24)+1 &amp; "號'!B" &amp; MOD(ROW()-2,24)+10)), 2))</f>
        <v>10</v>
      </c>
      <c r="D628" s="190">
        <f t="shared" ca="1" si="49"/>
        <v>7</v>
      </c>
      <c r="E628" s="190" t="str" cm="1">
        <f t="array" aca="1" ref="E628" ca="1">INDIRECT("'" &amp; A628 &amp; "號'!" &amp; ADDRESS(B628, D628))</f>
        <v/>
      </c>
      <c r="F628" s="190">
        <f t="shared" ca="1" si="50"/>
        <v>0</v>
      </c>
      <c r="G628" s="190">
        <f ca="1">IF(F628=0, 0, IF(AND(F627=1, C628&lt;&gt;8, OR(C628=C627+1, AND(C627=23, C628=0))), G627, MAX($G$1:G627)+1))</f>
        <v>0</v>
      </c>
      <c r="H628" s="194">
        <f t="shared" si="51"/>
        <v>27</v>
      </c>
    </row>
    <row r="629" spans="1:8">
      <c r="A629" s="190">
        <f t="shared" si="47"/>
        <v>27</v>
      </c>
      <c r="B629" s="193">
        <f t="shared" si="48"/>
        <v>13</v>
      </c>
      <c r="C629" s="190" cm="1">
        <f t="array" aca="1" ref="C629" ca="1">VALUE(LEFT(TRIM(INDIRECT("'" &amp; INT((ROW()-2)/24)+1 &amp; "號'!B" &amp; MOD(ROW()-2,24)+10)), 2))</f>
        <v>11</v>
      </c>
      <c r="D629" s="190">
        <f t="shared" ca="1" si="49"/>
        <v>7</v>
      </c>
      <c r="E629" s="190" t="str" cm="1">
        <f t="array" aca="1" ref="E629" ca="1">INDIRECT("'" &amp; A629 &amp; "號'!" &amp; ADDRESS(B629, D629))</f>
        <v/>
      </c>
      <c r="F629" s="190">
        <f t="shared" ca="1" si="50"/>
        <v>0</v>
      </c>
      <c r="G629" s="190">
        <f ca="1">IF(F629=0, 0, IF(AND(F628=1, C629&lt;&gt;8, OR(C629=C628+1, AND(C628=23, C629=0))), G628, MAX($G$1:G628)+1))</f>
        <v>0</v>
      </c>
      <c r="H629" s="194">
        <f t="shared" si="51"/>
        <v>27</v>
      </c>
    </row>
    <row r="630" spans="1:8">
      <c r="A630" s="190">
        <f t="shared" si="47"/>
        <v>27</v>
      </c>
      <c r="B630" s="193">
        <f t="shared" si="48"/>
        <v>14</v>
      </c>
      <c r="C630" s="190" cm="1">
        <f t="array" aca="1" ref="C630" ca="1">VALUE(LEFT(TRIM(INDIRECT("'" &amp; INT((ROW()-2)/24)+1 &amp; "號'!B" &amp; MOD(ROW()-2,24)+10)), 2))</f>
        <v>12</v>
      </c>
      <c r="D630" s="190">
        <f t="shared" ca="1" si="49"/>
        <v>7</v>
      </c>
      <c r="E630" s="190" t="str" cm="1">
        <f t="array" aca="1" ref="E630" ca="1">INDIRECT("'" &amp; A630 &amp; "號'!" &amp; ADDRESS(B630, D630))</f>
        <v/>
      </c>
      <c r="F630" s="190">
        <f t="shared" ca="1" si="50"/>
        <v>0</v>
      </c>
      <c r="G630" s="190">
        <f ca="1">IF(F630=0, 0, IF(AND(F629=1, C630&lt;&gt;8, OR(C630=C629+1, AND(C629=23, C630=0))), G629, MAX($G$1:G629)+1))</f>
        <v>0</v>
      </c>
      <c r="H630" s="194">
        <f t="shared" si="51"/>
        <v>27</v>
      </c>
    </row>
    <row r="631" spans="1:8">
      <c r="A631" s="190">
        <f t="shared" si="47"/>
        <v>27</v>
      </c>
      <c r="B631" s="193">
        <f t="shared" si="48"/>
        <v>15</v>
      </c>
      <c r="C631" s="190" cm="1">
        <f t="array" aca="1" ref="C631" ca="1">VALUE(LEFT(TRIM(INDIRECT("'" &amp; INT((ROW()-2)/24)+1 &amp; "號'!B" &amp; MOD(ROW()-2,24)+10)), 2))</f>
        <v>13</v>
      </c>
      <c r="D631" s="190">
        <f t="shared" ca="1" si="49"/>
        <v>7</v>
      </c>
      <c r="E631" s="190" t="str" cm="1">
        <f t="array" aca="1" ref="E631" ca="1">INDIRECT("'" &amp; A631 &amp; "號'!" &amp; ADDRESS(B631, D631))</f>
        <v/>
      </c>
      <c r="F631" s="190">
        <f t="shared" ca="1" si="50"/>
        <v>0</v>
      </c>
      <c r="G631" s="190">
        <f ca="1">IF(F631=0, 0, IF(AND(F630=1, C631&lt;&gt;8, OR(C631=C630+1, AND(C630=23, C631=0))), G630, MAX($G$1:G630)+1))</f>
        <v>0</v>
      </c>
      <c r="H631" s="194">
        <f t="shared" si="51"/>
        <v>27</v>
      </c>
    </row>
    <row r="632" spans="1:8">
      <c r="A632" s="190">
        <f t="shared" si="47"/>
        <v>27</v>
      </c>
      <c r="B632" s="193">
        <f t="shared" si="48"/>
        <v>16</v>
      </c>
      <c r="C632" s="190" cm="1">
        <f t="array" aca="1" ref="C632" ca="1">VALUE(LEFT(TRIM(INDIRECT("'" &amp; INT((ROW()-2)/24)+1 &amp; "號'!B" &amp; MOD(ROW()-2,24)+10)), 2))</f>
        <v>14</v>
      </c>
      <c r="D632" s="190">
        <f t="shared" ca="1" si="49"/>
        <v>7</v>
      </c>
      <c r="E632" s="190" t="str" cm="1">
        <f t="array" aca="1" ref="E632" ca="1">INDIRECT("'" &amp; A632 &amp; "號'!" &amp; ADDRESS(B632, D632))</f>
        <v/>
      </c>
      <c r="F632" s="190">
        <f t="shared" ca="1" si="50"/>
        <v>0</v>
      </c>
      <c r="G632" s="190">
        <f ca="1">IF(F632=0, 0, IF(AND(F631=1, C632&lt;&gt;8, OR(C632=C631+1, AND(C631=23, C632=0))), G631, MAX($G$1:G631)+1))</f>
        <v>0</v>
      </c>
      <c r="H632" s="194">
        <f t="shared" si="51"/>
        <v>27</v>
      </c>
    </row>
    <row r="633" spans="1:8">
      <c r="A633" s="190">
        <f t="shared" si="47"/>
        <v>27</v>
      </c>
      <c r="B633" s="193">
        <f t="shared" si="48"/>
        <v>17</v>
      </c>
      <c r="C633" s="190" cm="1">
        <f t="array" aca="1" ref="C633" ca="1">VALUE(LEFT(TRIM(INDIRECT("'" &amp; INT((ROW()-2)/24)+1 &amp; "號'!B" &amp; MOD(ROW()-2,24)+10)), 2))</f>
        <v>15</v>
      </c>
      <c r="D633" s="190">
        <f t="shared" ca="1" si="49"/>
        <v>7</v>
      </c>
      <c r="E633" s="190" t="str" cm="1">
        <f t="array" aca="1" ref="E633" ca="1">INDIRECT("'" &amp; A633 &amp; "號'!" &amp; ADDRESS(B633, D633))</f>
        <v/>
      </c>
      <c r="F633" s="190">
        <f t="shared" ca="1" si="50"/>
        <v>0</v>
      </c>
      <c r="G633" s="190">
        <f ca="1">IF(F633=0, 0, IF(AND(F632=1, C633&lt;&gt;8, OR(C633=C632+1, AND(C632=23, C633=0))), G632, MAX($G$1:G632)+1))</f>
        <v>0</v>
      </c>
      <c r="H633" s="194">
        <f t="shared" si="51"/>
        <v>27</v>
      </c>
    </row>
    <row r="634" spans="1:8">
      <c r="A634" s="190">
        <f t="shared" si="47"/>
        <v>27</v>
      </c>
      <c r="B634" s="193">
        <f t="shared" si="48"/>
        <v>18</v>
      </c>
      <c r="C634" s="190" cm="1">
        <f t="array" aca="1" ref="C634" ca="1">VALUE(LEFT(TRIM(INDIRECT("'" &amp; INT((ROW()-2)/24)+1 &amp; "號'!B" &amp; MOD(ROW()-2,24)+10)), 2))</f>
        <v>16</v>
      </c>
      <c r="D634" s="190">
        <f t="shared" ca="1" si="49"/>
        <v>7</v>
      </c>
      <c r="E634" s="190" t="str" cm="1">
        <f t="array" aca="1" ref="E634" ca="1">INDIRECT("'" &amp; A634 &amp; "號'!" &amp; ADDRESS(B634, D634))</f>
        <v/>
      </c>
      <c r="F634" s="190">
        <f t="shared" ca="1" si="50"/>
        <v>0</v>
      </c>
      <c r="G634" s="190">
        <f ca="1">IF(F634=0, 0, IF(AND(F633=1, C634&lt;&gt;8, OR(C634=C633+1, AND(C633=23, C634=0))), G633, MAX($G$1:G633)+1))</f>
        <v>0</v>
      </c>
      <c r="H634" s="194">
        <f t="shared" si="51"/>
        <v>27</v>
      </c>
    </row>
    <row r="635" spans="1:8">
      <c r="A635" s="190">
        <f t="shared" si="47"/>
        <v>27</v>
      </c>
      <c r="B635" s="193">
        <f t="shared" si="48"/>
        <v>19</v>
      </c>
      <c r="C635" s="190" cm="1">
        <f t="array" aca="1" ref="C635" ca="1">VALUE(LEFT(TRIM(INDIRECT("'" &amp; INT((ROW()-2)/24)+1 &amp; "號'!B" &amp; MOD(ROW()-2,24)+10)), 2))</f>
        <v>17</v>
      </c>
      <c r="D635" s="190">
        <f t="shared" ca="1" si="49"/>
        <v>7</v>
      </c>
      <c r="E635" s="190" t="str" cm="1">
        <f t="array" aca="1" ref="E635" ca="1">INDIRECT("'" &amp; A635 &amp; "號'!" &amp; ADDRESS(B635, D635))</f>
        <v/>
      </c>
      <c r="F635" s="190">
        <f t="shared" ca="1" si="50"/>
        <v>0</v>
      </c>
      <c r="G635" s="190">
        <f ca="1">IF(F635=0, 0, IF(AND(F634=1, C635&lt;&gt;8, OR(C635=C634+1, AND(C634=23, C635=0))), G634, MAX($G$1:G634)+1))</f>
        <v>0</v>
      </c>
      <c r="H635" s="194">
        <f t="shared" si="51"/>
        <v>27</v>
      </c>
    </row>
    <row r="636" spans="1:8">
      <c r="A636" s="190">
        <f t="shared" si="47"/>
        <v>27</v>
      </c>
      <c r="B636" s="193">
        <f t="shared" si="48"/>
        <v>20</v>
      </c>
      <c r="C636" s="190" cm="1">
        <f t="array" aca="1" ref="C636" ca="1">VALUE(LEFT(TRIM(INDIRECT("'" &amp; INT((ROW()-2)/24)+1 &amp; "號'!B" &amp; MOD(ROW()-2,24)+10)), 2))</f>
        <v>18</v>
      </c>
      <c r="D636" s="190">
        <f t="shared" ca="1" si="49"/>
        <v>7</v>
      </c>
      <c r="E636" s="190" t="str" cm="1">
        <f t="array" aca="1" ref="E636" ca="1">INDIRECT("'" &amp; A636 &amp; "號'!" &amp; ADDRESS(B636, D636))</f>
        <v/>
      </c>
      <c r="F636" s="190">
        <f t="shared" ca="1" si="50"/>
        <v>0</v>
      </c>
      <c r="G636" s="190">
        <f ca="1">IF(F636=0, 0, IF(AND(F635=1, C636&lt;&gt;8, OR(C636=C635+1, AND(C635=23, C636=0))), G635, MAX($G$1:G635)+1))</f>
        <v>0</v>
      </c>
      <c r="H636" s="194">
        <f t="shared" si="51"/>
        <v>27</v>
      </c>
    </row>
    <row r="637" spans="1:8">
      <c r="A637" s="190">
        <f t="shared" si="47"/>
        <v>27</v>
      </c>
      <c r="B637" s="193">
        <f t="shared" si="48"/>
        <v>21</v>
      </c>
      <c r="C637" s="190" cm="1">
        <f t="array" aca="1" ref="C637" ca="1">VALUE(LEFT(TRIM(INDIRECT("'" &amp; INT((ROW()-2)/24)+1 &amp; "號'!B" &amp; MOD(ROW()-2,24)+10)), 2))</f>
        <v>19</v>
      </c>
      <c r="D637" s="190">
        <f t="shared" ca="1" si="49"/>
        <v>7</v>
      </c>
      <c r="E637" s="190" t="str" cm="1">
        <f t="array" aca="1" ref="E637" ca="1">INDIRECT("'" &amp; A637 &amp; "號'!" &amp; ADDRESS(B637, D637))</f>
        <v/>
      </c>
      <c r="F637" s="190">
        <f t="shared" ca="1" si="50"/>
        <v>0</v>
      </c>
      <c r="G637" s="190">
        <f ca="1">IF(F637=0, 0, IF(AND(F636=1, C637&lt;&gt;8, OR(C637=C636+1, AND(C636=23, C637=0))), G636, MAX($G$1:G636)+1))</f>
        <v>0</v>
      </c>
      <c r="H637" s="194">
        <f t="shared" si="51"/>
        <v>27</v>
      </c>
    </row>
    <row r="638" spans="1:8">
      <c r="A638" s="190">
        <f t="shared" si="47"/>
        <v>27</v>
      </c>
      <c r="B638" s="193">
        <f t="shared" si="48"/>
        <v>22</v>
      </c>
      <c r="C638" s="190" cm="1">
        <f t="array" aca="1" ref="C638" ca="1">VALUE(LEFT(TRIM(INDIRECT("'" &amp; INT((ROW()-2)/24)+1 &amp; "號'!B" &amp; MOD(ROW()-2,24)+10)), 2))</f>
        <v>20</v>
      </c>
      <c r="D638" s="190">
        <f t="shared" ca="1" si="49"/>
        <v>7</v>
      </c>
      <c r="E638" s="190" t="str" cm="1">
        <f t="array" aca="1" ref="E638" ca="1">INDIRECT("'" &amp; A638 &amp; "號'!" &amp; ADDRESS(B638, D638))</f>
        <v/>
      </c>
      <c r="F638" s="190">
        <f t="shared" ca="1" si="50"/>
        <v>0</v>
      </c>
      <c r="G638" s="190">
        <f ca="1">IF(F638=0, 0, IF(AND(F637=1, C638&lt;&gt;8, OR(C638=C637+1, AND(C637=23, C638=0))), G637, MAX($G$1:G637)+1))</f>
        <v>0</v>
      </c>
      <c r="H638" s="194">
        <f t="shared" si="51"/>
        <v>27</v>
      </c>
    </row>
    <row r="639" spans="1:8">
      <c r="A639" s="190">
        <f t="shared" si="47"/>
        <v>27</v>
      </c>
      <c r="B639" s="193">
        <f t="shared" si="48"/>
        <v>23</v>
      </c>
      <c r="C639" s="190" cm="1">
        <f t="array" aca="1" ref="C639" ca="1">VALUE(LEFT(TRIM(INDIRECT("'" &amp; INT((ROW()-2)/24)+1 &amp; "號'!B" &amp; MOD(ROW()-2,24)+10)), 2))</f>
        <v>21</v>
      </c>
      <c r="D639" s="190">
        <f t="shared" ca="1" si="49"/>
        <v>7</v>
      </c>
      <c r="E639" s="190" t="str" cm="1">
        <f t="array" aca="1" ref="E639" ca="1">INDIRECT("'" &amp; A639 &amp; "號'!" &amp; ADDRESS(B639, D639))</f>
        <v/>
      </c>
      <c r="F639" s="190">
        <f t="shared" ca="1" si="50"/>
        <v>0</v>
      </c>
      <c r="G639" s="190">
        <f ca="1">IF(F639=0, 0, IF(AND(F638=1, C639&lt;&gt;8, OR(C639=C638+1, AND(C638=23, C639=0))), G638, MAX($G$1:G638)+1))</f>
        <v>0</v>
      </c>
      <c r="H639" s="194">
        <f t="shared" si="51"/>
        <v>27</v>
      </c>
    </row>
    <row r="640" spans="1:8">
      <c r="A640" s="190">
        <f t="shared" si="47"/>
        <v>27</v>
      </c>
      <c r="B640" s="193">
        <f t="shared" si="48"/>
        <v>24</v>
      </c>
      <c r="C640" s="190" cm="1">
        <f t="array" aca="1" ref="C640" ca="1">VALUE(LEFT(TRIM(INDIRECT("'" &amp; INT((ROW()-2)/24)+1 &amp; "號'!B" &amp; MOD(ROW()-2,24)+10)), 2))</f>
        <v>22</v>
      </c>
      <c r="D640" s="190">
        <f t="shared" ca="1" si="49"/>
        <v>7</v>
      </c>
      <c r="E640" s="190" t="str" cm="1">
        <f t="array" aca="1" ref="E640" ca="1">INDIRECT("'" &amp; A640 &amp; "號'!" &amp; ADDRESS(B640, D640))</f>
        <v/>
      </c>
      <c r="F640" s="190">
        <f t="shared" ca="1" si="50"/>
        <v>0</v>
      </c>
      <c r="G640" s="190">
        <f ca="1">IF(F640=0, 0, IF(AND(F639=1, C640&lt;&gt;8, OR(C640=C639+1, AND(C639=23, C640=0))), G639, MAX($G$1:G639)+1))</f>
        <v>0</v>
      </c>
      <c r="H640" s="194">
        <f t="shared" si="51"/>
        <v>27</v>
      </c>
    </row>
    <row r="641" spans="1:8">
      <c r="A641" s="190">
        <f t="shared" si="47"/>
        <v>27</v>
      </c>
      <c r="B641" s="193">
        <f t="shared" si="48"/>
        <v>25</v>
      </c>
      <c r="C641" s="190" cm="1">
        <f t="array" aca="1" ref="C641" ca="1">VALUE(LEFT(TRIM(INDIRECT("'" &amp; INT((ROW()-2)/24)+1 &amp; "號'!B" &amp; MOD(ROW()-2,24)+10)), 2))</f>
        <v>23</v>
      </c>
      <c r="D641" s="190">
        <f t="shared" ca="1" si="49"/>
        <v>7</v>
      </c>
      <c r="E641" s="190" t="str" cm="1">
        <f t="array" aca="1" ref="E641" ca="1">INDIRECT("'" &amp; A641 &amp; "號'!" &amp; ADDRESS(B641, D641))</f>
        <v/>
      </c>
      <c r="F641" s="190">
        <f t="shared" ca="1" si="50"/>
        <v>0</v>
      </c>
      <c r="G641" s="190">
        <f ca="1">IF(F641=0, 0, IF(AND(F640=1, C641&lt;&gt;8, OR(C641=C640+1, AND(C640=23, C641=0))), G640, MAX($G$1:G640)+1))</f>
        <v>0</v>
      </c>
      <c r="H641" s="194">
        <f t="shared" si="51"/>
        <v>27</v>
      </c>
    </row>
    <row r="642" spans="1:8">
      <c r="A642" s="190">
        <f t="shared" si="47"/>
        <v>27</v>
      </c>
      <c r="B642" s="193">
        <f t="shared" si="48"/>
        <v>26</v>
      </c>
      <c r="C642" s="190" cm="1">
        <f t="array" aca="1" ref="C642" ca="1">VALUE(LEFT(TRIM(INDIRECT("'" &amp; INT((ROW()-2)/24)+1 &amp; "號'!B" &amp; MOD(ROW()-2,24)+10)), 2))</f>
        <v>0</v>
      </c>
      <c r="D642" s="190">
        <f t="shared" ca="1" si="49"/>
        <v>7</v>
      </c>
      <c r="E642" s="190" t="str" cm="1">
        <f t="array" aca="1" ref="E642" ca="1">INDIRECT("'" &amp; A642 &amp; "號'!" &amp; ADDRESS(B642, D642))</f>
        <v/>
      </c>
      <c r="F642" s="190">
        <f t="shared" ca="1" si="50"/>
        <v>0</v>
      </c>
      <c r="G642" s="190">
        <f ca="1">IF(F642=0, 0, IF(AND(F641=1, C642&lt;&gt;8, OR(C642=C641+1, AND(C641=23, C642=0))), G641, MAX($G$1:G641)+1))</f>
        <v>0</v>
      </c>
      <c r="H642" s="194">
        <f t="shared" si="51"/>
        <v>27</v>
      </c>
    </row>
    <row r="643" spans="1:8">
      <c r="A643" s="190">
        <f t="shared" ref="A643:A706" si="52">INT((ROW()-2)/24)+1</f>
        <v>27</v>
      </c>
      <c r="B643" s="193">
        <f t="shared" ref="B643:B706" si="53">MOD(ROW()-2, 24)+10</f>
        <v>27</v>
      </c>
      <c r="C643" s="190" cm="1">
        <f t="array" aca="1" ref="C643" ca="1">VALUE(LEFT(TRIM(INDIRECT("'" &amp; INT((ROW()-2)/24)+1 &amp; "號'!B" &amp; MOD(ROW()-2,24)+10)), 2))</f>
        <v>1</v>
      </c>
      <c r="D643" s="190">
        <f t="shared" ref="D643:D706" ca="1" si="54">MAX(IFERROR(MATCH("*休息*", INDIRECT("'" &amp; A643 &amp; "號'!$5:$5"), 0), 0), IFERROR(MATCH("*休息*", INDIRECT("'" &amp; A643 &amp; "號'!$6:$6"), 0), 0), IFERROR(MATCH("*休息*", INDIRECT("'" &amp; A643 &amp; "號'!$7:$7"), 0), 0))</f>
        <v>7</v>
      </c>
      <c r="E643" s="190" t="str" cm="1">
        <f t="array" aca="1" ref="E643" ca="1">INDIRECT("'" &amp; A643 &amp; "號'!" &amp; ADDRESS(B643, D643))</f>
        <v/>
      </c>
      <c r="F643" s="190">
        <f t="shared" ref="F643:F706" ca="1" si="55">IF(ISNUMBER(SEARCH(","&amp;$A$1&amp;",", ","&amp;SUBSTITUTE(SUBSTITUTE(E643," ",""),"，",",")&amp;",")), 1, 0)</f>
        <v>0</v>
      </c>
      <c r="G643" s="190">
        <f ca="1">IF(F643=0, 0, IF(AND(F642=1, C643&lt;&gt;8, OR(C643=C642+1, AND(C642=23, C643=0))), G642, MAX($G$1:G642)+1))</f>
        <v>0</v>
      </c>
      <c r="H643" s="194">
        <f t="shared" ref="H643:H706" si="56" xml:space="preserve"> A643</f>
        <v>27</v>
      </c>
    </row>
    <row r="644" spans="1:8">
      <c r="A644" s="190">
        <f t="shared" si="52"/>
        <v>27</v>
      </c>
      <c r="B644" s="193">
        <f t="shared" si="53"/>
        <v>28</v>
      </c>
      <c r="C644" s="190" cm="1">
        <f t="array" aca="1" ref="C644" ca="1">VALUE(LEFT(TRIM(INDIRECT("'" &amp; INT((ROW()-2)/24)+1 &amp; "號'!B" &amp; MOD(ROW()-2,24)+10)), 2))</f>
        <v>2</v>
      </c>
      <c r="D644" s="190">
        <f t="shared" ca="1" si="54"/>
        <v>7</v>
      </c>
      <c r="E644" s="190" t="str" cm="1">
        <f t="array" aca="1" ref="E644" ca="1">INDIRECT("'" &amp; A644 &amp; "號'!" &amp; ADDRESS(B644, D644))</f>
        <v/>
      </c>
      <c r="F644" s="190">
        <f t="shared" ca="1" si="55"/>
        <v>0</v>
      </c>
      <c r="G644" s="190">
        <f ca="1">IF(F644=0, 0, IF(AND(F643=1, C644&lt;&gt;8, OR(C644=C643+1, AND(C643=23, C644=0))), G643, MAX($G$1:G643)+1))</f>
        <v>0</v>
      </c>
      <c r="H644" s="194">
        <f t="shared" si="56"/>
        <v>27</v>
      </c>
    </row>
    <row r="645" spans="1:8">
      <c r="A645" s="190">
        <f t="shared" si="52"/>
        <v>27</v>
      </c>
      <c r="B645" s="193">
        <f t="shared" si="53"/>
        <v>29</v>
      </c>
      <c r="C645" s="190" cm="1">
        <f t="array" aca="1" ref="C645" ca="1">VALUE(LEFT(TRIM(INDIRECT("'" &amp; INT((ROW()-2)/24)+1 &amp; "號'!B" &amp; MOD(ROW()-2,24)+10)), 2))</f>
        <v>3</v>
      </c>
      <c r="D645" s="190">
        <f t="shared" ca="1" si="54"/>
        <v>7</v>
      </c>
      <c r="E645" s="190" t="str" cm="1">
        <f t="array" aca="1" ref="E645" ca="1">INDIRECT("'" &amp; A645 &amp; "號'!" &amp; ADDRESS(B645, D645))</f>
        <v/>
      </c>
      <c r="F645" s="190">
        <f t="shared" ca="1" si="55"/>
        <v>0</v>
      </c>
      <c r="G645" s="190">
        <f ca="1">IF(F645=0, 0, IF(AND(F644=1, C645&lt;&gt;8, OR(C645=C644+1, AND(C644=23, C645=0))), G644, MAX($G$1:G644)+1))</f>
        <v>0</v>
      </c>
      <c r="H645" s="194">
        <f t="shared" si="56"/>
        <v>27</v>
      </c>
    </row>
    <row r="646" spans="1:8">
      <c r="A646" s="190">
        <f t="shared" si="52"/>
        <v>27</v>
      </c>
      <c r="B646" s="193">
        <f t="shared" si="53"/>
        <v>30</v>
      </c>
      <c r="C646" s="190" cm="1">
        <f t="array" aca="1" ref="C646" ca="1">VALUE(LEFT(TRIM(INDIRECT("'" &amp; INT((ROW()-2)/24)+1 &amp; "號'!B" &amp; MOD(ROW()-2,24)+10)), 2))</f>
        <v>4</v>
      </c>
      <c r="D646" s="190">
        <f t="shared" ca="1" si="54"/>
        <v>7</v>
      </c>
      <c r="E646" s="190" t="str" cm="1">
        <f t="array" aca="1" ref="E646" ca="1">INDIRECT("'" &amp; A646 &amp; "號'!" &amp; ADDRESS(B646, D646))</f>
        <v/>
      </c>
      <c r="F646" s="190">
        <f t="shared" ca="1" si="55"/>
        <v>0</v>
      </c>
      <c r="G646" s="190">
        <f ca="1">IF(F646=0, 0, IF(AND(F645=1, C646&lt;&gt;8, OR(C646=C645+1, AND(C645=23, C646=0))), G645, MAX($G$1:G645)+1))</f>
        <v>0</v>
      </c>
      <c r="H646" s="194">
        <f t="shared" si="56"/>
        <v>27</v>
      </c>
    </row>
    <row r="647" spans="1:8">
      <c r="A647" s="190">
        <f t="shared" si="52"/>
        <v>27</v>
      </c>
      <c r="B647" s="193">
        <f t="shared" si="53"/>
        <v>31</v>
      </c>
      <c r="C647" s="190" cm="1">
        <f t="array" aca="1" ref="C647" ca="1">VALUE(LEFT(TRIM(INDIRECT("'" &amp; INT((ROW()-2)/24)+1 &amp; "號'!B" &amp; MOD(ROW()-2,24)+10)), 2))</f>
        <v>5</v>
      </c>
      <c r="D647" s="190">
        <f t="shared" ca="1" si="54"/>
        <v>7</v>
      </c>
      <c r="E647" s="190" t="str" cm="1">
        <f t="array" aca="1" ref="E647" ca="1">INDIRECT("'" &amp; A647 &amp; "號'!" &amp; ADDRESS(B647, D647))</f>
        <v/>
      </c>
      <c r="F647" s="190">
        <f t="shared" ca="1" si="55"/>
        <v>0</v>
      </c>
      <c r="G647" s="190">
        <f ca="1">IF(F647=0, 0, IF(AND(F646=1, C647&lt;&gt;8, OR(C647=C646+1, AND(C646=23, C647=0))), G646, MAX($G$1:G646)+1))</f>
        <v>0</v>
      </c>
      <c r="H647" s="194">
        <f t="shared" si="56"/>
        <v>27</v>
      </c>
    </row>
    <row r="648" spans="1:8">
      <c r="A648" s="190">
        <f t="shared" si="52"/>
        <v>27</v>
      </c>
      <c r="B648" s="193">
        <f t="shared" si="53"/>
        <v>32</v>
      </c>
      <c r="C648" s="190" cm="1">
        <f t="array" aca="1" ref="C648" ca="1">VALUE(LEFT(TRIM(INDIRECT("'" &amp; INT((ROW()-2)/24)+1 &amp; "號'!B" &amp; MOD(ROW()-2,24)+10)), 2))</f>
        <v>6</v>
      </c>
      <c r="D648" s="190">
        <f t="shared" ca="1" si="54"/>
        <v>7</v>
      </c>
      <c r="E648" s="190" t="str" cm="1">
        <f t="array" aca="1" ref="E648" ca="1">INDIRECT("'" &amp; A648 &amp; "號'!" &amp; ADDRESS(B648, D648))</f>
        <v>5</v>
      </c>
      <c r="F648" s="190">
        <f t="shared" ca="1" si="55"/>
        <v>0</v>
      </c>
      <c r="G648" s="190">
        <f ca="1">IF(F648=0, 0, IF(AND(F647=1, C648&lt;&gt;8, OR(C648=C647+1, AND(C647=23, C648=0))), G647, MAX($G$1:G647)+1))</f>
        <v>0</v>
      </c>
      <c r="H648" s="194">
        <f t="shared" si="56"/>
        <v>27</v>
      </c>
    </row>
    <row r="649" spans="1:8">
      <c r="A649" s="190">
        <f t="shared" si="52"/>
        <v>27</v>
      </c>
      <c r="B649" s="193">
        <f t="shared" si="53"/>
        <v>33</v>
      </c>
      <c r="C649" s="190" cm="1">
        <f t="array" aca="1" ref="C649" ca="1">VALUE(LEFT(TRIM(INDIRECT("'" &amp; INT((ROW()-2)/24)+1 &amp; "號'!B" &amp; MOD(ROW()-2,24)+10)), 2))</f>
        <v>7</v>
      </c>
      <c r="D649" s="190">
        <f t="shared" ca="1" si="54"/>
        <v>7</v>
      </c>
      <c r="E649" s="190" t="str" cm="1">
        <f t="array" aca="1" ref="E649" ca="1">INDIRECT("'" &amp; A649 &amp; "號'!" &amp; ADDRESS(B649, D649))</f>
        <v>5</v>
      </c>
      <c r="F649" s="190">
        <f t="shared" ca="1" si="55"/>
        <v>0</v>
      </c>
      <c r="G649" s="190">
        <f ca="1">IF(F649=0, 0, IF(AND(F648=1, C649&lt;&gt;8, OR(C649=C648+1, AND(C648=23, C649=0))), G648, MAX($G$1:G648)+1))</f>
        <v>0</v>
      </c>
      <c r="H649" s="194">
        <f t="shared" si="56"/>
        <v>27</v>
      </c>
    </row>
    <row r="650" spans="1:8">
      <c r="A650" s="190">
        <f t="shared" si="52"/>
        <v>28</v>
      </c>
      <c r="B650" s="193">
        <f t="shared" si="53"/>
        <v>10</v>
      </c>
      <c r="C650" s="190" cm="1">
        <f t="array" aca="1" ref="C650" ca="1">VALUE(LEFT(TRIM(INDIRECT("'" &amp; INT((ROW()-2)/24)+1 &amp; "號'!B" &amp; MOD(ROW()-2,24)+10)), 2))</f>
        <v>8</v>
      </c>
      <c r="D650" s="190">
        <f t="shared" ca="1" si="54"/>
        <v>7</v>
      </c>
      <c r="E650" s="190" t="str" cm="1">
        <f t="array" aca="1" ref="E650" ca="1">INDIRECT("'" &amp; A650 &amp; "號'!" &amp; ADDRESS(B650, D650))</f>
        <v>2</v>
      </c>
      <c r="F650" s="190">
        <f t="shared" ca="1" si="55"/>
        <v>0</v>
      </c>
      <c r="G650" s="190">
        <f ca="1">IF(F650=0, 0, IF(AND(F649=1, C650&lt;&gt;8, OR(C650=C649+1, AND(C649=23, C650=0))), G649, MAX($G$1:G649)+1))</f>
        <v>0</v>
      </c>
      <c r="H650" s="194">
        <f t="shared" si="56"/>
        <v>28</v>
      </c>
    </row>
    <row r="651" spans="1:8">
      <c r="A651" s="190">
        <f t="shared" si="52"/>
        <v>28</v>
      </c>
      <c r="B651" s="193">
        <f t="shared" si="53"/>
        <v>11</v>
      </c>
      <c r="C651" s="190" cm="1">
        <f t="array" aca="1" ref="C651" ca="1">VALUE(LEFT(TRIM(INDIRECT("'" &amp; INT((ROW()-2)/24)+1 &amp; "號'!B" &amp; MOD(ROW()-2,24)+10)), 2))</f>
        <v>9</v>
      </c>
      <c r="D651" s="190">
        <f t="shared" ca="1" si="54"/>
        <v>7</v>
      </c>
      <c r="E651" s="190" t="str" cm="1">
        <f t="array" aca="1" ref="E651" ca="1">INDIRECT("'" &amp; A651 &amp; "號'!" &amp; ADDRESS(B651, D651))</f>
        <v>2</v>
      </c>
      <c r="F651" s="190">
        <f t="shared" ca="1" si="55"/>
        <v>0</v>
      </c>
      <c r="G651" s="190">
        <f ca="1">IF(F651=0, 0, IF(AND(F650=1, C651&lt;&gt;8, OR(C651=C650+1, AND(C650=23, C651=0))), G650, MAX($G$1:G650)+1))</f>
        <v>0</v>
      </c>
      <c r="H651" s="194">
        <f t="shared" si="56"/>
        <v>28</v>
      </c>
    </row>
    <row r="652" spans="1:8">
      <c r="A652" s="190">
        <f t="shared" si="52"/>
        <v>28</v>
      </c>
      <c r="B652" s="193">
        <f t="shared" si="53"/>
        <v>12</v>
      </c>
      <c r="C652" s="190" cm="1">
        <f t="array" aca="1" ref="C652" ca="1">VALUE(LEFT(TRIM(INDIRECT("'" &amp; INT((ROW()-2)/24)+1 &amp; "號'!B" &amp; MOD(ROW()-2,24)+10)), 2))</f>
        <v>10</v>
      </c>
      <c r="D652" s="190">
        <f t="shared" ca="1" si="54"/>
        <v>7</v>
      </c>
      <c r="E652" s="190" t="str" cm="1">
        <f t="array" aca="1" ref="E652" ca="1">INDIRECT("'" &amp; A652 &amp; "號'!" &amp; ADDRESS(B652, D652))</f>
        <v/>
      </c>
      <c r="F652" s="190">
        <f t="shared" ca="1" si="55"/>
        <v>0</v>
      </c>
      <c r="G652" s="190">
        <f ca="1">IF(F652=0, 0, IF(AND(F651=1, C652&lt;&gt;8, OR(C652=C651+1, AND(C651=23, C652=0))), G651, MAX($G$1:G651)+1))</f>
        <v>0</v>
      </c>
      <c r="H652" s="194">
        <f t="shared" si="56"/>
        <v>28</v>
      </c>
    </row>
    <row r="653" spans="1:8">
      <c r="A653" s="190">
        <f t="shared" si="52"/>
        <v>28</v>
      </c>
      <c r="B653" s="193">
        <f t="shared" si="53"/>
        <v>13</v>
      </c>
      <c r="C653" s="190" cm="1">
        <f t="array" aca="1" ref="C653" ca="1">VALUE(LEFT(TRIM(INDIRECT("'" &amp; INT((ROW()-2)/24)+1 &amp; "號'!B" &amp; MOD(ROW()-2,24)+10)), 2))</f>
        <v>11</v>
      </c>
      <c r="D653" s="190">
        <f t="shared" ca="1" si="54"/>
        <v>7</v>
      </c>
      <c r="E653" s="190" t="str" cm="1">
        <f t="array" aca="1" ref="E653" ca="1">INDIRECT("'" &amp; A653 &amp; "號'!" &amp; ADDRESS(B653, D653))</f>
        <v/>
      </c>
      <c r="F653" s="190">
        <f t="shared" ca="1" si="55"/>
        <v>0</v>
      </c>
      <c r="G653" s="190">
        <f ca="1">IF(F653=0, 0, IF(AND(F652=1, C653&lt;&gt;8, OR(C653=C652+1, AND(C652=23, C653=0))), G652, MAX($G$1:G652)+1))</f>
        <v>0</v>
      </c>
      <c r="H653" s="194">
        <f t="shared" si="56"/>
        <v>28</v>
      </c>
    </row>
    <row r="654" spans="1:8">
      <c r="A654" s="190">
        <f t="shared" si="52"/>
        <v>28</v>
      </c>
      <c r="B654" s="193">
        <f t="shared" si="53"/>
        <v>14</v>
      </c>
      <c r="C654" s="190" cm="1">
        <f t="array" aca="1" ref="C654" ca="1">VALUE(LEFT(TRIM(INDIRECT("'" &amp; INT((ROW()-2)/24)+1 &amp; "號'!B" &amp; MOD(ROW()-2,24)+10)), 2))</f>
        <v>12</v>
      </c>
      <c r="D654" s="190">
        <f t="shared" ca="1" si="54"/>
        <v>7</v>
      </c>
      <c r="E654" s="190" t="str" cm="1">
        <f t="array" aca="1" ref="E654" ca="1">INDIRECT("'" &amp; A654 &amp; "號'!" &amp; ADDRESS(B654, D654))</f>
        <v/>
      </c>
      <c r="F654" s="190">
        <f t="shared" ca="1" si="55"/>
        <v>0</v>
      </c>
      <c r="G654" s="190">
        <f ca="1">IF(F654=0, 0, IF(AND(F653=1, C654&lt;&gt;8, OR(C654=C653+1, AND(C653=23, C654=0))), G653, MAX($G$1:G653)+1))</f>
        <v>0</v>
      </c>
      <c r="H654" s="194">
        <f t="shared" si="56"/>
        <v>28</v>
      </c>
    </row>
    <row r="655" spans="1:8">
      <c r="A655" s="190">
        <f t="shared" si="52"/>
        <v>28</v>
      </c>
      <c r="B655" s="193">
        <f t="shared" si="53"/>
        <v>15</v>
      </c>
      <c r="C655" s="190" cm="1">
        <f t="array" aca="1" ref="C655" ca="1">VALUE(LEFT(TRIM(INDIRECT("'" &amp; INT((ROW()-2)/24)+1 &amp; "號'!B" &amp; MOD(ROW()-2,24)+10)), 2))</f>
        <v>13</v>
      </c>
      <c r="D655" s="190">
        <f t="shared" ca="1" si="54"/>
        <v>7</v>
      </c>
      <c r="E655" s="190" t="str" cm="1">
        <f t="array" aca="1" ref="E655" ca="1">INDIRECT("'" &amp; A655 &amp; "號'!" &amp; ADDRESS(B655, D655))</f>
        <v/>
      </c>
      <c r="F655" s="190">
        <f t="shared" ca="1" si="55"/>
        <v>0</v>
      </c>
      <c r="G655" s="190">
        <f ca="1">IF(F655=0, 0, IF(AND(F654=1, C655&lt;&gt;8, OR(C655=C654+1, AND(C654=23, C655=0))), G654, MAX($G$1:G654)+1))</f>
        <v>0</v>
      </c>
      <c r="H655" s="194">
        <f t="shared" si="56"/>
        <v>28</v>
      </c>
    </row>
    <row r="656" spans="1:8">
      <c r="A656" s="190">
        <f t="shared" si="52"/>
        <v>28</v>
      </c>
      <c r="B656" s="193">
        <f t="shared" si="53"/>
        <v>16</v>
      </c>
      <c r="C656" s="190" cm="1">
        <f t="array" aca="1" ref="C656" ca="1">VALUE(LEFT(TRIM(INDIRECT("'" &amp; INT((ROW()-2)/24)+1 &amp; "號'!B" &amp; MOD(ROW()-2,24)+10)), 2))</f>
        <v>14</v>
      </c>
      <c r="D656" s="190">
        <f t="shared" ca="1" si="54"/>
        <v>7</v>
      </c>
      <c r="E656" s="190" t="str" cm="1">
        <f t="array" aca="1" ref="E656" ca="1">INDIRECT("'" &amp; A656 &amp; "號'!" &amp; ADDRESS(B656, D656))</f>
        <v/>
      </c>
      <c r="F656" s="190">
        <f t="shared" ca="1" si="55"/>
        <v>0</v>
      </c>
      <c r="G656" s="190">
        <f ca="1">IF(F656=0, 0, IF(AND(F655=1, C656&lt;&gt;8, OR(C656=C655+1, AND(C655=23, C656=0))), G655, MAX($G$1:G655)+1))</f>
        <v>0</v>
      </c>
      <c r="H656" s="194">
        <f t="shared" si="56"/>
        <v>28</v>
      </c>
    </row>
    <row r="657" spans="1:8">
      <c r="A657" s="190">
        <f t="shared" si="52"/>
        <v>28</v>
      </c>
      <c r="B657" s="193">
        <f t="shared" si="53"/>
        <v>17</v>
      </c>
      <c r="C657" s="190" cm="1">
        <f t="array" aca="1" ref="C657" ca="1">VALUE(LEFT(TRIM(INDIRECT("'" &amp; INT((ROW()-2)/24)+1 &amp; "號'!B" &amp; MOD(ROW()-2,24)+10)), 2))</f>
        <v>15</v>
      </c>
      <c r="D657" s="190">
        <f t="shared" ca="1" si="54"/>
        <v>7</v>
      </c>
      <c r="E657" s="190" t="str" cm="1">
        <f t="array" aca="1" ref="E657" ca="1">INDIRECT("'" &amp; A657 &amp; "號'!" &amp; ADDRESS(B657, D657))</f>
        <v/>
      </c>
      <c r="F657" s="190">
        <f t="shared" ca="1" si="55"/>
        <v>0</v>
      </c>
      <c r="G657" s="190">
        <f ca="1">IF(F657=0, 0, IF(AND(F656=1, C657&lt;&gt;8, OR(C657=C656+1, AND(C656=23, C657=0))), G656, MAX($G$1:G656)+1))</f>
        <v>0</v>
      </c>
      <c r="H657" s="194">
        <f t="shared" si="56"/>
        <v>28</v>
      </c>
    </row>
    <row r="658" spans="1:8">
      <c r="A658" s="190">
        <f t="shared" si="52"/>
        <v>28</v>
      </c>
      <c r="B658" s="193">
        <f t="shared" si="53"/>
        <v>18</v>
      </c>
      <c r="C658" s="190" cm="1">
        <f t="array" aca="1" ref="C658" ca="1">VALUE(LEFT(TRIM(INDIRECT("'" &amp; INT((ROW()-2)/24)+1 &amp; "號'!B" &amp; MOD(ROW()-2,24)+10)), 2))</f>
        <v>16</v>
      </c>
      <c r="D658" s="190">
        <f t="shared" ca="1" si="54"/>
        <v>7</v>
      </c>
      <c r="E658" s="190" t="str" cm="1">
        <f t="array" aca="1" ref="E658" ca="1">INDIRECT("'" &amp; A658 &amp; "號'!" &amp; ADDRESS(B658, D658))</f>
        <v/>
      </c>
      <c r="F658" s="190">
        <f t="shared" ca="1" si="55"/>
        <v>0</v>
      </c>
      <c r="G658" s="190">
        <f ca="1">IF(F658=0, 0, IF(AND(F657=1, C658&lt;&gt;8, OR(C658=C657+1, AND(C657=23, C658=0))), G657, MAX($G$1:G657)+1))</f>
        <v>0</v>
      </c>
      <c r="H658" s="194">
        <f t="shared" si="56"/>
        <v>28</v>
      </c>
    </row>
    <row r="659" spans="1:8">
      <c r="A659" s="190">
        <f t="shared" si="52"/>
        <v>28</v>
      </c>
      <c r="B659" s="193">
        <f t="shared" si="53"/>
        <v>19</v>
      </c>
      <c r="C659" s="190" cm="1">
        <f t="array" aca="1" ref="C659" ca="1">VALUE(LEFT(TRIM(INDIRECT("'" &amp; INT((ROW()-2)/24)+1 &amp; "號'!B" &amp; MOD(ROW()-2,24)+10)), 2))</f>
        <v>17</v>
      </c>
      <c r="D659" s="190">
        <f t="shared" ca="1" si="54"/>
        <v>7</v>
      </c>
      <c r="E659" s="190" t="str" cm="1">
        <f t="array" aca="1" ref="E659" ca="1">INDIRECT("'" &amp; A659 &amp; "號'!" &amp; ADDRESS(B659, D659))</f>
        <v/>
      </c>
      <c r="F659" s="190">
        <f t="shared" ca="1" si="55"/>
        <v>0</v>
      </c>
      <c r="G659" s="190">
        <f ca="1">IF(F659=0, 0, IF(AND(F658=1, C659&lt;&gt;8, OR(C659=C658+1, AND(C658=23, C659=0))), G658, MAX($G$1:G658)+1))</f>
        <v>0</v>
      </c>
      <c r="H659" s="194">
        <f t="shared" si="56"/>
        <v>28</v>
      </c>
    </row>
    <row r="660" spans="1:8">
      <c r="A660" s="190">
        <f t="shared" si="52"/>
        <v>28</v>
      </c>
      <c r="B660" s="193">
        <f t="shared" si="53"/>
        <v>20</v>
      </c>
      <c r="C660" s="190" cm="1">
        <f t="array" aca="1" ref="C660" ca="1">VALUE(LEFT(TRIM(INDIRECT("'" &amp; INT((ROW()-2)/24)+1 &amp; "號'!B" &amp; MOD(ROW()-2,24)+10)), 2))</f>
        <v>18</v>
      </c>
      <c r="D660" s="190">
        <f t="shared" ca="1" si="54"/>
        <v>7</v>
      </c>
      <c r="E660" s="190" t="str" cm="1">
        <f t="array" aca="1" ref="E660" ca="1">INDIRECT("'" &amp; A660 &amp; "號'!" &amp; ADDRESS(B660, D660))</f>
        <v/>
      </c>
      <c r="F660" s="190">
        <f t="shared" ca="1" si="55"/>
        <v>0</v>
      </c>
      <c r="G660" s="190">
        <f ca="1">IF(F660=0, 0, IF(AND(F659=1, C660&lt;&gt;8, OR(C660=C659+1, AND(C659=23, C660=0))), G659, MAX($G$1:G659)+1))</f>
        <v>0</v>
      </c>
      <c r="H660" s="194">
        <f t="shared" si="56"/>
        <v>28</v>
      </c>
    </row>
    <row r="661" spans="1:8">
      <c r="A661" s="190">
        <f t="shared" si="52"/>
        <v>28</v>
      </c>
      <c r="B661" s="193">
        <f t="shared" si="53"/>
        <v>21</v>
      </c>
      <c r="C661" s="190" cm="1">
        <f t="array" aca="1" ref="C661" ca="1">VALUE(LEFT(TRIM(INDIRECT("'" &amp; INT((ROW()-2)/24)+1 &amp; "號'!B" &amp; MOD(ROW()-2,24)+10)), 2))</f>
        <v>19</v>
      </c>
      <c r="D661" s="190">
        <f t="shared" ca="1" si="54"/>
        <v>7</v>
      </c>
      <c r="E661" s="190" t="str" cm="1">
        <f t="array" aca="1" ref="E661" ca="1">INDIRECT("'" &amp; A661 &amp; "號'!" &amp; ADDRESS(B661, D661))</f>
        <v/>
      </c>
      <c r="F661" s="190">
        <f t="shared" ca="1" si="55"/>
        <v>0</v>
      </c>
      <c r="G661" s="190">
        <f ca="1">IF(F661=0, 0, IF(AND(F660=1, C661&lt;&gt;8, OR(C661=C660+1, AND(C660=23, C661=0))), G660, MAX($G$1:G660)+1))</f>
        <v>0</v>
      </c>
      <c r="H661" s="194">
        <f t="shared" si="56"/>
        <v>28</v>
      </c>
    </row>
    <row r="662" spans="1:8">
      <c r="A662" s="190">
        <f t="shared" si="52"/>
        <v>28</v>
      </c>
      <c r="B662" s="193">
        <f t="shared" si="53"/>
        <v>22</v>
      </c>
      <c r="C662" s="190" cm="1">
        <f t="array" aca="1" ref="C662" ca="1">VALUE(LEFT(TRIM(INDIRECT("'" &amp; INT((ROW()-2)/24)+1 &amp; "號'!B" &amp; MOD(ROW()-2,24)+10)), 2))</f>
        <v>20</v>
      </c>
      <c r="D662" s="190">
        <f t="shared" ca="1" si="54"/>
        <v>7</v>
      </c>
      <c r="E662" s="190" t="str" cm="1">
        <f t="array" aca="1" ref="E662" ca="1">INDIRECT("'" &amp; A662 &amp; "號'!" &amp; ADDRESS(B662, D662))</f>
        <v/>
      </c>
      <c r="F662" s="190">
        <f t="shared" ca="1" si="55"/>
        <v>0</v>
      </c>
      <c r="G662" s="190">
        <f ca="1">IF(F662=0, 0, IF(AND(F661=1, C662&lt;&gt;8, OR(C662=C661+1, AND(C661=23, C662=0))), G661, MAX($G$1:G661)+1))</f>
        <v>0</v>
      </c>
      <c r="H662" s="194">
        <f t="shared" si="56"/>
        <v>28</v>
      </c>
    </row>
    <row r="663" spans="1:8">
      <c r="A663" s="190">
        <f t="shared" si="52"/>
        <v>28</v>
      </c>
      <c r="B663" s="193">
        <f t="shared" si="53"/>
        <v>23</v>
      </c>
      <c r="C663" s="190" cm="1">
        <f t="array" aca="1" ref="C663" ca="1">VALUE(LEFT(TRIM(INDIRECT("'" &amp; INT((ROW()-2)/24)+1 &amp; "號'!B" &amp; MOD(ROW()-2,24)+10)), 2))</f>
        <v>21</v>
      </c>
      <c r="D663" s="190">
        <f t="shared" ca="1" si="54"/>
        <v>7</v>
      </c>
      <c r="E663" s="190" t="str" cm="1">
        <f t="array" aca="1" ref="E663" ca="1">INDIRECT("'" &amp; A663 &amp; "號'!" &amp; ADDRESS(B663, D663))</f>
        <v/>
      </c>
      <c r="F663" s="190">
        <f t="shared" ca="1" si="55"/>
        <v>0</v>
      </c>
      <c r="G663" s="190">
        <f ca="1">IF(F663=0, 0, IF(AND(F662=1, C663&lt;&gt;8, OR(C663=C662+1, AND(C662=23, C663=0))), G662, MAX($G$1:G662)+1))</f>
        <v>0</v>
      </c>
      <c r="H663" s="194">
        <f t="shared" si="56"/>
        <v>28</v>
      </c>
    </row>
    <row r="664" spans="1:8">
      <c r="A664" s="190">
        <f t="shared" si="52"/>
        <v>28</v>
      </c>
      <c r="B664" s="193">
        <f t="shared" si="53"/>
        <v>24</v>
      </c>
      <c r="C664" s="190" cm="1">
        <f t="array" aca="1" ref="C664" ca="1">VALUE(LEFT(TRIM(INDIRECT("'" &amp; INT((ROW()-2)/24)+1 &amp; "號'!B" &amp; MOD(ROW()-2,24)+10)), 2))</f>
        <v>22</v>
      </c>
      <c r="D664" s="190">
        <f t="shared" ca="1" si="54"/>
        <v>7</v>
      </c>
      <c r="E664" s="190" t="str" cm="1">
        <f t="array" aca="1" ref="E664" ca="1">INDIRECT("'" &amp; A664 &amp; "號'!" &amp; ADDRESS(B664, D664))</f>
        <v/>
      </c>
      <c r="F664" s="190">
        <f t="shared" ca="1" si="55"/>
        <v>0</v>
      </c>
      <c r="G664" s="190">
        <f ca="1">IF(F664=0, 0, IF(AND(F663=1, C664&lt;&gt;8, OR(C664=C663+1, AND(C663=23, C664=0))), G663, MAX($G$1:G663)+1))</f>
        <v>0</v>
      </c>
      <c r="H664" s="194">
        <f t="shared" si="56"/>
        <v>28</v>
      </c>
    </row>
    <row r="665" spans="1:8">
      <c r="A665" s="190">
        <f t="shared" si="52"/>
        <v>28</v>
      </c>
      <c r="B665" s="193">
        <f t="shared" si="53"/>
        <v>25</v>
      </c>
      <c r="C665" s="190" cm="1">
        <f t="array" aca="1" ref="C665" ca="1">VALUE(LEFT(TRIM(INDIRECT("'" &amp; INT((ROW()-2)/24)+1 &amp; "號'!B" &amp; MOD(ROW()-2,24)+10)), 2))</f>
        <v>23</v>
      </c>
      <c r="D665" s="190">
        <f t="shared" ca="1" si="54"/>
        <v>7</v>
      </c>
      <c r="E665" s="190" t="str" cm="1">
        <f t="array" aca="1" ref="E665" ca="1">INDIRECT("'" &amp; A665 &amp; "號'!" &amp; ADDRESS(B665, D665))</f>
        <v/>
      </c>
      <c r="F665" s="190">
        <f t="shared" ca="1" si="55"/>
        <v>0</v>
      </c>
      <c r="G665" s="190">
        <f ca="1">IF(F665=0, 0, IF(AND(F664=1, C665&lt;&gt;8, OR(C665=C664+1, AND(C664=23, C665=0))), G664, MAX($G$1:G664)+1))</f>
        <v>0</v>
      </c>
      <c r="H665" s="194">
        <f t="shared" si="56"/>
        <v>28</v>
      </c>
    </row>
    <row r="666" spans="1:8">
      <c r="A666" s="190">
        <f t="shared" si="52"/>
        <v>28</v>
      </c>
      <c r="B666" s="193">
        <f t="shared" si="53"/>
        <v>26</v>
      </c>
      <c r="C666" s="190" cm="1">
        <f t="array" aca="1" ref="C666" ca="1">VALUE(LEFT(TRIM(INDIRECT("'" &amp; INT((ROW()-2)/24)+1 &amp; "號'!B" &amp; MOD(ROW()-2,24)+10)), 2))</f>
        <v>0</v>
      </c>
      <c r="D666" s="190">
        <f t="shared" ca="1" si="54"/>
        <v>7</v>
      </c>
      <c r="E666" s="190" t="str" cm="1">
        <f t="array" aca="1" ref="E666" ca="1">INDIRECT("'" &amp; A666 &amp; "號'!" &amp; ADDRESS(B666, D666))</f>
        <v/>
      </c>
      <c r="F666" s="190">
        <f t="shared" ca="1" si="55"/>
        <v>0</v>
      </c>
      <c r="G666" s="190">
        <f ca="1">IF(F666=0, 0, IF(AND(F665=1, C666&lt;&gt;8, OR(C666=C665+1, AND(C665=23, C666=0))), G665, MAX($G$1:G665)+1))</f>
        <v>0</v>
      </c>
      <c r="H666" s="194">
        <f t="shared" si="56"/>
        <v>28</v>
      </c>
    </row>
    <row r="667" spans="1:8">
      <c r="A667" s="190">
        <f t="shared" si="52"/>
        <v>28</v>
      </c>
      <c r="B667" s="193">
        <f t="shared" si="53"/>
        <v>27</v>
      </c>
      <c r="C667" s="190" cm="1">
        <f t="array" aca="1" ref="C667" ca="1">VALUE(LEFT(TRIM(INDIRECT("'" &amp; INT((ROW()-2)/24)+1 &amp; "號'!B" &amp; MOD(ROW()-2,24)+10)), 2))</f>
        <v>1</v>
      </c>
      <c r="D667" s="190">
        <f t="shared" ca="1" si="54"/>
        <v>7</v>
      </c>
      <c r="E667" s="190" t="str" cm="1">
        <f t="array" aca="1" ref="E667" ca="1">INDIRECT("'" &amp; A667 &amp; "號'!" &amp; ADDRESS(B667, D667))</f>
        <v/>
      </c>
      <c r="F667" s="190">
        <f t="shared" ca="1" si="55"/>
        <v>0</v>
      </c>
      <c r="G667" s="190">
        <f ca="1">IF(F667=0, 0, IF(AND(F666=1, C667&lt;&gt;8, OR(C667=C666+1, AND(C666=23, C667=0))), G666, MAX($G$1:G666)+1))</f>
        <v>0</v>
      </c>
      <c r="H667" s="194">
        <f t="shared" si="56"/>
        <v>28</v>
      </c>
    </row>
    <row r="668" spans="1:8">
      <c r="A668" s="190">
        <f t="shared" si="52"/>
        <v>28</v>
      </c>
      <c r="B668" s="193">
        <f t="shared" si="53"/>
        <v>28</v>
      </c>
      <c r="C668" s="190" cm="1">
        <f t="array" aca="1" ref="C668" ca="1">VALUE(LEFT(TRIM(INDIRECT("'" &amp; INT((ROW()-2)/24)+1 &amp; "號'!B" &amp; MOD(ROW()-2,24)+10)), 2))</f>
        <v>2</v>
      </c>
      <c r="D668" s="190">
        <f t="shared" ca="1" si="54"/>
        <v>7</v>
      </c>
      <c r="E668" s="190" t="str" cm="1">
        <f t="array" aca="1" ref="E668" ca="1">INDIRECT("'" &amp; A668 &amp; "號'!" &amp; ADDRESS(B668, D668))</f>
        <v/>
      </c>
      <c r="F668" s="190">
        <f t="shared" ca="1" si="55"/>
        <v>0</v>
      </c>
      <c r="G668" s="190">
        <f ca="1">IF(F668=0, 0, IF(AND(F667=1, C668&lt;&gt;8, OR(C668=C667+1, AND(C667=23, C668=0))), G667, MAX($G$1:G667)+1))</f>
        <v>0</v>
      </c>
      <c r="H668" s="194">
        <f t="shared" si="56"/>
        <v>28</v>
      </c>
    </row>
    <row r="669" spans="1:8">
      <c r="A669" s="190">
        <f t="shared" si="52"/>
        <v>28</v>
      </c>
      <c r="B669" s="193">
        <f t="shared" si="53"/>
        <v>29</v>
      </c>
      <c r="C669" s="190" cm="1">
        <f t="array" aca="1" ref="C669" ca="1">VALUE(LEFT(TRIM(INDIRECT("'" &amp; INT((ROW()-2)/24)+1 &amp; "號'!B" &amp; MOD(ROW()-2,24)+10)), 2))</f>
        <v>3</v>
      </c>
      <c r="D669" s="190">
        <f t="shared" ca="1" si="54"/>
        <v>7</v>
      </c>
      <c r="E669" s="190" t="str" cm="1">
        <f t="array" aca="1" ref="E669" ca="1">INDIRECT("'" &amp; A669 &amp; "號'!" &amp; ADDRESS(B669, D669))</f>
        <v/>
      </c>
      <c r="F669" s="190">
        <f t="shared" ca="1" si="55"/>
        <v>0</v>
      </c>
      <c r="G669" s="190">
        <f ca="1">IF(F669=0, 0, IF(AND(F668=1, C669&lt;&gt;8, OR(C669=C668+1, AND(C668=23, C669=0))), G668, MAX($G$1:G668)+1))</f>
        <v>0</v>
      </c>
      <c r="H669" s="194">
        <f t="shared" si="56"/>
        <v>28</v>
      </c>
    </row>
    <row r="670" spans="1:8">
      <c r="A670" s="190">
        <f t="shared" si="52"/>
        <v>28</v>
      </c>
      <c r="B670" s="193">
        <f t="shared" si="53"/>
        <v>30</v>
      </c>
      <c r="C670" s="190" cm="1">
        <f t="array" aca="1" ref="C670" ca="1">VALUE(LEFT(TRIM(INDIRECT("'" &amp; INT((ROW()-2)/24)+1 &amp; "號'!B" &amp; MOD(ROW()-2,24)+10)), 2))</f>
        <v>4</v>
      </c>
      <c r="D670" s="190">
        <f t="shared" ca="1" si="54"/>
        <v>7</v>
      </c>
      <c r="E670" s="190" t="str" cm="1">
        <f t="array" aca="1" ref="E670" ca="1">INDIRECT("'" &amp; A670 &amp; "號'!" &amp; ADDRESS(B670, D670))</f>
        <v/>
      </c>
      <c r="F670" s="190">
        <f t="shared" ca="1" si="55"/>
        <v>0</v>
      </c>
      <c r="G670" s="190">
        <f ca="1">IF(F670=0, 0, IF(AND(F669=1, C670&lt;&gt;8, OR(C670=C669+1, AND(C669=23, C670=0))), G669, MAX($G$1:G669)+1))</f>
        <v>0</v>
      </c>
      <c r="H670" s="194">
        <f t="shared" si="56"/>
        <v>28</v>
      </c>
    </row>
    <row r="671" spans="1:8">
      <c r="A671" s="190">
        <f t="shared" si="52"/>
        <v>28</v>
      </c>
      <c r="B671" s="193">
        <f t="shared" si="53"/>
        <v>31</v>
      </c>
      <c r="C671" s="190" cm="1">
        <f t="array" aca="1" ref="C671" ca="1">VALUE(LEFT(TRIM(INDIRECT("'" &amp; INT((ROW()-2)/24)+1 &amp; "號'!B" &amp; MOD(ROW()-2,24)+10)), 2))</f>
        <v>5</v>
      </c>
      <c r="D671" s="190">
        <f t="shared" ca="1" si="54"/>
        <v>7</v>
      </c>
      <c r="E671" s="190" t="str" cm="1">
        <f t="array" aca="1" ref="E671" ca="1">INDIRECT("'" &amp; A671 &amp; "號'!" &amp; ADDRESS(B671, D671))</f>
        <v/>
      </c>
      <c r="F671" s="190">
        <f t="shared" ca="1" si="55"/>
        <v>0</v>
      </c>
      <c r="G671" s="190">
        <f ca="1">IF(F671=0, 0, IF(AND(F670=1, C671&lt;&gt;8, OR(C671=C670+1, AND(C670=23, C671=0))), G670, MAX($G$1:G670)+1))</f>
        <v>0</v>
      </c>
      <c r="H671" s="194">
        <f t="shared" si="56"/>
        <v>28</v>
      </c>
    </row>
    <row r="672" spans="1:8">
      <c r="A672" s="190">
        <f t="shared" si="52"/>
        <v>28</v>
      </c>
      <c r="B672" s="193">
        <f t="shared" si="53"/>
        <v>32</v>
      </c>
      <c r="C672" s="190" cm="1">
        <f t="array" aca="1" ref="C672" ca="1">VALUE(LEFT(TRIM(INDIRECT("'" &amp; INT((ROW()-2)/24)+1 &amp; "號'!B" &amp; MOD(ROW()-2,24)+10)), 2))</f>
        <v>6</v>
      </c>
      <c r="D672" s="190">
        <f t="shared" ca="1" si="54"/>
        <v>7</v>
      </c>
      <c r="E672" s="190" t="str" cm="1">
        <f t="array" aca="1" ref="E672" ca="1">INDIRECT("'" &amp; A672 &amp; "號'!" &amp; ADDRESS(B672, D672))</f>
        <v>3</v>
      </c>
      <c r="F672" s="190">
        <f t="shared" ca="1" si="55"/>
        <v>0</v>
      </c>
      <c r="G672" s="190">
        <f ca="1">IF(F672=0, 0, IF(AND(F671=1, C672&lt;&gt;8, OR(C672=C671+1, AND(C671=23, C672=0))), G671, MAX($G$1:G671)+1))</f>
        <v>0</v>
      </c>
      <c r="H672" s="194">
        <f t="shared" si="56"/>
        <v>28</v>
      </c>
    </row>
    <row r="673" spans="1:8">
      <c r="A673" s="190">
        <f t="shared" si="52"/>
        <v>28</v>
      </c>
      <c r="B673" s="193">
        <f t="shared" si="53"/>
        <v>33</v>
      </c>
      <c r="C673" s="190" cm="1">
        <f t="array" aca="1" ref="C673" ca="1">VALUE(LEFT(TRIM(INDIRECT("'" &amp; INT((ROW()-2)/24)+1 &amp; "號'!B" &amp; MOD(ROW()-2,24)+10)), 2))</f>
        <v>7</v>
      </c>
      <c r="D673" s="190">
        <f t="shared" ca="1" si="54"/>
        <v>7</v>
      </c>
      <c r="E673" s="190" t="str" cm="1">
        <f t="array" aca="1" ref="E673" ca="1">INDIRECT("'" &amp; A673 &amp; "號'!" &amp; ADDRESS(B673, D673))</f>
        <v>3</v>
      </c>
      <c r="F673" s="190">
        <f t="shared" ca="1" si="55"/>
        <v>0</v>
      </c>
      <c r="G673" s="190">
        <f ca="1">IF(F673=0, 0, IF(AND(F672=1, C673&lt;&gt;8, OR(C673=C672+1, AND(C672=23, C673=0))), G672, MAX($G$1:G672)+1))</f>
        <v>0</v>
      </c>
      <c r="H673" s="194">
        <f t="shared" si="56"/>
        <v>28</v>
      </c>
    </row>
    <row r="674" spans="1:8">
      <c r="A674" s="190">
        <f t="shared" si="52"/>
        <v>29</v>
      </c>
      <c r="B674" s="193">
        <f t="shared" si="53"/>
        <v>10</v>
      </c>
      <c r="C674" s="190" cm="1">
        <f t="array" aca="1" ref="C674" ca="1">VALUE(LEFT(TRIM(INDIRECT("'" &amp; INT((ROW()-2)/24)+1 &amp; "號'!B" &amp; MOD(ROW()-2,24)+10)), 2))</f>
        <v>8</v>
      </c>
      <c r="D674" s="190">
        <f t="shared" ca="1" si="54"/>
        <v>7</v>
      </c>
      <c r="E674" s="190" t="str" cm="1">
        <f t="array" aca="1" ref="E674" ca="1">INDIRECT("'" &amp; A674 &amp; "號'!" &amp; ADDRESS(B674, D674))</f>
        <v>1</v>
      </c>
      <c r="F674" s="190">
        <f t="shared" ca="1" si="55"/>
        <v>0</v>
      </c>
      <c r="G674" s="190">
        <f ca="1">IF(F674=0, 0, IF(AND(F673=1, C674&lt;&gt;8, OR(C674=C673+1, AND(C673=23, C674=0))), G673, MAX($G$1:G673)+1))</f>
        <v>0</v>
      </c>
      <c r="H674" s="194">
        <f t="shared" si="56"/>
        <v>29</v>
      </c>
    </row>
    <row r="675" spans="1:8">
      <c r="A675" s="190">
        <f t="shared" si="52"/>
        <v>29</v>
      </c>
      <c r="B675" s="193">
        <f t="shared" si="53"/>
        <v>11</v>
      </c>
      <c r="C675" s="190" cm="1">
        <f t="array" aca="1" ref="C675" ca="1">VALUE(LEFT(TRIM(INDIRECT("'" &amp; INT((ROW()-2)/24)+1 &amp; "號'!B" &amp; MOD(ROW()-2,24)+10)), 2))</f>
        <v>9</v>
      </c>
      <c r="D675" s="190">
        <f t="shared" ca="1" si="54"/>
        <v>7</v>
      </c>
      <c r="E675" s="190" t="str" cm="1">
        <f t="array" aca="1" ref="E675" ca="1">INDIRECT("'" &amp; A675 &amp; "號'!" &amp; ADDRESS(B675, D675))</f>
        <v>1</v>
      </c>
      <c r="F675" s="190">
        <f t="shared" ca="1" si="55"/>
        <v>0</v>
      </c>
      <c r="G675" s="190">
        <f ca="1">IF(F675=0, 0, IF(AND(F674=1, C675&lt;&gt;8, OR(C675=C674+1, AND(C674=23, C675=0))), G674, MAX($G$1:G674)+1))</f>
        <v>0</v>
      </c>
      <c r="H675" s="194">
        <f t="shared" si="56"/>
        <v>29</v>
      </c>
    </row>
    <row r="676" spans="1:8">
      <c r="A676" s="190">
        <f t="shared" si="52"/>
        <v>29</v>
      </c>
      <c r="B676" s="193">
        <f t="shared" si="53"/>
        <v>12</v>
      </c>
      <c r="C676" s="190" cm="1">
        <f t="array" aca="1" ref="C676" ca="1">VALUE(LEFT(TRIM(INDIRECT("'" &amp; INT((ROW()-2)/24)+1 &amp; "號'!B" &amp; MOD(ROW()-2,24)+10)), 2))</f>
        <v>10</v>
      </c>
      <c r="D676" s="190">
        <f t="shared" ca="1" si="54"/>
        <v>7</v>
      </c>
      <c r="E676" s="190" t="str" cm="1">
        <f t="array" aca="1" ref="E676" ca="1">INDIRECT("'" &amp; A676 &amp; "號'!" &amp; ADDRESS(B676, D676))</f>
        <v/>
      </c>
      <c r="F676" s="190">
        <f t="shared" ca="1" si="55"/>
        <v>0</v>
      </c>
      <c r="G676" s="190">
        <f ca="1">IF(F676=0, 0, IF(AND(F675=1, C676&lt;&gt;8, OR(C676=C675+1, AND(C675=23, C676=0))), G675, MAX($G$1:G675)+1))</f>
        <v>0</v>
      </c>
      <c r="H676" s="194">
        <f t="shared" si="56"/>
        <v>29</v>
      </c>
    </row>
    <row r="677" spans="1:8">
      <c r="A677" s="190">
        <f t="shared" si="52"/>
        <v>29</v>
      </c>
      <c r="B677" s="193">
        <f t="shared" si="53"/>
        <v>13</v>
      </c>
      <c r="C677" s="190" cm="1">
        <f t="array" aca="1" ref="C677" ca="1">VALUE(LEFT(TRIM(INDIRECT("'" &amp; INT((ROW()-2)/24)+1 &amp; "號'!B" &amp; MOD(ROW()-2,24)+10)), 2))</f>
        <v>11</v>
      </c>
      <c r="D677" s="190">
        <f t="shared" ca="1" si="54"/>
        <v>7</v>
      </c>
      <c r="E677" s="190" t="str" cm="1">
        <f t="array" aca="1" ref="E677" ca="1">INDIRECT("'" &amp; A677 &amp; "號'!" &amp; ADDRESS(B677, D677))</f>
        <v/>
      </c>
      <c r="F677" s="190">
        <f t="shared" ca="1" si="55"/>
        <v>0</v>
      </c>
      <c r="G677" s="190">
        <f ca="1">IF(F677=0, 0, IF(AND(F676=1, C677&lt;&gt;8, OR(C677=C676+1, AND(C676=23, C677=0))), G676, MAX($G$1:G676)+1))</f>
        <v>0</v>
      </c>
      <c r="H677" s="194">
        <f t="shared" si="56"/>
        <v>29</v>
      </c>
    </row>
    <row r="678" spans="1:8">
      <c r="A678" s="190">
        <f t="shared" si="52"/>
        <v>29</v>
      </c>
      <c r="B678" s="193">
        <f t="shared" si="53"/>
        <v>14</v>
      </c>
      <c r="C678" s="190" cm="1">
        <f t="array" aca="1" ref="C678" ca="1">VALUE(LEFT(TRIM(INDIRECT("'" &amp; INT((ROW()-2)/24)+1 &amp; "號'!B" &amp; MOD(ROW()-2,24)+10)), 2))</f>
        <v>12</v>
      </c>
      <c r="D678" s="190">
        <f t="shared" ca="1" si="54"/>
        <v>7</v>
      </c>
      <c r="E678" s="190" t="str" cm="1">
        <f t="array" aca="1" ref="E678" ca="1">INDIRECT("'" &amp; A678 &amp; "號'!" &amp; ADDRESS(B678, D678))</f>
        <v/>
      </c>
      <c r="F678" s="190">
        <f t="shared" ca="1" si="55"/>
        <v>0</v>
      </c>
      <c r="G678" s="190">
        <f ca="1">IF(F678=0, 0, IF(AND(F677=1, C678&lt;&gt;8, OR(C678=C677+1, AND(C677=23, C678=0))), G677, MAX($G$1:G677)+1))</f>
        <v>0</v>
      </c>
      <c r="H678" s="194">
        <f t="shared" si="56"/>
        <v>29</v>
      </c>
    </row>
    <row r="679" spans="1:8">
      <c r="A679" s="190">
        <f t="shared" si="52"/>
        <v>29</v>
      </c>
      <c r="B679" s="193">
        <f t="shared" si="53"/>
        <v>15</v>
      </c>
      <c r="C679" s="190" cm="1">
        <f t="array" aca="1" ref="C679" ca="1">VALUE(LEFT(TRIM(INDIRECT("'" &amp; INT((ROW()-2)/24)+1 &amp; "號'!B" &amp; MOD(ROW()-2,24)+10)), 2))</f>
        <v>13</v>
      </c>
      <c r="D679" s="190">
        <f t="shared" ca="1" si="54"/>
        <v>7</v>
      </c>
      <c r="E679" s="190" t="str" cm="1">
        <f t="array" aca="1" ref="E679" ca="1">INDIRECT("'" &amp; A679 &amp; "號'!" &amp; ADDRESS(B679, D679))</f>
        <v/>
      </c>
      <c r="F679" s="190">
        <f t="shared" ca="1" si="55"/>
        <v>0</v>
      </c>
      <c r="G679" s="190">
        <f ca="1">IF(F679=0, 0, IF(AND(F678=1, C679&lt;&gt;8, OR(C679=C678+1, AND(C678=23, C679=0))), G678, MAX($G$1:G678)+1))</f>
        <v>0</v>
      </c>
      <c r="H679" s="194">
        <f t="shared" si="56"/>
        <v>29</v>
      </c>
    </row>
    <row r="680" spans="1:8">
      <c r="A680" s="190">
        <f t="shared" si="52"/>
        <v>29</v>
      </c>
      <c r="B680" s="193">
        <f t="shared" si="53"/>
        <v>16</v>
      </c>
      <c r="C680" s="190" cm="1">
        <f t="array" aca="1" ref="C680" ca="1">VALUE(LEFT(TRIM(INDIRECT("'" &amp; INT((ROW()-2)/24)+1 &amp; "號'!B" &amp; MOD(ROW()-2,24)+10)), 2))</f>
        <v>14</v>
      </c>
      <c r="D680" s="190">
        <f t="shared" ca="1" si="54"/>
        <v>7</v>
      </c>
      <c r="E680" s="190" t="str" cm="1">
        <f t="array" aca="1" ref="E680" ca="1">INDIRECT("'" &amp; A680 &amp; "號'!" &amp; ADDRESS(B680, D680))</f>
        <v/>
      </c>
      <c r="F680" s="190">
        <f t="shared" ca="1" si="55"/>
        <v>0</v>
      </c>
      <c r="G680" s="190">
        <f ca="1">IF(F680=0, 0, IF(AND(F679=1, C680&lt;&gt;8, OR(C680=C679+1, AND(C679=23, C680=0))), G679, MAX($G$1:G679)+1))</f>
        <v>0</v>
      </c>
      <c r="H680" s="194">
        <f t="shared" si="56"/>
        <v>29</v>
      </c>
    </row>
    <row r="681" spans="1:8">
      <c r="A681" s="190">
        <f t="shared" si="52"/>
        <v>29</v>
      </c>
      <c r="B681" s="193">
        <f t="shared" si="53"/>
        <v>17</v>
      </c>
      <c r="C681" s="190" cm="1">
        <f t="array" aca="1" ref="C681" ca="1">VALUE(LEFT(TRIM(INDIRECT("'" &amp; INT((ROW()-2)/24)+1 &amp; "號'!B" &amp; MOD(ROW()-2,24)+10)), 2))</f>
        <v>15</v>
      </c>
      <c r="D681" s="190">
        <f t="shared" ca="1" si="54"/>
        <v>7</v>
      </c>
      <c r="E681" s="190" t="str" cm="1">
        <f t="array" aca="1" ref="E681" ca="1">INDIRECT("'" &amp; A681 &amp; "號'!" &amp; ADDRESS(B681, D681))</f>
        <v/>
      </c>
      <c r="F681" s="190">
        <f t="shared" ca="1" si="55"/>
        <v>0</v>
      </c>
      <c r="G681" s="190">
        <f ca="1">IF(F681=0, 0, IF(AND(F680=1, C681&lt;&gt;8, OR(C681=C680+1, AND(C680=23, C681=0))), G680, MAX($G$1:G680)+1))</f>
        <v>0</v>
      </c>
      <c r="H681" s="194">
        <f t="shared" si="56"/>
        <v>29</v>
      </c>
    </row>
    <row r="682" spans="1:8">
      <c r="A682" s="190">
        <f t="shared" si="52"/>
        <v>29</v>
      </c>
      <c r="B682" s="193">
        <f t="shared" si="53"/>
        <v>18</v>
      </c>
      <c r="C682" s="190" cm="1">
        <f t="array" aca="1" ref="C682" ca="1">VALUE(LEFT(TRIM(INDIRECT("'" &amp; INT((ROW()-2)/24)+1 &amp; "號'!B" &amp; MOD(ROW()-2,24)+10)), 2))</f>
        <v>16</v>
      </c>
      <c r="D682" s="190">
        <f t="shared" ca="1" si="54"/>
        <v>7</v>
      </c>
      <c r="E682" s="190" t="str" cm="1">
        <f t="array" aca="1" ref="E682" ca="1">INDIRECT("'" &amp; A682 &amp; "號'!" &amp; ADDRESS(B682, D682))</f>
        <v/>
      </c>
      <c r="F682" s="190">
        <f t="shared" ca="1" si="55"/>
        <v>0</v>
      </c>
      <c r="G682" s="190">
        <f ca="1">IF(F682=0, 0, IF(AND(F681=1, C682&lt;&gt;8, OR(C682=C681+1, AND(C681=23, C682=0))), G681, MAX($G$1:G681)+1))</f>
        <v>0</v>
      </c>
      <c r="H682" s="194">
        <f t="shared" si="56"/>
        <v>29</v>
      </c>
    </row>
    <row r="683" spans="1:8">
      <c r="A683" s="190">
        <f t="shared" si="52"/>
        <v>29</v>
      </c>
      <c r="B683" s="193">
        <f t="shared" si="53"/>
        <v>19</v>
      </c>
      <c r="C683" s="190" cm="1">
        <f t="array" aca="1" ref="C683" ca="1">VALUE(LEFT(TRIM(INDIRECT("'" &amp; INT((ROW()-2)/24)+1 &amp; "號'!B" &amp; MOD(ROW()-2,24)+10)), 2))</f>
        <v>17</v>
      </c>
      <c r="D683" s="190">
        <f t="shared" ca="1" si="54"/>
        <v>7</v>
      </c>
      <c r="E683" s="190" t="str" cm="1">
        <f t="array" aca="1" ref="E683" ca="1">INDIRECT("'" &amp; A683 &amp; "號'!" &amp; ADDRESS(B683, D683))</f>
        <v/>
      </c>
      <c r="F683" s="190">
        <f t="shared" ca="1" si="55"/>
        <v>0</v>
      </c>
      <c r="G683" s="190">
        <f ca="1">IF(F683=0, 0, IF(AND(F682=1, C683&lt;&gt;8, OR(C683=C682+1, AND(C682=23, C683=0))), G682, MAX($G$1:G682)+1))</f>
        <v>0</v>
      </c>
      <c r="H683" s="194">
        <f t="shared" si="56"/>
        <v>29</v>
      </c>
    </row>
    <row r="684" spans="1:8">
      <c r="A684" s="190">
        <f t="shared" si="52"/>
        <v>29</v>
      </c>
      <c r="B684" s="193">
        <f t="shared" si="53"/>
        <v>20</v>
      </c>
      <c r="C684" s="190" cm="1">
        <f t="array" aca="1" ref="C684" ca="1">VALUE(LEFT(TRIM(INDIRECT("'" &amp; INT((ROW()-2)/24)+1 &amp; "號'!B" &amp; MOD(ROW()-2,24)+10)), 2))</f>
        <v>18</v>
      </c>
      <c r="D684" s="190">
        <f t="shared" ca="1" si="54"/>
        <v>7</v>
      </c>
      <c r="E684" s="190" t="str" cm="1">
        <f t="array" aca="1" ref="E684" ca="1">INDIRECT("'" &amp; A684 &amp; "號'!" &amp; ADDRESS(B684, D684))</f>
        <v/>
      </c>
      <c r="F684" s="190">
        <f t="shared" ca="1" si="55"/>
        <v>0</v>
      </c>
      <c r="G684" s="190">
        <f ca="1">IF(F684=0, 0, IF(AND(F683=1, C684&lt;&gt;8, OR(C684=C683+1, AND(C683=23, C684=0))), G683, MAX($G$1:G683)+1))</f>
        <v>0</v>
      </c>
      <c r="H684" s="194">
        <f t="shared" si="56"/>
        <v>29</v>
      </c>
    </row>
    <row r="685" spans="1:8">
      <c r="A685" s="190">
        <f t="shared" si="52"/>
        <v>29</v>
      </c>
      <c r="B685" s="193">
        <f t="shared" si="53"/>
        <v>21</v>
      </c>
      <c r="C685" s="190" cm="1">
        <f t="array" aca="1" ref="C685" ca="1">VALUE(LEFT(TRIM(INDIRECT("'" &amp; INT((ROW()-2)/24)+1 &amp; "號'!B" &amp; MOD(ROW()-2,24)+10)), 2))</f>
        <v>19</v>
      </c>
      <c r="D685" s="190">
        <f t="shared" ca="1" si="54"/>
        <v>7</v>
      </c>
      <c r="E685" s="190" t="str" cm="1">
        <f t="array" aca="1" ref="E685" ca="1">INDIRECT("'" &amp; A685 &amp; "號'!" &amp; ADDRESS(B685, D685))</f>
        <v/>
      </c>
      <c r="F685" s="190">
        <f t="shared" ca="1" si="55"/>
        <v>0</v>
      </c>
      <c r="G685" s="190">
        <f ca="1">IF(F685=0, 0, IF(AND(F684=1, C685&lt;&gt;8, OR(C685=C684+1, AND(C684=23, C685=0))), G684, MAX($G$1:G684)+1))</f>
        <v>0</v>
      </c>
      <c r="H685" s="194">
        <f t="shared" si="56"/>
        <v>29</v>
      </c>
    </row>
    <row r="686" spans="1:8">
      <c r="A686" s="190">
        <f t="shared" si="52"/>
        <v>29</v>
      </c>
      <c r="B686" s="193">
        <f t="shared" si="53"/>
        <v>22</v>
      </c>
      <c r="C686" s="190" cm="1">
        <f t="array" aca="1" ref="C686" ca="1">VALUE(LEFT(TRIM(INDIRECT("'" &amp; INT((ROW()-2)/24)+1 &amp; "號'!B" &amp; MOD(ROW()-2,24)+10)), 2))</f>
        <v>20</v>
      </c>
      <c r="D686" s="190">
        <f t="shared" ca="1" si="54"/>
        <v>7</v>
      </c>
      <c r="E686" s="190" t="str" cm="1">
        <f t="array" aca="1" ref="E686" ca="1">INDIRECT("'" &amp; A686 &amp; "號'!" &amp; ADDRESS(B686, D686))</f>
        <v/>
      </c>
      <c r="F686" s="190">
        <f t="shared" ca="1" si="55"/>
        <v>0</v>
      </c>
      <c r="G686" s="190">
        <f ca="1">IF(F686=0, 0, IF(AND(F685=1, C686&lt;&gt;8, OR(C686=C685+1, AND(C685=23, C686=0))), G685, MAX($G$1:G685)+1))</f>
        <v>0</v>
      </c>
      <c r="H686" s="194">
        <f t="shared" si="56"/>
        <v>29</v>
      </c>
    </row>
    <row r="687" spans="1:8">
      <c r="A687" s="190">
        <f t="shared" si="52"/>
        <v>29</v>
      </c>
      <c r="B687" s="193">
        <f t="shared" si="53"/>
        <v>23</v>
      </c>
      <c r="C687" s="190" cm="1">
        <f t="array" aca="1" ref="C687" ca="1">VALUE(LEFT(TRIM(INDIRECT("'" &amp; INT((ROW()-2)/24)+1 &amp; "號'!B" &amp; MOD(ROW()-2,24)+10)), 2))</f>
        <v>21</v>
      </c>
      <c r="D687" s="190">
        <f t="shared" ca="1" si="54"/>
        <v>7</v>
      </c>
      <c r="E687" s="190" t="str" cm="1">
        <f t="array" aca="1" ref="E687" ca="1">INDIRECT("'" &amp; A687 &amp; "號'!" &amp; ADDRESS(B687, D687))</f>
        <v/>
      </c>
      <c r="F687" s="190">
        <f t="shared" ca="1" si="55"/>
        <v>0</v>
      </c>
      <c r="G687" s="190">
        <f ca="1">IF(F687=0, 0, IF(AND(F686=1, C687&lt;&gt;8, OR(C687=C686+1, AND(C686=23, C687=0))), G686, MAX($G$1:G686)+1))</f>
        <v>0</v>
      </c>
      <c r="H687" s="194">
        <f t="shared" si="56"/>
        <v>29</v>
      </c>
    </row>
    <row r="688" spans="1:8">
      <c r="A688" s="190">
        <f t="shared" si="52"/>
        <v>29</v>
      </c>
      <c r="B688" s="193">
        <f t="shared" si="53"/>
        <v>24</v>
      </c>
      <c r="C688" s="190" cm="1">
        <f t="array" aca="1" ref="C688" ca="1">VALUE(LEFT(TRIM(INDIRECT("'" &amp; INT((ROW()-2)/24)+1 &amp; "號'!B" &amp; MOD(ROW()-2,24)+10)), 2))</f>
        <v>22</v>
      </c>
      <c r="D688" s="190">
        <f t="shared" ca="1" si="54"/>
        <v>7</v>
      </c>
      <c r="E688" s="190" t="str" cm="1">
        <f t="array" aca="1" ref="E688" ca="1">INDIRECT("'" &amp; A688 &amp; "號'!" &amp; ADDRESS(B688, D688))</f>
        <v/>
      </c>
      <c r="F688" s="190">
        <f t="shared" ca="1" si="55"/>
        <v>0</v>
      </c>
      <c r="G688" s="190">
        <f ca="1">IF(F688=0, 0, IF(AND(F687=1, C688&lt;&gt;8, OR(C688=C687+1, AND(C687=23, C688=0))), G687, MAX($G$1:G687)+1))</f>
        <v>0</v>
      </c>
      <c r="H688" s="194">
        <f t="shared" si="56"/>
        <v>29</v>
      </c>
    </row>
    <row r="689" spans="1:8">
      <c r="A689" s="190">
        <f t="shared" si="52"/>
        <v>29</v>
      </c>
      <c r="B689" s="193">
        <f t="shared" si="53"/>
        <v>25</v>
      </c>
      <c r="C689" s="190" cm="1">
        <f t="array" aca="1" ref="C689" ca="1">VALUE(LEFT(TRIM(INDIRECT("'" &amp; INT((ROW()-2)/24)+1 &amp; "號'!B" &amp; MOD(ROW()-2,24)+10)), 2))</f>
        <v>23</v>
      </c>
      <c r="D689" s="190">
        <f t="shared" ca="1" si="54"/>
        <v>7</v>
      </c>
      <c r="E689" s="190" t="str" cm="1">
        <f t="array" aca="1" ref="E689" ca="1">INDIRECT("'" &amp; A689 &amp; "號'!" &amp; ADDRESS(B689, D689))</f>
        <v/>
      </c>
      <c r="F689" s="190">
        <f t="shared" ca="1" si="55"/>
        <v>0</v>
      </c>
      <c r="G689" s="190">
        <f ca="1">IF(F689=0, 0, IF(AND(F688=1, C689&lt;&gt;8, OR(C689=C688+1, AND(C688=23, C689=0))), G688, MAX($G$1:G688)+1))</f>
        <v>0</v>
      </c>
      <c r="H689" s="194">
        <f t="shared" si="56"/>
        <v>29</v>
      </c>
    </row>
    <row r="690" spans="1:8">
      <c r="A690" s="190">
        <f t="shared" si="52"/>
        <v>29</v>
      </c>
      <c r="B690" s="193">
        <f t="shared" si="53"/>
        <v>26</v>
      </c>
      <c r="C690" s="190" cm="1">
        <f t="array" aca="1" ref="C690" ca="1">VALUE(LEFT(TRIM(INDIRECT("'" &amp; INT((ROW()-2)/24)+1 &amp; "號'!B" &amp; MOD(ROW()-2,24)+10)), 2))</f>
        <v>0</v>
      </c>
      <c r="D690" s="190">
        <f t="shared" ca="1" si="54"/>
        <v>7</v>
      </c>
      <c r="E690" s="190" t="str" cm="1">
        <f t="array" aca="1" ref="E690" ca="1">INDIRECT("'" &amp; A690 &amp; "號'!" &amp; ADDRESS(B690, D690))</f>
        <v/>
      </c>
      <c r="F690" s="190">
        <f t="shared" ca="1" si="55"/>
        <v>0</v>
      </c>
      <c r="G690" s="190">
        <f ca="1">IF(F690=0, 0, IF(AND(F689=1, C690&lt;&gt;8, OR(C690=C689+1, AND(C689=23, C690=0))), G689, MAX($G$1:G689)+1))</f>
        <v>0</v>
      </c>
      <c r="H690" s="194">
        <f t="shared" si="56"/>
        <v>29</v>
      </c>
    </row>
    <row r="691" spans="1:8">
      <c r="A691" s="190">
        <f t="shared" si="52"/>
        <v>29</v>
      </c>
      <c r="B691" s="193">
        <f t="shared" si="53"/>
        <v>27</v>
      </c>
      <c r="C691" s="190" cm="1">
        <f t="array" aca="1" ref="C691" ca="1">VALUE(LEFT(TRIM(INDIRECT("'" &amp; INT((ROW()-2)/24)+1 &amp; "號'!B" &amp; MOD(ROW()-2,24)+10)), 2))</f>
        <v>1</v>
      </c>
      <c r="D691" s="190">
        <f t="shared" ca="1" si="54"/>
        <v>7</v>
      </c>
      <c r="E691" s="190" t="str" cm="1">
        <f t="array" aca="1" ref="E691" ca="1">INDIRECT("'" &amp; A691 &amp; "號'!" &amp; ADDRESS(B691, D691))</f>
        <v/>
      </c>
      <c r="F691" s="190">
        <f t="shared" ca="1" si="55"/>
        <v>0</v>
      </c>
      <c r="G691" s="190">
        <f ca="1">IF(F691=0, 0, IF(AND(F690=1, C691&lt;&gt;8, OR(C691=C690+1, AND(C690=23, C691=0))), G690, MAX($G$1:G690)+1))</f>
        <v>0</v>
      </c>
      <c r="H691" s="194">
        <f t="shared" si="56"/>
        <v>29</v>
      </c>
    </row>
    <row r="692" spans="1:8">
      <c r="A692" s="190">
        <f t="shared" si="52"/>
        <v>29</v>
      </c>
      <c r="B692" s="193">
        <f t="shared" si="53"/>
        <v>28</v>
      </c>
      <c r="C692" s="190" cm="1">
        <f t="array" aca="1" ref="C692" ca="1">VALUE(LEFT(TRIM(INDIRECT("'" &amp; INT((ROW()-2)/24)+1 &amp; "號'!B" &amp; MOD(ROW()-2,24)+10)), 2))</f>
        <v>2</v>
      </c>
      <c r="D692" s="190">
        <f t="shared" ca="1" si="54"/>
        <v>7</v>
      </c>
      <c r="E692" s="190" t="str" cm="1">
        <f t="array" aca="1" ref="E692" ca="1">INDIRECT("'" &amp; A692 &amp; "號'!" &amp; ADDRESS(B692, D692))</f>
        <v/>
      </c>
      <c r="F692" s="190">
        <f t="shared" ca="1" si="55"/>
        <v>0</v>
      </c>
      <c r="G692" s="190">
        <f ca="1">IF(F692=0, 0, IF(AND(F691=1, C692&lt;&gt;8, OR(C692=C691+1, AND(C691=23, C692=0))), G691, MAX($G$1:G691)+1))</f>
        <v>0</v>
      </c>
      <c r="H692" s="194">
        <f t="shared" si="56"/>
        <v>29</v>
      </c>
    </row>
    <row r="693" spans="1:8">
      <c r="A693" s="190">
        <f t="shared" si="52"/>
        <v>29</v>
      </c>
      <c r="B693" s="193">
        <f t="shared" si="53"/>
        <v>29</v>
      </c>
      <c r="C693" s="190" cm="1">
        <f t="array" aca="1" ref="C693" ca="1">VALUE(LEFT(TRIM(INDIRECT("'" &amp; INT((ROW()-2)/24)+1 &amp; "號'!B" &amp; MOD(ROW()-2,24)+10)), 2))</f>
        <v>3</v>
      </c>
      <c r="D693" s="190">
        <f t="shared" ca="1" si="54"/>
        <v>7</v>
      </c>
      <c r="E693" s="190" t="str" cm="1">
        <f t="array" aca="1" ref="E693" ca="1">INDIRECT("'" &amp; A693 &amp; "號'!" &amp; ADDRESS(B693, D693))</f>
        <v/>
      </c>
      <c r="F693" s="190">
        <f t="shared" ca="1" si="55"/>
        <v>0</v>
      </c>
      <c r="G693" s="190">
        <f ca="1">IF(F693=0, 0, IF(AND(F692=1, C693&lt;&gt;8, OR(C693=C692+1, AND(C692=23, C693=0))), G692, MAX($G$1:G692)+1))</f>
        <v>0</v>
      </c>
      <c r="H693" s="194">
        <f t="shared" si="56"/>
        <v>29</v>
      </c>
    </row>
    <row r="694" spans="1:8">
      <c r="A694" s="190">
        <f t="shared" si="52"/>
        <v>29</v>
      </c>
      <c r="B694" s="193">
        <f t="shared" si="53"/>
        <v>30</v>
      </c>
      <c r="C694" s="190" cm="1">
        <f t="array" aca="1" ref="C694" ca="1">VALUE(LEFT(TRIM(INDIRECT("'" &amp; INT((ROW()-2)/24)+1 &amp; "號'!B" &amp; MOD(ROW()-2,24)+10)), 2))</f>
        <v>4</v>
      </c>
      <c r="D694" s="190">
        <f t="shared" ca="1" si="54"/>
        <v>7</v>
      </c>
      <c r="E694" s="190" t="str" cm="1">
        <f t="array" aca="1" ref="E694" ca="1">INDIRECT("'" &amp; A694 &amp; "號'!" &amp; ADDRESS(B694, D694))</f>
        <v/>
      </c>
      <c r="F694" s="190">
        <f t="shared" ca="1" si="55"/>
        <v>0</v>
      </c>
      <c r="G694" s="190">
        <f ca="1">IF(F694=0, 0, IF(AND(F693=1, C694&lt;&gt;8, OR(C694=C693+1, AND(C693=23, C694=0))), G693, MAX($G$1:G693)+1))</f>
        <v>0</v>
      </c>
      <c r="H694" s="194">
        <f t="shared" si="56"/>
        <v>29</v>
      </c>
    </row>
    <row r="695" spans="1:8">
      <c r="A695" s="190">
        <f t="shared" si="52"/>
        <v>29</v>
      </c>
      <c r="B695" s="193">
        <f t="shared" si="53"/>
        <v>31</v>
      </c>
      <c r="C695" s="190" cm="1">
        <f t="array" aca="1" ref="C695" ca="1">VALUE(LEFT(TRIM(INDIRECT("'" &amp; INT((ROW()-2)/24)+1 &amp; "號'!B" &amp; MOD(ROW()-2,24)+10)), 2))</f>
        <v>5</v>
      </c>
      <c r="D695" s="190">
        <f t="shared" ca="1" si="54"/>
        <v>7</v>
      </c>
      <c r="E695" s="190" t="str" cm="1">
        <f t="array" aca="1" ref="E695" ca="1">INDIRECT("'" &amp; A695 &amp; "號'!" &amp; ADDRESS(B695, D695))</f>
        <v/>
      </c>
      <c r="F695" s="190">
        <f t="shared" ca="1" si="55"/>
        <v>0</v>
      </c>
      <c r="G695" s="190">
        <f ca="1">IF(F695=0, 0, IF(AND(F694=1, C695&lt;&gt;8, OR(C695=C694+1, AND(C694=23, C695=0))), G694, MAX($G$1:G694)+1))</f>
        <v>0</v>
      </c>
      <c r="H695" s="194">
        <f t="shared" si="56"/>
        <v>29</v>
      </c>
    </row>
    <row r="696" spans="1:8">
      <c r="A696" s="190">
        <f t="shared" si="52"/>
        <v>29</v>
      </c>
      <c r="B696" s="193">
        <f t="shared" si="53"/>
        <v>32</v>
      </c>
      <c r="C696" s="190" cm="1">
        <f t="array" aca="1" ref="C696" ca="1">VALUE(LEFT(TRIM(INDIRECT("'" &amp; INT((ROW()-2)/24)+1 &amp; "號'!B" &amp; MOD(ROW()-2,24)+10)), 2))</f>
        <v>6</v>
      </c>
      <c r="D696" s="190">
        <f t="shared" ca="1" si="54"/>
        <v>7</v>
      </c>
      <c r="E696" s="190" t="str" cm="1">
        <f t="array" aca="1" ref="E696" ca="1">INDIRECT("'" &amp; A696 &amp; "號'!" &amp; ADDRESS(B696, D696))</f>
        <v>5</v>
      </c>
      <c r="F696" s="190">
        <f t="shared" ca="1" si="55"/>
        <v>0</v>
      </c>
      <c r="G696" s="190">
        <f ca="1">IF(F696=0, 0, IF(AND(F695=1, C696&lt;&gt;8, OR(C696=C695+1, AND(C695=23, C696=0))), G695, MAX($G$1:G695)+1))</f>
        <v>0</v>
      </c>
      <c r="H696" s="194">
        <f t="shared" si="56"/>
        <v>29</v>
      </c>
    </row>
    <row r="697" spans="1:8">
      <c r="A697" s="190">
        <f t="shared" si="52"/>
        <v>29</v>
      </c>
      <c r="B697" s="193">
        <f t="shared" si="53"/>
        <v>33</v>
      </c>
      <c r="C697" s="190" cm="1">
        <f t="array" aca="1" ref="C697" ca="1">VALUE(LEFT(TRIM(INDIRECT("'" &amp; INT((ROW()-2)/24)+1 &amp; "號'!B" &amp; MOD(ROW()-2,24)+10)), 2))</f>
        <v>7</v>
      </c>
      <c r="D697" s="190">
        <f t="shared" ca="1" si="54"/>
        <v>7</v>
      </c>
      <c r="E697" s="190" t="str" cm="1">
        <f t="array" aca="1" ref="E697" ca="1">INDIRECT("'" &amp; A697 &amp; "號'!" &amp; ADDRESS(B697, D697))</f>
        <v>5</v>
      </c>
      <c r="F697" s="190">
        <f t="shared" ca="1" si="55"/>
        <v>0</v>
      </c>
      <c r="G697" s="190">
        <f ca="1">IF(F697=0, 0, IF(AND(F696=1, C697&lt;&gt;8, OR(C697=C696+1, AND(C696=23, C697=0))), G696, MAX($G$1:G696)+1))</f>
        <v>0</v>
      </c>
      <c r="H697" s="194">
        <f t="shared" si="56"/>
        <v>29</v>
      </c>
    </row>
    <row r="698" spans="1:8">
      <c r="A698" s="190">
        <f t="shared" si="52"/>
        <v>30</v>
      </c>
      <c r="B698" s="193">
        <f t="shared" si="53"/>
        <v>10</v>
      </c>
      <c r="C698" s="190" cm="1">
        <f t="array" aca="1" ref="C698" ca="1">VALUE(LEFT(TRIM(INDIRECT("'" &amp; INT((ROW()-2)/24)+1 &amp; "號'!B" &amp; MOD(ROW()-2,24)+10)), 2))</f>
        <v>8</v>
      </c>
      <c r="D698" s="190">
        <f t="shared" ca="1" si="54"/>
        <v>7</v>
      </c>
      <c r="E698" s="190" t="str" cm="1">
        <f t="array" aca="1" ref="E698" ca="1">INDIRECT("'" &amp; A698 &amp; "號'!" &amp; ADDRESS(B698, D698))</f>
        <v/>
      </c>
      <c r="F698" s="190">
        <f t="shared" ca="1" si="55"/>
        <v>0</v>
      </c>
      <c r="G698" s="190">
        <f ca="1">IF(F698=0, 0, IF(AND(F697=1, C698&lt;&gt;8, OR(C698=C697+1, AND(C697=23, C698=0))), G697, MAX($G$1:G697)+1))</f>
        <v>0</v>
      </c>
      <c r="H698" s="194">
        <f t="shared" si="56"/>
        <v>30</v>
      </c>
    </row>
    <row r="699" spans="1:8">
      <c r="A699" s="190">
        <f t="shared" si="52"/>
        <v>30</v>
      </c>
      <c r="B699" s="193">
        <f t="shared" si="53"/>
        <v>11</v>
      </c>
      <c r="C699" s="190" cm="1">
        <f t="array" aca="1" ref="C699" ca="1">VALUE(LEFT(TRIM(INDIRECT("'" &amp; INT((ROW()-2)/24)+1 &amp; "號'!B" &amp; MOD(ROW()-2,24)+10)), 2))</f>
        <v>9</v>
      </c>
      <c r="D699" s="190">
        <f t="shared" ca="1" si="54"/>
        <v>7</v>
      </c>
      <c r="E699" s="190" t="str" cm="1">
        <f t="array" aca="1" ref="E699" ca="1">INDIRECT("'" &amp; A699 &amp; "號'!" &amp; ADDRESS(B699, D699))</f>
        <v/>
      </c>
      <c r="F699" s="190">
        <f t="shared" ca="1" si="55"/>
        <v>0</v>
      </c>
      <c r="G699" s="190">
        <f ca="1">IF(F699=0, 0, IF(AND(F698=1, C699&lt;&gt;8, OR(C699=C698+1, AND(C698=23, C699=0))), G698, MAX($G$1:G698)+1))</f>
        <v>0</v>
      </c>
      <c r="H699" s="194">
        <f t="shared" si="56"/>
        <v>30</v>
      </c>
    </row>
    <row r="700" spans="1:8">
      <c r="A700" s="190">
        <f t="shared" si="52"/>
        <v>30</v>
      </c>
      <c r="B700" s="193">
        <f t="shared" si="53"/>
        <v>12</v>
      </c>
      <c r="C700" s="190" cm="1">
        <f t="array" aca="1" ref="C700" ca="1">VALUE(LEFT(TRIM(INDIRECT("'" &amp; INT((ROW()-2)/24)+1 &amp; "號'!B" &amp; MOD(ROW()-2,24)+10)), 2))</f>
        <v>10</v>
      </c>
      <c r="D700" s="190">
        <f t="shared" ca="1" si="54"/>
        <v>7</v>
      </c>
      <c r="E700" s="190" t="str" cm="1">
        <f t="array" aca="1" ref="E700" ca="1">INDIRECT("'" &amp; A700 &amp; "號'!" &amp; ADDRESS(B700, D700))</f>
        <v/>
      </c>
      <c r="F700" s="190">
        <f t="shared" ca="1" si="55"/>
        <v>0</v>
      </c>
      <c r="G700" s="190">
        <f ca="1">IF(F700=0, 0, IF(AND(F699=1, C700&lt;&gt;8, OR(C700=C699+1, AND(C699=23, C700=0))), G699, MAX($G$1:G699)+1))</f>
        <v>0</v>
      </c>
      <c r="H700" s="194">
        <f t="shared" si="56"/>
        <v>30</v>
      </c>
    </row>
    <row r="701" spans="1:8">
      <c r="A701" s="190">
        <f t="shared" si="52"/>
        <v>30</v>
      </c>
      <c r="B701" s="193">
        <f t="shared" si="53"/>
        <v>13</v>
      </c>
      <c r="C701" s="190" cm="1">
        <f t="array" aca="1" ref="C701" ca="1">VALUE(LEFT(TRIM(INDIRECT("'" &amp; INT((ROW()-2)/24)+1 &amp; "號'!B" &amp; MOD(ROW()-2,24)+10)), 2))</f>
        <v>11</v>
      </c>
      <c r="D701" s="190">
        <f t="shared" ca="1" si="54"/>
        <v>7</v>
      </c>
      <c r="E701" s="190" t="str" cm="1">
        <f t="array" aca="1" ref="E701" ca="1">INDIRECT("'" &amp; A701 &amp; "號'!" &amp; ADDRESS(B701, D701))</f>
        <v/>
      </c>
      <c r="F701" s="190">
        <f t="shared" ca="1" si="55"/>
        <v>0</v>
      </c>
      <c r="G701" s="190">
        <f ca="1">IF(F701=0, 0, IF(AND(F700=1, C701&lt;&gt;8, OR(C701=C700+1, AND(C700=23, C701=0))), G700, MAX($G$1:G700)+1))</f>
        <v>0</v>
      </c>
      <c r="H701" s="194">
        <f t="shared" si="56"/>
        <v>30</v>
      </c>
    </row>
    <row r="702" spans="1:8">
      <c r="A702" s="190">
        <f t="shared" si="52"/>
        <v>30</v>
      </c>
      <c r="B702" s="193">
        <f t="shared" si="53"/>
        <v>14</v>
      </c>
      <c r="C702" s="190" cm="1">
        <f t="array" aca="1" ref="C702" ca="1">VALUE(LEFT(TRIM(INDIRECT("'" &amp; INT((ROW()-2)/24)+1 &amp; "號'!B" &amp; MOD(ROW()-2,24)+10)), 2))</f>
        <v>12</v>
      </c>
      <c r="D702" s="190">
        <f t="shared" ca="1" si="54"/>
        <v>7</v>
      </c>
      <c r="E702" s="190" t="str" cm="1">
        <f t="array" aca="1" ref="E702" ca="1">INDIRECT("'" &amp; A702 &amp; "號'!" &amp; ADDRESS(B702, D702))</f>
        <v>4</v>
      </c>
      <c r="F702" s="190">
        <f t="shared" ca="1" si="55"/>
        <v>0</v>
      </c>
      <c r="G702" s="190">
        <f ca="1">IF(F702=0, 0, IF(AND(F701=1, C702&lt;&gt;8, OR(C702=C701+1, AND(C701=23, C702=0))), G701, MAX($G$1:G701)+1))</f>
        <v>0</v>
      </c>
      <c r="H702" s="194">
        <f t="shared" si="56"/>
        <v>30</v>
      </c>
    </row>
    <row r="703" spans="1:8">
      <c r="A703" s="190">
        <f t="shared" si="52"/>
        <v>30</v>
      </c>
      <c r="B703" s="193">
        <f t="shared" si="53"/>
        <v>15</v>
      </c>
      <c r="C703" s="190" cm="1">
        <f t="array" aca="1" ref="C703" ca="1">VALUE(LEFT(TRIM(INDIRECT("'" &amp; INT((ROW()-2)/24)+1 &amp; "號'!B" &amp; MOD(ROW()-2,24)+10)), 2))</f>
        <v>13</v>
      </c>
      <c r="D703" s="190">
        <f t="shared" ca="1" si="54"/>
        <v>7</v>
      </c>
      <c r="E703" s="190" t="str" cm="1">
        <f t="array" aca="1" ref="E703" ca="1">INDIRECT("'" &amp; A703 &amp; "號'!" &amp; ADDRESS(B703, D703))</f>
        <v>4</v>
      </c>
      <c r="F703" s="190">
        <f t="shared" ca="1" si="55"/>
        <v>0</v>
      </c>
      <c r="G703" s="190">
        <f ca="1">IF(F703=0, 0, IF(AND(F702=1, C703&lt;&gt;8, OR(C703=C702+1, AND(C702=23, C703=0))), G702, MAX($G$1:G702)+1))</f>
        <v>0</v>
      </c>
      <c r="H703" s="194">
        <f t="shared" si="56"/>
        <v>30</v>
      </c>
    </row>
    <row r="704" spans="1:8">
      <c r="A704" s="190">
        <f t="shared" si="52"/>
        <v>30</v>
      </c>
      <c r="B704" s="193">
        <f t="shared" si="53"/>
        <v>16</v>
      </c>
      <c r="C704" s="190" cm="1">
        <f t="array" aca="1" ref="C704" ca="1">VALUE(LEFT(TRIM(INDIRECT("'" &amp; INT((ROW()-2)/24)+1 &amp; "號'!B" &amp; MOD(ROW()-2,24)+10)), 2))</f>
        <v>14</v>
      </c>
      <c r="D704" s="190">
        <f t="shared" ca="1" si="54"/>
        <v>7</v>
      </c>
      <c r="E704" s="190" t="str" cm="1">
        <f t="array" aca="1" ref="E704" ca="1">INDIRECT("'" &amp; A704 &amp; "號'!" &amp; ADDRESS(B704, D704))</f>
        <v/>
      </c>
      <c r="F704" s="190">
        <f t="shared" ca="1" si="55"/>
        <v>0</v>
      </c>
      <c r="G704" s="190">
        <f ca="1">IF(F704=0, 0, IF(AND(F703=1, C704&lt;&gt;8, OR(C704=C703+1, AND(C703=23, C704=0))), G703, MAX($G$1:G703)+1))</f>
        <v>0</v>
      </c>
      <c r="H704" s="194">
        <f t="shared" si="56"/>
        <v>30</v>
      </c>
    </row>
    <row r="705" spans="1:8">
      <c r="A705" s="190">
        <f t="shared" si="52"/>
        <v>30</v>
      </c>
      <c r="B705" s="193">
        <f t="shared" si="53"/>
        <v>17</v>
      </c>
      <c r="C705" s="190" cm="1">
        <f t="array" aca="1" ref="C705" ca="1">VALUE(LEFT(TRIM(INDIRECT("'" &amp; INT((ROW()-2)/24)+1 &amp; "號'!B" &amp; MOD(ROW()-2,24)+10)), 2))</f>
        <v>15</v>
      </c>
      <c r="D705" s="190">
        <f t="shared" ca="1" si="54"/>
        <v>7</v>
      </c>
      <c r="E705" s="190" t="str" cm="1">
        <f t="array" aca="1" ref="E705" ca="1">INDIRECT("'" &amp; A705 &amp; "號'!" &amp; ADDRESS(B705, D705))</f>
        <v/>
      </c>
      <c r="F705" s="190">
        <f t="shared" ca="1" si="55"/>
        <v>0</v>
      </c>
      <c r="G705" s="190">
        <f ca="1">IF(F705=0, 0, IF(AND(F704=1, C705&lt;&gt;8, OR(C705=C704+1, AND(C704=23, C705=0))), G704, MAX($G$1:G704)+1))</f>
        <v>0</v>
      </c>
      <c r="H705" s="194">
        <f t="shared" si="56"/>
        <v>30</v>
      </c>
    </row>
    <row r="706" spans="1:8">
      <c r="A706" s="190">
        <f t="shared" si="52"/>
        <v>30</v>
      </c>
      <c r="B706" s="193">
        <f t="shared" si="53"/>
        <v>18</v>
      </c>
      <c r="C706" s="190" cm="1">
        <f t="array" aca="1" ref="C706" ca="1">VALUE(LEFT(TRIM(INDIRECT("'" &amp; INT((ROW()-2)/24)+1 &amp; "號'!B" &amp; MOD(ROW()-2,24)+10)), 2))</f>
        <v>16</v>
      </c>
      <c r="D706" s="190">
        <f t="shared" ca="1" si="54"/>
        <v>7</v>
      </c>
      <c r="E706" s="190" t="str" cm="1">
        <f t="array" aca="1" ref="E706" ca="1">INDIRECT("'" &amp; A706 &amp; "號'!" &amp; ADDRESS(B706, D706))</f>
        <v/>
      </c>
      <c r="F706" s="190">
        <f t="shared" ca="1" si="55"/>
        <v>0</v>
      </c>
      <c r="G706" s="190">
        <f ca="1">IF(F706=0, 0, IF(AND(F705=1, C706&lt;&gt;8, OR(C706=C705+1, AND(C705=23, C706=0))), G705, MAX($G$1:G705)+1))</f>
        <v>0</v>
      </c>
      <c r="H706" s="194">
        <f t="shared" si="56"/>
        <v>30</v>
      </c>
    </row>
    <row r="707" spans="1:8">
      <c r="A707" s="190">
        <f t="shared" ref="A707:A745" si="57">INT((ROW()-2)/24)+1</f>
        <v>30</v>
      </c>
      <c r="B707" s="193">
        <f t="shared" ref="B707:B745" si="58">MOD(ROW()-2, 24)+10</f>
        <v>19</v>
      </c>
      <c r="C707" s="190" cm="1">
        <f t="array" aca="1" ref="C707" ca="1">VALUE(LEFT(TRIM(INDIRECT("'" &amp; INT((ROW()-2)/24)+1 &amp; "號'!B" &amp; MOD(ROW()-2,24)+10)), 2))</f>
        <v>17</v>
      </c>
      <c r="D707" s="190">
        <f t="shared" ref="D707:D745" ca="1" si="59">MAX(IFERROR(MATCH("*休息*", INDIRECT("'" &amp; A707 &amp; "號'!$5:$5"), 0), 0), IFERROR(MATCH("*休息*", INDIRECT("'" &amp; A707 &amp; "號'!$6:$6"), 0), 0), IFERROR(MATCH("*休息*", INDIRECT("'" &amp; A707 &amp; "號'!$7:$7"), 0), 0))</f>
        <v>7</v>
      </c>
      <c r="E707" s="190" t="str" cm="1">
        <f t="array" aca="1" ref="E707" ca="1">INDIRECT("'" &amp; A707 &amp; "號'!" &amp; ADDRESS(B707, D707))</f>
        <v/>
      </c>
      <c r="F707" s="190">
        <f t="shared" ref="F707:F745" ca="1" si="60">IF(ISNUMBER(SEARCH(","&amp;$A$1&amp;",", ","&amp;SUBSTITUTE(SUBSTITUTE(E707," ",""),"，",",")&amp;",")), 1, 0)</f>
        <v>0</v>
      </c>
      <c r="G707" s="190">
        <f ca="1">IF(F707=0, 0, IF(AND(F706=1, C707&lt;&gt;8, OR(C707=C706+1, AND(C706=23, C707=0))), G706, MAX($G$1:G706)+1))</f>
        <v>0</v>
      </c>
      <c r="H707" s="194">
        <f t="shared" ref="H707:H745" si="61" xml:space="preserve"> A707</f>
        <v>30</v>
      </c>
    </row>
    <row r="708" spans="1:8">
      <c r="A708" s="190">
        <f t="shared" si="57"/>
        <v>30</v>
      </c>
      <c r="B708" s="193">
        <f t="shared" si="58"/>
        <v>20</v>
      </c>
      <c r="C708" s="190" cm="1">
        <f t="array" aca="1" ref="C708" ca="1">VALUE(LEFT(TRIM(INDIRECT("'" &amp; INT((ROW()-2)/24)+1 &amp; "號'!B" &amp; MOD(ROW()-2,24)+10)), 2))</f>
        <v>18</v>
      </c>
      <c r="D708" s="190">
        <f t="shared" ca="1" si="59"/>
        <v>7</v>
      </c>
      <c r="E708" s="190" t="str" cm="1">
        <f t="array" aca="1" ref="E708" ca="1">INDIRECT("'" &amp; A708 &amp; "號'!" &amp; ADDRESS(B708, D708))</f>
        <v/>
      </c>
      <c r="F708" s="190">
        <f t="shared" ca="1" si="60"/>
        <v>0</v>
      </c>
      <c r="G708" s="190">
        <f ca="1">IF(F708=0, 0, IF(AND(F707=1, C708&lt;&gt;8, OR(C708=C707+1, AND(C707=23, C708=0))), G707, MAX($G$1:G707)+1))</f>
        <v>0</v>
      </c>
      <c r="H708" s="194">
        <f t="shared" si="61"/>
        <v>30</v>
      </c>
    </row>
    <row r="709" spans="1:8">
      <c r="A709" s="190">
        <f t="shared" si="57"/>
        <v>30</v>
      </c>
      <c r="B709" s="193">
        <f t="shared" si="58"/>
        <v>21</v>
      </c>
      <c r="C709" s="190" cm="1">
        <f t="array" aca="1" ref="C709" ca="1">VALUE(LEFT(TRIM(INDIRECT("'" &amp; INT((ROW()-2)/24)+1 &amp; "號'!B" &amp; MOD(ROW()-2,24)+10)), 2))</f>
        <v>19</v>
      </c>
      <c r="D709" s="190">
        <f t="shared" ca="1" si="59"/>
        <v>7</v>
      </c>
      <c r="E709" s="190" t="str" cm="1">
        <f t="array" aca="1" ref="E709" ca="1">INDIRECT("'" &amp; A709 &amp; "號'!" &amp; ADDRESS(B709, D709))</f>
        <v/>
      </c>
      <c r="F709" s="190">
        <f t="shared" ca="1" si="60"/>
        <v>0</v>
      </c>
      <c r="G709" s="190">
        <f ca="1">IF(F709=0, 0, IF(AND(F708=1, C709&lt;&gt;8, OR(C709=C708+1, AND(C708=23, C709=0))), G708, MAX($G$1:G708)+1))</f>
        <v>0</v>
      </c>
      <c r="H709" s="194">
        <f t="shared" si="61"/>
        <v>30</v>
      </c>
    </row>
    <row r="710" spans="1:8">
      <c r="A710" s="190">
        <f t="shared" si="57"/>
        <v>30</v>
      </c>
      <c r="B710" s="193">
        <f t="shared" si="58"/>
        <v>22</v>
      </c>
      <c r="C710" s="190" cm="1">
        <f t="array" aca="1" ref="C710" ca="1">VALUE(LEFT(TRIM(INDIRECT("'" &amp; INT((ROW()-2)/24)+1 &amp; "號'!B" &amp; MOD(ROW()-2,24)+10)), 2))</f>
        <v>20</v>
      </c>
      <c r="D710" s="190">
        <f t="shared" ca="1" si="59"/>
        <v>7</v>
      </c>
      <c r="E710" s="190" t="str" cm="1">
        <f t="array" aca="1" ref="E710" ca="1">INDIRECT("'" &amp; A710 &amp; "號'!" &amp; ADDRESS(B710, D710))</f>
        <v/>
      </c>
      <c r="F710" s="190">
        <f t="shared" ca="1" si="60"/>
        <v>0</v>
      </c>
      <c r="G710" s="190">
        <f ca="1">IF(F710=0, 0, IF(AND(F709=1, C710&lt;&gt;8, OR(C710=C709+1, AND(C709=23, C710=0))), G709, MAX($G$1:G709)+1))</f>
        <v>0</v>
      </c>
      <c r="H710" s="194">
        <f t="shared" si="61"/>
        <v>30</v>
      </c>
    </row>
    <row r="711" spans="1:8">
      <c r="A711" s="190">
        <f t="shared" si="57"/>
        <v>30</v>
      </c>
      <c r="B711" s="193">
        <f t="shared" si="58"/>
        <v>23</v>
      </c>
      <c r="C711" s="190" cm="1">
        <f t="array" aca="1" ref="C711" ca="1">VALUE(LEFT(TRIM(INDIRECT("'" &amp; INT((ROW()-2)/24)+1 &amp; "號'!B" &amp; MOD(ROW()-2,24)+10)), 2))</f>
        <v>21</v>
      </c>
      <c r="D711" s="190">
        <f t="shared" ca="1" si="59"/>
        <v>7</v>
      </c>
      <c r="E711" s="190" t="str" cm="1">
        <f t="array" aca="1" ref="E711" ca="1">INDIRECT("'" &amp; A711 &amp; "號'!" &amp; ADDRESS(B711, D711))</f>
        <v/>
      </c>
      <c r="F711" s="190">
        <f t="shared" ca="1" si="60"/>
        <v>0</v>
      </c>
      <c r="G711" s="190">
        <f ca="1">IF(F711=0, 0, IF(AND(F710=1, C711&lt;&gt;8, OR(C711=C710+1, AND(C710=23, C711=0))), G710, MAX($G$1:G710)+1))</f>
        <v>0</v>
      </c>
      <c r="H711" s="194">
        <f t="shared" si="61"/>
        <v>30</v>
      </c>
    </row>
    <row r="712" spans="1:8">
      <c r="A712" s="190">
        <f t="shared" si="57"/>
        <v>30</v>
      </c>
      <c r="B712" s="193">
        <f t="shared" si="58"/>
        <v>24</v>
      </c>
      <c r="C712" s="190" cm="1">
        <f t="array" aca="1" ref="C712" ca="1">VALUE(LEFT(TRIM(INDIRECT("'" &amp; INT((ROW()-2)/24)+1 &amp; "號'!B" &amp; MOD(ROW()-2,24)+10)), 2))</f>
        <v>22</v>
      </c>
      <c r="D712" s="190">
        <f t="shared" ca="1" si="59"/>
        <v>7</v>
      </c>
      <c r="E712" s="190" t="str" cm="1">
        <f t="array" aca="1" ref="E712" ca="1">INDIRECT("'" &amp; A712 &amp; "號'!" &amp; ADDRESS(B712, D712))</f>
        <v/>
      </c>
      <c r="F712" s="190">
        <f t="shared" ca="1" si="60"/>
        <v>0</v>
      </c>
      <c r="G712" s="190">
        <f ca="1">IF(F712=0, 0, IF(AND(F711=1, C712&lt;&gt;8, OR(C712=C711+1, AND(C711=23, C712=0))), G711, MAX($G$1:G711)+1))</f>
        <v>0</v>
      </c>
      <c r="H712" s="194">
        <f t="shared" si="61"/>
        <v>30</v>
      </c>
    </row>
    <row r="713" spans="1:8">
      <c r="A713" s="190">
        <f t="shared" si="57"/>
        <v>30</v>
      </c>
      <c r="B713" s="193">
        <f t="shared" si="58"/>
        <v>25</v>
      </c>
      <c r="C713" s="190" cm="1">
        <f t="array" aca="1" ref="C713" ca="1">VALUE(LEFT(TRIM(INDIRECT("'" &amp; INT((ROW()-2)/24)+1 &amp; "號'!B" &amp; MOD(ROW()-2,24)+10)), 2))</f>
        <v>23</v>
      </c>
      <c r="D713" s="190">
        <f t="shared" ca="1" si="59"/>
        <v>7</v>
      </c>
      <c r="E713" s="190" t="str" cm="1">
        <f t="array" aca="1" ref="E713" ca="1">INDIRECT("'" &amp; A713 &amp; "號'!" &amp; ADDRESS(B713, D713))</f>
        <v/>
      </c>
      <c r="F713" s="190">
        <f t="shared" ca="1" si="60"/>
        <v>0</v>
      </c>
      <c r="G713" s="190">
        <f ca="1">IF(F713=0, 0, IF(AND(F712=1, C713&lt;&gt;8, OR(C713=C712+1, AND(C712=23, C713=0))), G712, MAX($G$1:G712)+1))</f>
        <v>0</v>
      </c>
      <c r="H713" s="194">
        <f t="shared" si="61"/>
        <v>30</v>
      </c>
    </row>
    <row r="714" spans="1:8">
      <c r="A714" s="190">
        <f t="shared" si="57"/>
        <v>30</v>
      </c>
      <c r="B714" s="193">
        <f t="shared" si="58"/>
        <v>26</v>
      </c>
      <c r="C714" s="190" cm="1">
        <f t="array" aca="1" ref="C714" ca="1">VALUE(LEFT(TRIM(INDIRECT("'" &amp; INT((ROW()-2)/24)+1 &amp; "號'!B" &amp; MOD(ROW()-2,24)+10)), 2))</f>
        <v>0</v>
      </c>
      <c r="D714" s="190">
        <f t="shared" ca="1" si="59"/>
        <v>7</v>
      </c>
      <c r="E714" s="190" t="str" cm="1">
        <f t="array" aca="1" ref="E714" ca="1">INDIRECT("'" &amp; A714 &amp; "號'!" &amp; ADDRESS(B714, D714))</f>
        <v/>
      </c>
      <c r="F714" s="190">
        <f t="shared" ca="1" si="60"/>
        <v>0</v>
      </c>
      <c r="G714" s="190">
        <f ca="1">IF(F714=0, 0, IF(AND(F713=1, C714&lt;&gt;8, OR(C714=C713+1, AND(C713=23, C714=0))), G713, MAX($G$1:G713)+1))</f>
        <v>0</v>
      </c>
      <c r="H714" s="194">
        <f t="shared" si="61"/>
        <v>30</v>
      </c>
    </row>
    <row r="715" spans="1:8">
      <c r="A715" s="190">
        <f t="shared" si="57"/>
        <v>30</v>
      </c>
      <c r="B715" s="193">
        <f t="shared" si="58"/>
        <v>27</v>
      </c>
      <c r="C715" s="190" cm="1">
        <f t="array" aca="1" ref="C715" ca="1">VALUE(LEFT(TRIM(INDIRECT("'" &amp; INT((ROW()-2)/24)+1 &amp; "號'!B" &amp; MOD(ROW()-2,24)+10)), 2))</f>
        <v>1</v>
      </c>
      <c r="D715" s="190">
        <f t="shared" ca="1" si="59"/>
        <v>7</v>
      </c>
      <c r="E715" s="190" t="str" cm="1">
        <f t="array" aca="1" ref="E715" ca="1">INDIRECT("'" &amp; A715 &amp; "號'!" &amp; ADDRESS(B715, D715))</f>
        <v/>
      </c>
      <c r="F715" s="190">
        <f t="shared" ca="1" si="60"/>
        <v>0</v>
      </c>
      <c r="G715" s="190">
        <f ca="1">IF(F715=0, 0, IF(AND(F714=1, C715&lt;&gt;8, OR(C715=C714+1, AND(C714=23, C715=0))), G714, MAX($G$1:G714)+1))</f>
        <v>0</v>
      </c>
      <c r="H715" s="194">
        <f t="shared" si="61"/>
        <v>30</v>
      </c>
    </row>
    <row r="716" spans="1:8">
      <c r="A716" s="190">
        <f t="shared" si="57"/>
        <v>30</v>
      </c>
      <c r="B716" s="193">
        <f t="shared" si="58"/>
        <v>28</v>
      </c>
      <c r="C716" s="190" cm="1">
        <f t="array" aca="1" ref="C716" ca="1">VALUE(LEFT(TRIM(INDIRECT("'" &amp; INT((ROW()-2)/24)+1 &amp; "號'!B" &amp; MOD(ROW()-2,24)+10)), 2))</f>
        <v>2</v>
      </c>
      <c r="D716" s="190">
        <f t="shared" ca="1" si="59"/>
        <v>7</v>
      </c>
      <c r="E716" s="190" t="str" cm="1">
        <f t="array" aca="1" ref="E716" ca="1">INDIRECT("'" &amp; A716 &amp; "號'!" &amp; ADDRESS(B716, D716))</f>
        <v/>
      </c>
      <c r="F716" s="190">
        <f t="shared" ca="1" si="60"/>
        <v>0</v>
      </c>
      <c r="G716" s="190">
        <f ca="1">IF(F716=0, 0, IF(AND(F715=1, C716&lt;&gt;8, OR(C716=C715+1, AND(C715=23, C716=0))), G715, MAX($G$1:G715)+1))</f>
        <v>0</v>
      </c>
      <c r="H716" s="194">
        <f t="shared" si="61"/>
        <v>30</v>
      </c>
    </row>
    <row r="717" spans="1:8">
      <c r="A717" s="190">
        <f t="shared" si="57"/>
        <v>30</v>
      </c>
      <c r="B717" s="193">
        <f t="shared" si="58"/>
        <v>29</v>
      </c>
      <c r="C717" s="190" cm="1">
        <f t="array" aca="1" ref="C717" ca="1">VALUE(LEFT(TRIM(INDIRECT("'" &amp; INT((ROW()-2)/24)+1 &amp; "號'!B" &amp; MOD(ROW()-2,24)+10)), 2))</f>
        <v>3</v>
      </c>
      <c r="D717" s="190">
        <f t="shared" ca="1" si="59"/>
        <v>7</v>
      </c>
      <c r="E717" s="190" t="str" cm="1">
        <f t="array" aca="1" ref="E717" ca="1">INDIRECT("'" &amp; A717 &amp; "號'!" &amp; ADDRESS(B717, D717))</f>
        <v/>
      </c>
      <c r="F717" s="190">
        <f t="shared" ca="1" si="60"/>
        <v>0</v>
      </c>
      <c r="G717" s="190">
        <f ca="1">IF(F717=0, 0, IF(AND(F716=1, C717&lt;&gt;8, OR(C717=C716+1, AND(C716=23, C717=0))), G716, MAX($G$1:G716)+1))</f>
        <v>0</v>
      </c>
      <c r="H717" s="194">
        <f t="shared" si="61"/>
        <v>30</v>
      </c>
    </row>
    <row r="718" spans="1:8">
      <c r="A718" s="190">
        <f t="shared" si="57"/>
        <v>30</v>
      </c>
      <c r="B718" s="193">
        <f t="shared" si="58"/>
        <v>30</v>
      </c>
      <c r="C718" s="190" cm="1">
        <f t="array" aca="1" ref="C718" ca="1">VALUE(LEFT(TRIM(INDIRECT("'" &amp; INT((ROW()-2)/24)+1 &amp; "號'!B" &amp; MOD(ROW()-2,24)+10)), 2))</f>
        <v>4</v>
      </c>
      <c r="D718" s="190">
        <f t="shared" ca="1" si="59"/>
        <v>7</v>
      </c>
      <c r="E718" s="190" t="str" cm="1">
        <f t="array" aca="1" ref="E718" ca="1">INDIRECT("'" &amp; A718 &amp; "號'!" &amp; ADDRESS(B718, D718))</f>
        <v/>
      </c>
      <c r="F718" s="190">
        <f t="shared" ca="1" si="60"/>
        <v>0</v>
      </c>
      <c r="G718" s="190">
        <f ca="1">IF(F718=0, 0, IF(AND(F717=1, C718&lt;&gt;8, OR(C718=C717+1, AND(C717=23, C718=0))), G717, MAX($G$1:G717)+1))</f>
        <v>0</v>
      </c>
      <c r="H718" s="194">
        <f t="shared" si="61"/>
        <v>30</v>
      </c>
    </row>
    <row r="719" spans="1:8">
      <c r="A719" s="190">
        <f t="shared" si="57"/>
        <v>30</v>
      </c>
      <c r="B719" s="193">
        <f t="shared" si="58"/>
        <v>31</v>
      </c>
      <c r="C719" s="190" cm="1">
        <f t="array" aca="1" ref="C719" ca="1">VALUE(LEFT(TRIM(INDIRECT("'" &amp; INT((ROW()-2)/24)+1 &amp; "號'!B" &amp; MOD(ROW()-2,24)+10)), 2))</f>
        <v>5</v>
      </c>
      <c r="D719" s="190">
        <f t="shared" ca="1" si="59"/>
        <v>7</v>
      </c>
      <c r="E719" s="190" t="str" cm="1">
        <f t="array" aca="1" ref="E719" ca="1">INDIRECT("'" &amp; A719 &amp; "號'!" &amp; ADDRESS(B719, D719))</f>
        <v/>
      </c>
      <c r="F719" s="190">
        <f t="shared" ca="1" si="60"/>
        <v>0</v>
      </c>
      <c r="G719" s="190">
        <f ca="1">IF(F719=0, 0, IF(AND(F718=1, C719&lt;&gt;8, OR(C719=C718+1, AND(C718=23, C719=0))), G718, MAX($G$1:G718)+1))</f>
        <v>0</v>
      </c>
      <c r="H719" s="194">
        <f t="shared" si="61"/>
        <v>30</v>
      </c>
    </row>
    <row r="720" spans="1:8">
      <c r="A720" s="190">
        <f t="shared" si="57"/>
        <v>30</v>
      </c>
      <c r="B720" s="193">
        <f t="shared" si="58"/>
        <v>32</v>
      </c>
      <c r="C720" s="190" cm="1">
        <f t="array" aca="1" ref="C720" ca="1">VALUE(LEFT(TRIM(INDIRECT("'" &amp; INT((ROW()-2)/24)+1 &amp; "號'!B" &amp; MOD(ROW()-2,24)+10)), 2))</f>
        <v>6</v>
      </c>
      <c r="D720" s="190">
        <f t="shared" ca="1" si="59"/>
        <v>7</v>
      </c>
      <c r="E720" s="190" t="str" cm="1">
        <f t="array" aca="1" ref="E720" ca="1">INDIRECT("'" &amp; A720 &amp; "號'!" &amp; ADDRESS(B720, D720))</f>
        <v/>
      </c>
      <c r="F720" s="190">
        <f t="shared" ca="1" si="60"/>
        <v>0</v>
      </c>
      <c r="G720" s="190">
        <f ca="1">IF(F720=0, 0, IF(AND(F719=1, C720&lt;&gt;8, OR(C720=C719+1, AND(C719=23, C720=0))), G719, MAX($G$1:G719)+1))</f>
        <v>0</v>
      </c>
      <c r="H720" s="194">
        <f t="shared" si="61"/>
        <v>30</v>
      </c>
    </row>
    <row r="721" spans="1:8">
      <c r="A721" s="190">
        <f t="shared" si="57"/>
        <v>30</v>
      </c>
      <c r="B721" s="193">
        <f t="shared" si="58"/>
        <v>33</v>
      </c>
      <c r="C721" s="190" cm="1">
        <f t="array" aca="1" ref="C721" ca="1">VALUE(LEFT(TRIM(INDIRECT("'" &amp; INT((ROW()-2)/24)+1 &amp; "號'!B" &amp; MOD(ROW()-2,24)+10)), 2))</f>
        <v>7</v>
      </c>
      <c r="D721" s="190">
        <f t="shared" ca="1" si="59"/>
        <v>7</v>
      </c>
      <c r="E721" s="190" t="str" cm="1">
        <f t="array" aca="1" ref="E721" ca="1">INDIRECT("'" &amp; A721 &amp; "號'!" &amp; ADDRESS(B721, D721))</f>
        <v/>
      </c>
      <c r="F721" s="190">
        <f t="shared" ca="1" si="60"/>
        <v>0</v>
      </c>
      <c r="G721" s="190">
        <f ca="1">IF(F721=0, 0, IF(AND(F720=1, C721&lt;&gt;8, OR(C721=C720+1, AND(C720=23, C721=0))), G720, MAX($G$1:G720)+1))</f>
        <v>0</v>
      </c>
      <c r="H721" s="194">
        <f t="shared" si="61"/>
        <v>30</v>
      </c>
    </row>
    <row r="722" spans="1:8">
      <c r="A722" s="190">
        <f t="shared" si="57"/>
        <v>31</v>
      </c>
      <c r="B722" s="193">
        <f t="shared" si="58"/>
        <v>10</v>
      </c>
      <c r="C722" s="190" cm="1">
        <f t="array" aca="1" ref="C722" ca="1">VALUE(LEFT(TRIM(INDIRECT("'" &amp; INT((ROW()-2)/24)+1 &amp; "號'!B" &amp; MOD(ROW()-2,24)+10)), 2))</f>
        <v>8</v>
      </c>
      <c r="D722" s="190">
        <f t="shared" ca="1" si="59"/>
        <v>7</v>
      </c>
      <c r="E722" s="190" t="str" cm="1">
        <f t="array" aca="1" ref="E722" ca="1">INDIRECT("'" &amp; A722 &amp; "號'!" &amp; ADDRESS(B722, D722))</f>
        <v>3</v>
      </c>
      <c r="F722" s="190">
        <f t="shared" ca="1" si="60"/>
        <v>0</v>
      </c>
      <c r="G722" s="190">
        <f ca="1">IF(F722=0, 0, IF(AND(F721=1, C722&lt;&gt;8, OR(C722=C721+1, AND(C721=23, C722=0))), G721, MAX($G$1:G721)+1))</f>
        <v>0</v>
      </c>
      <c r="H722" s="194">
        <f t="shared" si="61"/>
        <v>31</v>
      </c>
    </row>
    <row r="723" spans="1:8">
      <c r="A723" s="190">
        <f t="shared" si="57"/>
        <v>31</v>
      </c>
      <c r="B723" s="193">
        <f t="shared" si="58"/>
        <v>11</v>
      </c>
      <c r="C723" s="190" cm="1">
        <f t="array" aca="1" ref="C723" ca="1">VALUE(LEFT(TRIM(INDIRECT("'" &amp; INT((ROW()-2)/24)+1 &amp; "號'!B" &amp; MOD(ROW()-2,24)+10)), 2))</f>
        <v>9</v>
      </c>
      <c r="D723" s="190">
        <f t="shared" ca="1" si="59"/>
        <v>7</v>
      </c>
      <c r="E723" s="190" t="str" cm="1">
        <f t="array" aca="1" ref="E723" ca="1">INDIRECT("'" &amp; A723 &amp; "號'!" &amp; ADDRESS(B723, D723))</f>
        <v>3</v>
      </c>
      <c r="F723" s="190">
        <f t="shared" ca="1" si="60"/>
        <v>0</v>
      </c>
      <c r="G723" s="190">
        <f ca="1">IF(F723=0, 0, IF(AND(F722=1, C723&lt;&gt;8, OR(C723=C722+1, AND(C722=23, C723=0))), G722, MAX($G$1:G722)+1))</f>
        <v>0</v>
      </c>
      <c r="H723" s="194">
        <f t="shared" si="61"/>
        <v>31</v>
      </c>
    </row>
    <row r="724" spans="1:8">
      <c r="A724" s="190">
        <f t="shared" si="57"/>
        <v>31</v>
      </c>
      <c r="B724" s="193">
        <f t="shared" si="58"/>
        <v>12</v>
      </c>
      <c r="C724" s="190" cm="1">
        <f t="array" aca="1" ref="C724" ca="1">VALUE(LEFT(TRIM(INDIRECT("'" &amp; INT((ROW()-2)/24)+1 &amp; "號'!B" &amp; MOD(ROW()-2,24)+10)), 2))</f>
        <v>10</v>
      </c>
      <c r="D724" s="190">
        <f t="shared" ca="1" si="59"/>
        <v>7</v>
      </c>
      <c r="E724" s="190" t="str" cm="1">
        <f t="array" aca="1" ref="E724" ca="1">INDIRECT("'" &amp; A724 &amp; "號'!" &amp; ADDRESS(B724, D724))</f>
        <v/>
      </c>
      <c r="F724" s="190">
        <f t="shared" ca="1" si="60"/>
        <v>0</v>
      </c>
      <c r="G724" s="190">
        <f ca="1">IF(F724=0, 0, IF(AND(F723=1, C724&lt;&gt;8, OR(C724=C723+1, AND(C723=23, C724=0))), G723, MAX($G$1:G723)+1))</f>
        <v>0</v>
      </c>
      <c r="H724" s="194">
        <f t="shared" si="61"/>
        <v>31</v>
      </c>
    </row>
    <row r="725" spans="1:8">
      <c r="A725" s="190">
        <f t="shared" si="57"/>
        <v>31</v>
      </c>
      <c r="B725" s="193">
        <f t="shared" si="58"/>
        <v>13</v>
      </c>
      <c r="C725" s="190" cm="1">
        <f t="array" aca="1" ref="C725" ca="1">VALUE(LEFT(TRIM(INDIRECT("'" &amp; INT((ROW()-2)/24)+1 &amp; "號'!B" &amp; MOD(ROW()-2,24)+10)), 2))</f>
        <v>11</v>
      </c>
      <c r="D725" s="190">
        <f t="shared" ca="1" si="59"/>
        <v>7</v>
      </c>
      <c r="E725" s="190" t="str" cm="1">
        <f t="array" aca="1" ref="E725" ca="1">INDIRECT("'" &amp; A725 &amp; "號'!" &amp; ADDRESS(B725, D725))</f>
        <v/>
      </c>
      <c r="F725" s="190">
        <f t="shared" ca="1" si="60"/>
        <v>0</v>
      </c>
      <c r="G725" s="190">
        <f ca="1">IF(F725=0, 0, IF(AND(F724=1, C725&lt;&gt;8, OR(C725=C724+1, AND(C724=23, C725=0))), G724, MAX($G$1:G724)+1))</f>
        <v>0</v>
      </c>
      <c r="H725" s="194">
        <f t="shared" si="61"/>
        <v>31</v>
      </c>
    </row>
    <row r="726" spans="1:8">
      <c r="A726" s="190">
        <f t="shared" si="57"/>
        <v>31</v>
      </c>
      <c r="B726" s="193">
        <f t="shared" si="58"/>
        <v>14</v>
      </c>
      <c r="C726" s="190" cm="1">
        <f t="array" aca="1" ref="C726" ca="1">VALUE(LEFT(TRIM(INDIRECT("'" &amp; INT((ROW()-2)/24)+1 &amp; "號'!B" &amp; MOD(ROW()-2,24)+10)), 2))</f>
        <v>12</v>
      </c>
      <c r="D726" s="190">
        <f t="shared" ca="1" si="59"/>
        <v>7</v>
      </c>
      <c r="E726" s="190" t="str" cm="1">
        <f t="array" aca="1" ref="E726" ca="1">INDIRECT("'" &amp; A726 &amp; "號'!" &amp; ADDRESS(B726, D726))</f>
        <v/>
      </c>
      <c r="F726" s="190">
        <f t="shared" ca="1" si="60"/>
        <v>0</v>
      </c>
      <c r="G726" s="190">
        <f ca="1">IF(F726=0, 0, IF(AND(F725=1, C726&lt;&gt;8, OR(C726=C725+1, AND(C725=23, C726=0))), G725, MAX($G$1:G725)+1))</f>
        <v>0</v>
      </c>
      <c r="H726" s="194">
        <f t="shared" si="61"/>
        <v>31</v>
      </c>
    </row>
    <row r="727" spans="1:8">
      <c r="A727" s="190">
        <f t="shared" si="57"/>
        <v>31</v>
      </c>
      <c r="B727" s="193">
        <f t="shared" si="58"/>
        <v>15</v>
      </c>
      <c r="C727" s="190" cm="1">
        <f t="array" aca="1" ref="C727" ca="1">VALUE(LEFT(TRIM(INDIRECT("'" &amp; INT((ROW()-2)/24)+1 &amp; "號'!B" &amp; MOD(ROW()-2,24)+10)), 2))</f>
        <v>13</v>
      </c>
      <c r="D727" s="190">
        <f t="shared" ca="1" si="59"/>
        <v>7</v>
      </c>
      <c r="E727" s="190" t="str" cm="1">
        <f t="array" aca="1" ref="E727" ca="1">INDIRECT("'" &amp; A727 &amp; "號'!" &amp; ADDRESS(B727, D727))</f>
        <v/>
      </c>
      <c r="F727" s="190">
        <f t="shared" ca="1" si="60"/>
        <v>0</v>
      </c>
      <c r="G727" s="190">
        <f ca="1">IF(F727=0, 0, IF(AND(F726=1, C727&lt;&gt;8, OR(C727=C726+1, AND(C726=23, C727=0))), G726, MAX($G$1:G726)+1))</f>
        <v>0</v>
      </c>
      <c r="H727" s="194">
        <f t="shared" si="61"/>
        <v>31</v>
      </c>
    </row>
    <row r="728" spans="1:8">
      <c r="A728" s="190">
        <f t="shared" si="57"/>
        <v>31</v>
      </c>
      <c r="B728" s="193">
        <f t="shared" si="58"/>
        <v>16</v>
      </c>
      <c r="C728" s="190" cm="1">
        <f t="array" aca="1" ref="C728" ca="1">VALUE(LEFT(TRIM(INDIRECT("'" &amp; INT((ROW()-2)/24)+1 &amp; "號'!B" &amp; MOD(ROW()-2,24)+10)), 2))</f>
        <v>14</v>
      </c>
      <c r="D728" s="190">
        <f t="shared" ca="1" si="59"/>
        <v>7</v>
      </c>
      <c r="E728" s="190" t="str" cm="1">
        <f t="array" aca="1" ref="E728" ca="1">INDIRECT("'" &amp; A728 &amp; "號'!" &amp; ADDRESS(B728, D728))</f>
        <v/>
      </c>
      <c r="F728" s="190">
        <f t="shared" ca="1" si="60"/>
        <v>0</v>
      </c>
      <c r="G728" s="190">
        <f ca="1">IF(F728=0, 0, IF(AND(F727=1, C728&lt;&gt;8, OR(C728=C727+1, AND(C727=23, C728=0))), G727, MAX($G$1:G727)+1))</f>
        <v>0</v>
      </c>
      <c r="H728" s="194">
        <f t="shared" si="61"/>
        <v>31</v>
      </c>
    </row>
    <row r="729" spans="1:8">
      <c r="A729" s="190">
        <f t="shared" si="57"/>
        <v>31</v>
      </c>
      <c r="B729" s="193">
        <f t="shared" si="58"/>
        <v>17</v>
      </c>
      <c r="C729" s="190" cm="1">
        <f t="array" aca="1" ref="C729" ca="1">VALUE(LEFT(TRIM(INDIRECT("'" &amp; INT((ROW()-2)/24)+1 &amp; "號'!B" &amp; MOD(ROW()-2,24)+10)), 2))</f>
        <v>15</v>
      </c>
      <c r="D729" s="190">
        <f t="shared" ca="1" si="59"/>
        <v>7</v>
      </c>
      <c r="E729" s="190" t="str" cm="1">
        <f t="array" aca="1" ref="E729" ca="1">INDIRECT("'" &amp; A729 &amp; "號'!" &amp; ADDRESS(B729, D729))</f>
        <v/>
      </c>
      <c r="F729" s="190">
        <f t="shared" ca="1" si="60"/>
        <v>0</v>
      </c>
      <c r="G729" s="190">
        <f ca="1">IF(F729=0, 0, IF(AND(F728=1, C729&lt;&gt;8, OR(C729=C728+1, AND(C728=23, C729=0))), G728, MAX($G$1:G728)+1))</f>
        <v>0</v>
      </c>
      <c r="H729" s="194">
        <f t="shared" si="61"/>
        <v>31</v>
      </c>
    </row>
    <row r="730" spans="1:8">
      <c r="A730" s="190">
        <f t="shared" si="57"/>
        <v>31</v>
      </c>
      <c r="B730" s="193">
        <f t="shared" si="58"/>
        <v>18</v>
      </c>
      <c r="C730" s="190" cm="1">
        <f t="array" aca="1" ref="C730" ca="1">VALUE(LEFT(TRIM(INDIRECT("'" &amp; INT((ROW()-2)/24)+1 &amp; "號'!B" &amp; MOD(ROW()-2,24)+10)), 2))</f>
        <v>16</v>
      </c>
      <c r="D730" s="190">
        <f t="shared" ca="1" si="59"/>
        <v>7</v>
      </c>
      <c r="E730" s="190" t="str" cm="1">
        <f t="array" aca="1" ref="E730" ca="1">INDIRECT("'" &amp; A730 &amp; "號'!" &amp; ADDRESS(B730, D730))</f>
        <v/>
      </c>
      <c r="F730" s="190">
        <f t="shared" ca="1" si="60"/>
        <v>0</v>
      </c>
      <c r="G730" s="190">
        <f ca="1">IF(F730=0, 0, IF(AND(F729=1, C730&lt;&gt;8, OR(C730=C729+1, AND(C729=23, C730=0))), G729, MAX($G$1:G729)+1))</f>
        <v>0</v>
      </c>
      <c r="H730" s="194">
        <f t="shared" si="61"/>
        <v>31</v>
      </c>
    </row>
    <row r="731" spans="1:8">
      <c r="A731" s="190">
        <f t="shared" si="57"/>
        <v>31</v>
      </c>
      <c r="B731" s="193">
        <f t="shared" si="58"/>
        <v>19</v>
      </c>
      <c r="C731" s="190" cm="1">
        <f t="array" aca="1" ref="C731" ca="1">VALUE(LEFT(TRIM(INDIRECT("'" &amp; INT((ROW()-2)/24)+1 &amp; "號'!B" &amp; MOD(ROW()-2,24)+10)), 2))</f>
        <v>17</v>
      </c>
      <c r="D731" s="190">
        <f t="shared" ca="1" si="59"/>
        <v>7</v>
      </c>
      <c r="E731" s="190" t="str" cm="1">
        <f t="array" aca="1" ref="E731" ca="1">INDIRECT("'" &amp; A731 &amp; "號'!" &amp; ADDRESS(B731, D731))</f>
        <v/>
      </c>
      <c r="F731" s="190">
        <f t="shared" ca="1" si="60"/>
        <v>0</v>
      </c>
      <c r="G731" s="190">
        <f ca="1">IF(F731=0, 0, IF(AND(F730=1, C731&lt;&gt;8, OR(C731=C730+1, AND(C730=23, C731=0))), G730, MAX($G$1:G730)+1))</f>
        <v>0</v>
      </c>
      <c r="H731" s="194">
        <f t="shared" si="61"/>
        <v>31</v>
      </c>
    </row>
    <row r="732" spans="1:8">
      <c r="A732" s="190">
        <f t="shared" si="57"/>
        <v>31</v>
      </c>
      <c r="B732" s="193">
        <f t="shared" si="58"/>
        <v>20</v>
      </c>
      <c r="C732" s="190" cm="1">
        <f t="array" aca="1" ref="C732" ca="1">VALUE(LEFT(TRIM(INDIRECT("'" &amp; INT((ROW()-2)/24)+1 &amp; "號'!B" &amp; MOD(ROW()-2,24)+10)), 2))</f>
        <v>18</v>
      </c>
      <c r="D732" s="190">
        <f t="shared" ca="1" si="59"/>
        <v>7</v>
      </c>
      <c r="E732" s="190" t="str" cm="1">
        <f t="array" aca="1" ref="E732" ca="1">INDIRECT("'" &amp; A732 &amp; "號'!" &amp; ADDRESS(B732, D732))</f>
        <v/>
      </c>
      <c r="F732" s="190">
        <f t="shared" ca="1" si="60"/>
        <v>0</v>
      </c>
      <c r="G732" s="190">
        <f ca="1">IF(F732=0, 0, IF(AND(F731=1, C732&lt;&gt;8, OR(C732=C731+1, AND(C731=23, C732=0))), G731, MAX($G$1:G731)+1))</f>
        <v>0</v>
      </c>
      <c r="H732" s="194">
        <f t="shared" si="61"/>
        <v>31</v>
      </c>
    </row>
    <row r="733" spans="1:8">
      <c r="A733" s="190">
        <f t="shared" si="57"/>
        <v>31</v>
      </c>
      <c r="B733" s="193">
        <f t="shared" si="58"/>
        <v>21</v>
      </c>
      <c r="C733" s="190" cm="1">
        <f t="array" aca="1" ref="C733" ca="1">VALUE(LEFT(TRIM(INDIRECT("'" &amp; INT((ROW()-2)/24)+1 &amp; "號'!B" &amp; MOD(ROW()-2,24)+10)), 2))</f>
        <v>19</v>
      </c>
      <c r="D733" s="190">
        <f t="shared" ca="1" si="59"/>
        <v>7</v>
      </c>
      <c r="E733" s="190" t="str" cm="1">
        <f t="array" aca="1" ref="E733" ca="1">INDIRECT("'" &amp; A733 &amp; "號'!" &amp; ADDRESS(B733, D733))</f>
        <v/>
      </c>
      <c r="F733" s="190">
        <f t="shared" ca="1" si="60"/>
        <v>0</v>
      </c>
      <c r="G733" s="190">
        <f ca="1">IF(F733=0, 0, IF(AND(F732=1, C733&lt;&gt;8, OR(C733=C732+1, AND(C732=23, C733=0))), G732, MAX($G$1:G732)+1))</f>
        <v>0</v>
      </c>
      <c r="H733" s="194">
        <f t="shared" si="61"/>
        <v>31</v>
      </c>
    </row>
    <row r="734" spans="1:8">
      <c r="A734" s="190">
        <f t="shared" si="57"/>
        <v>31</v>
      </c>
      <c r="B734" s="193">
        <f t="shared" si="58"/>
        <v>22</v>
      </c>
      <c r="C734" s="190" cm="1">
        <f t="array" aca="1" ref="C734" ca="1">VALUE(LEFT(TRIM(INDIRECT("'" &amp; INT((ROW()-2)/24)+1 &amp; "號'!B" &amp; MOD(ROW()-2,24)+10)), 2))</f>
        <v>20</v>
      </c>
      <c r="D734" s="190">
        <f t="shared" ca="1" si="59"/>
        <v>7</v>
      </c>
      <c r="E734" s="190" t="str" cm="1">
        <f t="array" aca="1" ref="E734" ca="1">INDIRECT("'" &amp; A734 &amp; "號'!" &amp; ADDRESS(B734, D734))</f>
        <v/>
      </c>
      <c r="F734" s="190">
        <f t="shared" ca="1" si="60"/>
        <v>0</v>
      </c>
      <c r="G734" s="190">
        <f ca="1">IF(F734=0, 0, IF(AND(F733=1, C734&lt;&gt;8, OR(C734=C733+1, AND(C733=23, C734=0))), G733, MAX($G$1:G733)+1))</f>
        <v>0</v>
      </c>
      <c r="H734" s="194">
        <f t="shared" si="61"/>
        <v>31</v>
      </c>
    </row>
    <row r="735" spans="1:8">
      <c r="A735" s="190">
        <f t="shared" si="57"/>
        <v>31</v>
      </c>
      <c r="B735" s="193">
        <f t="shared" si="58"/>
        <v>23</v>
      </c>
      <c r="C735" s="190" cm="1">
        <f t="array" aca="1" ref="C735" ca="1">VALUE(LEFT(TRIM(INDIRECT("'" &amp; INT((ROW()-2)/24)+1 &amp; "號'!B" &amp; MOD(ROW()-2,24)+10)), 2))</f>
        <v>21</v>
      </c>
      <c r="D735" s="190">
        <f t="shared" ca="1" si="59"/>
        <v>7</v>
      </c>
      <c r="E735" s="190" t="str" cm="1">
        <f t="array" aca="1" ref="E735" ca="1">INDIRECT("'" &amp; A735 &amp; "號'!" &amp; ADDRESS(B735, D735))</f>
        <v/>
      </c>
      <c r="F735" s="190">
        <f t="shared" ca="1" si="60"/>
        <v>0</v>
      </c>
      <c r="G735" s="190">
        <f ca="1">IF(F735=0, 0, IF(AND(F734=1, C735&lt;&gt;8, OR(C735=C734+1, AND(C734=23, C735=0))), G734, MAX($G$1:G734)+1))</f>
        <v>0</v>
      </c>
      <c r="H735" s="194">
        <f t="shared" si="61"/>
        <v>31</v>
      </c>
    </row>
    <row r="736" spans="1:8">
      <c r="A736" s="190">
        <f t="shared" si="57"/>
        <v>31</v>
      </c>
      <c r="B736" s="193">
        <f t="shared" si="58"/>
        <v>24</v>
      </c>
      <c r="C736" s="190" cm="1">
        <f t="array" aca="1" ref="C736" ca="1">VALUE(LEFT(TRIM(INDIRECT("'" &amp; INT((ROW()-2)/24)+1 &amp; "號'!B" &amp; MOD(ROW()-2,24)+10)), 2))</f>
        <v>22</v>
      </c>
      <c r="D736" s="190">
        <f t="shared" ca="1" si="59"/>
        <v>7</v>
      </c>
      <c r="E736" s="190" t="str" cm="1">
        <f t="array" aca="1" ref="E736" ca="1">INDIRECT("'" &amp; A736 &amp; "號'!" &amp; ADDRESS(B736, D736))</f>
        <v/>
      </c>
      <c r="F736" s="190">
        <f t="shared" ca="1" si="60"/>
        <v>0</v>
      </c>
      <c r="G736" s="190">
        <f ca="1">IF(F736=0, 0, IF(AND(F735=1, C736&lt;&gt;8, OR(C736=C735+1, AND(C735=23, C736=0))), G735, MAX($G$1:G735)+1))</f>
        <v>0</v>
      </c>
      <c r="H736" s="194">
        <f t="shared" si="61"/>
        <v>31</v>
      </c>
    </row>
    <row r="737" spans="1:8">
      <c r="A737" s="190">
        <f t="shared" si="57"/>
        <v>31</v>
      </c>
      <c r="B737" s="193">
        <f t="shared" si="58"/>
        <v>25</v>
      </c>
      <c r="C737" s="190" cm="1">
        <f t="array" aca="1" ref="C737" ca="1">VALUE(LEFT(TRIM(INDIRECT("'" &amp; INT((ROW()-2)/24)+1 &amp; "號'!B" &amp; MOD(ROW()-2,24)+10)), 2))</f>
        <v>23</v>
      </c>
      <c r="D737" s="190">
        <f t="shared" ca="1" si="59"/>
        <v>7</v>
      </c>
      <c r="E737" s="190" t="str" cm="1">
        <f t="array" aca="1" ref="E737" ca="1">INDIRECT("'" &amp; A737 &amp; "號'!" &amp; ADDRESS(B737, D737))</f>
        <v/>
      </c>
      <c r="F737" s="190">
        <f t="shared" ca="1" si="60"/>
        <v>0</v>
      </c>
      <c r="G737" s="190">
        <f ca="1">IF(F737=0, 0, IF(AND(F736=1, C737&lt;&gt;8, OR(C737=C736+1, AND(C736=23, C737=0))), G736, MAX($G$1:G736)+1))</f>
        <v>0</v>
      </c>
      <c r="H737" s="194">
        <f t="shared" si="61"/>
        <v>31</v>
      </c>
    </row>
    <row r="738" spans="1:8">
      <c r="A738" s="190">
        <f t="shared" si="57"/>
        <v>31</v>
      </c>
      <c r="B738" s="193">
        <f t="shared" si="58"/>
        <v>26</v>
      </c>
      <c r="C738" s="190" cm="1">
        <f t="array" aca="1" ref="C738" ca="1">VALUE(LEFT(TRIM(INDIRECT("'" &amp; INT((ROW()-2)/24)+1 &amp; "號'!B" &amp; MOD(ROW()-2,24)+10)), 2))</f>
        <v>0</v>
      </c>
      <c r="D738" s="190">
        <f t="shared" ca="1" si="59"/>
        <v>7</v>
      </c>
      <c r="E738" s="190" t="str" cm="1">
        <f t="array" aca="1" ref="E738" ca="1">INDIRECT("'" &amp; A738 &amp; "號'!" &amp; ADDRESS(B738, D738))</f>
        <v/>
      </c>
      <c r="F738" s="190">
        <f t="shared" ca="1" si="60"/>
        <v>0</v>
      </c>
      <c r="G738" s="190">
        <f ca="1">IF(F738=0, 0, IF(AND(F737=1, C738&lt;&gt;8, OR(C738=C737+1, AND(C737=23, C738=0))), G737, MAX($G$1:G737)+1))</f>
        <v>0</v>
      </c>
      <c r="H738" s="194">
        <f t="shared" si="61"/>
        <v>31</v>
      </c>
    </row>
    <row r="739" spans="1:8">
      <c r="A739" s="190">
        <f t="shared" si="57"/>
        <v>31</v>
      </c>
      <c r="B739" s="193">
        <f t="shared" si="58"/>
        <v>27</v>
      </c>
      <c r="C739" s="190" cm="1">
        <f t="array" aca="1" ref="C739" ca="1">VALUE(LEFT(TRIM(INDIRECT("'" &amp; INT((ROW()-2)/24)+1 &amp; "號'!B" &amp; MOD(ROW()-2,24)+10)), 2))</f>
        <v>1</v>
      </c>
      <c r="D739" s="190">
        <f t="shared" ca="1" si="59"/>
        <v>7</v>
      </c>
      <c r="E739" s="190" t="str" cm="1">
        <f t="array" aca="1" ref="E739" ca="1">INDIRECT("'" &amp; A739 &amp; "號'!" &amp; ADDRESS(B739, D739))</f>
        <v/>
      </c>
      <c r="F739" s="190">
        <f t="shared" ca="1" si="60"/>
        <v>0</v>
      </c>
      <c r="G739" s="190">
        <f ca="1">IF(F739=0, 0, IF(AND(F738=1, C739&lt;&gt;8, OR(C739=C738+1, AND(C738=23, C739=0))), G738, MAX($G$1:G738)+1))</f>
        <v>0</v>
      </c>
      <c r="H739" s="194">
        <f t="shared" si="61"/>
        <v>31</v>
      </c>
    </row>
    <row r="740" spans="1:8">
      <c r="A740" s="190">
        <f t="shared" si="57"/>
        <v>31</v>
      </c>
      <c r="B740" s="193">
        <f t="shared" si="58"/>
        <v>28</v>
      </c>
      <c r="C740" s="190" cm="1">
        <f t="array" aca="1" ref="C740" ca="1">VALUE(LEFT(TRIM(INDIRECT("'" &amp; INT((ROW()-2)/24)+1 &amp; "號'!B" &amp; MOD(ROW()-2,24)+10)), 2))</f>
        <v>2</v>
      </c>
      <c r="D740" s="190">
        <f t="shared" ca="1" si="59"/>
        <v>7</v>
      </c>
      <c r="E740" s="190" t="str" cm="1">
        <f t="array" aca="1" ref="E740" ca="1">INDIRECT("'" &amp; A740 &amp; "號'!" &amp; ADDRESS(B740, D740))</f>
        <v/>
      </c>
      <c r="F740" s="190">
        <f t="shared" ca="1" si="60"/>
        <v>0</v>
      </c>
      <c r="G740" s="190">
        <f ca="1">IF(F740=0, 0, IF(AND(F739=1, C740&lt;&gt;8, OR(C740=C739+1, AND(C739=23, C740=0))), G739, MAX($G$1:G739)+1))</f>
        <v>0</v>
      </c>
      <c r="H740" s="194">
        <f t="shared" si="61"/>
        <v>31</v>
      </c>
    </row>
    <row r="741" spans="1:8">
      <c r="A741" s="190">
        <f t="shared" si="57"/>
        <v>31</v>
      </c>
      <c r="B741" s="193">
        <f t="shared" si="58"/>
        <v>29</v>
      </c>
      <c r="C741" s="190" cm="1">
        <f t="array" aca="1" ref="C741" ca="1">VALUE(LEFT(TRIM(INDIRECT("'" &amp; INT((ROW()-2)/24)+1 &amp; "號'!B" &amp; MOD(ROW()-2,24)+10)), 2))</f>
        <v>3</v>
      </c>
      <c r="D741" s="190">
        <f t="shared" ca="1" si="59"/>
        <v>7</v>
      </c>
      <c r="E741" s="190" t="str" cm="1">
        <f t="array" aca="1" ref="E741" ca="1">INDIRECT("'" &amp; A741 &amp; "號'!" &amp; ADDRESS(B741, D741))</f>
        <v/>
      </c>
      <c r="F741" s="190">
        <f t="shared" ca="1" si="60"/>
        <v>0</v>
      </c>
      <c r="G741" s="190">
        <f ca="1">IF(F741=0, 0, IF(AND(F740=1, C741&lt;&gt;8, OR(C741=C740+1, AND(C740=23, C741=0))), G740, MAX($G$1:G740)+1))</f>
        <v>0</v>
      </c>
      <c r="H741" s="194">
        <f t="shared" si="61"/>
        <v>31</v>
      </c>
    </row>
    <row r="742" spans="1:8">
      <c r="A742" s="190">
        <f t="shared" si="57"/>
        <v>31</v>
      </c>
      <c r="B742" s="193">
        <f t="shared" si="58"/>
        <v>30</v>
      </c>
      <c r="C742" s="190" cm="1">
        <f t="array" aca="1" ref="C742" ca="1">VALUE(LEFT(TRIM(INDIRECT("'" &amp; INT((ROW()-2)/24)+1 &amp; "號'!B" &amp; MOD(ROW()-2,24)+10)), 2))</f>
        <v>4</v>
      </c>
      <c r="D742" s="190">
        <f t="shared" ca="1" si="59"/>
        <v>7</v>
      </c>
      <c r="E742" s="190" t="str" cm="1">
        <f t="array" aca="1" ref="E742" ca="1">INDIRECT("'" &amp; A742 &amp; "號'!" &amp; ADDRESS(B742, D742))</f>
        <v/>
      </c>
      <c r="F742" s="190">
        <f t="shared" ca="1" si="60"/>
        <v>0</v>
      </c>
      <c r="G742" s="190">
        <f ca="1">IF(F742=0, 0, IF(AND(F741=1, C742&lt;&gt;8, OR(C742=C741+1, AND(C741=23, C742=0))), G741, MAX($G$1:G741)+1))</f>
        <v>0</v>
      </c>
      <c r="H742" s="194">
        <f t="shared" si="61"/>
        <v>31</v>
      </c>
    </row>
    <row r="743" spans="1:8">
      <c r="A743" s="190">
        <f t="shared" si="57"/>
        <v>31</v>
      </c>
      <c r="B743" s="193">
        <f t="shared" si="58"/>
        <v>31</v>
      </c>
      <c r="C743" s="190" cm="1">
        <f t="array" aca="1" ref="C743" ca="1">VALUE(LEFT(TRIM(INDIRECT("'" &amp; INT((ROW()-2)/24)+1 &amp; "號'!B" &amp; MOD(ROW()-2,24)+10)), 2))</f>
        <v>5</v>
      </c>
      <c r="D743" s="190">
        <f t="shared" ca="1" si="59"/>
        <v>7</v>
      </c>
      <c r="E743" s="190" t="str" cm="1">
        <f t="array" aca="1" ref="E743" ca="1">INDIRECT("'" &amp; A743 &amp; "號'!" &amp; ADDRESS(B743, D743))</f>
        <v/>
      </c>
      <c r="F743" s="190">
        <f t="shared" ca="1" si="60"/>
        <v>0</v>
      </c>
      <c r="G743" s="190">
        <f ca="1">IF(F743=0, 0, IF(AND(F742=1, C743&lt;&gt;8, OR(C743=C742+1, AND(C742=23, C743=0))), G742, MAX($G$1:G742)+1))</f>
        <v>0</v>
      </c>
      <c r="H743" s="194">
        <f t="shared" si="61"/>
        <v>31</v>
      </c>
    </row>
    <row r="744" spans="1:8">
      <c r="A744" s="190">
        <f t="shared" si="57"/>
        <v>31</v>
      </c>
      <c r="B744" s="193">
        <f t="shared" si="58"/>
        <v>32</v>
      </c>
      <c r="C744" s="190" cm="1">
        <f t="array" aca="1" ref="C744" ca="1">VALUE(LEFT(TRIM(INDIRECT("'" &amp; INT((ROW()-2)/24)+1 &amp; "號'!B" &amp; MOD(ROW()-2,24)+10)), 2))</f>
        <v>6</v>
      </c>
      <c r="D744" s="190">
        <f t="shared" ca="1" si="59"/>
        <v>7</v>
      </c>
      <c r="E744" s="190" t="str" cm="1">
        <f t="array" aca="1" ref="E744" ca="1">INDIRECT("'" &amp; A744 &amp; "號'!" &amp; ADDRESS(B744, D744))</f>
        <v>5</v>
      </c>
      <c r="F744" s="190">
        <f t="shared" ca="1" si="60"/>
        <v>0</v>
      </c>
      <c r="G744" s="190">
        <f ca="1">IF(F744=0, 0, IF(AND(F743=1, C744&lt;&gt;8, OR(C744=C743+1, AND(C743=23, C744=0))), G743, MAX($G$1:G743)+1))</f>
        <v>0</v>
      </c>
      <c r="H744" s="194">
        <f t="shared" si="61"/>
        <v>31</v>
      </c>
    </row>
    <row r="745" spans="1:8">
      <c r="A745" s="190">
        <f t="shared" si="57"/>
        <v>31</v>
      </c>
      <c r="B745" s="193">
        <f t="shared" si="58"/>
        <v>33</v>
      </c>
      <c r="C745" s="190" cm="1">
        <f t="array" aca="1" ref="C745" ca="1">VALUE(LEFT(TRIM(INDIRECT("'" &amp; INT((ROW()-2)/24)+1 &amp; "號'!B" &amp; MOD(ROW()-2,24)+10)), 2))</f>
        <v>7</v>
      </c>
      <c r="D745" s="190">
        <f t="shared" ca="1" si="59"/>
        <v>7</v>
      </c>
      <c r="E745" s="190" t="str" cm="1">
        <f t="array" aca="1" ref="E745" ca="1">INDIRECT("'" &amp; A745 &amp; "號'!" &amp; ADDRESS(B745, D745))</f>
        <v>5</v>
      </c>
      <c r="F745" s="190">
        <f t="shared" ca="1" si="60"/>
        <v>0</v>
      </c>
      <c r="G745" s="190">
        <f ca="1">IF(F745=0, 0, IF(AND(F744=1, C745&lt;&gt;8, OR(C745=C744+1, AND(C744=23, C745=0))), G744, MAX($G$1:G744)+1))</f>
        <v>0</v>
      </c>
      <c r="H745" s="194">
        <f t="shared" si="61"/>
        <v>31</v>
      </c>
    </row>
  </sheetData>
  <mergeCells count="1">
    <mergeCell ref="L1:N1"/>
  </mergeCells>
  <phoneticPr fontId="9" type="noConversion"/>
  <pageMargins left="0.7" right="0.7" top="0.75" bottom="0.75" header="0.3" footer="0.3"/>
  <pageSetup paperSize="9" orientation="portrait" copies="2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605B42A-4769-4CF6-BED0-D2F332664B24}">
          <x14:formula1>
            <xm:f>輪休基準表!$AL$6:$AL$36</xm:f>
          </x14:formula1>
          <xm:sqref>L1:N1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>
    <pageSetUpPr fitToPage="1"/>
  </sheetPr>
  <dimension ref="B1:BD310"/>
  <sheetViews>
    <sheetView showZeros="0" view="pageBreakPreview" topLeftCell="B1" zoomScale="55" zoomScaleNormal="55" zoomScaleSheetLayoutView="55" workbookViewId="0">
      <selection activeCell="X20" sqref="X20"/>
    </sheetView>
  </sheetViews>
  <sheetFormatPr defaultColWidth="11.25" defaultRowHeight="15" customHeight="1"/>
  <cols>
    <col min="1" max="1" width="4.125" style="9" customWidth="1"/>
    <col min="2" max="2" width="8.625" style="63" customWidth="1"/>
    <col min="3" max="3" width="5.375" style="9" customWidth="1"/>
    <col min="4" max="4" width="6.5" style="9" customWidth="1"/>
    <col min="5" max="6" width="5.375" style="9" customWidth="1"/>
    <col min="7" max="8" width="8.625" style="9" customWidth="1"/>
    <col min="9" max="12" width="5.375" style="9" customWidth="1"/>
    <col min="13" max="13" width="6.625" style="9" customWidth="1"/>
    <col min="14" max="31" width="5.375" style="9" customWidth="1"/>
    <col min="32" max="32" width="7.625" style="9" customWidth="1"/>
    <col min="33" max="33" width="10.625" style="9" customWidth="1"/>
    <col min="34" max="34" width="7.625" style="9" customWidth="1"/>
    <col min="35" max="35" width="10.625" style="9" customWidth="1"/>
    <col min="36" max="36" width="7.625" style="9" customWidth="1"/>
    <col min="37" max="37" width="10.625" style="9" customWidth="1"/>
    <col min="38" max="38" width="7.625" style="9" customWidth="1"/>
    <col min="39" max="39" width="10.625" style="9" customWidth="1"/>
    <col min="40" max="40" width="4.125" style="213" customWidth="1"/>
    <col min="41" max="47" width="11.625" style="9" customWidth="1"/>
    <col min="48" max="48" width="4.125" style="9" customWidth="1"/>
    <col min="49" max="49" width="16" style="9" customWidth="1"/>
    <col min="50" max="51" width="8.25" style="9" customWidth="1"/>
    <col min="52" max="52" width="4.125" style="9" customWidth="1"/>
    <col min="53" max="53" width="16" style="9" customWidth="1"/>
    <col min="54" max="54" width="8.25" style="9" customWidth="1"/>
    <col min="55" max="55" width="10.875" style="9" customWidth="1"/>
    <col min="56" max="58" width="4.125" style="9" customWidth="1"/>
    <col min="59" max="16384" width="11.25" style="9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1"/>
      <c r="AP1" s="399"/>
      <c r="AQ1" s="399"/>
      <c r="AR1" s="11"/>
      <c r="AS1" s="11"/>
      <c r="AT1" s="11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42" t="s">
        <v>178</v>
      </c>
      <c r="AR2" s="142" t="s">
        <v>228</v>
      </c>
      <c r="AS2" s="142"/>
      <c r="AT2" s="140"/>
      <c r="AU2" s="11"/>
      <c r="AV2" s="11"/>
      <c r="AW2" s="362" t="s">
        <v>127</v>
      </c>
      <c r="AX2" s="287"/>
      <c r="AY2" s="367" t="str">
        <f>_xlfn.XLOOKUP($AR$3,訓練!$L$13:$L$19,訓練!$M$13:$M$19,"")</f>
        <v>救生艇拆裝組合訓練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115年5月1日星期五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1</v>
      </c>
      <c r="AR3" s="141" t="str">
        <f>RIGHT(TEXT(1911+$AO$3&amp;"/"&amp;$AP$3&amp;"/"&amp;$AQ$3,"aaaa"),1)</f>
        <v>五</v>
      </c>
      <c r="AS3" s="144"/>
      <c r="AT3" s="145"/>
      <c r="AU3" s="11"/>
      <c r="AV3" s="11"/>
      <c r="AW3" s="362" t="s">
        <v>128</v>
      </c>
      <c r="AX3" s="287"/>
      <c r="AY3" s="368" t="str">
        <f>_xlfn.XLOOKUP($AR$3,訓練!$L$13:$L$19,訓練!$N$13:$N$19,"")</f>
        <v>船外機與橡皮艇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1"/>
      <c r="AU4" s="11"/>
      <c r="AV4" s="11"/>
      <c r="AW4" s="362" t="s">
        <v>129</v>
      </c>
      <c r="AX4" s="287"/>
      <c r="AY4" s="363" t="str">
        <f>_xlfn.XLOOKUP($AR$3,訓練!$L$13:$L$19,訓練!$O$13:$O$19,"")</f>
        <v>個人水域防護裝備介紹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3" t="s">
        <v>342</v>
      </c>
      <c r="E5" s="340" t="s">
        <v>341</v>
      </c>
      <c r="F5" s="340"/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394"/>
      <c r="E6" s="341"/>
      <c r="F6" s="341"/>
      <c r="G6" s="312"/>
      <c r="H6" s="312"/>
      <c r="I6" s="334" t="s">
        <v>227</v>
      </c>
      <c r="J6" s="335"/>
      <c r="K6" s="334" t="s">
        <v>192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2+7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394"/>
      <c r="E7" s="341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226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1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1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1" cm="1">
        <f t="array" ref="AO9:AP36">TRANSPOSE(輪休基準表!E4:AF5)</f>
        <v>1</v>
      </c>
      <c r="AP9" s="11" t="str">
        <v>鄧力嘉</v>
      </c>
      <c r="AQ9" s="11" t="str" cm="1">
        <f t="array" ref="AQ9">IFERROR(_xlfn.XLOOKUP(_xlfn.XLOOKUP($AQ$3,輪休基準表!$C$6:$C$36,_xlfn.XLOOKUP(AP9,輪休基準表!$E$5:$AF$5,輪休基準表!$E$6:$AF$36,""),""),班別參數!$A$4:$A$20,班別參數!$B$4:$B$20,""),"")</f>
        <v>上班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>已排</v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 t="array" ref="AX9">IFERROR(INDEX(班別參數!$D$4:$S$20,MATCH(AW9,班別參數!$D$4:$D$20,0),MATCH($AS$6,班別參數!$D$4:$S$4,0)),"")</f>
        <v>A</v>
      </c>
      <c r="AY9" s="35">
        <v>12</v>
      </c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H,K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9,1</v>
      </c>
      <c r="BD9" s="11"/>
    </row>
    <row r="10" spans="2:56" ht="30" customHeight="1">
      <c r="B10" s="81" t="s">
        <v>70</v>
      </c>
      <c r="C10" s="87">
        <f>_xlfn.XLOOKUP(_xlfn.XLOOKUP($AS$6&amp;$B10,公表[班別+時段],公表[值班],""),$AX$9:$AX$25,$AY$9:$AY$25,"")</f>
        <v>12</v>
      </c>
      <c r="D10" s="95"/>
      <c r="E10" s="95"/>
      <c r="F10" s="95"/>
      <c r="G10" s="122" t="str">
        <f>IF(BC9="","",BC9)</f>
        <v>9,1</v>
      </c>
      <c r="H10" s="37"/>
      <c r="I10" s="92">
        <f>_xlfn.XLOOKUP(_xlfn.XLOOKUP($AS$6&amp;$B10,公表[班別+時段],公表[救護1],""),$AX$9:$AX$25,$AY$9:$AY$25,"")</f>
        <v>16</v>
      </c>
      <c r="J10" s="92">
        <f>_xlfn.XLOOKUP(_xlfn.XLOOKUP($AS$6&amp;$B10,公表[班別+時段],公表[救護2],""),$AX$9:$AX$25,$AY$9:$AY$25,"")</f>
        <v>18</v>
      </c>
      <c r="K10" s="87"/>
      <c r="L10" s="87" t="s">
        <v>212</v>
      </c>
      <c r="M10" s="311"/>
      <c r="N10" s="87">
        <f>_xlfn.XLOOKUP(_xlfn.XLOOKUP($AS$6&amp;$B10,公表[班別+時段],公表[備勤1],""),$AX$9:$AX$25,$AY$9:$AY$25,"")</f>
        <v>7</v>
      </c>
      <c r="O10" s="87">
        <f>_xlfn.XLOOKUP(_xlfn.XLOOKUP($AS$6&amp;$B10,公表[班別+時段],公表[備勤2],""),$AX$9:$AX$25,$AY$9:$AY$25,"")</f>
        <v>27</v>
      </c>
      <c r="P10" s="87"/>
      <c r="Q10" s="87">
        <f>_xlfn.XLOOKUP(_xlfn.XLOOKUP($AS$6&amp;$B10,公表[班別+時段],公表[備勤3],""),$AX$9:$AX$25,$AY$9:$AY$25,"")</f>
        <v>28</v>
      </c>
      <c r="R10" s="87">
        <f>_xlfn.XLOOKUP(_xlfn.XLOOKUP($AS$6&amp;$B10,公表[班別+時段],公表[備勤4],""),$AX$9:$AX$25,$AY$9:$AY$25,"")</f>
        <v>0</v>
      </c>
      <c r="S10" s="87"/>
      <c r="T10" s="87">
        <f>_xlfn.XLOOKUP(_xlfn.XLOOKUP($AS$6&amp;$B10,公表[班別+時段],公表[備勤5],""),$AX$9:$AX$25,$AY$9:$AY$25,"")</f>
        <v>0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232"/>
      <c r="AB10" s="227"/>
      <c r="AC10" s="87"/>
      <c r="AD10" s="87"/>
      <c r="AE10" s="88">
        <f>_xlfn.XLOOKUP(_xlfn.XLOOKUP($AS$6&amp;$B10,公表[班別+時段],公表[指揮官],""),$AX$9:$AX$25,$AY$9:$AY$25,"")</f>
        <v>3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1">
        <v>2</v>
      </c>
      <c r="AP10" s="11" t="str">
        <v>莊勝斌</v>
      </c>
      <c r="AQ10" s="64" t="str" cm="1">
        <f t="array" ref="AQ10">IFERROR(_xlfn.XLOOKUP(_xlfn.XLOOKUP($AQ$3,輪休基準表!$C$6:$C$36,_xlfn.XLOOKUP(AP10,輪休基準表!$E$5:$AF$5,輪休基準表!$E$6:$AF$36,""),""),班別參數!$A$4:$A$20,班別參數!$B$4:$B$20,""),"")</f>
        <v>輪休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/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>
        <v>28</v>
      </c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27</v>
      </c>
      <c r="BD10" s="11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12</v>
      </c>
      <c r="D11" s="95"/>
      <c r="E11" s="95"/>
      <c r="F11" s="95"/>
      <c r="G11" s="122" t="str">
        <f>IF(BC9="","",BC9)</f>
        <v>9,1</v>
      </c>
      <c r="H11" s="296" t="str">
        <f>AY2</f>
        <v>救生艇拆裝組合訓練</v>
      </c>
      <c r="I11" s="92">
        <f>_xlfn.XLOOKUP(_xlfn.XLOOKUP($AS$6&amp;$B11,公表[班別+時段],公表[救護1],""),$AX$9:$AX$25,$AY$9:$AY$25,"")</f>
        <v>16</v>
      </c>
      <c r="J11" s="92">
        <f>_xlfn.XLOOKUP(_xlfn.XLOOKUP($AS$6&amp;$B11,公表[班別+時段],公表[救護2],""),$AX$9:$AX$25,$AY$9:$AY$25,"")</f>
        <v>18</v>
      </c>
      <c r="K11" s="87"/>
      <c r="L11" s="87" t="s">
        <v>212</v>
      </c>
      <c r="M11" s="312"/>
      <c r="N11" s="87">
        <f>_xlfn.XLOOKUP(_xlfn.XLOOKUP($AS$6&amp;$B11,公表[班別+時段],公表[備勤1],""),$AX$9:$AX$25,$AY$9:$AY$25,"")</f>
        <v>7</v>
      </c>
      <c r="O11" s="87">
        <f>_xlfn.XLOOKUP(_xlfn.XLOOKUP($AS$6&amp;$B11,公表[班別+時段],公表[備勤2],""),$AX$9:$AX$25,$AY$9:$AY$25,"")</f>
        <v>27</v>
      </c>
      <c r="P11" s="87"/>
      <c r="Q11" s="87">
        <f>_xlfn.XLOOKUP(_xlfn.XLOOKUP($AS$6&amp;$B11,公表[班別+時段],公表[備勤3],""),$AX$9:$AX$25,$AY$9:$AY$25,"")</f>
        <v>28</v>
      </c>
      <c r="R11" s="87">
        <f>_xlfn.XLOOKUP(_xlfn.XLOOKUP($AS$6&amp;$B11,公表[班別+時段],公表[備勤4],""),$AX$9:$AX$25,$AY$9:$AY$25,"")</f>
        <v>0</v>
      </c>
      <c r="S11" s="87"/>
      <c r="T11" s="87">
        <f>_xlfn.XLOOKUP(_xlfn.XLOOKUP($AS$6&amp;$B11,公表[班別+時段],公表[備勤5],""),$AX$9:$AX$25,$AY$9:$AY$25,"")</f>
        <v>0</v>
      </c>
      <c r="U11" s="87">
        <f>_xlfn.XLOOKUP(_xlfn.XLOOKUP($AS$6&amp;$B11,公表[班別+時段],公表[備勤6],""),$AX$9:$AX$25,$AY$9:$AY$25,"")</f>
        <v>0</v>
      </c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232"/>
      <c r="AB11" s="227"/>
      <c r="AC11" s="87"/>
      <c r="AD11" s="87"/>
      <c r="AE11" s="88">
        <f>_xlfn.XLOOKUP(_xlfn.XLOOKUP($AS$6&amp;$B11,公表[班別+時段],公表[指揮官],""),$AX$9:$AX$25,$AY$9:$AY$25,"")</f>
        <v>3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1">
        <v>3</v>
      </c>
      <c r="AP11" s="11" t="str">
        <v>孫子翔</v>
      </c>
      <c r="AQ11" s="64" t="str" cm="1">
        <f t="array" ref="AQ11">IFERROR(_xlfn.XLOOKUP(_xlfn.XLOOKUP($AQ$3,輪休基準表!$C$6:$C$36,_xlfn.XLOOKUP(AP11,輪休基準表!$E$5:$AF$5,輪休基準表!$E$6:$AF$36,""),""),班別參數!$A$4:$A$20,班別參數!$B$4:$B$20,""),"")</f>
        <v>上班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>已排</v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>
        <v>18</v>
      </c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F</v>
      </c>
      <c r="BC11" s="39" t="str">
        <f t="shared" si="2"/>
        <v>16</v>
      </c>
      <c r="BD11" s="11"/>
    </row>
    <row r="12" spans="2:56" ht="30" customHeight="1">
      <c r="B12" s="81" t="s">
        <v>75</v>
      </c>
      <c r="C12" s="87">
        <f>_xlfn.XLOOKUP(_xlfn.XLOOKUP($AS$6&amp;$B12,公表[班別+時段],公表[值班],""),$AX$9:$AX$25,$AY$9:$AY$25,"")</f>
        <v>28</v>
      </c>
      <c r="D12" s="292"/>
      <c r="E12" s="292">
        <v>18</v>
      </c>
      <c r="F12" s="95"/>
      <c r="G12" s="122" t="str">
        <f>IF(BC10="","",BC10)</f>
        <v>27</v>
      </c>
      <c r="H12" s="314"/>
      <c r="I12" s="92">
        <f>_xlfn.XLOOKUP(_xlfn.XLOOKUP($AS$6&amp;$B12,公表[班別+時段],公表[救護1],""),$AX$9:$AX$25,$AY$9:$AY$25,"")</f>
        <v>12</v>
      </c>
      <c r="J12" s="92">
        <f>_xlfn.XLOOKUP(_xlfn.XLOOKUP($AS$6&amp;$B12,公表[班別+時段],公表[救護2],""),$AX$9:$AX$25,$AY$9:$AY$25,"")</f>
        <v>7</v>
      </c>
      <c r="K12" s="92"/>
      <c r="L12" s="87" t="s">
        <v>212</v>
      </c>
      <c r="M12" s="312"/>
      <c r="N12" s="87">
        <f>_xlfn.XLOOKUP(_xlfn.XLOOKUP($AS$6&amp;$B12,公表[班別+時段],公表[備勤1],""),$AX$9:$AX$25,$AY$9:$AY$25,"")</f>
        <v>9</v>
      </c>
      <c r="O12" s="87">
        <f>_xlfn.XLOOKUP(_xlfn.XLOOKUP($AS$6&amp;$B12,公表[班別+時段],公表[備勤2],""),$AX$9:$AX$25,$AY$9:$AY$25,"")</f>
        <v>16</v>
      </c>
      <c r="P12" s="87"/>
      <c r="Q12" s="87"/>
      <c r="R12" s="87">
        <f>_xlfn.XLOOKUP(_xlfn.XLOOKUP($AS$6&amp;$B12,公表[班別+時段],公表[備勤4],""),$AX$9:$AX$25,$AY$9:$AY$25,"")</f>
        <v>0</v>
      </c>
      <c r="S12" s="87"/>
      <c r="T12" s="87">
        <f>_xlfn.XLOOKUP(_xlfn.XLOOKUP($AS$6&amp;$B12,公表[班別+時段],公表[備勤5],""),$AX$9:$AX$25,$AY$9:$AY$25,"")</f>
        <v>3</v>
      </c>
      <c r="U12" s="87">
        <f>_xlfn.XLOOKUP(_xlfn.XLOOKUP($AS$6&amp;$B12,公表[班別+時段],公表[備勤6],""),$AX$9:$AX$25,$AY$9:$AY$25,"")</f>
        <v>0</v>
      </c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227"/>
      <c r="AC12" s="87"/>
      <c r="AD12" s="87"/>
      <c r="AE12" s="88">
        <f>_xlfn.XLOOKUP(_xlfn.XLOOKUP($AS$6&amp;$B12,公表[班別+時段],公表[指揮官],""),$AX$9:$AX$25,$AY$9:$AY$25,"")</f>
        <v>1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1">
        <v>4</v>
      </c>
      <c r="AP12" s="11" t="str">
        <v>簡永豐</v>
      </c>
      <c r="AQ12" s="64" t="str" cm="1">
        <f t="array" ref="AQ12">IFERROR(_xlfn.XLOOKUP(_xlfn.XLOOKUP($AQ$3,輪休基準表!$C$6:$C$36,_xlfn.XLOOKUP(AP12,輪休基準表!$E$5:$AF$5,輪休基準表!$E$6:$AF$36,""),""),班別參數!$A$4:$A$20,班別參數!$B$4:$B$20,""),"")</f>
        <v>輪休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/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>
        <v>7</v>
      </c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1"/>
    </row>
    <row r="13" spans="2:56" ht="30" customHeight="1" thickBot="1">
      <c r="B13" s="82" t="s">
        <v>76</v>
      </c>
      <c r="C13" s="89">
        <f>_xlfn.XLOOKUP(_xlfn.XLOOKUP($AS$6&amp;$B13,公表[班別+時段],公表[值班],""),$AX$9:$AX$25,$AY$9:$AY$25,"")</f>
        <v>28</v>
      </c>
      <c r="D13" s="293"/>
      <c r="E13" s="293"/>
      <c r="F13" s="96"/>
      <c r="G13" s="123" t="str">
        <f>IF(BC10="","",BC10)</f>
        <v>27</v>
      </c>
      <c r="H13" s="315"/>
      <c r="I13" s="216">
        <f>_xlfn.XLOOKUP(_xlfn.XLOOKUP($AS$6&amp;$B13,公表[班別+時段],公表[救護1],""),$AX$9:$AX$25,$AY$9:$AY$25,"")</f>
        <v>12</v>
      </c>
      <c r="J13" s="216">
        <f>_xlfn.XLOOKUP(_xlfn.XLOOKUP($AS$6&amp;$B13,公表[班別+時段],公表[救護2],""),$AX$9:$AX$25,$AY$9:$AY$25,"")</f>
        <v>7</v>
      </c>
      <c r="K13" s="105"/>
      <c r="L13" s="93" t="s">
        <v>212</v>
      </c>
      <c r="M13" s="312"/>
      <c r="N13" s="89">
        <f>_xlfn.XLOOKUP(_xlfn.XLOOKUP($AS$6&amp;$B13,公表[班別+時段],公表[備勤1],""),$AX$9:$AX$25,$AY$9:$AY$25,"")</f>
        <v>9</v>
      </c>
      <c r="O13" s="89">
        <f>_xlfn.XLOOKUP(_xlfn.XLOOKUP($AS$6&amp;$B13,公表[班別+時段],公表[備勤2],""),$AX$9:$AX$25,$AY$9:$AY$25,"")</f>
        <v>16</v>
      </c>
      <c r="P13" s="89"/>
      <c r="Q13" s="89"/>
      <c r="R13" s="89">
        <f>_xlfn.XLOOKUP(_xlfn.XLOOKUP($AS$6&amp;$B13,公表[班別+時段],公表[備勤4],""),$AX$9:$AX$25,$AY$9:$AY$25,"")</f>
        <v>0</v>
      </c>
      <c r="S13" s="89"/>
      <c r="T13" s="89">
        <f>_xlfn.XLOOKUP(_xlfn.XLOOKUP($AS$6&amp;$B13,公表[班別+時段],公表[備勤5],""),$AX$9:$AX$25,$AY$9:$AY$25,"")</f>
        <v>3</v>
      </c>
      <c r="U13" s="89">
        <f>_xlfn.XLOOKUP(_xlfn.XLOOKUP($AS$6&amp;$B13,公表[班別+時段],公表[備勤6],""),$AX$9:$AX$25,$AY$9:$AY$25,"")</f>
        <v>0</v>
      </c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228"/>
      <c r="AC13" s="89"/>
      <c r="AD13" s="89"/>
      <c r="AE13" s="104">
        <f>_xlfn.XLOOKUP(_xlfn.XLOOKUP($AS$6&amp;$B13,公表[班別+時段],公表[指揮官],""),$AX$9:$AX$25,$AY$9:$AY$25,"")</f>
        <v>1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1">
        <v>5</v>
      </c>
      <c r="AP13" s="11" t="str">
        <v>張鴻志</v>
      </c>
      <c r="AQ13" s="64" t="str" cm="1">
        <f t="array" ref="AQ13">IFERROR(_xlfn.XLOOKUP(_xlfn.XLOOKUP($AQ$3,輪休基準表!$C$6:$C$36,_xlfn.XLOOKUP(AP13,輪休基準表!$E$5:$AF$5,輪休基準表!$E$6:$AF$36,""),""),班別參數!$A$4:$A$20,班別參數!$B$4:$B$20,""),"")</f>
        <v>輪休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/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>
        <v>27</v>
      </c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>12</v>
      </c>
      <c r="BD13" s="11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18</v>
      </c>
      <c r="D14" s="234"/>
      <c r="E14" s="97"/>
      <c r="F14" s="97"/>
      <c r="G14" s="121" t="str">
        <f>IF(BC11="","",BC11)</f>
        <v>16</v>
      </c>
      <c r="H14" s="55"/>
      <c r="I14" s="94">
        <f>_xlfn.XLOOKUP(_xlfn.XLOOKUP($AS$6&amp;$B14,公表[班別+時段],公表[救護1],""),$AX$9:$AX$25,$AY$9:$AY$25,"")</f>
        <v>28</v>
      </c>
      <c r="J14" s="94">
        <f>_xlfn.XLOOKUP(_xlfn.XLOOKUP($AS$6&amp;$B14,公表[班別+時段],公表[救護2],""),$AX$9:$AX$25,$AY$9:$AY$25,"")</f>
        <v>9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12</v>
      </c>
      <c r="O14" s="90">
        <f>_xlfn.XLOOKUP(_xlfn.XLOOKUP($AS$6&amp;$B14,公表[班別+時段],公表[備勤2],""),$AX$9:$AX$25,$AY$9:$AY$25,"")</f>
        <v>27</v>
      </c>
      <c r="P14" s="90"/>
      <c r="Q14" s="90">
        <f>_xlfn.XLOOKUP(_xlfn.XLOOKUP($AS$6&amp;$B14,公表[班別+時段],公表[備勤3],""),$AX$9:$AX$25,$AY$9:$AY$25,"")</f>
        <v>7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3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229"/>
      <c r="AC14" s="90"/>
      <c r="AD14" s="90"/>
      <c r="AE14" s="91">
        <f>_xlfn.XLOOKUP(_xlfn.XLOOKUP($AS$6&amp;$B14,公表[班別+時段],公表[指揮官],""),$AX$9:$AX$25,$AY$9:$AY$25,"")</f>
        <v>1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1">
        <v>6</v>
      </c>
      <c r="AP14" s="11" t="str">
        <v>吳宗耕</v>
      </c>
      <c r="AQ14" s="64" t="str" cm="1">
        <f t="array" ref="AQ14">IFERROR(_xlfn.XLOOKUP(_xlfn.XLOOKUP($AQ$3,輪休基準表!$C$6:$C$36,_xlfn.XLOOKUP(AP14,輪休基準表!$E$5:$AF$5,輪休基準表!$E$6:$AF$36,""),""),班別參數!$A$4:$A$20,班別參數!$B$4:$B$20,""),"")</f>
        <v>請休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/>
      </c>
      <c r="AT14" s="180" t="str">
        <f t="shared" si="0"/>
        <v/>
      </c>
      <c r="AU14" s="180" t="str">
        <f t="shared" si="1"/>
        <v/>
      </c>
      <c r="AV14" s="25"/>
      <c r="AW14" s="33" t="str">
        <f t="array" ref="AW14">INDEX(班別參數!$D$4:$D$20,ROW()-7,MATCH($AW$8,班別參數!$D$4:$D$20,0))</f>
        <v>18-20</v>
      </c>
      <c r="AX14" s="34">
        <f t="array" ref="AX14">IFERROR(INDEX(班別參數!$D$4:$S$20,MATCH(AW14,班別參數!$D$4:$D$20,0),MATCH($AS$6,班別參數!$D$4:$S$4,0)),"")</f>
        <v>0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</v>
      </c>
      <c r="BC14" s="39" t="str">
        <f t="shared" si="2"/>
        <v>28</v>
      </c>
      <c r="BD14" s="11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18</v>
      </c>
      <c r="D15" s="235"/>
      <c r="E15" s="106"/>
      <c r="F15" s="96"/>
      <c r="G15" s="123" t="str">
        <f>IF(BC11="","",BC11)</f>
        <v>16</v>
      </c>
      <c r="H15" s="40"/>
      <c r="I15" s="216">
        <f>_xlfn.XLOOKUP(_xlfn.XLOOKUP($AS$6&amp;$B15,公表[班別+時段],公表[救護1],""),$AX$9:$AX$25,$AY$9:$AY$25,"")</f>
        <v>28</v>
      </c>
      <c r="J15" s="216">
        <f>_xlfn.XLOOKUP(_xlfn.XLOOKUP($AS$6&amp;$B15,公表[班別+時段],公表[救護2],""),$AX$9:$AX$25,$AY$9:$AY$25,"")</f>
        <v>9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12</v>
      </c>
      <c r="O15" s="89">
        <f>_xlfn.XLOOKUP(_xlfn.XLOOKUP($AS$6&amp;$B15,公表[班別+時段],公表[備勤2],""),$AX$9:$AX$25,$AY$9:$AY$25,"")</f>
        <v>27</v>
      </c>
      <c r="P15" s="89"/>
      <c r="Q15" s="89">
        <f>_xlfn.XLOOKUP(_xlfn.XLOOKUP($AS$6&amp;$B15,公表[班別+時段],公表[備勤3],""),$AX$9:$AX$25,$AY$9:$AY$25,"")</f>
        <v>7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3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228"/>
      <c r="AC15" s="89"/>
      <c r="AD15" s="89"/>
      <c r="AE15" s="104">
        <f>_xlfn.XLOOKUP(_xlfn.XLOOKUP($AS$6&amp;$B15,公表[班別+時段],公表[指揮官],""),$AX$9:$AX$25,$AY$9:$AY$25,"")</f>
        <v>1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1">
        <v>7</v>
      </c>
      <c r="AP15" s="11" t="str">
        <v>包華先</v>
      </c>
      <c r="AQ15" s="64" t="str" cm="1">
        <f t="array" ref="AQ15">IFERROR(_xlfn.XLOOKUP(_xlfn.XLOOKUP($AQ$3,輪休基準表!$C$6:$C$36,_xlfn.XLOOKUP(AP15,輪休基準表!$E$5:$AF$5,輪休基準表!$E$6:$AF$36,""),""),班別參數!$A$4:$A$20,班別參數!$B$4:$B$20,""),"")</f>
        <v>上班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>已排</v>
      </c>
      <c r="AT15" s="180">
        <f t="shared" si="0"/>
        <v>8</v>
      </c>
      <c r="AU15" s="180">
        <f t="shared" si="1"/>
        <v>6</v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>
        <v>16</v>
      </c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>7</v>
      </c>
      <c r="BD15" s="11"/>
    </row>
    <row r="16" spans="2:56" ht="30" customHeight="1">
      <c r="B16" s="83" t="s">
        <v>79</v>
      </c>
      <c r="C16" s="90">
        <f>_xlfn.XLOOKUP(_xlfn.XLOOKUP($AS$6&amp;$B16,公表[班別+時段],公表[值班],""),$AX$9:$AX$25,$AY$9:$AY$25,"")</f>
        <v>7</v>
      </c>
      <c r="D16" s="98"/>
      <c r="E16" s="99"/>
      <c r="F16" s="98"/>
      <c r="G16" s="121"/>
      <c r="H16" s="316" t="str">
        <f>AY3</f>
        <v>船外機與橡皮艇</v>
      </c>
      <c r="I16" s="94">
        <f>_xlfn.XLOOKUP(_xlfn.XLOOKUP($AS$6&amp;$B16,公表[班別+時段],公表[救護1],""),$AX$9:$AX$25,$AY$9:$AY$25,"")</f>
        <v>16</v>
      </c>
      <c r="J16" s="94">
        <f>_xlfn.XLOOKUP(_xlfn.XLOOKUP($AS$6&amp;$B16,公表[班別+時段],公表[救護2],""),$AX$9:$AX$25,$AY$9:$AY$25,"")</f>
        <v>9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28</v>
      </c>
      <c r="O16" s="90">
        <f>_xlfn.XLOOKUP(_xlfn.XLOOKUP($AS$6&amp;$B16,公表[班別+時段],公表[備勤2],""),$AX$9:$AX$25,$AY$9:$AY$25,"")</f>
        <v>18</v>
      </c>
      <c r="P16" s="90"/>
      <c r="Q16" s="90">
        <f>_xlfn.XLOOKUP(_xlfn.XLOOKUP($AS$6&amp;$B16,公表[班別+時段],公表[備勤3],""),$AX$9:$AX$25,$AY$9:$AY$25,"")</f>
        <v>12</v>
      </c>
      <c r="R16" s="90">
        <f>_xlfn.XLOOKUP(_xlfn.XLOOKUP($AS$6&amp;$B16,公表[班別+時段],公表[備勤4],""),$AX$9:$AX$25,$AY$9:$AY$25,"")</f>
        <v>27</v>
      </c>
      <c r="S16" s="90"/>
      <c r="T16" s="90">
        <f>_xlfn.XLOOKUP(_xlfn.XLOOKUP($AS$6&amp;$B16,公表[班別+時段],公表[備勤5],""),$AX$9:$AX$25,$AY$9:$AY$25,"")</f>
        <v>3</v>
      </c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229"/>
      <c r="AC16" s="90"/>
      <c r="AD16" s="90"/>
      <c r="AE16" s="91">
        <f>_xlfn.XLOOKUP(_xlfn.XLOOKUP($AS$6&amp;$B16,公表[班別+時段],公表[指揮官],""),$AX$9:$AX$25,$AY$9:$AY$25,"")</f>
        <v>1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1">
        <v>8</v>
      </c>
      <c r="AP16" s="11" t="str">
        <v>曾彥綸</v>
      </c>
      <c r="AQ16" s="64" t="str" cm="1">
        <f t="array" ref="AQ16">IFERROR(_xlfn.XLOOKUP(_xlfn.XLOOKUP($AQ$3,輪休基準表!$C$6:$C$36,_xlfn.XLOOKUP(AP16,輪休基準表!$E$5:$AF$5,輪休基準表!$E$6:$AF$36,""),""),班別參數!$A$4:$A$20,班別參數!$B$4:$B$20,""),"")</f>
        <v>輪休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/>
      </c>
      <c r="AT16" s="180" t="str">
        <f t="shared" si="0"/>
        <v/>
      </c>
      <c r="AU16" s="180" t="str">
        <f t="shared" si="1"/>
        <v/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>
        <v>9</v>
      </c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1"/>
    </row>
    <row r="17" spans="2:56" ht="30" customHeight="1">
      <c r="B17" s="81" t="s">
        <v>80</v>
      </c>
      <c r="C17" s="87">
        <f>_xlfn.XLOOKUP(_xlfn.XLOOKUP($AS$6&amp;$B17,公表[班別+時段],公表[值班],""),$AX$9:$AX$25,$AY$9:$AY$25,"")</f>
        <v>7</v>
      </c>
      <c r="D17" s="95"/>
      <c r="E17" s="95"/>
      <c r="F17" s="100"/>
      <c r="G17" s="122" t="str">
        <f>IF(BC12="","",BC12)</f>
        <v/>
      </c>
      <c r="H17" s="314"/>
      <c r="I17" s="92">
        <f>_xlfn.XLOOKUP(_xlfn.XLOOKUP($AS$6&amp;$B17,公表[班別+時段],公表[救護1],""),$AX$9:$AX$25,$AY$9:$AY$25,"")</f>
        <v>16</v>
      </c>
      <c r="J17" s="92">
        <f>_xlfn.XLOOKUP(_xlfn.XLOOKUP($AS$6&amp;$B17,公表[班別+時段],公表[救護2],""),$AX$9:$AX$25,$AY$9:$AY$25,"")</f>
        <v>9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28</v>
      </c>
      <c r="O17" s="87">
        <f>_xlfn.XLOOKUP(_xlfn.XLOOKUP($AS$6&amp;$B17,公表[班別+時段],公表[備勤2],""),$AX$9:$AX$25,$AY$9:$AY$25,"")</f>
        <v>18</v>
      </c>
      <c r="P17" s="87"/>
      <c r="Q17" s="87">
        <f>_xlfn.XLOOKUP(_xlfn.XLOOKUP($AS$6&amp;$B17,公表[班別+時段],公表[備勤3],""),$AX$9:$AX$25,$AY$9:$AY$25,"")</f>
        <v>12</v>
      </c>
      <c r="R17" s="87">
        <f>_xlfn.XLOOKUP(_xlfn.XLOOKUP($AS$6&amp;$B17,公表[班別+時段],公表[備勤4],""),$AX$9:$AX$25,$AY$9:$AY$25,"")</f>
        <v>27</v>
      </c>
      <c r="S17" s="87"/>
      <c r="T17" s="87">
        <f>_xlfn.XLOOKUP(_xlfn.XLOOKUP($AS$6&amp;$B17,公表[班別+時段],公表[備勤5],""),$AX$9:$AX$25,$AY$9:$AY$25,"")</f>
        <v>3</v>
      </c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227"/>
      <c r="AC17" s="87"/>
      <c r="AD17" s="87"/>
      <c r="AE17" s="88">
        <f>_xlfn.XLOOKUP(_xlfn.XLOOKUP($AS$6&amp;$B17,公表[班別+時段],公表[指揮官],""),$AX$9:$AX$25,$AY$9:$AY$25,"")</f>
        <v>1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1">
        <v>9</v>
      </c>
      <c r="AP17" s="11" t="str">
        <v>鍾佳諭</v>
      </c>
      <c r="AQ17" s="64" t="str" cm="1">
        <f t="array" ref="AQ17">IFERROR(_xlfn.XLOOKUP(_xlfn.XLOOKUP($AQ$3,輪休基準表!$C$6:$C$36,_xlfn.XLOOKUP(AP17,輪休基準表!$E$5:$AF$5,輪休基準表!$E$6:$AF$36,""),""),班別參數!$A$4:$A$20,班別參數!$B$4:$B$20,""),"")</f>
        <v>上班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>已排</v>
      </c>
      <c r="AT17" s="180">
        <f t="shared" si="0"/>
        <v>6</v>
      </c>
      <c r="AU17" s="180">
        <f t="shared" si="1"/>
        <v>4</v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1"/>
    </row>
    <row r="18" spans="2:56" ht="30" customHeight="1">
      <c r="B18" s="81" t="s">
        <v>81</v>
      </c>
      <c r="C18" s="87">
        <f>_xlfn.XLOOKUP(_xlfn.XLOOKUP($AS$6&amp;$B18,公表[班別+時段],公表[值班],""),$AX$9:$AX$25,$AY$9:$AY$25,"")</f>
        <v>27</v>
      </c>
      <c r="D18" s="294" t="s">
        <v>343</v>
      </c>
      <c r="E18" s="95"/>
      <c r="F18" s="100"/>
      <c r="G18" s="122" t="str">
        <f>IF(BC13="","",BC13)</f>
        <v>12</v>
      </c>
      <c r="H18" s="297"/>
      <c r="I18" s="92">
        <f>_xlfn.XLOOKUP(_xlfn.XLOOKUP($AS$6&amp;$B18,公表[班別+時段],公表[救護1],""),$AX$9:$AX$25,$AY$9:$AY$25,"")</f>
        <v>16</v>
      </c>
      <c r="J18" s="92">
        <f>_xlfn.XLOOKUP(_xlfn.XLOOKUP($AS$6&amp;$B18,公表[班別+時段],公表[救護2],""),$AX$9:$AX$25,$AY$9:$AY$25,"")</f>
        <v>18</v>
      </c>
      <c r="K18" s="92"/>
      <c r="L18" s="87" t="s">
        <v>212</v>
      </c>
      <c r="M18" s="312"/>
      <c r="N18" s="87">
        <f>_xlfn.XLOOKUP(_xlfn.XLOOKUP($AS$6&amp;$B18,公表[班別+時段],公表[備勤1],""),$AX$9:$AX$25,$AY$9:$AY$25,"")</f>
        <v>7</v>
      </c>
      <c r="O18" s="87">
        <f>_xlfn.XLOOKUP(_xlfn.XLOOKUP($AS$6&amp;$B18,公表[班別+時段],公表[備勤2],""),$AX$9:$AX$25,$AY$9:$AY$25,"")</f>
        <v>9</v>
      </c>
      <c r="P18" s="87"/>
      <c r="Q18" s="87"/>
      <c r="R18" s="87"/>
      <c r="S18" s="87"/>
      <c r="T18" s="87"/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227"/>
      <c r="AC18" s="87"/>
      <c r="AD18" s="87"/>
      <c r="AE18" s="88">
        <f>_xlfn.XLOOKUP(_xlfn.XLOOKUP($AS$6&amp;$B18,公表[班別+時段],公表[指揮官],""),$AX$9:$AX$25,$AY$9:$AY$25,"")</f>
        <v>1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1">
        <v>10</v>
      </c>
      <c r="AP18" s="11" t="str">
        <v>林宏澤</v>
      </c>
      <c r="AQ18" s="64" t="str" cm="1">
        <f t="array" ref="AQ18">IFERROR(_xlfn.XLOOKUP(_xlfn.XLOOKUP($AQ$3,輪休基準表!$C$6:$C$36,_xlfn.XLOOKUP(AP18,輪休基準表!$E$5:$AF$5,輪休基準表!$E$6:$AF$36,""),""),班別參數!$A$4:$A$20,班別參數!$B$4:$B$20,""),"")</f>
        <v>月補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/>
      </c>
      <c r="AT18" s="180" t="str">
        <f t="shared" si="0"/>
        <v/>
      </c>
      <c r="AU18" s="180" t="str">
        <f t="shared" si="1"/>
        <v/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1"/>
    </row>
    <row r="19" spans="2:56" ht="30" customHeight="1" thickBot="1">
      <c r="B19" s="110" t="s">
        <v>82</v>
      </c>
      <c r="C19" s="89">
        <f>_xlfn.XLOOKUP(_xlfn.XLOOKUP($AS$6&amp;$B19,公表[班別+時段],公表[值班],""),$AX$9:$AX$25,$AY$9:$AY$25,"")</f>
        <v>27</v>
      </c>
      <c r="D19" s="295"/>
      <c r="E19" s="96"/>
      <c r="F19" s="236"/>
      <c r="G19" s="123" t="str">
        <f>IF(BC13="","",BC13)</f>
        <v>12</v>
      </c>
      <c r="H19" s="107"/>
      <c r="I19" s="216">
        <f>_xlfn.XLOOKUP(_xlfn.XLOOKUP($AS$6&amp;$B19,公表[班別+時段],公表[救護1],""),$AX$9:$AX$25,$AY$9:$AY$25,"")</f>
        <v>16</v>
      </c>
      <c r="J19" s="216">
        <f>_xlfn.XLOOKUP(_xlfn.XLOOKUP($AS$6&amp;$B19,公表[班別+時段],公表[救護2],""),$AX$9:$AX$25,$AY$9:$AY$25,"")</f>
        <v>18</v>
      </c>
      <c r="K19" s="105"/>
      <c r="L19" s="93" t="s">
        <v>212</v>
      </c>
      <c r="M19" s="312"/>
      <c r="N19" s="89">
        <f>_xlfn.XLOOKUP(_xlfn.XLOOKUP($AS$6&amp;$B19,公表[班別+時段],公表[備勤1],""),$AX$9:$AX$25,$AY$9:$AY$25,"")</f>
        <v>7</v>
      </c>
      <c r="O19" s="89">
        <f>_xlfn.XLOOKUP(_xlfn.XLOOKUP($AS$6&amp;$B19,公表[班別+時段],公表[備勤2],""),$AX$9:$AX$25,$AY$9:$AY$25,"")</f>
        <v>9</v>
      </c>
      <c r="P19" s="89"/>
      <c r="Q19" s="89"/>
      <c r="R19" s="89"/>
      <c r="S19" s="89"/>
      <c r="T19" s="89"/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228"/>
      <c r="AC19" s="89"/>
      <c r="AD19" s="89"/>
      <c r="AE19" s="104">
        <f>_xlfn.XLOOKUP(_xlfn.XLOOKUP($AS$6&amp;$B19,公表[班別+時段],公表[指揮官],""),$AX$9:$AX$25,$AY$9:$AY$25,"")</f>
        <v>1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1">
        <v>11</v>
      </c>
      <c r="AP19" s="11" t="str">
        <v>簡君諺</v>
      </c>
      <c r="AQ19" s="64" t="str" cm="1">
        <f t="array" ref="AQ19">IFERROR(_xlfn.XLOOKUP(_xlfn.XLOOKUP($AQ$3,輪休基準表!$C$6:$C$36,_xlfn.XLOOKUP(AP19,輪休基準表!$E$5:$AF$5,輪休基準表!$E$6:$AF$36,""),""),班別參數!$A$4:$A$20,班別參數!$B$4:$B$20,""),"")</f>
        <v>月補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/>
      </c>
      <c r="AT19" s="180" t="str">
        <f t="shared" si="0"/>
        <v/>
      </c>
      <c r="AU19" s="180" t="str">
        <f t="shared" si="1"/>
        <v/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:AY20">IF(AX19="","",_xlfn._xlws.FILTER($AO$9:$AO$13,$AQ$9:$AQ$13="上班",""))</f>
        <v>1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1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3</v>
      </c>
      <c r="D20" s="97"/>
      <c r="E20" s="97"/>
      <c r="F20" s="97"/>
      <c r="G20" s="121" t="str">
        <f>IF(BC14="","",BC14)</f>
        <v>28</v>
      </c>
      <c r="H20" s="55"/>
      <c r="I20" s="94">
        <f>_xlfn.XLOOKUP(_xlfn.XLOOKUP($AS$6&amp;$B20,公表[班別+時段],公表[救護1],""),$AX$9:$AX$25,$AY$9:$AY$25,"")</f>
        <v>27</v>
      </c>
      <c r="J20" s="94">
        <f>_xlfn.XLOOKUP(_xlfn.XLOOKUP($AS$6&amp;$B20,公表[班別+時段],公表[救護2],""),$AX$9:$AX$25,$AY$9:$AY$25,"")</f>
        <v>9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18</v>
      </c>
      <c r="O20" s="90">
        <f>_xlfn.XLOOKUP(_xlfn.XLOOKUP($AS$6&amp;$B20,公表[班別+時段],公表[備勤2],""),$AX$9:$AX$25,$AY$9:$AY$25,"")</f>
        <v>12</v>
      </c>
      <c r="P20" s="90"/>
      <c r="Q20" s="90">
        <f>_xlfn.XLOOKUP(_xlfn.XLOOKUP($AS$6&amp;$B20,公表[班別+時段],公表[備勤3],""),$AX$9:$AX$25,$AY$9:$AY$25,"")</f>
        <v>7</v>
      </c>
      <c r="R20" s="90">
        <f>_xlfn.XLOOKUP(_xlfn.XLOOKUP($AS$6&amp;$B20,公表[班別+時段],公表[備勤4],""),$AX$9:$AX$25,$AY$9:$AY$25,"")</f>
        <v>16</v>
      </c>
      <c r="S20" s="90"/>
      <c r="T20" s="90">
        <f>_xlfn.XLOOKUP(_xlfn.XLOOKUP($AS$6&amp;$B20,公表[班別+時段],公表[備勤5],""),$AX$9:$AX$25,$AY$9:$AY$25,"")</f>
        <v>0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229"/>
      <c r="AC20" s="90"/>
      <c r="AD20" s="90"/>
      <c r="AE20" s="91">
        <f>_xlfn.XLOOKUP(_xlfn.XLOOKUP($AS$6&amp;$B20,公表[班別+時段],公表[指揮官],""),$AX$9:$AX$25,$AY$9:$AY$25,"")</f>
        <v>1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1">
        <v>12</v>
      </c>
      <c r="AP20" s="11" t="str">
        <v>王昱勛</v>
      </c>
      <c r="AQ20" s="64" t="str" cm="1">
        <f t="array" ref="AQ20">IFERROR(_xlfn.XLOOKUP(_xlfn.XLOOKUP($AQ$3,輪休基準表!$C$6:$C$36,_xlfn.XLOOKUP(AP20,輪休基準表!$E$5:$AF$5,輪休基準表!$E$6:$AF$36,""),""),班別參數!$A$4:$A$20,班別參數!$B$4:$B$20,""),"")</f>
        <v>上班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>已排</v>
      </c>
      <c r="AT20" s="180">
        <f t="shared" si="0"/>
        <v>6</v>
      </c>
      <c r="AU20" s="180">
        <f t="shared" si="1"/>
        <v>8</v>
      </c>
      <c r="AV20" s="25"/>
      <c r="AW20" s="33" t="str">
        <f t="array" ref="AW20">INDEX(班別參數!$D$4:$D$20,ROW()-7,MATCH($AW$8,班別參數!$D$4:$D$20,0))</f>
        <v>帶隊官</v>
      </c>
      <c r="AX20" s="34" t="str">
        <f t="array" ref="AX20">IFERROR(INDEX(班別參數!$D$4:$S$20,MATCH(AW20,班別參數!$D$4:$D$20,0),MATCH($AS$6,班別參數!$D$4:$S$4,0)),"")</f>
        <v>L</v>
      </c>
      <c r="AY20" s="38">
        <v>3</v>
      </c>
      <c r="AZ20" s="13"/>
      <c r="BA20" s="33" t="s">
        <v>67</v>
      </c>
      <c r="BB20" s="34" t="str">
        <f t="array" ref="BB20">IFERROR(INDEX(班別參數!$D$23:$S$35,MATCH(BA20,班別參數!$D$23:$D$35,0),MATCH($AS$6,班別參數!$D$23:$S$23,0)),"")</f>
        <v>G,L</v>
      </c>
      <c r="BC20" s="41" t="str">
        <f t="shared" si="2"/>
        <v>18,3</v>
      </c>
      <c r="BD20" s="11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3</v>
      </c>
      <c r="D21" s="95"/>
      <c r="E21" s="95"/>
      <c r="F21" s="95"/>
      <c r="G21" s="122" t="str">
        <f>IF(BC14="","",BC14)</f>
        <v>28</v>
      </c>
      <c r="H21" s="296" t="str">
        <f>AY4</f>
        <v>個人水域防護裝備介紹</v>
      </c>
      <c r="I21" s="92">
        <f>_xlfn.XLOOKUP(_xlfn.XLOOKUP($AS$6&amp;$B21,公表[班別+時段],公表[救護1],""),$AX$9:$AX$25,$AY$9:$AY$25,"")</f>
        <v>27</v>
      </c>
      <c r="J21" s="92">
        <f>_xlfn.XLOOKUP(_xlfn.XLOOKUP($AS$6&amp;$B21,公表[班別+時段],公表[救護2],""),$AX$9:$AX$25,$AY$9:$AY$25,"")</f>
        <v>9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18</v>
      </c>
      <c r="O21" s="87">
        <f>_xlfn.XLOOKUP(_xlfn.XLOOKUP($AS$6&amp;$B21,公表[班別+時段],公表[備勤2],""),$AX$9:$AX$25,$AY$9:$AY$25,"")</f>
        <v>12</v>
      </c>
      <c r="P21" s="87"/>
      <c r="Q21" s="87">
        <f>_xlfn.XLOOKUP(_xlfn.XLOOKUP($AS$6&amp;$B21,公表[班別+時段],公表[備勤3],""),$AX$9:$AX$25,$AY$9:$AY$25,"")</f>
        <v>7</v>
      </c>
      <c r="R21" s="87">
        <f>_xlfn.XLOOKUP(_xlfn.XLOOKUP($AS$6&amp;$B21,公表[班別+時段],公表[備勤4],""),$AX$9:$AX$25,$AY$9:$AY$25,"")</f>
        <v>16</v>
      </c>
      <c r="S21" s="87"/>
      <c r="T21" s="87">
        <f>_xlfn.XLOOKUP(_xlfn.XLOOKUP($AS$6&amp;$B21,公表[班別+時段],公表[備勤5],""),$AX$9:$AX$25,$AY$9:$AY$25,"")</f>
        <v>0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227"/>
      <c r="AC21" s="87"/>
      <c r="AD21" s="87"/>
      <c r="AE21" s="88">
        <f>_xlfn.XLOOKUP(_xlfn.XLOOKUP($AS$6&amp;$B21,公表[班別+時段],公表[指揮官],""),$AX$9:$AX$25,$AY$9:$AY$25,"")</f>
        <v>1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1">
        <v>13</v>
      </c>
      <c r="AP21" s="11" t="str">
        <v>葉宗哲</v>
      </c>
      <c r="AQ21" s="64" t="str" cm="1">
        <f t="array" ref="AQ21">IFERROR(_xlfn.XLOOKUP(_xlfn.XLOOKUP($AQ$3,輪休基準表!$C$6:$C$36,_xlfn.XLOOKUP(AP21,輪休基準表!$E$5:$AF$5,輪休基準表!$E$6:$AF$36,""),""),班別參數!$A$4:$A$20,班別參數!$B$4:$B$20,""),"")</f>
        <v>輪休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/>
      </c>
      <c r="AT21" s="180" t="str">
        <f t="shared" si="0"/>
        <v/>
      </c>
      <c r="AU21" s="180" t="str">
        <f t="shared" si="1"/>
        <v/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1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16</v>
      </c>
      <c r="D22" s="95"/>
      <c r="E22" s="95"/>
      <c r="F22" s="95"/>
      <c r="G22" s="122" t="str">
        <f>IF(BC15="","",BC15)</f>
        <v>7</v>
      </c>
      <c r="H22" s="297"/>
      <c r="I22" s="92">
        <f>_xlfn.XLOOKUP(_xlfn.XLOOKUP($AS$6&amp;$B22,公表[班別+時段],公表[救護1],""),$AX$9:$AX$25,$AY$9:$AY$25,"")</f>
        <v>28</v>
      </c>
      <c r="J22" s="92">
        <f>_xlfn.XLOOKUP(_xlfn.XLOOKUP($AS$6&amp;$B22,公表[班別+時段],公表[救護2],""),$AX$9:$AX$25,$AY$9:$AY$25,"")</f>
        <v>18</v>
      </c>
      <c r="K22" s="92"/>
      <c r="L22" s="87" t="s">
        <v>212</v>
      </c>
      <c r="M22" s="312"/>
      <c r="N22" s="87">
        <f>_xlfn.XLOOKUP(_xlfn.XLOOKUP($AS$6&amp;$B22,公表[班別+時段],公表[備勤1],""),$AX$9:$AX$25,$AY$9:$AY$25,"")</f>
        <v>12</v>
      </c>
      <c r="O22" s="87">
        <f>_xlfn.XLOOKUP(_xlfn.XLOOKUP($AS$6&amp;$B22,公表[班別+時段],公表[備勤2],""),$AX$9:$AX$25,$AY$9:$AY$25,"")</f>
        <v>27</v>
      </c>
      <c r="P22" s="87"/>
      <c r="Q22" s="87">
        <f>_xlfn.XLOOKUP(_xlfn.XLOOKUP($AS$6&amp;$B22,公表[班別+時段],公表[備勤3],""),$AX$9:$AX$25,$AY$9:$AY$25,"")</f>
        <v>9</v>
      </c>
      <c r="R22" s="87">
        <f>_xlfn.XLOOKUP(_xlfn.XLOOKUP($AS$6&amp;$B22,公表[班別+時段],公表[備勤4],""),$AX$9:$AX$25,$AY$9:$AY$25,"")</f>
        <v>0</v>
      </c>
      <c r="S22" s="87"/>
      <c r="T22" s="87">
        <f>_xlfn.XLOOKUP(_xlfn.XLOOKUP($AS$6&amp;$B22,公表[班別+時段],公表[備勤5],""),$AX$9:$AX$25,$AY$9:$AY$25,"")</f>
        <v>3</v>
      </c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227"/>
      <c r="AC22" s="87"/>
      <c r="AD22" s="87"/>
      <c r="AE22" s="88">
        <f>_xlfn.XLOOKUP(_xlfn.XLOOKUP($AS$6&amp;$B22,公表[班別+時段],公表[指揮官],""),$AX$9:$AX$25,$AY$9:$AY$25,"")</f>
        <v>1</v>
      </c>
      <c r="AF22" s="57" t="s">
        <v>213</v>
      </c>
      <c r="AG22" s="305" t="str" cm="1">
        <f t="array" ref="AG22">_xlfn.TEXTJOIN(".",1,_xlfn._xlws.FILTER($AO$9:$AO$40,$AQ$9:$AQ$40="上班",""))</f>
        <v>1.3.7.9.12.16.18.27.28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1">
        <v>14</v>
      </c>
      <c r="AP22" s="11" t="str">
        <v>王浩任</v>
      </c>
      <c r="AQ22" s="64" t="str" cm="1">
        <f t="array" ref="AQ22">IFERROR(_xlfn.XLOOKUP(_xlfn.XLOOKUP($AQ$3,輪休基準表!$C$6:$C$36,_xlfn.XLOOKUP(AP22,輪休基準表!$E$5:$AF$5,輪休基準表!$E$6:$AF$36,""),""),班別參數!$A$4:$A$20,班別參數!$B$4:$B$20,""),"")</f>
        <v>輪休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/>
      </c>
      <c r="AT22" s="180" t="str">
        <f t="shared" si="0"/>
        <v/>
      </c>
      <c r="AU22" s="180" t="str">
        <f t="shared" si="1"/>
        <v/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1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16</v>
      </c>
      <c r="D23" s="106"/>
      <c r="E23" s="96"/>
      <c r="F23" s="96"/>
      <c r="G23" s="123" t="str">
        <f>IF(BC15="","",BC15)</f>
        <v>7</v>
      </c>
      <c r="H23" s="107"/>
      <c r="I23" s="216">
        <f>_xlfn.XLOOKUP(_xlfn.XLOOKUP($AS$6&amp;$B23,公表[班別+時段],公表[救護1],""),$AX$9:$AX$25,$AY$9:$AY$25,"")</f>
        <v>28</v>
      </c>
      <c r="J23" s="216">
        <f>_xlfn.XLOOKUP(_xlfn.XLOOKUP($AS$6&amp;$B23,公表[班別+時段],公表[救護2],""),$AX$9:$AX$25,$AY$9:$AY$25,"")</f>
        <v>18</v>
      </c>
      <c r="K23" s="105"/>
      <c r="L23" s="93" t="s">
        <v>212</v>
      </c>
      <c r="M23" s="312"/>
      <c r="N23" s="89">
        <f>_xlfn.XLOOKUP(_xlfn.XLOOKUP($AS$6&amp;$B23,公表[班別+時段],公表[備勤1],""),$AX$9:$AX$25,$AY$9:$AY$25,"")</f>
        <v>12</v>
      </c>
      <c r="O23" s="89">
        <f>_xlfn.XLOOKUP(_xlfn.XLOOKUP($AS$6&amp;$B23,公表[班別+時段],公表[備勤2],""),$AX$9:$AX$25,$AY$9:$AY$25,"")</f>
        <v>27</v>
      </c>
      <c r="P23" s="89"/>
      <c r="Q23" s="89">
        <f>_xlfn.XLOOKUP(_xlfn.XLOOKUP($AS$6&amp;$B23,公表[班別+時段],公表[備勤3],""),$AX$9:$AX$25,$AY$9:$AY$25,"")</f>
        <v>9</v>
      </c>
      <c r="R23" s="89">
        <f>_xlfn.XLOOKUP(_xlfn.XLOOKUP($AS$6&amp;$B23,公表[班別+時段],公表[備勤4],""),$AX$9:$AX$25,$AY$9:$AY$25,"")</f>
        <v>0</v>
      </c>
      <c r="S23" s="89"/>
      <c r="T23" s="89">
        <f>_xlfn.XLOOKUP(_xlfn.XLOOKUP($AS$6&amp;$B23,公表[班別+時段],公表[備勤5],""),$AX$9:$AX$25,$AY$9:$AY$25,"")</f>
        <v>3</v>
      </c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228"/>
      <c r="AC23" s="89"/>
      <c r="AD23" s="89"/>
      <c r="AE23" s="104">
        <f>_xlfn.XLOOKUP(_xlfn.XLOOKUP($AS$6&amp;$B23,公表[班別+時段],公表[指揮官],""),$AX$9:$AX$25,$AY$9:$AY$25,"")</f>
        <v>1</v>
      </c>
      <c r="AF23" s="57" t="s">
        <v>6</v>
      </c>
      <c r="AG23" s="305" t="str" cm="1">
        <f t="array" ref="AG23">_xlfn.TEXTJOIN(".",1,_xlfn._xlws.FILTER($AO$9:$AO$40,$AQ$9:$AQ$40=$AF$23,""))</f>
        <v>2.4.5.8.13.14.17.19.20.21.22.23.24.25.26</v>
      </c>
      <c r="AH23" s="400"/>
      <c r="AI23" s="400"/>
      <c r="AJ23" s="400"/>
      <c r="AK23" s="400"/>
      <c r="AL23" s="400"/>
      <c r="AM23" s="401"/>
      <c r="AN23" s="214"/>
      <c r="AO23" s="11">
        <v>15</v>
      </c>
      <c r="AP23" s="11" t="str">
        <v>李仕詮</v>
      </c>
      <c r="AQ23" s="64" t="str" cm="1">
        <f t="array" ref="AQ23">IFERROR(_xlfn.XLOOKUP(_xlfn.XLOOKUP($AQ$3,輪休基準表!$C$6:$C$36,_xlfn.XLOOKUP(AP23,輪休基準表!$E$5:$AF$5,輪休基準表!$E$6:$AF$36,""),""),班別參數!$A$4:$A$20,班別參數!$B$4:$B$20,""),"")</f>
        <v>月補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/>
      </c>
      <c r="AT23" s="180" t="str">
        <f t="shared" si="0"/>
        <v/>
      </c>
      <c r="AU23" s="180" t="str">
        <f t="shared" si="1"/>
        <v/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1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9</v>
      </c>
      <c r="D24" s="97"/>
      <c r="E24" s="97"/>
      <c r="F24" s="97"/>
      <c r="G24" s="121"/>
      <c r="H24" s="55"/>
      <c r="I24" s="94">
        <f>_xlfn.XLOOKUP(_xlfn.XLOOKUP($AS$6&amp;$B24,公表[班別+時段],公表[救護1],""),$AX$9:$AX$25,$AY$9:$AY$25,"")</f>
        <v>16</v>
      </c>
      <c r="J24" s="94">
        <f>_xlfn.XLOOKUP(_xlfn.XLOOKUP($AS$6&amp;$B24,公表[班別+時段],公表[救護2],""),$AX$9:$AX$25,$AY$9:$AY$25,"")</f>
        <v>7</v>
      </c>
      <c r="K24" s="90"/>
      <c r="L24" s="90" t="s">
        <v>212</v>
      </c>
      <c r="M24" s="312"/>
      <c r="N24" s="90">
        <f>_xlfn.XLOOKUP(_xlfn.XLOOKUP($AS$6&amp;$B24,公表[班別+時段],公表[備勤1],""),$AX$9:$AX$25,$AY$9:$AY$25,"")</f>
        <v>28</v>
      </c>
      <c r="O24" s="90">
        <f>_xlfn.XLOOKUP(_xlfn.XLOOKUP($AS$6&amp;$B24,公表[班別+時段],公表[備勤2],""),$AX$9:$AX$25,$AY$9:$AY$25,"")</f>
        <v>18</v>
      </c>
      <c r="P24" s="90"/>
      <c r="Q24" s="90">
        <f>_xlfn.XLOOKUP(_xlfn.XLOOKUP($AS$6&amp;$B24,公表[班別+時段],公表[備勤3],""),$AX$9:$AX$25,$AY$9:$AY$25,"")</f>
        <v>12</v>
      </c>
      <c r="R24" s="90">
        <f>_xlfn.XLOOKUP(_xlfn.XLOOKUP($AS$6&amp;$B24,公表[班別+時段],公表[備勤4],""),$AX$9:$AX$25,$AY$9:$AY$25,"")</f>
        <v>27</v>
      </c>
      <c r="S24" s="90"/>
      <c r="T24" s="90">
        <f>_xlfn.XLOOKUP(_xlfn.XLOOKUP($AS$6&amp;$B24,公表[班別+時段],公表[備勤5],""),$AX$9:$AX$25,$AY$9:$AY$25,"")</f>
        <v>3</v>
      </c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229"/>
      <c r="AC24" s="90"/>
      <c r="AD24" s="90"/>
      <c r="AE24" s="91">
        <f>_xlfn.XLOOKUP(_xlfn.XLOOKUP($AS$6&amp;$B24,公表[班別+時段],公表[指揮官],""),$AX$9:$AX$25,$AY$9:$AY$25,"")</f>
        <v>1</v>
      </c>
      <c r="AF24" s="57" t="s">
        <v>17</v>
      </c>
      <c r="AG24" s="305" t="str" cm="1">
        <f t="array" ref="AG24">_xlfn.TEXTJOIN(".",1,_xlfn._xlws.FILTER($AO$9:$AO$40,$AQ$9:$AQ$40=$AF$24,""))</f>
        <v>10.11.15</v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/>
      </c>
      <c r="AL24" s="400"/>
      <c r="AM24" s="401"/>
      <c r="AN24" s="214"/>
      <c r="AO24" s="11">
        <v>16</v>
      </c>
      <c r="AP24" s="11" t="str">
        <v>楊弘宇</v>
      </c>
      <c r="AQ24" s="64" t="str" cm="1">
        <f t="array" ref="AQ24">IFERROR(_xlfn.XLOOKUP(_xlfn.XLOOKUP($AQ$3,輪休基準表!$C$6:$C$36,_xlfn.XLOOKUP(AP24,輪休基準表!$E$5:$AF$5,輪休基準表!$E$6:$AF$36,""),""),班別參數!$A$4:$A$20,班別參數!$B$4:$B$20,""),"")</f>
        <v>上班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>已排</v>
      </c>
      <c r="AT24" s="180">
        <f t="shared" si="0"/>
        <v>8</v>
      </c>
      <c r="AU24" s="180">
        <f t="shared" si="1"/>
        <v>8</v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1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9</v>
      </c>
      <c r="D25" s="95"/>
      <c r="E25" s="95"/>
      <c r="F25" s="95"/>
      <c r="G25" s="122" t="str">
        <f>IF(BC16="","",BC16)</f>
        <v/>
      </c>
      <c r="H25" s="37"/>
      <c r="I25" s="92">
        <f>_xlfn.XLOOKUP(_xlfn.XLOOKUP($AS$6&amp;$B25,公表[班別+時段],公表[救護1],""),$AX$9:$AX$25,$AY$9:$AY$25,"")</f>
        <v>16</v>
      </c>
      <c r="J25" s="92">
        <f>_xlfn.XLOOKUP(_xlfn.XLOOKUP($AS$6&amp;$B25,公表[班別+時段],公表[救護2],""),$AX$9:$AX$25,$AY$9:$AY$25,"")</f>
        <v>7</v>
      </c>
      <c r="K25" s="87"/>
      <c r="L25" s="87" t="s">
        <v>212</v>
      </c>
      <c r="M25" s="312"/>
      <c r="N25" s="87">
        <f>_xlfn.XLOOKUP(_xlfn.XLOOKUP($AS$6&amp;$B25,公表[班別+時段],公表[備勤1],""),$AX$9:$AX$25,$AY$9:$AY$25,"")</f>
        <v>28</v>
      </c>
      <c r="O25" s="87">
        <f>_xlfn.XLOOKUP(_xlfn.XLOOKUP($AS$6&amp;$B25,公表[班別+時段],公表[備勤2],""),$AX$9:$AX$25,$AY$9:$AY$25,"")</f>
        <v>18</v>
      </c>
      <c r="P25" s="87"/>
      <c r="Q25" s="87">
        <f>_xlfn.XLOOKUP(_xlfn.XLOOKUP($AS$6&amp;$B25,公表[班別+時段],公表[備勤3],""),$AX$9:$AX$25,$AY$9:$AY$25,"")</f>
        <v>12</v>
      </c>
      <c r="R25" s="87">
        <f>_xlfn.XLOOKUP(_xlfn.XLOOKUP($AS$6&amp;$B25,公表[班別+時段],公表[備勤4],""),$AX$9:$AX$25,$AY$9:$AY$25,"")</f>
        <v>27</v>
      </c>
      <c r="S25" s="87"/>
      <c r="T25" s="87">
        <f>_xlfn.XLOOKUP(_xlfn.XLOOKUP($AS$6&amp;$B25,公表[班別+時段],公表[備勤5],""),$AX$9:$AX$25,$AY$9:$AY$25,"")</f>
        <v>3</v>
      </c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227"/>
      <c r="AC25" s="87"/>
      <c r="AD25" s="87"/>
      <c r="AE25" s="88">
        <f>_xlfn.XLOOKUP(_xlfn.XLOOKUP($AS$6&amp;$B25,公表[班別+時段],公表[指揮官],""),$AX$9:$AX$25,$AY$9:$AY$25,"")</f>
        <v>1</v>
      </c>
      <c r="AF25" s="57" t="s">
        <v>28</v>
      </c>
      <c r="AG25" s="305" t="str" cm="1">
        <f t="array" ref="AG25">_xlfn.TEXTJOIN(".",1,_xlfn._xlws.FILTER($AO$9:$AO$40,$AQ$9:$AQ$40=$AF$25,""))</f>
        <v>6</v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/>
      </c>
      <c r="AL25" s="309"/>
      <c r="AM25" s="310"/>
      <c r="AN25" s="214"/>
      <c r="AO25" s="11">
        <v>17</v>
      </c>
      <c r="AP25" s="11" t="str">
        <v>楊仲豪</v>
      </c>
      <c r="AQ25" s="64" t="str" cm="1">
        <f t="array" ref="AQ25">IFERROR(_xlfn.XLOOKUP(_xlfn.XLOOKUP($AQ$3,輪休基準表!$C$6:$C$36,_xlfn.XLOOKUP(AP25,輪休基準表!$E$5:$AF$5,輪休基準表!$E$6:$AF$36,""),""),班別參數!$A$4:$A$20,班別參數!$B$4:$B$20,""),"")</f>
        <v>輪休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/>
      </c>
      <c r="AT25" s="180" t="str">
        <f t="shared" si="0"/>
        <v/>
      </c>
      <c r="AU25" s="180" t="str">
        <f t="shared" si="1"/>
        <v/>
      </c>
      <c r="AW25" s="33"/>
      <c r="AX25" s="45"/>
      <c r="AY25" s="25"/>
      <c r="AZ25" s="28"/>
      <c r="BA25" s="33"/>
      <c r="BB25" s="25"/>
      <c r="BD25" s="11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9</v>
      </c>
      <c r="D26" s="95"/>
      <c r="E26" s="95"/>
      <c r="F26" s="95"/>
      <c r="G26" s="122" t="str">
        <f>IF(BC17="","",BC17)</f>
        <v/>
      </c>
      <c r="H26" s="37"/>
      <c r="I26" s="92">
        <f>_xlfn.XLOOKUP(_xlfn.XLOOKUP($AS$6&amp;$B26,公表[班別+時段],公表[救護1],""),$AX$9:$AX$25,$AY$9:$AY$25,"")</f>
        <v>12</v>
      </c>
      <c r="J26" s="92">
        <f>_xlfn.XLOOKUP(_xlfn.XLOOKUP($AS$6&amp;$B26,公表[班別+時段],公表[救護2],""),$AX$9:$AX$25,$AY$9:$AY$25,"")</f>
        <v>28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18</v>
      </c>
      <c r="O26" s="87">
        <f>_xlfn.XLOOKUP(_xlfn.XLOOKUP($AS$6&amp;$B26,公表[班別+時段],公表[備勤2],""),$AX$9:$AX$25,$AY$9:$AY$25,"")</f>
        <v>16</v>
      </c>
      <c r="P26" s="87"/>
      <c r="Q26" s="87">
        <f>_xlfn.XLOOKUP(_xlfn.XLOOKUP($AS$6&amp;$B26,公表[班別+時段],公表[備勤3],""),$AX$9:$AX$25,$AY$9:$AY$25,"")</f>
        <v>27</v>
      </c>
      <c r="R26" s="87">
        <f>_xlfn.XLOOKUP(_xlfn.XLOOKUP($AS$6&amp;$B26,公表[班別+時段],公表[備勤4],""),$AX$9:$AX$25,$AY$9:$AY$25,"")</f>
        <v>7</v>
      </c>
      <c r="S26" s="87"/>
      <c r="T26" s="87">
        <f>_xlfn.XLOOKUP(_xlfn.XLOOKUP($AS$6&amp;$B26,公表[班別+時段],公表[備勤5],""),$AX$9:$AX$25,$AY$9:$AY$25,"")</f>
        <v>3</v>
      </c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227"/>
      <c r="AC26" s="87"/>
      <c r="AD26" s="87"/>
      <c r="AE26" s="88">
        <f>_xlfn.XLOOKUP(_xlfn.XLOOKUP($AS$6&amp;$B26,公表[班別+時段],公表[指揮官],""),$AX$9:$AX$25,$AY$9:$AY$25,"")</f>
        <v>1</v>
      </c>
      <c r="AF26" s="57" t="s">
        <v>289</v>
      </c>
      <c r="AG26" s="225" t="str" cm="1">
        <f t="array" ref="AG26">_xlfn.TEXTJOIN(".",1,_xlfn._xlws.FILTER($AO$9:$AO$40,$AQ$9:$AQ$40=$AF$26,""))</f>
        <v/>
      </c>
      <c r="AH26" s="168" t="s">
        <v>290</v>
      </c>
      <c r="AI26" s="226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/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1">
        <v>18</v>
      </c>
      <c r="AP26" s="11" t="str">
        <v>林志偉</v>
      </c>
      <c r="AQ26" s="64" t="str" cm="1">
        <f t="array" ref="AQ26">IFERROR(_xlfn.XLOOKUP(_xlfn.XLOOKUP($AQ$3,輪休基準表!$C$6:$C$36,_xlfn.XLOOKUP(AP26,輪休基準表!$E$5:$AF$5,輪休基準表!$E$6:$AF$36,""),""),班別參數!$A$4:$A$20,班別參數!$B$4:$B$20,""),"")</f>
        <v>上班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>已排</v>
      </c>
      <c r="AT26" s="180">
        <f t="shared" si="0"/>
        <v>6</v>
      </c>
      <c r="AU26" s="180">
        <f t="shared" si="1"/>
        <v>8</v>
      </c>
      <c r="AV26" s="10"/>
      <c r="AW26" s="46"/>
      <c r="AX26" s="45"/>
      <c r="AY26" s="25"/>
      <c r="AZ26" s="28"/>
      <c r="BA26" s="33"/>
      <c r="BB26" s="25"/>
      <c r="BD26" s="11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9</v>
      </c>
      <c r="D27" s="95"/>
      <c r="E27" s="95"/>
      <c r="F27" s="95"/>
      <c r="G27" s="122" t="str">
        <f>IF(BC17="","",BC17)</f>
        <v/>
      </c>
      <c r="H27" s="37"/>
      <c r="I27" s="92">
        <f>_xlfn.XLOOKUP(_xlfn.XLOOKUP($AS$6&amp;$B27,公表[班別+時段],公表[救護1],""),$AX$9:$AX$25,$AY$9:$AY$25,"")</f>
        <v>12</v>
      </c>
      <c r="J27" s="92">
        <f>_xlfn.XLOOKUP(_xlfn.XLOOKUP($AS$6&amp;$B27,公表[班別+時段],公表[救護2],""),$AX$9:$AX$25,$AY$9:$AY$25,"")</f>
        <v>28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18</v>
      </c>
      <c r="O27" s="87">
        <f>_xlfn.XLOOKUP(_xlfn.XLOOKUP($AS$6&amp;$B27,公表[班別+時段],公表[備勤2],""),$AX$9:$AX$25,$AY$9:$AY$25,"")</f>
        <v>16</v>
      </c>
      <c r="P27" s="87"/>
      <c r="Q27" s="87">
        <f>_xlfn.XLOOKUP(_xlfn.XLOOKUP($AS$6&amp;$B27,公表[班別+時段],公表[備勤3],""),$AX$9:$AX$25,$AY$9:$AY$25,"")</f>
        <v>27</v>
      </c>
      <c r="R27" s="87">
        <f>_xlfn.XLOOKUP(_xlfn.XLOOKUP($AS$6&amp;$B27,公表[班別+時段],公表[備勤4],""),$AX$9:$AX$25,$AY$9:$AY$25,"")</f>
        <v>7</v>
      </c>
      <c r="S27" s="87"/>
      <c r="T27" s="87">
        <f>_xlfn.XLOOKUP(_xlfn.XLOOKUP($AS$6&amp;$B27,公表[班別+時段],公表[備勤5],""),$AX$9:$AX$25,$AY$9:$AY$25,"")</f>
        <v>3</v>
      </c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227"/>
      <c r="AC27" s="87"/>
      <c r="AD27" s="87"/>
      <c r="AE27" s="88">
        <f>_xlfn.XLOOKUP(_xlfn.XLOOKUP($AS$6&amp;$B27,公表[班別+時段],公表[指揮官],""),$AX$9:$AX$25,$AY$9:$AY$25,"")</f>
        <v>1</v>
      </c>
      <c r="AF27" s="317" t="s">
        <v>215</v>
      </c>
      <c r="AG27" s="319"/>
      <c r="AH27" s="320"/>
      <c r="AI27" s="321"/>
      <c r="AJ27" s="320"/>
      <c r="AK27" s="320"/>
      <c r="AL27" s="321"/>
      <c r="AM27" s="322"/>
      <c r="AN27" s="214"/>
      <c r="AO27" s="11">
        <v>19</v>
      </c>
      <c r="AP27" s="11" t="str">
        <v>劉家誠</v>
      </c>
      <c r="AQ27" s="64" t="str" cm="1">
        <f t="array" ref="AQ27">IFERROR(_xlfn.XLOOKUP(_xlfn.XLOOKUP($AQ$3,輪休基準表!$C$6:$C$36,_xlfn.XLOOKUP(AP27,輪休基準表!$E$5:$AF$5,輪休基準表!$E$6:$AF$36,""),""),班別參數!$A$4:$A$20,班別參數!$B$4:$B$20,""),"")</f>
        <v>輪休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/>
      </c>
      <c r="AT27" s="180" t="str">
        <f t="shared" si="0"/>
        <v/>
      </c>
      <c r="AU27" s="180" t="str">
        <f t="shared" si="1"/>
        <v/>
      </c>
      <c r="AV27" s="10"/>
      <c r="AW27" s="46"/>
      <c r="AX27" s="45"/>
      <c r="AY27" s="25"/>
      <c r="AZ27" s="28"/>
      <c r="BA27" s="33"/>
      <c r="BB27" s="25"/>
      <c r="BD27" s="11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9</v>
      </c>
      <c r="D28" s="95"/>
      <c r="E28" s="95"/>
      <c r="F28" s="95"/>
      <c r="G28" s="122" t="str">
        <f>IF(BC18="","",BC18)</f>
        <v/>
      </c>
      <c r="H28" s="37"/>
      <c r="I28" s="92">
        <f>_xlfn.XLOOKUP(_xlfn.XLOOKUP($AS$6&amp;$B28,公表[班別+時段],公表[救護1],""),$AX$9:$AX$25,$AY$9:$AY$25,"")</f>
        <v>12</v>
      </c>
      <c r="J28" s="92">
        <f>_xlfn.XLOOKUP(_xlfn.XLOOKUP($AS$6&amp;$B28,公表[班別+時段],公表[救護2],""),$AX$9:$AX$25,$AY$9:$AY$25,"")</f>
        <v>28</v>
      </c>
      <c r="K28" s="87"/>
      <c r="L28" s="87" t="s">
        <v>212</v>
      </c>
      <c r="M28" s="312"/>
      <c r="N28" s="87">
        <f>_xlfn.XLOOKUP(_xlfn.XLOOKUP($AS$6&amp;$B28,公表[班別+時段],公表[備勤1],""),$AX$9:$AX$25,$AY$9:$AY$25,"")</f>
        <v>7</v>
      </c>
      <c r="O28" s="87">
        <f>_xlfn.XLOOKUP(_xlfn.XLOOKUP($AS$6&amp;$B28,公表[班別+時段],公表[備勤2],""),$AX$9:$AX$25,$AY$9:$AY$25,"")</f>
        <v>27</v>
      </c>
      <c r="P28" s="87"/>
      <c r="Q28" s="87">
        <f>_xlfn.XLOOKUP(_xlfn.XLOOKUP($AS$6&amp;$B28,公表[班別+時段],公表[備勤3],""),$AX$9:$AX$25,$AY$9:$AY$25,"")</f>
        <v>18</v>
      </c>
      <c r="R28" s="87">
        <f>_xlfn.XLOOKUP(_xlfn.XLOOKUP($AS$6&amp;$B28,公表[班別+時段],公表[備勤4],""),$AX$9:$AX$25,$AY$9:$AY$25,"")</f>
        <v>16</v>
      </c>
      <c r="S28" s="87"/>
      <c r="T28" s="87">
        <f>_xlfn.XLOOKUP(_xlfn.XLOOKUP($AS$6&amp;$B28,公表[班別+時段],公表[備勤5],""),$AX$9:$AX$25,$AY$9:$AY$25,"")</f>
        <v>3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227"/>
      <c r="AC28" s="87"/>
      <c r="AD28" s="87"/>
      <c r="AE28" s="88">
        <f>_xlfn.XLOOKUP(_xlfn.XLOOKUP($AS$6&amp;$B28,公表[班別+時段],公表[指揮官],""),$AX$9:$AX$25,$AY$9:$AY$25,"")</f>
        <v>1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1">
        <v>20</v>
      </c>
      <c r="AP28" s="11" t="str">
        <v>呂奇霈</v>
      </c>
      <c r="AQ28" s="64" t="str" cm="1">
        <f t="array" ref="AQ28">IFERROR(_xlfn.XLOOKUP(_xlfn.XLOOKUP($AQ$3,輪休基準表!$C$6:$C$36,_xlfn.XLOOKUP(AP28,輪休基準表!$E$5:$AF$5,輪休基準表!$E$6:$AF$36,""),""),班別參數!$A$4:$A$20,班別參數!$B$4:$B$20,""),"")</f>
        <v>輪休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1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9</v>
      </c>
      <c r="D29" s="95"/>
      <c r="E29" s="95"/>
      <c r="F29" s="95"/>
      <c r="G29" s="122" t="str">
        <f>IF(BC18="","",BC18)</f>
        <v/>
      </c>
      <c r="H29" s="37"/>
      <c r="I29" s="92">
        <f>_xlfn.XLOOKUP(_xlfn.XLOOKUP($AS$6&amp;$B29,公表[班別+時段],公表[救護1],""),$AX$9:$AX$25,$AY$9:$AY$25,"")</f>
        <v>12</v>
      </c>
      <c r="J29" s="92">
        <f>_xlfn.XLOOKUP(_xlfn.XLOOKUP($AS$6&amp;$B29,公表[班別+時段],公表[救護2],""),$AX$9:$AX$25,$AY$9:$AY$25,"")</f>
        <v>28</v>
      </c>
      <c r="K29" s="87"/>
      <c r="L29" s="87" t="s">
        <v>212</v>
      </c>
      <c r="M29" s="312"/>
      <c r="N29" s="87">
        <f>_xlfn.XLOOKUP(_xlfn.XLOOKUP($AS$6&amp;$B29,公表[班別+時段],公表[備勤1],""),$AX$9:$AX$25,$AY$9:$AY$25,"")</f>
        <v>7</v>
      </c>
      <c r="O29" s="87">
        <f>_xlfn.XLOOKUP(_xlfn.XLOOKUP($AS$6&amp;$B29,公表[班別+時段],公表[備勤2],""),$AX$9:$AX$25,$AY$9:$AY$25,"")</f>
        <v>27</v>
      </c>
      <c r="P29" s="87"/>
      <c r="Q29" s="87">
        <f>_xlfn.XLOOKUP(_xlfn.XLOOKUP($AS$6&amp;$B29,公表[班別+時段],公表[備勤3],""),$AX$9:$AX$25,$AY$9:$AY$25,"")</f>
        <v>18</v>
      </c>
      <c r="R29" s="87">
        <f>_xlfn.XLOOKUP(_xlfn.XLOOKUP($AS$6&amp;$B29,公表[班別+時段],公表[備勤4],""),$AX$9:$AX$25,$AY$9:$AY$25,"")</f>
        <v>16</v>
      </c>
      <c r="S29" s="87"/>
      <c r="T29" s="87">
        <f>_xlfn.XLOOKUP(_xlfn.XLOOKUP($AS$6&amp;$B29,公表[班別+時段],公表[備勤5],""),$AX$9:$AX$25,$AY$9:$AY$25,"")</f>
        <v>3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227"/>
      <c r="AC29" s="87"/>
      <c r="AD29" s="87"/>
      <c r="AE29" s="88">
        <f>_xlfn.XLOOKUP(_xlfn.XLOOKUP($AS$6&amp;$B29,公表[班別+時段],公表[指揮官],""),$AX$9:$AX$25,$AY$9:$AY$25,"")</f>
        <v>1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1">
        <v>21</v>
      </c>
      <c r="AP29" s="11" t="str">
        <v>張家和</v>
      </c>
      <c r="AQ29" s="64" t="str" cm="1">
        <f t="array" ref="AQ29">IFERROR(_xlfn.XLOOKUP(_xlfn.XLOOKUP($AQ$3,輪休基準表!$C$6:$C$36,_xlfn.XLOOKUP(AP29,輪休基準表!$E$5:$AF$5,輪休基準表!$E$6:$AF$36,""),""),班別參數!$A$4:$A$20,班別參數!$B$4:$B$20,""),"")</f>
        <v>輪休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/>
      </c>
      <c r="AT29" s="180" t="str">
        <f t="shared" si="0"/>
        <v/>
      </c>
      <c r="AU29" s="180" t="str">
        <f t="shared" si="1"/>
        <v/>
      </c>
      <c r="AV29" s="10"/>
      <c r="AW29" s="47"/>
      <c r="AX29" s="45"/>
      <c r="AY29" s="25"/>
      <c r="AZ29" s="28"/>
      <c r="BA29" s="33"/>
      <c r="BB29" s="25"/>
      <c r="BD29" s="11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9</v>
      </c>
      <c r="D30" s="95"/>
      <c r="E30" s="95"/>
      <c r="F30" s="95"/>
      <c r="G30" s="122" t="str">
        <f>IF(BC19="","",BC19)</f>
        <v/>
      </c>
      <c r="H30" s="37"/>
      <c r="I30" s="92">
        <f>_xlfn.XLOOKUP(_xlfn.XLOOKUP($AS$6&amp;$B30,公表[班別+時段],公表[救護1],""),$AX$9:$AX$25,$AY$9:$AY$25,"")</f>
        <v>7</v>
      </c>
      <c r="J30" s="92">
        <f>_xlfn.XLOOKUP(_xlfn.XLOOKUP($AS$6&amp;$B30,公表[班別+時段],公表[救護2],""),$AX$9:$AX$25,$AY$9:$AY$25,"")</f>
        <v>27</v>
      </c>
      <c r="K30" s="87"/>
      <c r="L30" s="87" t="s">
        <v>212</v>
      </c>
      <c r="M30" s="312"/>
      <c r="N30" s="87">
        <f>_xlfn.XLOOKUP(_xlfn.XLOOKUP($AS$6&amp;$B30,公表[班別+時段],公表[備勤1],""),$AX$9:$AX$25,$AY$9:$AY$25,"")</f>
        <v>12</v>
      </c>
      <c r="O30" s="87">
        <f>_xlfn.XLOOKUP(_xlfn.XLOOKUP($AS$6&amp;$B30,公表[班別+時段],公表[備勤2],""),$AX$9:$AX$25,$AY$9:$AY$25,"")</f>
        <v>16</v>
      </c>
      <c r="P30" s="87"/>
      <c r="Q30" s="87">
        <f>_xlfn.XLOOKUP(_xlfn.XLOOKUP($AS$6&amp;$B30,公表[班別+時段],公表[備勤3],""),$AX$9:$AX$25,$AY$9:$AY$25,"")</f>
        <v>28</v>
      </c>
      <c r="R30" s="87">
        <f>_xlfn.XLOOKUP(_xlfn.XLOOKUP($AS$6&amp;$B30,公表[班別+時段],公表[備勤4],""),$AX$9:$AX$25,$AY$9:$AY$25,"")</f>
        <v>18</v>
      </c>
      <c r="S30" s="87"/>
      <c r="T30" s="87">
        <f>_xlfn.XLOOKUP(_xlfn.XLOOKUP($AS$6&amp;$B30,公表[班別+時段],公表[備勤5],""),$AX$9:$AX$25,$AY$9:$AY$25,"")</f>
        <v>3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227"/>
      <c r="AC30" s="87"/>
      <c r="AD30" s="87"/>
      <c r="AE30" s="88">
        <f>_xlfn.XLOOKUP(_xlfn.XLOOKUP($AS$6&amp;$B30,公表[班別+時段],公表[指揮官],""),$AX$9:$AX$25,$AY$9:$AY$25,"")</f>
        <v>1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1">
        <v>22</v>
      </c>
      <c r="AP30" s="11" t="str">
        <v>陳俊瑋</v>
      </c>
      <c r="AQ30" s="64" t="str" cm="1">
        <f t="array" ref="AQ30">IFERROR(_xlfn.XLOOKUP(_xlfn.XLOOKUP($AQ$3,輪休基準表!$C$6:$C$36,_xlfn.XLOOKUP(AP30,輪休基準表!$E$5:$AF$5,輪休基準表!$E$6:$AF$36,""),""),班別參數!$A$4:$A$20,班別參數!$B$4:$B$20,""),"")</f>
        <v>輪休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1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9</v>
      </c>
      <c r="D31" s="106"/>
      <c r="E31" s="96"/>
      <c r="F31" s="96"/>
      <c r="G31" s="123" t="str">
        <f>IF(BC19="","",BC19)</f>
        <v/>
      </c>
      <c r="H31" s="109"/>
      <c r="I31" s="216">
        <f>_xlfn.XLOOKUP(_xlfn.XLOOKUP($AS$6&amp;$B31,公表[班別+時段],公表[救護1],""),$AX$9:$AX$25,$AY$9:$AY$25,"")</f>
        <v>7</v>
      </c>
      <c r="J31" s="216">
        <f>_xlfn.XLOOKUP(_xlfn.XLOOKUP($AS$6&amp;$B31,公表[班別+時段],公表[救護2],""),$AX$9:$AX$25,$AY$9:$AY$25,"")</f>
        <v>27</v>
      </c>
      <c r="K31" s="108"/>
      <c r="L31" s="93" t="s">
        <v>212</v>
      </c>
      <c r="M31" s="312"/>
      <c r="N31" s="89">
        <f>_xlfn.XLOOKUP(_xlfn.XLOOKUP($AS$6&amp;$B31,公表[班別+時段],公表[備勤1],""),$AX$9:$AX$25,$AY$9:$AY$25,"")</f>
        <v>12</v>
      </c>
      <c r="O31" s="89">
        <f>_xlfn.XLOOKUP(_xlfn.XLOOKUP($AS$6&amp;$B31,公表[班別+時段],公表[備勤2],""),$AX$9:$AX$25,$AY$9:$AY$25,"")</f>
        <v>16</v>
      </c>
      <c r="P31" s="89"/>
      <c r="Q31" s="89">
        <f>_xlfn.XLOOKUP(_xlfn.XLOOKUP($AS$6&amp;$B31,公表[班別+時段],公表[備勤3],""),$AX$9:$AX$25,$AY$9:$AY$25,"")</f>
        <v>28</v>
      </c>
      <c r="R31" s="89">
        <f>_xlfn.XLOOKUP(_xlfn.XLOOKUP($AS$6&amp;$B31,公表[班別+時段],公表[備勤4],""),$AX$9:$AX$25,$AY$9:$AY$25,"")</f>
        <v>18</v>
      </c>
      <c r="S31" s="89"/>
      <c r="T31" s="89">
        <f>_xlfn.XLOOKUP(_xlfn.XLOOKUP($AS$6&amp;$B31,公表[班別+時段],公表[備勤5],""),$AX$9:$AX$25,$AY$9:$AY$25,"")</f>
        <v>3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228"/>
      <c r="AC31" s="89"/>
      <c r="AD31" s="89"/>
      <c r="AE31" s="104">
        <f>_xlfn.XLOOKUP(_xlfn.XLOOKUP($AS$6&amp;$B31,公表[班別+時段],公表[指揮官],""),$AX$9:$AX$25,$AY$9:$AY$25,"")</f>
        <v>1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1">
        <v>23</v>
      </c>
      <c r="AP31" s="11" t="str">
        <v>陳俊翰</v>
      </c>
      <c r="AQ31" s="64" t="str" cm="1">
        <f t="array" ref="AQ31">IFERROR(_xlfn.XLOOKUP(_xlfn.XLOOKUP($AQ$3,輪休基準表!$C$6:$C$36,_xlfn.XLOOKUP(AP31,輪休基準表!$E$5:$AF$5,輪休基準表!$E$6:$AF$36,""),""),班別參數!$A$4:$A$20,班別參數!$B$4:$B$20,""),"")</f>
        <v>輪休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/>
      </c>
      <c r="AT31" s="180" t="str">
        <f t="shared" si="0"/>
        <v/>
      </c>
      <c r="AU31" s="180" t="str">
        <f t="shared" si="1"/>
        <v/>
      </c>
      <c r="AW31" s="47"/>
      <c r="AX31" s="45"/>
      <c r="AY31" s="25"/>
      <c r="AZ31" s="28"/>
      <c r="BA31" s="33"/>
      <c r="BB31" s="25"/>
      <c r="BD31" s="11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9</v>
      </c>
      <c r="D32" s="97"/>
      <c r="E32" s="97"/>
      <c r="F32" s="97"/>
      <c r="G32" s="121" t="str">
        <f>IF(BC20="","",BC20)</f>
        <v>18,3</v>
      </c>
      <c r="H32" s="56"/>
      <c r="I32" s="94">
        <f>_xlfn.XLOOKUP(_xlfn.XLOOKUP($AS$6&amp;$B32,公表[班別+時段],公表[救護1],""),$AX$9:$AX$25,$AY$9:$AY$25,"")</f>
        <v>7</v>
      </c>
      <c r="J32" s="94">
        <f>_xlfn.XLOOKUP(_xlfn.XLOOKUP($AS$6&amp;$B32,公表[班別+時段],公表[救護2],""),$AX$9:$AX$25,$AY$9:$AY$25,"")</f>
        <v>27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16</v>
      </c>
      <c r="O32" s="90">
        <f>_xlfn.XLOOKUP(_xlfn.XLOOKUP($AS$6&amp;$B32,公表[班別+時段],公表[備勤2],""),$AX$9:$AX$25,$AY$9:$AY$25,"")</f>
        <v>28</v>
      </c>
      <c r="P32" s="90"/>
      <c r="Q32" s="90">
        <f>_xlfn.XLOOKUP(_xlfn.XLOOKUP($AS$6&amp;$B32,公表[班別+時段],公表[備勤3],""),$AX$9:$AX$25,$AY$9:$AY$25,"")</f>
        <v>12</v>
      </c>
      <c r="R32" s="90">
        <f>_xlfn.XLOOKUP(_xlfn.XLOOKUP($AS$6&amp;$B32,公表[班別+時段],公表[備勤4],""),$AX$9:$AX$25,$AY$9:$AY$25,"")</f>
        <v>0</v>
      </c>
      <c r="S32" s="90"/>
      <c r="T32" s="90">
        <f>_xlfn.XLOOKUP(_xlfn.XLOOKUP($AS$6&amp;$B32,公表[班別+時段],公表[備勤5],""),$AX$9:$AX$25,$AY$9:$AY$25,"")</f>
        <v>0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229"/>
      <c r="AC32" s="90"/>
      <c r="AD32" s="90"/>
      <c r="AE32" s="91">
        <f>_xlfn.XLOOKUP(_xlfn.XLOOKUP($AS$6&amp;$B32,公表[班別+時段],公表[指揮官],""),$AX$9:$AX$25,$AY$9:$AY$25,"")</f>
        <v>1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1">
        <v>24</v>
      </c>
      <c r="AP32" s="11" t="str">
        <v>賴俊豪</v>
      </c>
      <c r="AQ32" s="64" t="str" cm="1">
        <f t="array" ref="AQ32">IFERROR(_xlfn.XLOOKUP(_xlfn.XLOOKUP($AQ$3,輪休基準表!$C$6:$C$36,_xlfn.XLOOKUP(AP32,輪休基準表!$E$5:$AF$5,輪休基準表!$E$6:$AF$36,""),""),班別參數!$A$4:$A$20,班別參數!$B$4:$B$20,""),"")</f>
        <v>輪休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/>
      </c>
      <c r="AT32" s="180" t="str">
        <f t="shared" si="0"/>
        <v/>
      </c>
      <c r="AU32" s="180" t="str">
        <f t="shared" si="1"/>
        <v/>
      </c>
      <c r="AW32" s="47"/>
      <c r="AX32" s="45"/>
      <c r="AY32" s="25"/>
      <c r="AZ32" s="28"/>
      <c r="BA32" s="33"/>
      <c r="BB32" s="25"/>
      <c r="BD32" s="11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9</v>
      </c>
      <c r="D33" s="95"/>
      <c r="E33" s="95"/>
      <c r="F33" s="95"/>
      <c r="G33" s="122" t="str">
        <f>IF(BC20="","",BC20)</f>
        <v>18,3</v>
      </c>
      <c r="H33" s="48"/>
      <c r="I33" s="92">
        <f>_xlfn.XLOOKUP(_xlfn.XLOOKUP($AS$6&amp;$B33,公表[班別+時段],公表[救護1],""),$AX$9:$AX$25,$AY$9:$AY$25,"")</f>
        <v>7</v>
      </c>
      <c r="J33" s="92">
        <f>_xlfn.XLOOKUP(_xlfn.XLOOKUP($AS$6&amp;$B33,公表[班別+時段],公表[救護2],""),$AX$9:$AX$25,$AY$9:$AY$25,"")</f>
        <v>27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16</v>
      </c>
      <c r="O33" s="87">
        <f>_xlfn.XLOOKUP(_xlfn.XLOOKUP($AS$6&amp;$B33,公表[班別+時段],公表[備勤2],""),$AX$9:$AX$25,$AY$9:$AY$25,"")</f>
        <v>28</v>
      </c>
      <c r="P33" s="87"/>
      <c r="Q33" s="87">
        <f>_xlfn.XLOOKUP(_xlfn.XLOOKUP($AS$6&amp;$B33,公表[班別+時段],公表[備勤3],""),$AX$9:$AX$25,$AY$9:$AY$25,"")</f>
        <v>12</v>
      </c>
      <c r="R33" s="87">
        <f>_xlfn.XLOOKUP(_xlfn.XLOOKUP($AS$6&amp;$B33,公表[班別+時段],公表[備勤4],""),$AX$9:$AX$25,$AY$9:$AY$25,"")</f>
        <v>0</v>
      </c>
      <c r="S33" s="87"/>
      <c r="T33" s="87">
        <f>_xlfn.XLOOKUP(_xlfn.XLOOKUP($AS$6&amp;$B33,公表[班別+時段],公表[備勤5],""),$AX$9:$AX$25,$AY$9:$AY$25,"")</f>
        <v>0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227"/>
      <c r="AC33" s="87"/>
      <c r="AD33" s="87"/>
      <c r="AE33" s="88">
        <f>_xlfn.XLOOKUP(_xlfn.XLOOKUP($AS$6&amp;$B33,公表[班別+時段],公表[指揮官],""),$AX$9:$AX$25,$AY$9:$AY$25,"")</f>
        <v>1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1">
        <v>25</v>
      </c>
      <c r="AP33" s="11" t="str">
        <v>郭國偵</v>
      </c>
      <c r="AQ33" s="64" t="str" cm="1">
        <f t="array" ref="AQ33">IFERROR(_xlfn.XLOOKUP(_xlfn.XLOOKUP($AQ$3,輪休基準表!$C$6:$C$36,_xlfn.XLOOKUP(AP33,輪休基準表!$E$5:$AF$5,輪休基準表!$E$6:$AF$36,""),""),班別參數!$A$4:$A$20,班別參數!$B$4:$B$20,""),"")</f>
        <v>輪休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/>
      </c>
      <c r="AT33" s="180" t="str">
        <f t="shared" si="0"/>
        <v/>
      </c>
      <c r="AU33" s="180" t="str">
        <f t="shared" si="1"/>
        <v/>
      </c>
      <c r="AW33" s="47"/>
      <c r="AX33" s="45"/>
      <c r="AY33" s="25"/>
      <c r="AZ33" s="28"/>
      <c r="BA33" s="25"/>
      <c r="BB33" s="25"/>
      <c r="BD33" s="11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一、本日主管上班。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3"/>
      <c r="AB34" s="354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1">
        <v>26</v>
      </c>
      <c r="AP34" s="11" t="str">
        <v>楊紹文</v>
      </c>
      <c r="AQ34" s="64" t="str" cm="1">
        <f t="array" ref="AQ34">IFERROR(_xlfn.XLOOKUP(_xlfn.XLOOKUP($AQ$3,輪休基準表!$C$6:$C$36,_xlfn.XLOOKUP(AP34,輪休基準表!$E$5:$AF$5,輪休基準表!$E$6:$AF$36,""),""),班別參數!$A$4:$A$20,班別參數!$B$4:$B$20,""),"")</f>
        <v>輪休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/>
      </c>
      <c r="AT34" s="180" t="str">
        <f t="shared" si="0"/>
        <v/>
      </c>
      <c r="AU34" s="180" t="str">
        <f t="shared" si="1"/>
        <v/>
      </c>
      <c r="AW34" s="47"/>
      <c r="AX34" s="45"/>
      <c r="AY34" s="25"/>
      <c r="AZ34" s="28"/>
      <c r="BA34" s="25"/>
      <c r="BB34" s="25"/>
      <c r="BD34" s="11"/>
    </row>
    <row r="35" spans="2:56" ht="30" customHeight="1">
      <c r="B35" s="349"/>
      <c r="C35" s="359" t="str">
        <f>CONCATENATE("二、在隊訓練:09-12時:",H11,";14-17時:",H16,";19-21時:",H21,"。")</f>
        <v>二、在隊訓練:09-12時:救生艇拆裝組合訓練;14-17時:船外機與橡皮艇;19-21時:個人水域防護裝備介紹。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3"/>
      <c r="AB35" s="354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1">
        <v>27</v>
      </c>
      <c r="AP35" s="11" t="str">
        <v>林宏為</v>
      </c>
      <c r="AQ35" s="64" t="str" cm="1">
        <f t="array" ref="AQ35">IFERROR(_xlfn.XLOOKUP(_xlfn.XLOOKUP($AQ$3,輪休基準表!$C$6:$C$36,_xlfn.XLOOKUP(AP35,輪休基準表!$E$5:$AF$5,輪休基準表!$E$6:$AF$36,""),""),班別參數!$A$4:$A$20,班別參數!$B$4:$B$20,""),"")</f>
        <v>上班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>已排</v>
      </c>
      <c r="AT35" s="180">
        <f t="shared" si="0"/>
        <v>6</v>
      </c>
      <c r="AU35" s="180">
        <f t="shared" si="1"/>
        <v>8</v>
      </c>
      <c r="AW35" s="47"/>
      <c r="AX35" s="45"/>
      <c r="AY35" s="25"/>
      <c r="AZ35" s="28"/>
      <c r="BA35" s="25"/>
      <c r="BB35" s="25"/>
      <c r="BD35" s="11"/>
    </row>
    <row r="36" spans="2:56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61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1">
        <v>28</v>
      </c>
      <c r="AP36" s="11" t="str">
        <v>林宸彥</v>
      </c>
      <c r="AQ36" s="64" t="str" cm="1">
        <f t="array" ref="AQ36">IFERROR(_xlfn.XLOOKUP(_xlfn.XLOOKUP($AQ$3,輪休基準表!$C$6:$C$36,_xlfn.XLOOKUP(AP36,輪休基準表!$E$5:$AF$5,輪休基準表!$E$6:$AF$36,""),""),班別參數!$A$4:$A$20,班別參數!$B$4:$B$20,""),"")</f>
        <v>上班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>已排</v>
      </c>
      <c r="AT36" s="180">
        <f t="shared" si="0"/>
        <v>8</v>
      </c>
      <c r="AU36" s="180">
        <f t="shared" si="1"/>
        <v>6</v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230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1"/>
      <c r="AP37" s="11"/>
      <c r="AQ37" s="64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1"/>
      <c r="BD37" s="10"/>
    </row>
    <row r="38" spans="2:56" ht="15" customHeight="1">
      <c r="AB38" s="231"/>
      <c r="AQ38" s="64"/>
      <c r="AR38" s="118"/>
      <c r="AS38" s="119"/>
      <c r="AT38" s="119"/>
    </row>
    <row r="39" spans="2:56" ht="15" customHeight="1">
      <c r="AB39" s="231"/>
      <c r="AR39" s="118"/>
      <c r="AS39" s="119"/>
      <c r="AT39" s="119"/>
    </row>
    <row r="40" spans="2:56" ht="15" customHeight="1">
      <c r="AB40" s="231"/>
      <c r="AR40" s="118"/>
      <c r="AS40" s="119"/>
      <c r="AT40" s="119"/>
    </row>
    <row r="41" spans="2:56" ht="15" customHeight="1">
      <c r="AB41" s="231"/>
    </row>
    <row r="42" spans="2:56" ht="15" customHeight="1">
      <c r="AB42" s="231"/>
    </row>
    <row r="43" spans="2:56" ht="15" customHeight="1">
      <c r="AB43" s="231"/>
    </row>
    <row r="44" spans="2:56" ht="15" customHeight="1">
      <c r="AB44" s="231"/>
    </row>
    <row r="45" spans="2:56" ht="15" customHeight="1">
      <c r="AB45" s="231"/>
    </row>
    <row r="46" spans="2:56" ht="15" customHeight="1">
      <c r="AB46" s="231"/>
    </row>
    <row r="47" spans="2:56" ht="15" customHeight="1">
      <c r="AB47" s="231"/>
    </row>
    <row r="48" spans="2:56" ht="15" customHeight="1">
      <c r="AB48" s="231"/>
    </row>
    <row r="49" spans="28:28" ht="15" customHeight="1">
      <c r="AB49" s="231"/>
    </row>
    <row r="50" spans="28:28" ht="15" customHeight="1">
      <c r="AB50" s="231"/>
    </row>
    <row r="51" spans="28:28" ht="15" customHeight="1">
      <c r="AB51" s="231"/>
    </row>
    <row r="52" spans="28:28" ht="15" customHeight="1">
      <c r="AB52" s="231"/>
    </row>
    <row r="53" spans="28:28" ht="15" customHeight="1">
      <c r="AB53" s="231"/>
    </row>
    <row r="54" spans="28:28" ht="15" customHeight="1">
      <c r="AB54" s="231"/>
    </row>
    <row r="55" spans="28:28" ht="15" customHeight="1">
      <c r="AB55" s="231"/>
    </row>
    <row r="56" spans="28:28" ht="15" customHeight="1">
      <c r="AB56" s="231"/>
    </row>
    <row r="57" spans="28:28" ht="15" customHeight="1">
      <c r="AB57" s="231"/>
    </row>
    <row r="58" spans="28:28" ht="15" customHeight="1">
      <c r="AB58" s="231"/>
    </row>
    <row r="59" spans="28:28" ht="15" customHeight="1">
      <c r="AB59" s="231"/>
    </row>
    <row r="60" spans="28:28" ht="15" customHeight="1">
      <c r="AB60" s="231"/>
    </row>
    <row r="61" spans="28:28" ht="15" customHeight="1">
      <c r="AB61" s="231"/>
    </row>
    <row r="62" spans="28:28" ht="15" customHeight="1">
      <c r="AB62" s="231"/>
    </row>
    <row r="63" spans="28:28" ht="15" customHeight="1">
      <c r="AB63" s="231"/>
    </row>
    <row r="64" spans="28:28" ht="15" customHeight="1">
      <c r="AB64" s="231"/>
    </row>
    <row r="65" spans="28:28" ht="15" customHeight="1">
      <c r="AB65" s="231"/>
    </row>
    <row r="66" spans="28:28" ht="15" customHeight="1">
      <c r="AB66" s="231"/>
    </row>
    <row r="67" spans="28:28" ht="15" customHeight="1">
      <c r="AB67" s="231"/>
    </row>
    <row r="68" spans="28:28" ht="15" customHeight="1">
      <c r="AB68" s="231"/>
    </row>
    <row r="69" spans="28:28" ht="15" customHeight="1">
      <c r="AB69" s="231"/>
    </row>
    <row r="70" spans="28:28" ht="15" customHeight="1">
      <c r="AB70" s="231"/>
    </row>
    <row r="71" spans="28:28" ht="15" customHeight="1">
      <c r="AB71" s="231"/>
    </row>
    <row r="72" spans="28:28" ht="15" customHeight="1">
      <c r="AB72" s="231"/>
    </row>
    <row r="73" spans="28:28" ht="15" customHeight="1">
      <c r="AB73" s="231"/>
    </row>
    <row r="74" spans="28:28" ht="15" customHeight="1">
      <c r="AB74" s="231"/>
    </row>
    <row r="75" spans="28:28" ht="15" customHeight="1">
      <c r="AB75" s="231"/>
    </row>
    <row r="76" spans="28:28" ht="15" customHeight="1">
      <c r="AB76" s="231"/>
    </row>
    <row r="77" spans="28:28" ht="15" customHeight="1">
      <c r="AB77" s="231"/>
    </row>
    <row r="78" spans="28:28" ht="15" customHeight="1">
      <c r="AB78" s="231"/>
    </row>
    <row r="79" spans="28:28" ht="15" customHeight="1">
      <c r="AB79" s="231"/>
    </row>
    <row r="80" spans="28:28" ht="15" customHeight="1">
      <c r="AB80" s="231"/>
    </row>
    <row r="81" spans="28:28" ht="15" customHeight="1">
      <c r="AB81" s="231"/>
    </row>
    <row r="82" spans="28:28" ht="15" customHeight="1">
      <c r="AB82" s="231"/>
    </row>
    <row r="83" spans="28:28" ht="15" customHeight="1">
      <c r="AB83" s="231"/>
    </row>
    <row r="84" spans="28:28" ht="15" customHeight="1">
      <c r="AB84" s="231"/>
    </row>
    <row r="85" spans="28:28" ht="15" customHeight="1">
      <c r="AB85" s="231"/>
    </row>
    <row r="86" spans="28:28" ht="15" customHeight="1">
      <c r="AB86" s="231"/>
    </row>
    <row r="87" spans="28:28" ht="15" customHeight="1">
      <c r="AB87" s="231"/>
    </row>
    <row r="88" spans="28:28" ht="15" customHeight="1">
      <c r="AB88" s="231"/>
    </row>
    <row r="89" spans="28:28" ht="15" customHeight="1">
      <c r="AB89" s="231"/>
    </row>
    <row r="90" spans="28:28" ht="15" customHeight="1">
      <c r="AB90" s="231"/>
    </row>
    <row r="91" spans="28:28" ht="15" customHeight="1">
      <c r="AB91" s="231"/>
    </row>
    <row r="92" spans="28:28" ht="15" customHeight="1">
      <c r="AB92" s="231"/>
    </row>
    <row r="93" spans="28:28" ht="15" customHeight="1">
      <c r="AB93" s="231"/>
    </row>
    <row r="94" spans="28:28" ht="15" customHeight="1">
      <c r="AB94" s="231"/>
    </row>
    <row r="95" spans="28:28" ht="15" customHeight="1">
      <c r="AB95" s="231"/>
    </row>
    <row r="96" spans="28:28" ht="15" customHeight="1">
      <c r="AB96" s="231"/>
    </row>
    <row r="97" spans="28:28" ht="15" customHeight="1">
      <c r="AB97" s="231"/>
    </row>
    <row r="98" spans="28:28" ht="15" customHeight="1">
      <c r="AB98" s="231"/>
    </row>
    <row r="99" spans="28:28" ht="15" customHeight="1">
      <c r="AB99" s="231"/>
    </row>
    <row r="100" spans="28:28" ht="15" customHeight="1">
      <c r="AB100" s="231"/>
    </row>
    <row r="101" spans="28:28" ht="15" customHeight="1">
      <c r="AB101" s="231"/>
    </row>
    <row r="102" spans="28:28" ht="15" customHeight="1">
      <c r="AB102" s="231"/>
    </row>
    <row r="103" spans="28:28" ht="15" customHeight="1">
      <c r="AB103" s="231"/>
    </row>
    <row r="104" spans="28:28" ht="15" customHeight="1">
      <c r="AB104" s="231"/>
    </row>
    <row r="105" spans="28:28" ht="15" customHeight="1">
      <c r="AB105" s="231"/>
    </row>
    <row r="106" spans="28:28" ht="15" customHeight="1">
      <c r="AB106" s="231"/>
    </row>
    <row r="107" spans="28:28" ht="15" customHeight="1">
      <c r="AB107" s="231"/>
    </row>
    <row r="108" spans="28:28" ht="15" customHeight="1">
      <c r="AB108" s="231"/>
    </row>
    <row r="109" spans="28:28" ht="15" customHeight="1">
      <c r="AB109" s="231"/>
    </row>
    <row r="110" spans="28:28" ht="15" customHeight="1">
      <c r="AB110" s="231"/>
    </row>
    <row r="111" spans="28:28" ht="15" customHeight="1">
      <c r="AB111" s="231"/>
    </row>
    <row r="112" spans="28:28" ht="15" customHeight="1">
      <c r="AB112" s="231"/>
    </row>
    <row r="113" spans="28:28" ht="15" customHeight="1">
      <c r="AB113" s="231"/>
    </row>
    <row r="114" spans="28:28" ht="15" customHeight="1">
      <c r="AB114" s="231"/>
    </row>
    <row r="115" spans="28:28" ht="15" customHeight="1">
      <c r="AB115" s="231"/>
    </row>
    <row r="116" spans="28:28" ht="15" customHeight="1">
      <c r="AB116" s="231"/>
    </row>
    <row r="117" spans="28:28" ht="15" customHeight="1">
      <c r="AB117" s="231"/>
    </row>
    <row r="118" spans="28:28" ht="15" customHeight="1">
      <c r="AB118" s="231"/>
    </row>
    <row r="119" spans="28:28" ht="15" customHeight="1">
      <c r="AB119" s="231"/>
    </row>
    <row r="120" spans="28:28" ht="15" customHeight="1">
      <c r="AB120" s="231"/>
    </row>
    <row r="121" spans="28:28" ht="15" customHeight="1">
      <c r="AB121" s="231"/>
    </row>
    <row r="122" spans="28:28" ht="15" customHeight="1">
      <c r="AB122" s="231"/>
    </row>
    <row r="123" spans="28:28" ht="15" customHeight="1">
      <c r="AB123" s="231"/>
    </row>
    <row r="124" spans="28:28" ht="15" customHeight="1">
      <c r="AB124" s="231"/>
    </row>
    <row r="125" spans="28:28" ht="15" customHeight="1">
      <c r="AB125" s="231"/>
    </row>
    <row r="126" spans="28:28" ht="15" customHeight="1">
      <c r="AB126" s="231"/>
    </row>
    <row r="127" spans="28:28" ht="15" customHeight="1">
      <c r="AB127" s="231"/>
    </row>
    <row r="128" spans="28:28" ht="15" customHeight="1">
      <c r="AB128" s="231"/>
    </row>
    <row r="129" spans="28:28" ht="15" customHeight="1">
      <c r="AB129" s="231"/>
    </row>
    <row r="130" spans="28:28" ht="15" customHeight="1">
      <c r="AB130" s="231"/>
    </row>
    <row r="131" spans="28:28" ht="15" customHeight="1">
      <c r="AB131" s="231"/>
    </row>
    <row r="132" spans="28:28" ht="15" customHeight="1">
      <c r="AB132" s="231"/>
    </row>
    <row r="133" spans="28:28" ht="15" customHeight="1">
      <c r="AB133" s="231"/>
    </row>
    <row r="134" spans="28:28" ht="15" customHeight="1">
      <c r="AB134" s="231"/>
    </row>
    <row r="135" spans="28:28" ht="15" customHeight="1">
      <c r="AB135" s="231"/>
    </row>
    <row r="136" spans="28:28" ht="15" customHeight="1">
      <c r="AB136" s="231"/>
    </row>
    <row r="137" spans="28:28" ht="15" customHeight="1">
      <c r="AB137" s="231"/>
    </row>
    <row r="138" spans="28:28" ht="15" customHeight="1">
      <c r="AB138" s="231"/>
    </row>
    <row r="139" spans="28:28" ht="15" customHeight="1">
      <c r="AB139" s="231"/>
    </row>
    <row r="140" spans="28:28" ht="15" customHeight="1">
      <c r="AB140" s="231"/>
    </row>
    <row r="141" spans="28:28" ht="15" customHeight="1">
      <c r="AB141" s="231"/>
    </row>
    <row r="142" spans="28:28" ht="15" customHeight="1">
      <c r="AB142" s="231"/>
    </row>
    <row r="143" spans="28:28" ht="15" customHeight="1">
      <c r="AB143" s="231"/>
    </row>
    <row r="144" spans="28:28" ht="15" customHeight="1">
      <c r="AB144" s="231"/>
    </row>
    <row r="145" spans="28:28" ht="15" customHeight="1">
      <c r="AB145" s="231"/>
    </row>
    <row r="146" spans="28:28" ht="15" customHeight="1">
      <c r="AB146" s="231"/>
    </row>
    <row r="147" spans="28:28" ht="15" customHeight="1">
      <c r="AB147" s="231"/>
    </row>
    <row r="148" spans="28:28" ht="15" customHeight="1">
      <c r="AB148" s="231"/>
    </row>
    <row r="149" spans="28:28" ht="15" customHeight="1">
      <c r="AB149" s="231"/>
    </row>
    <row r="150" spans="28:28" ht="15" customHeight="1">
      <c r="AB150" s="231"/>
    </row>
    <row r="151" spans="28:28" ht="15" customHeight="1">
      <c r="AB151" s="231"/>
    </row>
    <row r="152" spans="28:28" ht="15" customHeight="1">
      <c r="AB152" s="231"/>
    </row>
    <row r="153" spans="28:28" ht="15" customHeight="1">
      <c r="AB153" s="231"/>
    </row>
    <row r="154" spans="28:28" ht="15" customHeight="1">
      <c r="AB154" s="231"/>
    </row>
    <row r="155" spans="28:28" ht="15" customHeight="1">
      <c r="AB155" s="231"/>
    </row>
    <row r="156" spans="28:28" ht="15" customHeight="1">
      <c r="AB156" s="231"/>
    </row>
    <row r="157" spans="28:28" ht="15" customHeight="1">
      <c r="AB157" s="231"/>
    </row>
    <row r="158" spans="28:28" ht="15" customHeight="1">
      <c r="AB158" s="231"/>
    </row>
    <row r="159" spans="28:28" ht="15" customHeight="1">
      <c r="AB159" s="231"/>
    </row>
    <row r="160" spans="28:28" ht="15" customHeight="1">
      <c r="AB160" s="231"/>
    </row>
    <row r="161" spans="28:28" ht="15" customHeight="1">
      <c r="AB161" s="231"/>
    </row>
    <row r="162" spans="28:28" ht="15" customHeight="1">
      <c r="AB162" s="231"/>
    </row>
    <row r="163" spans="28:28" ht="15" customHeight="1">
      <c r="AB163" s="231"/>
    </row>
    <row r="164" spans="28:28" ht="15" customHeight="1">
      <c r="AB164" s="231"/>
    </row>
    <row r="165" spans="28:28" ht="15" customHeight="1">
      <c r="AB165" s="231"/>
    </row>
    <row r="166" spans="28:28" ht="15" customHeight="1">
      <c r="AB166" s="231"/>
    </row>
    <row r="167" spans="28:28" ht="15" customHeight="1">
      <c r="AB167" s="231"/>
    </row>
    <row r="168" spans="28:28" ht="15" customHeight="1">
      <c r="AB168" s="231"/>
    </row>
    <row r="169" spans="28:28" ht="15" customHeight="1">
      <c r="AB169" s="231"/>
    </row>
    <row r="170" spans="28:28" ht="15" customHeight="1">
      <c r="AB170" s="231"/>
    </row>
    <row r="171" spans="28:28" ht="15" customHeight="1">
      <c r="AB171" s="231"/>
    </row>
    <row r="172" spans="28:28" ht="15" customHeight="1">
      <c r="AB172" s="231"/>
    </row>
    <row r="173" spans="28:28" ht="15" customHeight="1">
      <c r="AB173" s="231"/>
    </row>
    <row r="174" spans="28:28" ht="15" customHeight="1">
      <c r="AB174" s="231"/>
    </row>
    <row r="175" spans="28:28" ht="15" customHeight="1">
      <c r="AB175" s="231"/>
    </row>
    <row r="176" spans="28:28" ht="15" customHeight="1">
      <c r="AB176" s="231"/>
    </row>
    <row r="177" spans="28:28" ht="15" customHeight="1">
      <c r="AB177" s="231"/>
    </row>
    <row r="178" spans="28:28" ht="15" customHeight="1">
      <c r="AB178" s="231"/>
    </row>
    <row r="179" spans="28:28" ht="15" customHeight="1">
      <c r="AB179" s="231"/>
    </row>
    <row r="180" spans="28:28" ht="15" customHeight="1">
      <c r="AB180" s="231"/>
    </row>
    <row r="181" spans="28:28" ht="15" customHeight="1">
      <c r="AB181" s="231"/>
    </row>
    <row r="182" spans="28:28" ht="15" customHeight="1">
      <c r="AB182" s="231"/>
    </row>
    <row r="183" spans="28:28" ht="15" customHeight="1">
      <c r="AB183" s="231"/>
    </row>
    <row r="184" spans="28:28" ht="15" customHeight="1">
      <c r="AB184" s="231"/>
    </row>
    <row r="185" spans="28:28" ht="15" customHeight="1">
      <c r="AB185" s="231"/>
    </row>
    <row r="186" spans="28:28" ht="15" customHeight="1">
      <c r="AB186" s="231"/>
    </row>
    <row r="187" spans="28:28" ht="15" customHeight="1">
      <c r="AB187" s="231"/>
    </row>
    <row r="188" spans="28:28" ht="15" customHeight="1">
      <c r="AB188" s="231"/>
    </row>
    <row r="189" spans="28:28" ht="15" customHeight="1">
      <c r="AB189" s="231"/>
    </row>
    <row r="190" spans="28:28" ht="15" customHeight="1">
      <c r="AB190" s="231"/>
    </row>
    <row r="191" spans="28:28" ht="15" customHeight="1">
      <c r="AB191" s="231"/>
    </row>
    <row r="192" spans="28:28" ht="15" customHeight="1">
      <c r="AB192" s="231"/>
    </row>
    <row r="193" spans="28:28" ht="15" customHeight="1">
      <c r="AB193" s="231"/>
    </row>
    <row r="194" spans="28:28" ht="15" customHeight="1">
      <c r="AB194" s="231"/>
    </row>
    <row r="195" spans="28:28" ht="15" customHeight="1">
      <c r="AB195" s="231"/>
    </row>
    <row r="196" spans="28:28" ht="15" customHeight="1">
      <c r="AB196" s="231"/>
    </row>
    <row r="197" spans="28:28" ht="15" customHeight="1">
      <c r="AB197" s="231"/>
    </row>
    <row r="198" spans="28:28" ht="15" customHeight="1">
      <c r="AB198" s="231"/>
    </row>
    <row r="199" spans="28:28" ht="15" customHeight="1">
      <c r="AB199" s="231"/>
    </row>
    <row r="200" spans="28:28" ht="15" customHeight="1">
      <c r="AB200" s="231"/>
    </row>
    <row r="201" spans="28:28" ht="15" customHeight="1">
      <c r="AB201" s="231"/>
    </row>
    <row r="202" spans="28:28" ht="15" customHeight="1">
      <c r="AB202" s="231"/>
    </row>
    <row r="203" spans="28:28" ht="15" customHeight="1">
      <c r="AB203" s="231"/>
    </row>
    <row r="204" spans="28:28" ht="15" customHeight="1">
      <c r="AB204" s="231"/>
    </row>
    <row r="205" spans="28:28" ht="15" customHeight="1">
      <c r="AB205" s="231"/>
    </row>
    <row r="206" spans="28:28" ht="15" customHeight="1">
      <c r="AB206" s="231"/>
    </row>
    <row r="207" spans="28:28" ht="15" customHeight="1">
      <c r="AB207" s="231"/>
    </row>
    <row r="208" spans="28:28" ht="15" customHeight="1">
      <c r="AB208" s="231"/>
    </row>
    <row r="209" spans="28:28" ht="15" customHeight="1">
      <c r="AB209" s="231"/>
    </row>
    <row r="210" spans="28:28" ht="15" customHeight="1">
      <c r="AB210" s="231"/>
    </row>
    <row r="211" spans="28:28" ht="15" customHeight="1">
      <c r="AB211" s="231"/>
    </row>
    <row r="212" spans="28:28" ht="15" customHeight="1">
      <c r="AB212" s="231"/>
    </row>
    <row r="213" spans="28:28" ht="15" customHeight="1">
      <c r="AB213" s="231"/>
    </row>
    <row r="214" spans="28:28" ht="15" customHeight="1">
      <c r="AB214" s="231"/>
    </row>
    <row r="215" spans="28:28" ht="15" customHeight="1">
      <c r="AB215" s="231"/>
    </row>
    <row r="216" spans="28:28" ht="15" customHeight="1">
      <c r="AB216" s="231"/>
    </row>
    <row r="217" spans="28:28" ht="15" customHeight="1">
      <c r="AB217" s="231"/>
    </row>
    <row r="218" spans="28:28" ht="15" customHeight="1">
      <c r="AB218" s="231"/>
    </row>
    <row r="219" spans="28:28" ht="15" customHeight="1">
      <c r="AB219" s="231"/>
    </row>
    <row r="220" spans="28:28" ht="15" customHeight="1">
      <c r="AB220" s="231"/>
    </row>
    <row r="221" spans="28:28" ht="15" customHeight="1">
      <c r="AB221" s="231"/>
    </row>
    <row r="222" spans="28:28" ht="15" customHeight="1">
      <c r="AB222" s="231"/>
    </row>
    <row r="223" spans="28:28" ht="15" customHeight="1">
      <c r="AB223" s="231"/>
    </row>
    <row r="224" spans="28:28" ht="15" customHeight="1">
      <c r="AB224" s="231"/>
    </row>
    <row r="225" spans="28:28" ht="15" customHeight="1">
      <c r="AB225" s="231"/>
    </row>
    <row r="226" spans="28:28" ht="15" customHeight="1">
      <c r="AB226" s="231"/>
    </row>
    <row r="227" spans="28:28" ht="15" customHeight="1">
      <c r="AB227" s="231"/>
    </row>
    <row r="228" spans="28:28" ht="15" customHeight="1">
      <c r="AB228" s="231"/>
    </row>
    <row r="229" spans="28:28" ht="15" customHeight="1">
      <c r="AB229" s="231"/>
    </row>
    <row r="230" spans="28:28" ht="15" customHeight="1">
      <c r="AB230" s="231"/>
    </row>
    <row r="231" spans="28:28" ht="15" customHeight="1">
      <c r="AB231" s="231"/>
    </row>
    <row r="232" spans="28:28" ht="15" customHeight="1">
      <c r="AB232" s="231"/>
    </row>
    <row r="233" spans="28:28" ht="15" customHeight="1">
      <c r="AB233" s="231"/>
    </row>
    <row r="234" spans="28:28" ht="15" customHeight="1">
      <c r="AB234" s="231"/>
    </row>
    <row r="235" spans="28:28" ht="15" customHeight="1">
      <c r="AB235" s="231"/>
    </row>
    <row r="236" spans="28:28" ht="15" customHeight="1">
      <c r="AB236" s="231"/>
    </row>
    <row r="237" spans="28:28" ht="15" customHeight="1">
      <c r="AB237" s="231"/>
    </row>
    <row r="238" spans="28:28" ht="15" customHeight="1">
      <c r="AB238" s="231"/>
    </row>
    <row r="239" spans="28:28" ht="15" customHeight="1">
      <c r="AB239" s="231"/>
    </row>
    <row r="240" spans="28:28" ht="15" customHeight="1">
      <c r="AB240" s="231"/>
    </row>
    <row r="241" spans="28:28" ht="15" customHeight="1">
      <c r="AB241" s="231"/>
    </row>
    <row r="242" spans="28:28" ht="15" customHeight="1">
      <c r="AB242" s="231"/>
    </row>
    <row r="243" spans="28:28" ht="15" customHeight="1">
      <c r="AB243" s="231"/>
    </row>
    <row r="244" spans="28:28" ht="15" customHeight="1">
      <c r="AB244" s="231"/>
    </row>
    <row r="245" spans="28:28" ht="15" customHeight="1">
      <c r="AB245" s="231"/>
    </row>
    <row r="246" spans="28:28" ht="15" customHeight="1">
      <c r="AB246" s="231"/>
    </row>
    <row r="247" spans="28:28" ht="15" customHeight="1">
      <c r="AB247" s="231"/>
    </row>
    <row r="248" spans="28:28" ht="15" customHeight="1">
      <c r="AB248" s="231"/>
    </row>
    <row r="249" spans="28:28" ht="15" customHeight="1">
      <c r="AB249" s="231"/>
    </row>
    <row r="250" spans="28:28" ht="15" customHeight="1">
      <c r="AB250" s="231"/>
    </row>
    <row r="251" spans="28:28" ht="15" customHeight="1">
      <c r="AB251" s="231"/>
    </row>
    <row r="252" spans="28:28" ht="15" customHeight="1">
      <c r="AB252" s="231"/>
    </row>
    <row r="253" spans="28:28" ht="15" customHeight="1">
      <c r="AB253" s="231"/>
    </row>
    <row r="254" spans="28:28" ht="15" customHeight="1">
      <c r="AB254" s="231"/>
    </row>
    <row r="255" spans="28:28" ht="15" customHeight="1">
      <c r="AB255" s="231"/>
    </row>
    <row r="256" spans="28:28" ht="15" customHeight="1">
      <c r="AB256" s="231"/>
    </row>
    <row r="257" spans="28:28" ht="15" customHeight="1">
      <c r="AB257" s="231"/>
    </row>
    <row r="258" spans="28:28" ht="15" customHeight="1">
      <c r="AB258" s="231"/>
    </row>
    <row r="259" spans="28:28" ht="15" customHeight="1">
      <c r="AB259" s="231"/>
    </row>
    <row r="260" spans="28:28" ht="15" customHeight="1">
      <c r="AB260" s="231"/>
    </row>
    <row r="261" spans="28:28" ht="15" customHeight="1">
      <c r="AB261" s="231"/>
    </row>
    <row r="262" spans="28:28" ht="15" customHeight="1">
      <c r="AB262" s="231"/>
    </row>
    <row r="263" spans="28:28" ht="15" customHeight="1">
      <c r="AB263" s="231"/>
    </row>
    <row r="264" spans="28:28" ht="15" customHeight="1">
      <c r="AB264" s="231"/>
    </row>
    <row r="265" spans="28:28" ht="15" customHeight="1">
      <c r="AB265" s="231"/>
    </row>
    <row r="266" spans="28:28" ht="15" customHeight="1">
      <c r="AB266" s="231"/>
    </row>
    <row r="267" spans="28:28" ht="15" customHeight="1">
      <c r="AB267" s="231"/>
    </row>
    <row r="268" spans="28:28" ht="15" customHeight="1">
      <c r="AB268" s="231"/>
    </row>
    <row r="269" spans="28:28" ht="15" customHeight="1">
      <c r="AB269" s="231"/>
    </row>
    <row r="270" spans="28:28" ht="15" customHeight="1">
      <c r="AB270" s="231"/>
    </row>
    <row r="271" spans="28:28" ht="15" customHeight="1">
      <c r="AB271" s="231"/>
    </row>
    <row r="272" spans="28:28" ht="15" customHeight="1">
      <c r="AB272" s="231"/>
    </row>
    <row r="273" spans="28:28" ht="15" customHeight="1">
      <c r="AB273" s="231"/>
    </row>
    <row r="274" spans="28:28" ht="15" customHeight="1">
      <c r="AB274" s="231"/>
    </row>
    <row r="275" spans="28:28" ht="15" customHeight="1">
      <c r="AB275" s="231"/>
    </row>
    <row r="276" spans="28:28" ht="15" customHeight="1">
      <c r="AB276" s="231"/>
    </row>
    <row r="277" spans="28:28" ht="15" customHeight="1">
      <c r="AB277" s="231"/>
    </row>
    <row r="278" spans="28:28" ht="15" customHeight="1">
      <c r="AB278" s="231"/>
    </row>
    <row r="279" spans="28:28" ht="15" customHeight="1">
      <c r="AB279" s="231"/>
    </row>
    <row r="280" spans="28:28" ht="15" customHeight="1">
      <c r="AB280" s="231"/>
    </row>
    <row r="281" spans="28:28" ht="15" customHeight="1">
      <c r="AB281" s="231"/>
    </row>
    <row r="282" spans="28:28" ht="15" customHeight="1">
      <c r="AB282" s="231"/>
    </row>
    <row r="283" spans="28:28" ht="15" customHeight="1">
      <c r="AB283" s="231"/>
    </row>
    <row r="284" spans="28:28" ht="15" customHeight="1">
      <c r="AB284" s="231"/>
    </row>
    <row r="285" spans="28:28" ht="15" customHeight="1">
      <c r="AB285" s="231"/>
    </row>
    <row r="286" spans="28:28" ht="15" customHeight="1">
      <c r="AB286" s="231"/>
    </row>
    <row r="287" spans="28:28" ht="15" customHeight="1">
      <c r="AB287" s="231"/>
    </row>
    <row r="288" spans="28:28" ht="15" customHeight="1">
      <c r="AB288" s="231"/>
    </row>
    <row r="289" spans="28:28" ht="15" customHeight="1">
      <c r="AB289" s="231"/>
    </row>
    <row r="290" spans="28:28" ht="15" customHeight="1">
      <c r="AB290" s="231"/>
    </row>
    <row r="291" spans="28:28" ht="15" customHeight="1">
      <c r="AB291" s="231"/>
    </row>
    <row r="292" spans="28:28" ht="15" customHeight="1">
      <c r="AB292" s="231"/>
    </row>
    <row r="293" spans="28:28" ht="15" customHeight="1">
      <c r="AB293" s="231"/>
    </row>
    <row r="294" spans="28:28" ht="15" customHeight="1">
      <c r="AB294" s="231"/>
    </row>
    <row r="295" spans="28:28" ht="15" customHeight="1">
      <c r="AB295" s="231"/>
    </row>
    <row r="296" spans="28:28" ht="15" customHeight="1">
      <c r="AB296" s="231"/>
    </row>
    <row r="297" spans="28:28" ht="15" customHeight="1">
      <c r="AB297" s="231"/>
    </row>
    <row r="298" spans="28:28" ht="15" customHeight="1">
      <c r="AB298" s="231"/>
    </row>
    <row r="299" spans="28:28" ht="15" customHeight="1">
      <c r="AB299" s="231"/>
    </row>
    <row r="300" spans="28:28" ht="15" customHeight="1">
      <c r="AB300" s="231"/>
    </row>
    <row r="301" spans="28:28" ht="15" customHeight="1">
      <c r="AB301" s="231"/>
    </row>
    <row r="302" spans="28:28" ht="15" customHeight="1">
      <c r="AB302" s="231"/>
    </row>
    <row r="303" spans="28:28" ht="15" customHeight="1">
      <c r="AB303" s="231"/>
    </row>
    <row r="304" spans="28:28" ht="15" customHeight="1">
      <c r="AB304" s="231"/>
    </row>
    <row r="305" spans="28:28" ht="15" customHeight="1">
      <c r="AB305" s="231"/>
    </row>
    <row r="306" spans="28:28" ht="15" customHeight="1">
      <c r="AB306" s="231"/>
    </row>
    <row r="307" spans="28:28" ht="15" customHeight="1">
      <c r="AB307" s="231"/>
    </row>
    <row r="308" spans="28:28" ht="15" customHeight="1">
      <c r="AB308" s="231"/>
    </row>
    <row r="309" spans="28:28" ht="15" customHeight="1">
      <c r="AB309" s="231"/>
    </row>
    <row r="310" spans="28:28" ht="15" customHeight="1">
      <c r="AB310" s="231"/>
    </row>
  </sheetData>
  <mergeCells count="74">
    <mergeCell ref="AP1:AQ1"/>
    <mergeCell ref="AG22:AK22"/>
    <mergeCell ref="AG23:AM23"/>
    <mergeCell ref="AG24:AI24"/>
    <mergeCell ref="AK24:AM24"/>
    <mergeCell ref="B1:AE1"/>
    <mergeCell ref="AS6:AT6"/>
    <mergeCell ref="AJ4:AM4"/>
    <mergeCell ref="AF5:AM6"/>
    <mergeCell ref="AO5:AO6"/>
    <mergeCell ref="AP5:AQ6"/>
    <mergeCell ref="AR5:AR6"/>
    <mergeCell ref="AS5:AT5"/>
    <mergeCell ref="B5:B7"/>
    <mergeCell ref="C5:C7"/>
    <mergeCell ref="D5:D7"/>
    <mergeCell ref="E5:E7"/>
    <mergeCell ref="M5:AE5"/>
    <mergeCell ref="AE6:AE7"/>
    <mergeCell ref="W6:Y6"/>
    <mergeCell ref="H5:H7"/>
    <mergeCell ref="AW2:AX2"/>
    <mergeCell ref="AW3:AX3"/>
    <mergeCell ref="AW4:AX4"/>
    <mergeCell ref="AY4:BB4"/>
    <mergeCell ref="B2:AE2"/>
    <mergeCell ref="AG2:AM2"/>
    <mergeCell ref="AY2:BB2"/>
    <mergeCell ref="AY3:BB3"/>
    <mergeCell ref="B3:AM3"/>
    <mergeCell ref="B4:AI4"/>
    <mergeCell ref="B34:B36"/>
    <mergeCell ref="C34:AE34"/>
    <mergeCell ref="AF34:AM34"/>
    <mergeCell ref="AF35:AM35"/>
    <mergeCell ref="AF36:AM36"/>
    <mergeCell ref="C35:AE35"/>
    <mergeCell ref="C36:AE36"/>
    <mergeCell ref="AH31:AI31"/>
    <mergeCell ref="AJ31:AK31"/>
    <mergeCell ref="AF32:AG32"/>
    <mergeCell ref="AH32:AI32"/>
    <mergeCell ref="AJ32:AK32"/>
    <mergeCell ref="I5:L5"/>
    <mergeCell ref="I6:J6"/>
    <mergeCell ref="K6:L6"/>
    <mergeCell ref="T7:V7"/>
    <mergeCell ref="F5:F7"/>
    <mergeCell ref="G5:G7"/>
    <mergeCell ref="N6:P6"/>
    <mergeCell ref="Q6:S6"/>
    <mergeCell ref="T6:V6"/>
    <mergeCell ref="AG25:AI25"/>
    <mergeCell ref="AK25:AM25"/>
    <mergeCell ref="M10:M33"/>
    <mergeCell ref="H11:H13"/>
    <mergeCell ref="H16:H18"/>
    <mergeCell ref="AF27:AF28"/>
    <mergeCell ref="AG27:AM27"/>
    <mergeCell ref="AG28:AM28"/>
    <mergeCell ref="AF29:AM29"/>
    <mergeCell ref="AH30:AI30"/>
    <mergeCell ref="AJ30:AK30"/>
    <mergeCell ref="AF30:AG30"/>
    <mergeCell ref="AF33:AG33"/>
    <mergeCell ref="AH33:AI33"/>
    <mergeCell ref="AJ33:AK33"/>
    <mergeCell ref="AF31:AG31"/>
    <mergeCell ref="D12:D13"/>
    <mergeCell ref="E12:E13"/>
    <mergeCell ref="D18:D19"/>
    <mergeCell ref="H21:H22"/>
    <mergeCell ref="C8:AE8"/>
    <mergeCell ref="C9:AE9"/>
  </mergeCells>
  <phoneticPr fontId="9" type="noConversion"/>
  <conditionalFormatting sqref="AO9:AQ36 AO37:AP37 AQ37:AQ38">
    <cfRule type="expression" dxfId="166" priority="10">
      <formula>COUNTIF($AQ9,"上班")&gt;=1</formula>
    </cfRule>
  </conditionalFormatting>
  <conditionalFormatting sqref="AH8:AH21 AJ8:AJ21 AL8:AM21">
    <cfRule type="expression" dxfId="165" priority="6">
      <formula>OR(VLOOKUP(AH8,$AO$9:$AQ$40,3,0)="上班",VLOOKUP(AH8,$AO$9:$AQ$40,3,0)="外宿")</formula>
    </cfRule>
  </conditionalFormatting>
  <conditionalFormatting sqref="AL8">
    <cfRule type="expression" dxfId="164" priority="5">
      <formula>OR(VLOOKUP(AL8,$AO$9:$AQ$36,3,0)="上班",VLOOKUP(AL8,$AO$9:$AQ$36,3,0)="外宿")</formula>
    </cfRule>
  </conditionalFormatting>
  <conditionalFormatting sqref="AR9:AS36">
    <cfRule type="notContainsText" dxfId="163" priority="4" operator="notContains" text="已排">
      <formula>ISERROR(SEARCH("已排",AR9))</formula>
    </cfRule>
  </conditionalFormatting>
  <conditionalFormatting sqref="AF8:AF13">
    <cfRule type="expression" dxfId="162" priority="1">
      <formula>OR(VLOOKUP(AF8,$AO$9:$AQ$40,3,0)="上班",VLOOKUP(AF8,$AO$9:$AQ$40,3,0)="外宿")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3F473-329A-4B84-B98D-2C11CCF49F14}">
  <sheetPr codeName="工作表6">
    <pageSetUpPr fitToPage="1"/>
  </sheetPr>
  <dimension ref="B1:BD40"/>
  <sheetViews>
    <sheetView showZeros="0" view="pageBreakPreview" topLeftCell="B1" zoomScale="55" zoomScaleNormal="55" zoomScaleSheetLayoutView="55" workbookViewId="0">
      <selection activeCell="H11" sqref="H11:H13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3" width="5.375" style="126" customWidth="1"/>
    <col min="4" max="4" width="6.75" style="126" customWidth="1"/>
    <col min="5" max="6" width="5.375" style="126" customWidth="1"/>
    <col min="7" max="8" width="8.625" style="126" customWidth="1"/>
    <col min="9" max="12" width="5.375" style="126" customWidth="1"/>
    <col min="13" max="13" width="6.625" style="126" customWidth="1"/>
    <col min="14" max="31" width="5.375" style="126" customWidth="1"/>
    <col min="32" max="32" width="7.625" style="126" customWidth="1"/>
    <col min="33" max="33" width="10.625" style="126" customWidth="1"/>
    <col min="34" max="34" width="7.625" style="126" customWidth="1"/>
    <col min="35" max="35" width="10.625" style="126" customWidth="1"/>
    <col min="36" max="36" width="7.625" style="126" customWidth="1"/>
    <col min="37" max="37" width="10.625" style="126" customWidth="1"/>
    <col min="38" max="38" width="7.625" style="126" customWidth="1"/>
    <col min="39" max="39" width="10.625" style="126" customWidth="1"/>
    <col min="40" max="40" width="4.125" style="213" customWidth="1"/>
    <col min="41" max="47" width="11.625" style="126" customWidth="1"/>
    <col min="48" max="48" width="4.125" style="126" customWidth="1"/>
    <col min="49" max="49" width="16" style="126" customWidth="1"/>
    <col min="50" max="51" width="8.25" style="126" customWidth="1"/>
    <col min="52" max="52" width="4.125" style="126" customWidth="1"/>
    <col min="53" max="53" width="16" style="126" customWidth="1"/>
    <col min="54" max="54" width="8.25" style="126" customWidth="1"/>
    <col min="55" max="55" width="10.875" style="126" customWidth="1"/>
    <col min="56" max="58" width="4.125" style="126" customWidth="1"/>
    <col min="59" max="16384" width="11.25" style="126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27"/>
      <c r="AP1" s="399"/>
      <c r="AQ1" s="399"/>
      <c r="AR1" s="127"/>
      <c r="AS1" s="127"/>
      <c r="AT1" s="127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3" t="s">
        <v>178</v>
      </c>
      <c r="AR2" s="146" t="s">
        <v>228</v>
      </c>
      <c r="AS2" s="142"/>
      <c r="AT2" s="140"/>
      <c r="AU2" s="127"/>
      <c r="AV2" s="127"/>
      <c r="AW2" s="362" t="s">
        <v>127</v>
      </c>
      <c r="AX2" s="287"/>
      <c r="AY2" s="367" t="str">
        <f>_xlfn.XLOOKUP($AR$3,訓練!$L$13:$L$19,訓練!$M$13:$M$19,"")</f>
        <v>破壞器材操作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115年5月2日星期六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2</v>
      </c>
      <c r="AR3" s="141" t="str">
        <f>RIGHT(TEXT(1911+$AO$3&amp;"/"&amp;$AP$3&amp;"/"&amp;$AQ$3,"aaaa"),1)</f>
        <v>六</v>
      </c>
      <c r="AS3" s="145"/>
      <c r="AT3" s="145"/>
      <c r="AU3" s="127"/>
      <c r="AV3" s="127"/>
      <c r="AW3" s="362" t="s">
        <v>128</v>
      </c>
      <c r="AX3" s="287"/>
      <c r="AY3" s="368" t="str">
        <f>_xlfn.XLOOKUP($AR$3,訓練!$L$13:$L$19,訓練!$N$13:$N$19,"")</f>
        <v>入室搜救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27"/>
      <c r="AU4" s="127"/>
      <c r="AV4" s="127"/>
      <c r="AW4" s="362" t="s">
        <v>129</v>
      </c>
      <c r="AX4" s="287"/>
      <c r="AY4" s="363" t="str">
        <f>_xlfn.XLOOKUP($AR$3,訓練!$L$13:$L$19,訓練!$O$13:$O$19,"")</f>
        <v>五用氣體檢知器及CO探測器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3" t="s">
        <v>344</v>
      </c>
      <c r="E5" s="340" t="s">
        <v>341</v>
      </c>
      <c r="F5" s="340"/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402"/>
      <c r="E6" s="341"/>
      <c r="F6" s="341"/>
      <c r="G6" s="312"/>
      <c r="H6" s="312"/>
      <c r="I6" s="334" t="s">
        <v>227</v>
      </c>
      <c r="J6" s="335"/>
      <c r="K6" s="334" t="s">
        <v>346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2+7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402"/>
      <c r="E7" s="341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192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27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27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27" cm="1">
        <f t="array" ref="AO9:AP36">TRANSPOSE(輪休基準表!E4:AF5)</f>
        <v>1</v>
      </c>
      <c r="AP9" s="127" t="str">
        <v>鄧力嘉</v>
      </c>
      <c r="AQ9" s="127" t="str" cm="1">
        <f t="array" ref="AQ9">IFERROR(_xlfn.XLOOKUP(_xlfn.XLOOKUP($AQ$3,輪休基準表!$C$6:$C$36,_xlfn.XLOOKUP(AP9,輪休基準表!$E$5:$AF$5,輪休基準表!$E$6:$AF$36,""),""),班別參數!$A$4:$A$20,班別參數!$B$4:$B$20,""),"")</f>
        <v>輪休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/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 t="array" ref="AX9">IFERROR(INDEX(班別參數!$D$4:$S$20,MATCH(AW9,班別參數!$D$4:$D$20,0),MATCH($AS$6,班別參數!$D$4:$S$4,0)),"")</f>
        <v>A</v>
      </c>
      <c r="AY9" s="35">
        <v>25</v>
      </c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H,K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26,4</v>
      </c>
      <c r="BD9" s="127"/>
    </row>
    <row r="10" spans="2:56" ht="30" customHeight="1">
      <c r="B10" s="81" t="s">
        <v>70</v>
      </c>
      <c r="C10" s="87">
        <f>_xlfn.XLOOKUP(_xlfn.XLOOKUP($AS$6&amp;$B10,公表[班別+時段],公表[值班],""),$AX$9:$AX$25,$AY$9:$AY$25,"")</f>
        <v>25</v>
      </c>
      <c r="D10" s="95"/>
      <c r="E10" s="95"/>
      <c r="F10" s="95"/>
      <c r="G10" s="122" t="str">
        <f>IF(BC9="","",BC9)</f>
        <v>26,4</v>
      </c>
      <c r="H10" s="37"/>
      <c r="I10" s="92">
        <f>_xlfn.XLOOKUP(_xlfn.XLOOKUP($AS$6&amp;$B10,公表[班別+時段],公表[救護1],""),$AX$9:$AX$25,$AY$9:$AY$25,"")</f>
        <v>24</v>
      </c>
      <c r="J10" s="92">
        <f>_xlfn.XLOOKUP(_xlfn.XLOOKUP($AS$6&amp;$B10,公表[班別+時段],公表[救護2],""),$AX$9:$AX$25,$AY$9:$AY$25,"")</f>
        <v>13</v>
      </c>
      <c r="K10" s="87"/>
      <c r="L10" s="87" t="s">
        <v>212</v>
      </c>
      <c r="M10" s="311"/>
      <c r="N10" s="87">
        <f>_xlfn.XLOOKUP(_xlfn.XLOOKUP($AS$6&amp;$B10,公表[班別+時段],公表[備勤1],""),$AX$9:$AX$25,$AY$9:$AY$25,"")</f>
        <v>16</v>
      </c>
      <c r="O10" s="87">
        <f>_xlfn.XLOOKUP(_xlfn.XLOOKUP($AS$6&amp;$B10,公表[班別+時段],公表[備勤2],""),$AX$9:$AX$25,$AY$9:$AY$25,"")</f>
        <v>8</v>
      </c>
      <c r="P10" s="87"/>
      <c r="Q10" s="87">
        <f>_xlfn.XLOOKUP(_xlfn.XLOOKUP($AS$6&amp;$B10,公表[班別+時段],公表[備勤3],""),$AX$9:$AX$25,$AY$9:$AY$25,"")</f>
        <v>19</v>
      </c>
      <c r="R10" s="87">
        <f>_xlfn.XLOOKUP(_xlfn.XLOOKUP($AS$6&amp;$B10,公表[班別+時段],公表[備勤4],""),$AX$9:$AX$25,$AY$9:$AY$25,"")</f>
        <v>0</v>
      </c>
      <c r="S10" s="87"/>
      <c r="T10" s="87">
        <f>_xlfn.XLOOKUP(_xlfn.XLOOKUP($AS$6&amp;$B10,公表[班別+時段],公表[備勤5],""),$AX$9:$AX$25,$AY$9:$AY$25,"")</f>
        <v>0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87"/>
      <c r="AB10" s="87"/>
      <c r="AC10" s="87"/>
      <c r="AD10" s="87"/>
      <c r="AE10" s="88">
        <f>_xlfn.XLOOKUP(_xlfn.XLOOKUP($AS$6&amp;$B10,公表[班別+時段],公表[指揮官],""),$AX$9:$AX$25,$AY$9:$AY$25,"")</f>
        <v>5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27">
        <v>2</v>
      </c>
      <c r="AP10" s="127" t="str">
        <v>莊勝斌</v>
      </c>
      <c r="AQ10" s="127" t="str" cm="1">
        <f t="array" ref="AQ10">IFERROR(_xlfn.XLOOKUP(_xlfn.XLOOKUP($AQ$3,輪休基準表!$C$6:$C$36,_xlfn.XLOOKUP(AP10,輪休基準表!$E$5:$AF$5,輪休基準表!$E$6:$AF$36,""),""),班別參數!$A$4:$A$20,班別參數!$B$4:$B$20,""),"")</f>
        <v>月補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/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>
        <v>19</v>
      </c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8</v>
      </c>
      <c r="BD10" s="127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25</v>
      </c>
      <c r="D11" s="95"/>
      <c r="E11" s="95"/>
      <c r="F11" s="95"/>
      <c r="G11" s="122" t="str">
        <f>IF(BC9="","",BC9)</f>
        <v>26,4</v>
      </c>
      <c r="H11" s="296" t="str">
        <f>AY2</f>
        <v>破壞器材操作</v>
      </c>
      <c r="I11" s="92">
        <f>_xlfn.XLOOKUP(_xlfn.XLOOKUP($AS$6&amp;$B11,公表[班別+時段],公表[救護1],""),$AX$9:$AX$25,$AY$9:$AY$25,"")</f>
        <v>24</v>
      </c>
      <c r="J11" s="92">
        <f>_xlfn.XLOOKUP(_xlfn.XLOOKUP($AS$6&amp;$B11,公表[班別+時段],公表[救護2],""),$AX$9:$AX$25,$AY$9:$AY$25,"")</f>
        <v>13</v>
      </c>
      <c r="K11" s="87"/>
      <c r="L11" s="87" t="s">
        <v>212</v>
      </c>
      <c r="M11" s="312"/>
      <c r="N11" s="87">
        <f>_xlfn.XLOOKUP(_xlfn.XLOOKUP($AS$6&amp;$B11,公表[班別+時段],公表[備勤1],""),$AX$9:$AX$25,$AY$9:$AY$25,"")</f>
        <v>16</v>
      </c>
      <c r="O11" s="87">
        <f>_xlfn.XLOOKUP(_xlfn.XLOOKUP($AS$6&amp;$B11,公表[班別+時段],公表[備勤2],""),$AX$9:$AX$25,$AY$9:$AY$25,"")</f>
        <v>8</v>
      </c>
      <c r="P11" s="87"/>
      <c r="Q11" s="87">
        <f>_xlfn.XLOOKUP(_xlfn.XLOOKUP($AS$6&amp;$B11,公表[班別+時段],公表[備勤3],""),$AX$9:$AX$25,$AY$9:$AY$25,"")</f>
        <v>19</v>
      </c>
      <c r="R11" s="87">
        <f>_xlfn.XLOOKUP(_xlfn.XLOOKUP($AS$6&amp;$B11,公表[班別+時段],公表[備勤4],""),$AX$9:$AX$25,$AY$9:$AY$25,"")</f>
        <v>0</v>
      </c>
      <c r="S11" s="87"/>
      <c r="T11" s="87">
        <f>_xlfn.XLOOKUP(_xlfn.XLOOKUP($AS$6&amp;$B11,公表[班別+時段],公表[備勤5],""),$AX$9:$AX$25,$AY$9:$AY$25,"")</f>
        <v>0</v>
      </c>
      <c r="U11" s="87">
        <f>_xlfn.XLOOKUP(_xlfn.XLOOKUP($AS$6&amp;$B11,公表[班別+時段],公表[備勤6],""),$AX$9:$AX$25,$AY$9:$AY$25,"")</f>
        <v>0</v>
      </c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87"/>
      <c r="AB11" s="87"/>
      <c r="AC11" s="87"/>
      <c r="AD11" s="87"/>
      <c r="AE11" s="88">
        <f>_xlfn.XLOOKUP(_xlfn.XLOOKUP($AS$6&amp;$B11,公表[班別+時段],公表[指揮官],""),$AX$9:$AX$25,$AY$9:$AY$25,"")</f>
        <v>5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27">
        <v>3</v>
      </c>
      <c r="AP11" s="127" t="str">
        <v>孫子翔</v>
      </c>
      <c r="AQ11" s="127" t="str" cm="1">
        <f t="array" ref="AQ11">IFERROR(_xlfn.XLOOKUP(_xlfn.XLOOKUP($AQ$3,輪休基準表!$C$6:$C$36,_xlfn.XLOOKUP(AP11,輪休基準表!$E$5:$AF$5,輪休基準表!$E$6:$AF$36,""),""),班別參數!$A$4:$A$20,班別參數!$B$4:$B$20,""),"")</f>
        <v>輪休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/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>
        <v>13</v>
      </c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F</v>
      </c>
      <c r="BC11" s="39" t="str">
        <f t="shared" si="2"/>
        <v>24</v>
      </c>
      <c r="BD11" s="127"/>
    </row>
    <row r="12" spans="2:56" ht="30" customHeight="1">
      <c r="B12" s="81" t="s">
        <v>75</v>
      </c>
      <c r="C12" s="87">
        <f>_xlfn.XLOOKUP(_xlfn.XLOOKUP($AS$6&amp;$B12,公表[班別+時段],公表[值班],""),$AX$9:$AX$25,$AY$9:$AY$25,"")</f>
        <v>19</v>
      </c>
      <c r="D12" s="292" t="s">
        <v>345</v>
      </c>
      <c r="E12" s="95"/>
      <c r="F12" s="95"/>
      <c r="G12" s="122">
        <v>26</v>
      </c>
      <c r="H12" s="314"/>
      <c r="I12" s="92">
        <f>_xlfn.XLOOKUP(_xlfn.XLOOKUP($AS$6&amp;$B12,公表[班別+時段],公表[救護1],""),$AX$9:$AX$25,$AY$9:$AY$25,"")</f>
        <v>25</v>
      </c>
      <c r="J12" s="92">
        <f>_xlfn.XLOOKUP(_xlfn.XLOOKUP($AS$6&amp;$B12,公表[班別+時段],公表[救護2],""),$AX$9:$AX$25,$AY$9:$AY$25,"")</f>
        <v>16</v>
      </c>
      <c r="K12" s="92"/>
      <c r="L12" s="87" t="s">
        <v>212</v>
      </c>
      <c r="M12" s="312"/>
      <c r="N12" s="87">
        <v>8</v>
      </c>
      <c r="O12" s="87">
        <f>_xlfn.XLOOKUP(_xlfn.XLOOKUP($AS$6&amp;$B12,公表[班別+時段],公表[備勤2],""),$AX$9:$AX$25,$AY$9:$AY$25,"")</f>
        <v>24</v>
      </c>
      <c r="P12" s="87"/>
      <c r="Q12" s="87"/>
      <c r="R12" s="87">
        <f>_xlfn.XLOOKUP(_xlfn.XLOOKUP($AS$6&amp;$B12,公表[班別+時段],公表[備勤4],""),$AX$9:$AX$25,$AY$9:$AY$25,"")</f>
        <v>0</v>
      </c>
      <c r="S12" s="87"/>
      <c r="T12" s="87"/>
      <c r="U12" s="87">
        <f>_xlfn.XLOOKUP(_xlfn.XLOOKUP($AS$6&amp;$B12,公表[班別+時段],公表[備勤6],""),$AX$9:$AX$25,$AY$9:$AY$25,"")</f>
        <v>0</v>
      </c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87"/>
      <c r="AC12" s="87"/>
      <c r="AD12" s="87"/>
      <c r="AE12" s="88">
        <v>5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27">
        <v>4</v>
      </c>
      <c r="AP12" s="127" t="str">
        <v>簡永豐</v>
      </c>
      <c r="AQ12" s="127" t="str" cm="1">
        <f t="array" ref="AQ12">IFERROR(_xlfn.XLOOKUP(_xlfn.XLOOKUP($AQ$3,輪休基準表!$C$6:$C$36,_xlfn.XLOOKUP(AP12,輪休基準表!$E$5:$AF$5,輪休基準表!$E$6:$AF$36,""),""),班別參數!$A$4:$A$20,班別參數!$B$4:$B$20,""),"")</f>
        <v>上班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>已排</v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>
        <v>16</v>
      </c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27"/>
    </row>
    <row r="13" spans="2:56" ht="30" customHeight="1" thickBot="1">
      <c r="B13" s="82" t="s">
        <v>76</v>
      </c>
      <c r="C13" s="89">
        <f>_xlfn.XLOOKUP(_xlfn.XLOOKUP($AS$6&amp;$B13,公表[班別+時段],公表[值班],""),$AX$9:$AX$25,$AY$9:$AY$25,"")</f>
        <v>19</v>
      </c>
      <c r="D13" s="293"/>
      <c r="E13" s="96"/>
      <c r="F13" s="96"/>
      <c r="G13" s="123">
        <v>26</v>
      </c>
      <c r="H13" s="315"/>
      <c r="I13" s="216">
        <f>_xlfn.XLOOKUP(_xlfn.XLOOKUP($AS$6&amp;$B13,公表[班別+時段],公表[救護1],""),$AX$9:$AX$25,$AY$9:$AY$25,"")</f>
        <v>25</v>
      </c>
      <c r="J13" s="216">
        <f>_xlfn.XLOOKUP(_xlfn.XLOOKUP($AS$6&amp;$B13,公表[班別+時段],公表[救護2],""),$AX$9:$AX$25,$AY$9:$AY$25,"")</f>
        <v>16</v>
      </c>
      <c r="K13" s="105"/>
      <c r="L13" s="93" t="s">
        <v>212</v>
      </c>
      <c r="M13" s="312"/>
      <c r="N13" s="89">
        <v>8</v>
      </c>
      <c r="O13" s="89">
        <f>_xlfn.XLOOKUP(_xlfn.XLOOKUP($AS$6&amp;$B13,公表[班別+時段],公表[備勤2],""),$AX$9:$AX$25,$AY$9:$AY$25,"")</f>
        <v>24</v>
      </c>
      <c r="P13" s="89"/>
      <c r="Q13" s="89"/>
      <c r="R13" s="89">
        <f>_xlfn.XLOOKUP(_xlfn.XLOOKUP($AS$6&amp;$B13,公表[班別+時段],公表[備勤4],""),$AX$9:$AX$25,$AY$9:$AY$25,"")</f>
        <v>0</v>
      </c>
      <c r="S13" s="89"/>
      <c r="T13" s="89"/>
      <c r="U13" s="89">
        <f>_xlfn.XLOOKUP(_xlfn.XLOOKUP($AS$6&amp;$B13,公表[班別+時段],公表[備勤6],""),$AX$9:$AX$25,$AY$9:$AY$25,"")</f>
        <v>0</v>
      </c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89"/>
      <c r="AC13" s="89"/>
      <c r="AD13" s="89"/>
      <c r="AE13" s="104">
        <v>5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27">
        <v>5</v>
      </c>
      <c r="AP13" s="127" t="str">
        <v>張鴻志</v>
      </c>
      <c r="AQ13" s="127" t="str" cm="1">
        <f t="array" ref="AQ13">IFERROR(_xlfn.XLOOKUP(_xlfn.XLOOKUP($AQ$3,輪休基準表!$C$6:$C$36,_xlfn.XLOOKUP(AP13,輪休基準表!$E$5:$AF$5,輪休基準表!$E$6:$AF$36,""),""),班別參數!$A$4:$A$20,班別參數!$B$4:$B$20,""),"")</f>
        <v>上班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>已排</v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>
        <v>8</v>
      </c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>25</v>
      </c>
      <c r="BD13" s="127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13</v>
      </c>
      <c r="D14" s="234"/>
      <c r="E14" s="97"/>
      <c r="F14" s="97"/>
      <c r="G14" s="121">
        <v>24</v>
      </c>
      <c r="H14" s="55"/>
      <c r="I14" s="94">
        <f>_xlfn.XLOOKUP(_xlfn.XLOOKUP($AS$6&amp;$B14,公表[班別+時段],公表[救護1],""),$AX$9:$AX$25,$AY$9:$AY$25,"")</f>
        <v>19</v>
      </c>
      <c r="J14" s="94">
        <f>_xlfn.XLOOKUP(_xlfn.XLOOKUP($AS$6&amp;$B14,公表[班別+時段],公表[救護2],""),$AX$9:$AX$25,$AY$9:$AY$25,"")</f>
        <v>26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25</v>
      </c>
      <c r="O14" s="90">
        <v>8</v>
      </c>
      <c r="P14" s="90"/>
      <c r="Q14" s="90">
        <v>16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5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90"/>
      <c r="AC14" s="90"/>
      <c r="AD14" s="90"/>
      <c r="AE14" s="91">
        <f>_xlfn.XLOOKUP(_xlfn.XLOOKUP($AS$6&amp;$B14,公表[班別+時段],公表[指揮官],""),$AX$9:$AX$25,$AY$9:$AY$25,"")</f>
        <v>4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27">
        <v>6</v>
      </c>
      <c r="AP14" s="127" t="str">
        <v>吳宗耕</v>
      </c>
      <c r="AQ14" s="127" t="str" cm="1">
        <f t="array" ref="AQ14">IFERROR(_xlfn.XLOOKUP(_xlfn.XLOOKUP($AQ$3,輪休基準表!$C$6:$C$36,_xlfn.XLOOKUP(AP14,輪休基準表!$E$5:$AF$5,輪休基準表!$E$6:$AF$36,""),""),班別參數!$A$4:$A$20,班別參數!$B$4:$B$20,""),"")</f>
        <v>輪休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/>
      </c>
      <c r="AT14" s="180" t="str">
        <f t="shared" si="0"/>
        <v/>
      </c>
      <c r="AU14" s="180" t="str">
        <f t="shared" si="1"/>
        <v/>
      </c>
      <c r="AV14" s="25"/>
      <c r="AW14" s="33" t="str">
        <f t="array" ref="AW14">INDEX(班別參數!$D$4:$D$20,ROW()-7,MATCH($AW$8,班別參數!$D$4:$D$20,0))</f>
        <v>18-20</v>
      </c>
      <c r="AX14" s="34">
        <f t="array" ref="AX14">IFERROR(INDEX(班別參數!$D$4:$S$20,MATCH(AW14,班別參數!$D$4:$D$20,0),MATCH($AS$6,班別參數!$D$4:$S$4,0)),"")</f>
        <v>0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</v>
      </c>
      <c r="BC14" s="39" t="str">
        <f t="shared" si="2"/>
        <v>19</v>
      </c>
      <c r="BD14" s="127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13</v>
      </c>
      <c r="D15" s="235"/>
      <c r="E15" s="106"/>
      <c r="F15" s="96"/>
      <c r="G15" s="123">
        <v>24</v>
      </c>
      <c r="H15" s="40"/>
      <c r="I15" s="216">
        <f>_xlfn.XLOOKUP(_xlfn.XLOOKUP($AS$6&amp;$B15,公表[班別+時段],公表[救護1],""),$AX$9:$AX$25,$AY$9:$AY$25,"")</f>
        <v>19</v>
      </c>
      <c r="J15" s="216">
        <f>_xlfn.XLOOKUP(_xlfn.XLOOKUP($AS$6&amp;$B15,公表[班別+時段],公表[救護2],""),$AX$9:$AX$25,$AY$9:$AY$25,"")</f>
        <v>26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25</v>
      </c>
      <c r="O15" s="89">
        <v>8</v>
      </c>
      <c r="P15" s="89"/>
      <c r="Q15" s="89">
        <v>16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5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89"/>
      <c r="AC15" s="89"/>
      <c r="AD15" s="89"/>
      <c r="AE15" s="104">
        <f>_xlfn.XLOOKUP(_xlfn.XLOOKUP($AS$6&amp;$B15,公表[班別+時段],公表[指揮官],""),$AX$9:$AX$25,$AY$9:$AY$25,"")</f>
        <v>4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27">
        <v>7</v>
      </c>
      <c r="AP15" s="127" t="str">
        <v>包華先</v>
      </c>
      <c r="AQ15" s="127" t="str" cm="1">
        <f t="array" ref="AQ15">IFERROR(_xlfn.XLOOKUP(_xlfn.XLOOKUP($AQ$3,輪休基準表!$C$6:$C$36,_xlfn.XLOOKUP(AP15,輪休基準表!$E$5:$AF$5,輪休基準表!$E$6:$AF$36,""),""),班別參數!$A$4:$A$20,班別參數!$B$4:$B$20,""),"")</f>
        <v>輪休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/>
      </c>
      <c r="AT15" s="180" t="str">
        <f t="shared" si="0"/>
        <v/>
      </c>
      <c r="AU15" s="180" t="str">
        <f t="shared" si="1"/>
        <v/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>
        <v>24</v>
      </c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>16</v>
      </c>
      <c r="BD15" s="127"/>
    </row>
    <row r="16" spans="2:56" ht="30" customHeight="1">
      <c r="B16" s="83" t="s">
        <v>79</v>
      </c>
      <c r="C16" s="90">
        <f>_xlfn.XLOOKUP(_xlfn.XLOOKUP($AS$6&amp;$B16,公表[班別+時段],公表[值班],""),$AX$9:$AX$25,$AY$9:$AY$25,"")</f>
        <v>16</v>
      </c>
      <c r="D16" s="98"/>
      <c r="E16" s="99"/>
      <c r="F16" s="98"/>
      <c r="G16" s="121" t="str">
        <f>IF(BC12="","",BC12)</f>
        <v/>
      </c>
      <c r="H16" s="316" t="str">
        <f>AY3</f>
        <v>入室搜救</v>
      </c>
      <c r="I16" s="94">
        <f>_xlfn.XLOOKUP(_xlfn.XLOOKUP($AS$6&amp;$B16,公表[班別+時段],公表[救護1],""),$AX$9:$AX$25,$AY$9:$AY$25,"")</f>
        <v>24</v>
      </c>
      <c r="J16" s="94">
        <f>_xlfn.XLOOKUP(_xlfn.XLOOKUP($AS$6&amp;$B16,公表[班別+時段],公表[救護2],""),$AX$9:$AX$25,$AY$9:$AY$25,"")</f>
        <v>26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19</v>
      </c>
      <c r="O16" s="90">
        <f>_xlfn.XLOOKUP(_xlfn.XLOOKUP($AS$6&amp;$B16,公表[班別+時段],公表[備勤2],""),$AX$9:$AX$25,$AY$9:$AY$25,"")</f>
        <v>13</v>
      </c>
      <c r="P16" s="90"/>
      <c r="Q16" s="90">
        <f>_xlfn.XLOOKUP(_xlfn.XLOOKUP($AS$6&amp;$B16,公表[班別+時段],公表[備勤3],""),$AX$9:$AX$25,$AY$9:$AY$25,"")</f>
        <v>25</v>
      </c>
      <c r="R16" s="90">
        <f>_xlfn.XLOOKUP(_xlfn.XLOOKUP($AS$6&amp;$B16,公表[班別+時段],公表[備勤4],""),$AX$9:$AX$25,$AY$9:$AY$25,"")</f>
        <v>8</v>
      </c>
      <c r="S16" s="90"/>
      <c r="T16" s="90">
        <f>_xlfn.XLOOKUP(_xlfn.XLOOKUP($AS$6&amp;$B16,公表[班別+時段],公表[備勤5],""),$AX$9:$AX$25,$AY$9:$AY$25,"")</f>
        <v>5</v>
      </c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90"/>
      <c r="AC16" s="90"/>
      <c r="AD16" s="90"/>
      <c r="AE16" s="91">
        <f>_xlfn.XLOOKUP(_xlfn.XLOOKUP($AS$6&amp;$B16,公表[班別+時段],公表[指揮官],""),$AX$9:$AX$25,$AY$9:$AY$25,"")</f>
        <v>4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27">
        <v>8</v>
      </c>
      <c r="AP16" s="127" t="str">
        <v>曾彥綸</v>
      </c>
      <c r="AQ16" s="127" t="str" cm="1">
        <f t="array" ref="AQ16">IFERROR(_xlfn.XLOOKUP(_xlfn.XLOOKUP($AQ$3,輪休基準表!$C$6:$C$36,_xlfn.XLOOKUP(AP16,輪休基準表!$E$5:$AF$5,輪休基準表!$E$6:$AF$36,""),""),班別參數!$A$4:$A$20,班別參數!$B$4:$B$20,""),"")</f>
        <v>上班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>已排</v>
      </c>
      <c r="AT16" s="180">
        <f t="shared" si="0"/>
        <v>6</v>
      </c>
      <c r="AU16" s="180">
        <f t="shared" si="1"/>
        <v>10</v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>
        <v>26</v>
      </c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27"/>
    </row>
    <row r="17" spans="2:56" ht="30" customHeight="1">
      <c r="B17" s="81" t="s">
        <v>80</v>
      </c>
      <c r="C17" s="87">
        <f>_xlfn.XLOOKUP(_xlfn.XLOOKUP($AS$6&amp;$B17,公表[班別+時段],公表[值班],""),$AX$9:$AX$25,$AY$9:$AY$25,"")</f>
        <v>16</v>
      </c>
      <c r="D17" s="95"/>
      <c r="E17" s="95"/>
      <c r="F17" s="100"/>
      <c r="G17" s="122" t="str">
        <f>IF(BC12="","",BC12)</f>
        <v/>
      </c>
      <c r="H17" s="314"/>
      <c r="I17" s="92">
        <f>_xlfn.XLOOKUP(_xlfn.XLOOKUP($AS$6&amp;$B17,公表[班別+時段],公表[救護1],""),$AX$9:$AX$25,$AY$9:$AY$25,"")</f>
        <v>24</v>
      </c>
      <c r="J17" s="92">
        <f>_xlfn.XLOOKUP(_xlfn.XLOOKUP($AS$6&amp;$B17,公表[班別+時段],公表[救護2],""),$AX$9:$AX$25,$AY$9:$AY$25,"")</f>
        <v>26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19</v>
      </c>
      <c r="O17" s="87">
        <f>_xlfn.XLOOKUP(_xlfn.XLOOKUP($AS$6&amp;$B17,公表[班別+時段],公表[備勤2],""),$AX$9:$AX$25,$AY$9:$AY$25,"")</f>
        <v>13</v>
      </c>
      <c r="P17" s="87"/>
      <c r="Q17" s="87">
        <f>_xlfn.XLOOKUP(_xlfn.XLOOKUP($AS$6&amp;$B17,公表[班別+時段],公表[備勤3],""),$AX$9:$AX$25,$AY$9:$AY$25,"")</f>
        <v>25</v>
      </c>
      <c r="R17" s="87">
        <f>_xlfn.XLOOKUP(_xlfn.XLOOKUP($AS$6&amp;$B17,公表[班別+時段],公表[備勤4],""),$AX$9:$AX$25,$AY$9:$AY$25,"")</f>
        <v>8</v>
      </c>
      <c r="S17" s="87"/>
      <c r="T17" s="87">
        <f>_xlfn.XLOOKUP(_xlfn.XLOOKUP($AS$6&amp;$B17,公表[班別+時段],公表[備勤5],""),$AX$9:$AX$25,$AY$9:$AY$25,"")</f>
        <v>5</v>
      </c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87"/>
      <c r="AC17" s="87"/>
      <c r="AD17" s="87"/>
      <c r="AE17" s="88">
        <f>_xlfn.XLOOKUP(_xlfn.XLOOKUP($AS$6&amp;$B17,公表[班別+時段],公表[指揮官],""),$AX$9:$AX$25,$AY$9:$AY$25,"")</f>
        <v>4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27">
        <v>9</v>
      </c>
      <c r="AP17" s="127" t="str">
        <v>鍾佳諭</v>
      </c>
      <c r="AQ17" s="127" t="str" cm="1">
        <f t="array" ref="AQ17">IFERROR(_xlfn.XLOOKUP(_xlfn.XLOOKUP($AQ$3,輪休基準表!$C$6:$C$36,_xlfn.XLOOKUP(AP17,輪休基準表!$E$5:$AF$5,輪休基準表!$E$6:$AF$36,""),""),班別參數!$A$4:$A$20,班別參數!$B$4:$B$20,""),"")</f>
        <v>輪休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/>
      </c>
      <c r="AT17" s="180" t="str">
        <f t="shared" si="0"/>
        <v/>
      </c>
      <c r="AU17" s="180" t="str">
        <f t="shared" si="1"/>
        <v/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27"/>
    </row>
    <row r="18" spans="2:56" ht="30" customHeight="1">
      <c r="B18" s="81" t="s">
        <v>81</v>
      </c>
      <c r="C18" s="87">
        <f>_xlfn.XLOOKUP(_xlfn.XLOOKUP($AS$6&amp;$B18,公表[班別+時段],公表[值班],""),$AX$9:$AX$25,$AY$9:$AY$25,"")</f>
        <v>8</v>
      </c>
      <c r="D18" s="100"/>
      <c r="E18" s="292">
        <v>19</v>
      </c>
      <c r="F18" s="100"/>
      <c r="G18" s="122" t="str">
        <f>IF(BC13="","",BC13)</f>
        <v>25</v>
      </c>
      <c r="H18" s="297"/>
      <c r="I18" s="92">
        <f>_xlfn.XLOOKUP(_xlfn.XLOOKUP($AS$6&amp;$B18,公表[班別+時段],公表[救護1],""),$AX$9:$AX$25,$AY$9:$AY$25,"")</f>
        <v>24</v>
      </c>
      <c r="J18" s="92">
        <f>_xlfn.XLOOKUP(_xlfn.XLOOKUP($AS$6&amp;$B18,公表[班別+時段],公表[救護2],""),$AX$9:$AX$25,$AY$9:$AY$25,"")</f>
        <v>13</v>
      </c>
      <c r="K18" s="92"/>
      <c r="L18" s="87" t="s">
        <v>212</v>
      </c>
      <c r="M18" s="312"/>
      <c r="N18" s="87">
        <f>_xlfn.XLOOKUP(_xlfn.XLOOKUP($AS$6&amp;$B18,公表[班別+時段],公表[備勤1],""),$AX$9:$AX$25,$AY$9:$AY$25,"")</f>
        <v>16</v>
      </c>
      <c r="O18" s="87">
        <f>_xlfn.XLOOKUP(_xlfn.XLOOKUP($AS$6&amp;$B18,公表[班別+時段],公表[備勤2],""),$AX$9:$AX$25,$AY$9:$AY$25,"")</f>
        <v>26</v>
      </c>
      <c r="P18" s="87"/>
      <c r="Q18" s="87"/>
      <c r="R18" s="87">
        <f>_xlfn.XLOOKUP(_xlfn.XLOOKUP($AS$6&amp;$B18,公表[班別+時段],公表[備勤4],""),$AX$9:$AX$25,$AY$9:$AY$25,"")</f>
        <v>0</v>
      </c>
      <c r="S18" s="87"/>
      <c r="T18" s="87">
        <f>_xlfn.XLOOKUP(_xlfn.XLOOKUP($AS$6&amp;$B18,公表[班別+時段],公表[備勤5],""),$AX$9:$AX$25,$AY$9:$AY$25,"")</f>
        <v>5</v>
      </c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87"/>
      <c r="AC18" s="87"/>
      <c r="AD18" s="87"/>
      <c r="AE18" s="88">
        <f>_xlfn.XLOOKUP(_xlfn.XLOOKUP($AS$6&amp;$B18,公表[班別+時段],公表[指揮官],""),$AX$9:$AX$25,$AY$9:$AY$25,"")</f>
        <v>4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27">
        <v>10</v>
      </c>
      <c r="AP18" s="127" t="str">
        <v>林宏澤</v>
      </c>
      <c r="AQ18" s="127" t="str" cm="1">
        <f t="array" ref="AQ18">IFERROR(_xlfn.XLOOKUP(_xlfn.XLOOKUP($AQ$3,輪休基準表!$C$6:$C$36,_xlfn.XLOOKUP(AP18,輪休基準表!$E$5:$AF$5,輪休基準表!$E$6:$AF$36,""),""),班別參數!$A$4:$A$20,班別參數!$B$4:$B$20,""),"")</f>
        <v>輪休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/>
      </c>
      <c r="AT18" s="180" t="str">
        <f t="shared" si="0"/>
        <v/>
      </c>
      <c r="AU18" s="180" t="str">
        <f t="shared" si="1"/>
        <v/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27"/>
    </row>
    <row r="19" spans="2:56" ht="30" customHeight="1" thickBot="1">
      <c r="B19" s="110" t="s">
        <v>82</v>
      </c>
      <c r="C19" s="89">
        <f>_xlfn.XLOOKUP(_xlfn.XLOOKUP($AS$6&amp;$B19,公表[班別+時段],公表[值班],""),$AX$9:$AX$25,$AY$9:$AY$25,"")</f>
        <v>8</v>
      </c>
      <c r="D19" s="106"/>
      <c r="E19" s="293"/>
      <c r="F19" s="236"/>
      <c r="G19" s="123" t="str">
        <f>IF(BC13="","",BC13)</f>
        <v>25</v>
      </c>
      <c r="H19" s="107"/>
      <c r="I19" s="216">
        <f>_xlfn.XLOOKUP(_xlfn.XLOOKUP($AS$6&amp;$B19,公表[班別+時段],公表[救護1],""),$AX$9:$AX$25,$AY$9:$AY$25,"")</f>
        <v>24</v>
      </c>
      <c r="J19" s="216">
        <f>_xlfn.XLOOKUP(_xlfn.XLOOKUP($AS$6&amp;$B19,公表[班別+時段],公表[救護2],""),$AX$9:$AX$25,$AY$9:$AY$25,"")</f>
        <v>13</v>
      </c>
      <c r="K19" s="105"/>
      <c r="L19" s="93" t="s">
        <v>212</v>
      </c>
      <c r="M19" s="312"/>
      <c r="N19" s="89">
        <f>_xlfn.XLOOKUP(_xlfn.XLOOKUP($AS$6&amp;$B19,公表[班別+時段],公表[備勤1],""),$AX$9:$AX$25,$AY$9:$AY$25,"")</f>
        <v>16</v>
      </c>
      <c r="O19" s="89">
        <f>_xlfn.XLOOKUP(_xlfn.XLOOKUP($AS$6&amp;$B19,公表[班別+時段],公表[備勤2],""),$AX$9:$AX$25,$AY$9:$AY$25,"")</f>
        <v>26</v>
      </c>
      <c r="P19" s="89"/>
      <c r="Q19" s="89"/>
      <c r="R19" s="89">
        <f>_xlfn.XLOOKUP(_xlfn.XLOOKUP($AS$6&amp;$B19,公表[班別+時段],公表[備勤4],""),$AX$9:$AX$25,$AY$9:$AY$25,"")</f>
        <v>0</v>
      </c>
      <c r="S19" s="89"/>
      <c r="T19" s="89">
        <f>_xlfn.XLOOKUP(_xlfn.XLOOKUP($AS$6&amp;$B19,公表[班別+時段],公表[備勤5],""),$AX$9:$AX$25,$AY$9:$AY$25,"")</f>
        <v>5</v>
      </c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89"/>
      <c r="AC19" s="89"/>
      <c r="AD19" s="89"/>
      <c r="AE19" s="104">
        <f>_xlfn.XLOOKUP(_xlfn.XLOOKUP($AS$6&amp;$B19,公表[班別+時段],公表[指揮官],""),$AX$9:$AX$25,$AY$9:$AY$25,"")</f>
        <v>4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27">
        <v>11</v>
      </c>
      <c r="AP19" s="127" t="str">
        <v>簡君諺</v>
      </c>
      <c r="AQ19" s="127" t="str" cm="1">
        <f t="array" ref="AQ19">IFERROR(_xlfn.XLOOKUP(_xlfn.XLOOKUP($AQ$3,輪休基準表!$C$6:$C$36,_xlfn.XLOOKUP(AP19,輪休基準表!$E$5:$AF$5,輪休基準表!$E$6:$AF$36,""),""),班別參數!$A$4:$A$20,班別參數!$B$4:$B$20,""),"")</f>
        <v>輪休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/>
      </c>
      <c r="AT19" s="180" t="str">
        <f t="shared" si="0"/>
        <v/>
      </c>
      <c r="AU19" s="180" t="str">
        <f t="shared" si="1"/>
        <v/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:AY20">IF(AX19="","",_xlfn._xlws.FILTER($AO$9:$AO$13,$AQ$9:$AQ$13="上班",""))</f>
        <v>4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27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5</v>
      </c>
      <c r="D20" s="97"/>
      <c r="E20" s="97"/>
      <c r="F20" s="97"/>
      <c r="G20" s="121" t="str">
        <f>IF(BC14="","",BC14)</f>
        <v>19</v>
      </c>
      <c r="H20" s="55"/>
      <c r="I20" s="94">
        <f>_xlfn.XLOOKUP(_xlfn.XLOOKUP($AS$6&amp;$B20,公表[班別+時段],公表[救護1],""),$AX$9:$AX$25,$AY$9:$AY$25,"")</f>
        <v>8</v>
      </c>
      <c r="J20" s="94">
        <f>_xlfn.XLOOKUP(_xlfn.XLOOKUP($AS$6&amp;$B20,公表[班別+時段],公表[救護2],""),$AX$9:$AX$25,$AY$9:$AY$25,"")</f>
        <v>26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13</v>
      </c>
      <c r="O20" s="90">
        <f>_xlfn.XLOOKUP(_xlfn.XLOOKUP($AS$6&amp;$B20,公表[班別+時段],公表[備勤2],""),$AX$9:$AX$25,$AY$9:$AY$25,"")</f>
        <v>25</v>
      </c>
      <c r="P20" s="90"/>
      <c r="Q20" s="90">
        <f>_xlfn.XLOOKUP(_xlfn.XLOOKUP($AS$6&amp;$B20,公表[班別+時段],公表[備勤3],""),$AX$9:$AX$25,$AY$9:$AY$25,"")</f>
        <v>16</v>
      </c>
      <c r="R20" s="90">
        <f>_xlfn.XLOOKUP(_xlfn.XLOOKUP($AS$6&amp;$B20,公表[班別+時段],公表[備勤4],""),$AX$9:$AX$25,$AY$9:$AY$25,"")</f>
        <v>24</v>
      </c>
      <c r="S20" s="90"/>
      <c r="T20" s="90">
        <f>_xlfn.XLOOKUP(_xlfn.XLOOKUP($AS$6&amp;$B20,公表[班別+時段],公表[備勤5],""),$AX$9:$AX$25,$AY$9:$AY$25,"")</f>
        <v>0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90"/>
      <c r="AC20" s="90"/>
      <c r="AD20" s="90"/>
      <c r="AE20" s="91">
        <f>_xlfn.XLOOKUP(_xlfn.XLOOKUP($AS$6&amp;$B20,公表[班別+時段],公表[指揮官],""),$AX$9:$AX$25,$AY$9:$AY$25,"")</f>
        <v>4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27">
        <v>12</v>
      </c>
      <c r="AP20" s="127" t="str">
        <v>王昱勛</v>
      </c>
      <c r="AQ20" s="127" t="str" cm="1">
        <f t="array" ref="AQ20">IFERROR(_xlfn.XLOOKUP(_xlfn.XLOOKUP($AQ$3,輪休基準表!$C$6:$C$36,_xlfn.XLOOKUP(AP20,輪休基準表!$E$5:$AF$5,輪休基準表!$E$6:$AF$36,""),""),班別參數!$A$4:$A$20,班別參數!$B$4:$B$20,""),"")</f>
        <v>輪休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/>
      </c>
      <c r="AT20" s="180" t="str">
        <f t="shared" si="0"/>
        <v/>
      </c>
      <c r="AU20" s="180" t="str">
        <f t="shared" si="1"/>
        <v/>
      </c>
      <c r="AV20" s="25"/>
      <c r="AW20" s="33" t="str">
        <f t="array" ref="AW20">INDEX(班別參數!$D$4:$D$20,ROW()-7,MATCH($AW$8,班別參數!$D$4:$D$20,0))</f>
        <v>帶隊官</v>
      </c>
      <c r="AX20" s="34" t="str">
        <f t="array" ref="AX20">IFERROR(INDEX(班別參數!$D$4:$S$20,MATCH(AW20,班別參數!$D$4:$D$20,0),MATCH($AS$6,班別參數!$D$4:$S$4,0)),"")</f>
        <v>L</v>
      </c>
      <c r="AY20" s="38">
        <v>5</v>
      </c>
      <c r="AZ20" s="32"/>
      <c r="BA20" s="33" t="s">
        <v>67</v>
      </c>
      <c r="BB20" s="34" t="str">
        <f t="array" ref="BB20">IFERROR(INDEX(班別參數!$D$23:$S$35,MATCH(BA20,班別參數!$D$23:$D$35,0),MATCH($AS$6,班別參數!$D$23:$S$23,0)),"")</f>
        <v>G,L</v>
      </c>
      <c r="BC20" s="41" t="str">
        <f t="shared" si="2"/>
        <v>13,5</v>
      </c>
      <c r="BD20" s="127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5</v>
      </c>
      <c r="D21" s="95"/>
      <c r="E21" s="95"/>
      <c r="F21" s="95"/>
      <c r="G21" s="122" t="str">
        <f>IF(BC14="","",BC14)</f>
        <v>19</v>
      </c>
      <c r="H21" s="296" t="str">
        <f>AY4</f>
        <v>五用氣體檢知器及CO探測器</v>
      </c>
      <c r="I21" s="92">
        <f>_xlfn.XLOOKUP(_xlfn.XLOOKUP($AS$6&amp;$B21,公表[班別+時段],公表[救護1],""),$AX$9:$AX$25,$AY$9:$AY$25,"")</f>
        <v>8</v>
      </c>
      <c r="J21" s="92">
        <f>_xlfn.XLOOKUP(_xlfn.XLOOKUP($AS$6&amp;$B21,公表[班別+時段],公表[救護2],""),$AX$9:$AX$25,$AY$9:$AY$25,"")</f>
        <v>26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13</v>
      </c>
      <c r="O21" s="87">
        <f>_xlfn.XLOOKUP(_xlfn.XLOOKUP($AS$6&amp;$B21,公表[班別+時段],公表[備勤2],""),$AX$9:$AX$25,$AY$9:$AY$25,"")</f>
        <v>25</v>
      </c>
      <c r="P21" s="87"/>
      <c r="Q21" s="87">
        <f>_xlfn.XLOOKUP(_xlfn.XLOOKUP($AS$6&amp;$B21,公表[班別+時段],公表[備勤3],""),$AX$9:$AX$25,$AY$9:$AY$25,"")</f>
        <v>16</v>
      </c>
      <c r="R21" s="87">
        <f>_xlfn.XLOOKUP(_xlfn.XLOOKUP($AS$6&amp;$B21,公表[班別+時段],公表[備勤4],""),$AX$9:$AX$25,$AY$9:$AY$25,"")</f>
        <v>24</v>
      </c>
      <c r="S21" s="87"/>
      <c r="T21" s="87">
        <f>_xlfn.XLOOKUP(_xlfn.XLOOKUP($AS$6&amp;$B21,公表[班別+時段],公表[備勤5],""),$AX$9:$AX$25,$AY$9:$AY$25,"")</f>
        <v>0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87"/>
      <c r="AC21" s="87"/>
      <c r="AD21" s="87"/>
      <c r="AE21" s="88">
        <f>_xlfn.XLOOKUP(_xlfn.XLOOKUP($AS$6&amp;$B21,公表[班別+時段],公表[指揮官],""),$AX$9:$AX$25,$AY$9:$AY$25,"")</f>
        <v>4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27">
        <v>13</v>
      </c>
      <c r="AP21" s="127" t="str">
        <v>葉宗哲</v>
      </c>
      <c r="AQ21" s="127" t="str" cm="1">
        <f t="array" ref="AQ21">IFERROR(_xlfn.XLOOKUP(_xlfn.XLOOKUP($AQ$3,輪休基準表!$C$6:$C$36,_xlfn.XLOOKUP(AP21,輪休基準表!$E$5:$AF$5,輪休基準表!$E$6:$AF$36,""),""),班別參數!$A$4:$A$20,班別參數!$B$4:$B$20,""),"")</f>
        <v>上班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>已排</v>
      </c>
      <c r="AT21" s="180">
        <f t="shared" si="0"/>
        <v>6</v>
      </c>
      <c r="AU21" s="180">
        <f t="shared" si="1"/>
        <v>8</v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27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24</v>
      </c>
      <c r="D22" s="95"/>
      <c r="E22" s="95"/>
      <c r="F22" s="95"/>
      <c r="G22" s="122" t="str">
        <f>IF(BC15="","",BC15)</f>
        <v>16</v>
      </c>
      <c r="H22" s="297"/>
      <c r="I22" s="92">
        <f>_xlfn.XLOOKUP(_xlfn.XLOOKUP($AS$6&amp;$B22,公表[班別+時段],公表[救護1],""),$AX$9:$AX$25,$AY$9:$AY$25,"")</f>
        <v>19</v>
      </c>
      <c r="J22" s="92">
        <f>_xlfn.XLOOKUP(_xlfn.XLOOKUP($AS$6&amp;$B22,公表[班別+時段],公表[救護2],""),$AX$9:$AX$25,$AY$9:$AY$25,"")</f>
        <v>13</v>
      </c>
      <c r="K22" s="92"/>
      <c r="L22" s="87" t="s">
        <v>212</v>
      </c>
      <c r="M22" s="312"/>
      <c r="N22" s="87">
        <f>_xlfn.XLOOKUP(_xlfn.XLOOKUP($AS$6&amp;$B22,公表[班別+時段],公表[備勤1],""),$AX$9:$AX$25,$AY$9:$AY$25,"")</f>
        <v>25</v>
      </c>
      <c r="O22" s="87">
        <f>_xlfn.XLOOKUP(_xlfn.XLOOKUP($AS$6&amp;$B22,公表[班別+時段],公表[備勤2],""),$AX$9:$AX$25,$AY$9:$AY$25,"")</f>
        <v>8</v>
      </c>
      <c r="P22" s="87"/>
      <c r="Q22" s="87">
        <f>_xlfn.XLOOKUP(_xlfn.XLOOKUP($AS$6&amp;$B22,公表[班別+時段],公表[備勤3],""),$AX$9:$AX$25,$AY$9:$AY$25,"")</f>
        <v>26</v>
      </c>
      <c r="R22" s="87">
        <f>_xlfn.XLOOKUP(_xlfn.XLOOKUP($AS$6&amp;$B22,公表[班別+時段],公表[備勤4],""),$AX$9:$AX$25,$AY$9:$AY$25,"")</f>
        <v>0</v>
      </c>
      <c r="S22" s="87"/>
      <c r="T22" s="87">
        <f>_xlfn.XLOOKUP(_xlfn.XLOOKUP($AS$6&amp;$B22,公表[班別+時段],公表[備勤5],""),$AX$9:$AX$25,$AY$9:$AY$25,"")</f>
        <v>5</v>
      </c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87"/>
      <c r="AC22" s="87"/>
      <c r="AD22" s="87"/>
      <c r="AE22" s="88">
        <f>_xlfn.XLOOKUP(_xlfn.XLOOKUP($AS$6&amp;$B22,公表[班別+時段],公表[指揮官],""),$AX$9:$AX$25,$AY$9:$AY$25,"")</f>
        <v>4</v>
      </c>
      <c r="AF22" s="57" t="s">
        <v>213</v>
      </c>
      <c r="AG22" s="305" t="str" cm="1">
        <f t="array" ref="AG22">_xlfn.TEXTJOIN(".",1,_xlfn._xlws.FILTER($AO$9:$AO$40,$AQ$9:$AQ$40="上班",""))</f>
        <v>4.5.8.13.16.19.24.25.26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27">
        <v>14</v>
      </c>
      <c r="AP22" s="127" t="str">
        <v>王浩任</v>
      </c>
      <c r="AQ22" s="127" t="str" cm="1">
        <f t="array" ref="AQ22">IFERROR(_xlfn.XLOOKUP(_xlfn.XLOOKUP($AQ$3,輪休基準表!$C$6:$C$36,_xlfn.XLOOKUP(AP22,輪休基準表!$E$5:$AF$5,輪休基準表!$E$6:$AF$36,""),""),班別參數!$A$4:$A$20,班別參數!$B$4:$B$20,""),"")</f>
        <v>輪休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/>
      </c>
      <c r="AT22" s="180" t="str">
        <f t="shared" si="0"/>
        <v/>
      </c>
      <c r="AU22" s="180" t="str">
        <f t="shared" si="1"/>
        <v/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27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24</v>
      </c>
      <c r="D23" s="106"/>
      <c r="E23" s="96"/>
      <c r="F23" s="96"/>
      <c r="G23" s="123" t="str">
        <f>IF(BC15="","",BC15)</f>
        <v>16</v>
      </c>
      <c r="H23" s="107"/>
      <c r="I23" s="216">
        <f>_xlfn.XLOOKUP(_xlfn.XLOOKUP($AS$6&amp;$B23,公表[班別+時段],公表[救護1],""),$AX$9:$AX$25,$AY$9:$AY$25,"")</f>
        <v>19</v>
      </c>
      <c r="J23" s="216">
        <f>_xlfn.XLOOKUP(_xlfn.XLOOKUP($AS$6&amp;$B23,公表[班別+時段],公表[救護2],""),$AX$9:$AX$25,$AY$9:$AY$25,"")</f>
        <v>13</v>
      </c>
      <c r="K23" s="105"/>
      <c r="L23" s="93" t="s">
        <v>212</v>
      </c>
      <c r="M23" s="312"/>
      <c r="N23" s="89">
        <f>_xlfn.XLOOKUP(_xlfn.XLOOKUP($AS$6&amp;$B23,公表[班別+時段],公表[備勤1],""),$AX$9:$AX$25,$AY$9:$AY$25,"")</f>
        <v>25</v>
      </c>
      <c r="O23" s="89">
        <f>_xlfn.XLOOKUP(_xlfn.XLOOKUP($AS$6&amp;$B23,公表[班別+時段],公表[備勤2],""),$AX$9:$AX$25,$AY$9:$AY$25,"")</f>
        <v>8</v>
      </c>
      <c r="P23" s="89"/>
      <c r="Q23" s="89">
        <f>_xlfn.XLOOKUP(_xlfn.XLOOKUP($AS$6&amp;$B23,公表[班別+時段],公表[備勤3],""),$AX$9:$AX$25,$AY$9:$AY$25,"")</f>
        <v>26</v>
      </c>
      <c r="R23" s="89">
        <f>_xlfn.XLOOKUP(_xlfn.XLOOKUP($AS$6&amp;$B23,公表[班別+時段],公表[備勤4],""),$AX$9:$AX$25,$AY$9:$AY$25,"")</f>
        <v>0</v>
      </c>
      <c r="S23" s="89"/>
      <c r="T23" s="89">
        <f>_xlfn.XLOOKUP(_xlfn.XLOOKUP($AS$6&amp;$B23,公表[班別+時段],公表[備勤5],""),$AX$9:$AX$25,$AY$9:$AY$25,"")</f>
        <v>5</v>
      </c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89"/>
      <c r="AC23" s="89"/>
      <c r="AD23" s="89"/>
      <c r="AE23" s="104">
        <f>_xlfn.XLOOKUP(_xlfn.XLOOKUP($AS$6&amp;$B23,公表[班別+時段],公表[指揮官],""),$AX$9:$AX$25,$AY$9:$AY$25,"")</f>
        <v>4</v>
      </c>
      <c r="AF23" s="57" t="s">
        <v>6</v>
      </c>
      <c r="AG23" s="305" t="str" cm="1">
        <f t="array" ref="AG23">_xlfn.TEXTJOIN(".",1,_xlfn._xlws.FILTER($AO$9:$AO$40,$AQ$9:$AQ$40=$AF$23,""))</f>
        <v>1.3.6.7.9.10.11.12.14.15.18.20.22.27.28</v>
      </c>
      <c r="AH23" s="400"/>
      <c r="AI23" s="400"/>
      <c r="AJ23" s="400"/>
      <c r="AK23" s="400"/>
      <c r="AL23" s="400"/>
      <c r="AM23" s="401"/>
      <c r="AN23" s="214"/>
      <c r="AO23" s="127">
        <v>15</v>
      </c>
      <c r="AP23" s="127" t="str">
        <v>李仕詮</v>
      </c>
      <c r="AQ23" s="127" t="str" cm="1">
        <f t="array" ref="AQ23">IFERROR(_xlfn.XLOOKUP(_xlfn.XLOOKUP($AQ$3,輪休基準表!$C$6:$C$36,_xlfn.XLOOKUP(AP23,輪休基準表!$E$5:$AF$5,輪休基準表!$E$6:$AF$36,""),""),班別參數!$A$4:$A$20,班別參數!$B$4:$B$20,""),"")</f>
        <v>輪休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/>
      </c>
      <c r="AT23" s="180" t="str">
        <f t="shared" si="0"/>
        <v/>
      </c>
      <c r="AU23" s="180" t="str">
        <f t="shared" si="1"/>
        <v/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27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26</v>
      </c>
      <c r="D24" s="97"/>
      <c r="E24" s="97"/>
      <c r="F24" s="97"/>
      <c r="G24" s="121">
        <v>8</v>
      </c>
      <c r="H24" s="55"/>
      <c r="I24" s="94">
        <f>_xlfn.XLOOKUP(_xlfn.XLOOKUP($AS$6&amp;$B24,公表[班別+時段],公表[救護1],""),$AX$9:$AX$25,$AY$9:$AY$25,"")</f>
        <v>24</v>
      </c>
      <c r="J24" s="94">
        <f>_xlfn.XLOOKUP(_xlfn.XLOOKUP($AS$6&amp;$B24,公表[班別+時段],公表[救護2],""),$AX$9:$AX$25,$AY$9:$AY$25,"")</f>
        <v>16</v>
      </c>
      <c r="K24" s="90"/>
      <c r="L24" s="90" t="s">
        <v>212</v>
      </c>
      <c r="M24" s="312"/>
      <c r="N24" s="90">
        <f>_xlfn.XLOOKUP(_xlfn.XLOOKUP($AS$6&amp;$B24,公表[班別+時段],公表[備勤1],""),$AX$9:$AX$25,$AY$9:$AY$25,"")</f>
        <v>19</v>
      </c>
      <c r="O24" s="90">
        <f>_xlfn.XLOOKUP(_xlfn.XLOOKUP($AS$6&amp;$B24,公表[班別+時段],公表[備勤2],""),$AX$9:$AX$25,$AY$9:$AY$25,"")</f>
        <v>13</v>
      </c>
      <c r="P24" s="90"/>
      <c r="Q24" s="90">
        <f>_xlfn.XLOOKUP(_xlfn.XLOOKUP($AS$6&amp;$B24,公表[班別+時段],公表[備勤3],""),$AX$9:$AX$25,$AY$9:$AY$25,"")</f>
        <v>25</v>
      </c>
      <c r="R24" s="90"/>
      <c r="S24" s="90"/>
      <c r="T24" s="90">
        <f>_xlfn.XLOOKUP(_xlfn.XLOOKUP($AS$6&amp;$B24,公表[班別+時段],公表[備勤5],""),$AX$9:$AX$25,$AY$9:$AY$25,"")</f>
        <v>5</v>
      </c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90"/>
      <c r="AC24" s="90"/>
      <c r="AD24" s="90"/>
      <c r="AE24" s="91">
        <f>_xlfn.XLOOKUP(_xlfn.XLOOKUP($AS$6&amp;$B24,公表[班別+時段],公表[指揮官],""),$AX$9:$AX$25,$AY$9:$AY$25,"")</f>
        <v>4</v>
      </c>
      <c r="AF24" s="57" t="s">
        <v>17</v>
      </c>
      <c r="AG24" s="305" t="str" cm="1">
        <f t="array" ref="AG24">_xlfn.TEXTJOIN(".",1,_xlfn._xlws.FILTER($AO$9:$AO$40,$AQ$9:$AQ$40=$AF$24,""))</f>
        <v>2.17</v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/>
      </c>
      <c r="AL24" s="400"/>
      <c r="AM24" s="401"/>
      <c r="AN24" s="214"/>
      <c r="AO24" s="127">
        <v>16</v>
      </c>
      <c r="AP24" s="127" t="str">
        <v>楊弘宇</v>
      </c>
      <c r="AQ24" s="127" t="str" cm="1">
        <f t="array" ref="AQ24">IFERROR(_xlfn.XLOOKUP(_xlfn.XLOOKUP($AQ$3,輪休基準表!$C$6:$C$36,_xlfn.XLOOKUP(AP24,輪休基準表!$E$5:$AF$5,輪休基準表!$E$6:$AF$36,""),""),班別參數!$A$4:$A$20,班別參數!$B$4:$B$20,""),"")</f>
        <v>上班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>已排</v>
      </c>
      <c r="AT24" s="180">
        <f t="shared" si="0"/>
        <v>8</v>
      </c>
      <c r="AU24" s="180">
        <f t="shared" si="1"/>
        <v>6</v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27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26</v>
      </c>
      <c r="D25" s="95"/>
      <c r="E25" s="95"/>
      <c r="F25" s="95"/>
      <c r="G25" s="122">
        <v>8</v>
      </c>
      <c r="H25" s="37"/>
      <c r="I25" s="92">
        <f>_xlfn.XLOOKUP(_xlfn.XLOOKUP($AS$6&amp;$B25,公表[班別+時段],公表[救護1],""),$AX$9:$AX$25,$AY$9:$AY$25,"")</f>
        <v>24</v>
      </c>
      <c r="J25" s="92">
        <f>_xlfn.XLOOKUP(_xlfn.XLOOKUP($AS$6&amp;$B25,公表[班別+時段],公表[救護2],""),$AX$9:$AX$25,$AY$9:$AY$25,"")</f>
        <v>16</v>
      </c>
      <c r="K25" s="87"/>
      <c r="L25" s="87" t="s">
        <v>212</v>
      </c>
      <c r="M25" s="312"/>
      <c r="N25" s="87">
        <f>_xlfn.XLOOKUP(_xlfn.XLOOKUP($AS$6&amp;$B25,公表[班別+時段],公表[備勤1],""),$AX$9:$AX$25,$AY$9:$AY$25,"")</f>
        <v>19</v>
      </c>
      <c r="O25" s="87">
        <f>_xlfn.XLOOKUP(_xlfn.XLOOKUP($AS$6&amp;$B25,公表[班別+時段],公表[備勤2],""),$AX$9:$AX$25,$AY$9:$AY$25,"")</f>
        <v>13</v>
      </c>
      <c r="P25" s="87"/>
      <c r="Q25" s="87">
        <f>_xlfn.XLOOKUP(_xlfn.XLOOKUP($AS$6&amp;$B25,公表[班別+時段],公表[備勤3],""),$AX$9:$AX$25,$AY$9:$AY$25,"")</f>
        <v>25</v>
      </c>
      <c r="R25" s="87"/>
      <c r="S25" s="87"/>
      <c r="T25" s="87">
        <f>_xlfn.XLOOKUP(_xlfn.XLOOKUP($AS$6&amp;$B25,公表[班別+時段],公表[備勤5],""),$AX$9:$AX$25,$AY$9:$AY$25,"")</f>
        <v>5</v>
      </c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87"/>
      <c r="AC25" s="87"/>
      <c r="AD25" s="87"/>
      <c r="AE25" s="88">
        <f>_xlfn.XLOOKUP(_xlfn.XLOOKUP($AS$6&amp;$B25,公表[班別+時段],公表[指揮官],""),$AX$9:$AX$25,$AY$9:$AY$25,"")</f>
        <v>4</v>
      </c>
      <c r="AF25" s="57" t="s">
        <v>28</v>
      </c>
      <c r="AG25" s="305" t="str" cm="1">
        <f t="array" ref="AG25">_xlfn.TEXTJOIN(".",1,_xlfn._xlws.FILTER($AO$9:$AO$40,$AQ$9:$AQ$40=$AF$25,""))</f>
        <v>21</v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/>
      </c>
      <c r="AL25" s="309"/>
      <c r="AM25" s="310"/>
      <c r="AN25" s="214"/>
      <c r="AO25" s="127">
        <v>17</v>
      </c>
      <c r="AP25" s="127" t="str">
        <v>楊仲豪</v>
      </c>
      <c r="AQ25" s="127" t="str" cm="1">
        <f t="array" ref="AQ25">IFERROR(_xlfn.XLOOKUP(_xlfn.XLOOKUP($AQ$3,輪休基準表!$C$6:$C$36,_xlfn.XLOOKUP(AP25,輪休基準表!$E$5:$AF$5,輪休基準表!$E$6:$AF$36,""),""),班別參數!$A$4:$A$20,班別參數!$B$4:$B$20,""),"")</f>
        <v>月補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/>
      </c>
      <c r="AT25" s="180" t="str">
        <f t="shared" si="0"/>
        <v/>
      </c>
      <c r="AU25" s="180" t="str">
        <f t="shared" si="1"/>
        <v/>
      </c>
      <c r="AW25" s="33"/>
      <c r="AX25" s="45"/>
      <c r="AY25" s="25"/>
      <c r="AZ25" s="28"/>
      <c r="BA25" s="33"/>
      <c r="BB25" s="25"/>
      <c r="BD25" s="127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26</v>
      </c>
      <c r="D26" s="95"/>
      <c r="E26" s="95"/>
      <c r="F26" s="95"/>
      <c r="G26" s="122" t="str">
        <f>IF(BC17="","",BC17)</f>
        <v/>
      </c>
      <c r="H26" s="37"/>
      <c r="I26" s="92">
        <f>_xlfn.XLOOKUP(_xlfn.XLOOKUP($AS$6&amp;$B26,公表[班別+時段],公表[救護1],""),$AX$9:$AX$25,$AY$9:$AY$25,"")</f>
        <v>25</v>
      </c>
      <c r="J26" s="92">
        <f>_xlfn.XLOOKUP(_xlfn.XLOOKUP($AS$6&amp;$B26,公表[班別+時段],公表[救護2],""),$AX$9:$AX$25,$AY$9:$AY$25,"")</f>
        <v>19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13</v>
      </c>
      <c r="O26" s="87">
        <f>_xlfn.XLOOKUP(_xlfn.XLOOKUP($AS$6&amp;$B26,公表[班別+時段],公表[備勤2],""),$AX$9:$AX$25,$AY$9:$AY$25,"")</f>
        <v>24</v>
      </c>
      <c r="P26" s="87"/>
      <c r="Q26" s="87">
        <f>_xlfn.XLOOKUP(_xlfn.XLOOKUP($AS$6&amp;$B26,公表[班別+時段],公表[備勤3],""),$AX$9:$AX$25,$AY$9:$AY$25,"")</f>
        <v>8</v>
      </c>
      <c r="R26" s="87">
        <f>_xlfn.XLOOKUP(_xlfn.XLOOKUP($AS$6&amp;$B26,公表[班別+時段],公表[備勤4],""),$AX$9:$AX$25,$AY$9:$AY$25,"")</f>
        <v>16</v>
      </c>
      <c r="S26" s="87"/>
      <c r="T26" s="87">
        <f>_xlfn.XLOOKUP(_xlfn.XLOOKUP($AS$6&amp;$B26,公表[班別+時段],公表[備勤5],""),$AX$9:$AX$25,$AY$9:$AY$25,"")</f>
        <v>5</v>
      </c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87"/>
      <c r="AC26" s="87"/>
      <c r="AD26" s="87"/>
      <c r="AE26" s="88">
        <f>_xlfn.XLOOKUP(_xlfn.XLOOKUP($AS$6&amp;$B26,公表[班別+時段],公表[指揮官],""),$AX$9:$AX$25,$AY$9:$AY$25,"")</f>
        <v>4</v>
      </c>
      <c r="AF26" s="57" t="s">
        <v>289</v>
      </c>
      <c r="AG26" s="178" t="str" cm="1">
        <f t="array" ref="AG26">_xlfn.TEXTJOIN(".",1,_xlfn._xlws.FILTER($AO$9:$AO$40,$AQ$9:$AQ$40=$AF$26,""))</f>
        <v/>
      </c>
      <c r="AH26" s="168" t="s">
        <v>290</v>
      </c>
      <c r="AI26" s="179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>23</v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27">
        <v>18</v>
      </c>
      <c r="AP26" s="127" t="str">
        <v>林志偉</v>
      </c>
      <c r="AQ26" s="127" t="str" cm="1">
        <f t="array" ref="AQ26">IFERROR(_xlfn.XLOOKUP(_xlfn.XLOOKUP($AQ$3,輪休基準表!$C$6:$C$36,_xlfn.XLOOKUP(AP26,輪休基準表!$E$5:$AF$5,輪休基準表!$E$6:$AF$36,""),""),班別參數!$A$4:$A$20,班別參數!$B$4:$B$20,""),"")</f>
        <v>輪休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/>
      </c>
      <c r="AT26" s="180" t="str">
        <f t="shared" si="0"/>
        <v/>
      </c>
      <c r="AU26" s="180" t="str">
        <f t="shared" si="1"/>
        <v/>
      </c>
      <c r="AV26" s="10"/>
      <c r="AW26" s="46"/>
      <c r="AX26" s="45"/>
      <c r="AY26" s="25"/>
      <c r="AZ26" s="28"/>
      <c r="BA26" s="33"/>
      <c r="BB26" s="25"/>
      <c r="BD26" s="127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26</v>
      </c>
      <c r="D27" s="95"/>
      <c r="E27" s="95"/>
      <c r="F27" s="95"/>
      <c r="G27" s="122" t="str">
        <f>IF(BC17="","",BC17)</f>
        <v/>
      </c>
      <c r="H27" s="37"/>
      <c r="I27" s="92">
        <f>_xlfn.XLOOKUP(_xlfn.XLOOKUP($AS$6&amp;$B27,公表[班別+時段],公表[救護1],""),$AX$9:$AX$25,$AY$9:$AY$25,"")</f>
        <v>25</v>
      </c>
      <c r="J27" s="92">
        <f>_xlfn.XLOOKUP(_xlfn.XLOOKUP($AS$6&amp;$B27,公表[班別+時段],公表[救護2],""),$AX$9:$AX$25,$AY$9:$AY$25,"")</f>
        <v>19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13</v>
      </c>
      <c r="O27" s="87">
        <f>_xlfn.XLOOKUP(_xlfn.XLOOKUP($AS$6&amp;$B27,公表[班別+時段],公表[備勤2],""),$AX$9:$AX$25,$AY$9:$AY$25,"")</f>
        <v>24</v>
      </c>
      <c r="P27" s="87"/>
      <c r="Q27" s="87">
        <f>_xlfn.XLOOKUP(_xlfn.XLOOKUP($AS$6&amp;$B27,公表[班別+時段],公表[備勤3],""),$AX$9:$AX$25,$AY$9:$AY$25,"")</f>
        <v>8</v>
      </c>
      <c r="R27" s="87">
        <f>_xlfn.XLOOKUP(_xlfn.XLOOKUP($AS$6&amp;$B27,公表[班別+時段],公表[備勤4],""),$AX$9:$AX$25,$AY$9:$AY$25,"")</f>
        <v>16</v>
      </c>
      <c r="S27" s="87"/>
      <c r="T27" s="87">
        <f>_xlfn.XLOOKUP(_xlfn.XLOOKUP($AS$6&amp;$B27,公表[班別+時段],公表[備勤5],""),$AX$9:$AX$25,$AY$9:$AY$25,"")</f>
        <v>5</v>
      </c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87"/>
      <c r="AC27" s="87"/>
      <c r="AD27" s="87"/>
      <c r="AE27" s="88">
        <f>_xlfn.XLOOKUP(_xlfn.XLOOKUP($AS$6&amp;$B27,公表[班別+時段],公表[指揮官],""),$AX$9:$AX$25,$AY$9:$AY$25,"")</f>
        <v>4</v>
      </c>
      <c r="AF27" s="317" t="s">
        <v>215</v>
      </c>
      <c r="AG27" s="319"/>
      <c r="AH27" s="321"/>
      <c r="AI27" s="321"/>
      <c r="AJ27" s="321"/>
      <c r="AK27" s="321"/>
      <c r="AL27" s="321"/>
      <c r="AM27" s="322"/>
      <c r="AN27" s="214"/>
      <c r="AO27" s="127">
        <v>19</v>
      </c>
      <c r="AP27" s="127" t="str">
        <v>劉家誠</v>
      </c>
      <c r="AQ27" s="127" t="str" cm="1">
        <f t="array" ref="AQ27">IFERROR(_xlfn.XLOOKUP(_xlfn.XLOOKUP($AQ$3,輪休基準表!$C$6:$C$36,_xlfn.XLOOKUP(AP27,輪休基準表!$E$5:$AF$5,輪休基準表!$E$6:$AF$36,""),""),班別參數!$A$4:$A$20,班別參數!$B$4:$B$20,""),"")</f>
        <v>上班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>已排</v>
      </c>
      <c r="AT27" s="180">
        <f t="shared" si="0"/>
        <v>8</v>
      </c>
      <c r="AU27" s="180">
        <f t="shared" si="1"/>
        <v>6</v>
      </c>
      <c r="AV27" s="10"/>
      <c r="AW27" s="46"/>
      <c r="AX27" s="45"/>
      <c r="AY27" s="25"/>
      <c r="AZ27" s="28"/>
      <c r="BA27" s="33"/>
      <c r="BB27" s="25"/>
      <c r="BD27" s="127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26</v>
      </c>
      <c r="D28" s="95"/>
      <c r="E28" s="95"/>
      <c r="F28" s="95"/>
      <c r="G28" s="122" t="str">
        <f>IF(BC18="","",BC18)</f>
        <v/>
      </c>
      <c r="H28" s="37"/>
      <c r="I28" s="92">
        <f>_xlfn.XLOOKUP(_xlfn.XLOOKUP($AS$6&amp;$B28,公表[班別+時段],公表[救護1],""),$AX$9:$AX$25,$AY$9:$AY$25,"")</f>
        <v>25</v>
      </c>
      <c r="J28" s="92">
        <f>_xlfn.XLOOKUP(_xlfn.XLOOKUP($AS$6&amp;$B28,公表[班別+時段],公表[救護2],""),$AX$9:$AX$25,$AY$9:$AY$25,"")</f>
        <v>19</v>
      </c>
      <c r="K28" s="87"/>
      <c r="L28" s="87" t="s">
        <v>212</v>
      </c>
      <c r="M28" s="312"/>
      <c r="N28" s="87">
        <f>_xlfn.XLOOKUP(_xlfn.XLOOKUP($AS$6&amp;$B28,公表[班別+時段],公表[備勤1],""),$AX$9:$AX$25,$AY$9:$AY$25,"")</f>
        <v>16</v>
      </c>
      <c r="O28" s="87">
        <f>_xlfn.XLOOKUP(_xlfn.XLOOKUP($AS$6&amp;$B28,公表[班別+時段],公表[備勤2],""),$AX$9:$AX$25,$AY$9:$AY$25,"")</f>
        <v>8</v>
      </c>
      <c r="P28" s="87"/>
      <c r="Q28" s="87">
        <f>_xlfn.XLOOKUP(_xlfn.XLOOKUP($AS$6&amp;$B28,公表[班別+時段],公表[備勤3],""),$AX$9:$AX$25,$AY$9:$AY$25,"")</f>
        <v>13</v>
      </c>
      <c r="R28" s="87">
        <f>_xlfn.XLOOKUP(_xlfn.XLOOKUP($AS$6&amp;$B28,公表[班別+時段],公表[備勤4],""),$AX$9:$AX$25,$AY$9:$AY$25,"")</f>
        <v>24</v>
      </c>
      <c r="S28" s="87"/>
      <c r="T28" s="87">
        <f>_xlfn.XLOOKUP(_xlfn.XLOOKUP($AS$6&amp;$B28,公表[班別+時段],公表[備勤5],""),$AX$9:$AX$25,$AY$9:$AY$25,"")</f>
        <v>5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87"/>
      <c r="AC28" s="87"/>
      <c r="AD28" s="87"/>
      <c r="AE28" s="88">
        <f>_xlfn.XLOOKUP(_xlfn.XLOOKUP($AS$6&amp;$B28,公表[班別+時段],公表[指揮官],""),$AX$9:$AX$25,$AY$9:$AY$25,"")</f>
        <v>4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27">
        <v>20</v>
      </c>
      <c r="AP28" s="127" t="str">
        <v>呂奇霈</v>
      </c>
      <c r="AQ28" s="127" t="str" cm="1">
        <f t="array" ref="AQ28">IFERROR(_xlfn.XLOOKUP(_xlfn.XLOOKUP($AQ$3,輪休基準表!$C$6:$C$36,_xlfn.XLOOKUP(AP28,輪休基準表!$E$5:$AF$5,輪休基準表!$E$6:$AF$36,""),""),班別參數!$A$4:$A$20,班別參數!$B$4:$B$20,""),"")</f>
        <v>輪休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27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26</v>
      </c>
      <c r="D29" s="95"/>
      <c r="E29" s="95"/>
      <c r="F29" s="95"/>
      <c r="G29" s="122" t="str">
        <f>IF(BC18="","",BC18)</f>
        <v/>
      </c>
      <c r="H29" s="37"/>
      <c r="I29" s="92">
        <f>_xlfn.XLOOKUP(_xlfn.XLOOKUP($AS$6&amp;$B29,公表[班別+時段],公表[救護1],""),$AX$9:$AX$25,$AY$9:$AY$25,"")</f>
        <v>25</v>
      </c>
      <c r="J29" s="92">
        <f>_xlfn.XLOOKUP(_xlfn.XLOOKUP($AS$6&amp;$B29,公表[班別+時段],公表[救護2],""),$AX$9:$AX$25,$AY$9:$AY$25,"")</f>
        <v>19</v>
      </c>
      <c r="K29" s="87"/>
      <c r="L29" s="87" t="s">
        <v>212</v>
      </c>
      <c r="M29" s="312"/>
      <c r="N29" s="87">
        <f>_xlfn.XLOOKUP(_xlfn.XLOOKUP($AS$6&amp;$B29,公表[班別+時段],公表[備勤1],""),$AX$9:$AX$25,$AY$9:$AY$25,"")</f>
        <v>16</v>
      </c>
      <c r="O29" s="87">
        <f>_xlfn.XLOOKUP(_xlfn.XLOOKUP($AS$6&amp;$B29,公表[班別+時段],公表[備勤2],""),$AX$9:$AX$25,$AY$9:$AY$25,"")</f>
        <v>8</v>
      </c>
      <c r="P29" s="87"/>
      <c r="Q29" s="87">
        <f>_xlfn.XLOOKUP(_xlfn.XLOOKUP($AS$6&amp;$B29,公表[班別+時段],公表[備勤3],""),$AX$9:$AX$25,$AY$9:$AY$25,"")</f>
        <v>13</v>
      </c>
      <c r="R29" s="87">
        <f>_xlfn.XLOOKUP(_xlfn.XLOOKUP($AS$6&amp;$B29,公表[班別+時段],公表[備勤4],""),$AX$9:$AX$25,$AY$9:$AY$25,"")</f>
        <v>24</v>
      </c>
      <c r="S29" s="87"/>
      <c r="T29" s="87">
        <f>_xlfn.XLOOKUP(_xlfn.XLOOKUP($AS$6&amp;$B29,公表[班別+時段],公表[備勤5],""),$AX$9:$AX$25,$AY$9:$AY$25,"")</f>
        <v>5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87"/>
      <c r="AC29" s="87"/>
      <c r="AD29" s="87"/>
      <c r="AE29" s="88">
        <f>_xlfn.XLOOKUP(_xlfn.XLOOKUP($AS$6&amp;$B29,公表[班別+時段],公表[指揮官],""),$AX$9:$AX$25,$AY$9:$AY$25,"")</f>
        <v>4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27">
        <v>21</v>
      </c>
      <c r="AP29" s="127" t="str">
        <v>張家和</v>
      </c>
      <c r="AQ29" s="127" t="str" cm="1">
        <f t="array" ref="AQ29">IFERROR(_xlfn.XLOOKUP(_xlfn.XLOOKUP($AQ$3,輪休基準表!$C$6:$C$36,_xlfn.XLOOKUP(AP29,輪休基準表!$E$5:$AF$5,輪休基準表!$E$6:$AF$36,""),""),班別參數!$A$4:$A$20,班別參數!$B$4:$B$20,""),"")</f>
        <v>請休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/>
      </c>
      <c r="AT29" s="180" t="str">
        <f t="shared" si="0"/>
        <v/>
      </c>
      <c r="AU29" s="180" t="str">
        <f t="shared" si="1"/>
        <v/>
      </c>
      <c r="AV29" s="10"/>
      <c r="AW29" s="47"/>
      <c r="AX29" s="45"/>
      <c r="AY29" s="25"/>
      <c r="AZ29" s="28"/>
      <c r="BA29" s="33"/>
      <c r="BB29" s="25"/>
      <c r="BD29" s="127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26</v>
      </c>
      <c r="D30" s="95"/>
      <c r="E30" s="95"/>
      <c r="F30" s="95"/>
      <c r="G30" s="122" t="str">
        <f>IF(BC19="","",BC19)</f>
        <v/>
      </c>
      <c r="H30" s="37"/>
      <c r="I30" s="92">
        <f>_xlfn.XLOOKUP(_xlfn.XLOOKUP($AS$6&amp;$B30,公表[班別+時段],公表[救護1],""),$AX$9:$AX$25,$AY$9:$AY$25,"")</f>
        <v>16</v>
      </c>
      <c r="J30" s="92">
        <f>_xlfn.XLOOKUP(_xlfn.XLOOKUP($AS$6&amp;$B30,公表[班別+時段],公表[救護2],""),$AX$9:$AX$25,$AY$9:$AY$25,"")</f>
        <v>8</v>
      </c>
      <c r="K30" s="87"/>
      <c r="L30" s="87" t="s">
        <v>212</v>
      </c>
      <c r="M30" s="312"/>
      <c r="N30" s="87">
        <f>_xlfn.XLOOKUP(_xlfn.XLOOKUP($AS$6&amp;$B30,公表[班別+時段],公表[備勤1],""),$AX$9:$AX$25,$AY$9:$AY$25,"")</f>
        <v>25</v>
      </c>
      <c r="O30" s="87">
        <f>_xlfn.XLOOKUP(_xlfn.XLOOKUP($AS$6&amp;$B30,公表[班別+時段],公表[備勤2],""),$AX$9:$AX$25,$AY$9:$AY$25,"")</f>
        <v>24</v>
      </c>
      <c r="P30" s="87"/>
      <c r="Q30" s="87">
        <f>_xlfn.XLOOKUP(_xlfn.XLOOKUP($AS$6&amp;$B30,公表[班別+時段],公表[備勤3],""),$AX$9:$AX$25,$AY$9:$AY$25,"")</f>
        <v>19</v>
      </c>
      <c r="R30" s="87">
        <f>_xlfn.XLOOKUP(_xlfn.XLOOKUP($AS$6&amp;$B30,公表[班別+時段],公表[備勤4],""),$AX$9:$AX$25,$AY$9:$AY$25,"")</f>
        <v>13</v>
      </c>
      <c r="S30" s="87"/>
      <c r="T30" s="87">
        <f>_xlfn.XLOOKUP(_xlfn.XLOOKUP($AS$6&amp;$B30,公表[班別+時段],公表[備勤5],""),$AX$9:$AX$25,$AY$9:$AY$25,"")</f>
        <v>5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87"/>
      <c r="AC30" s="87"/>
      <c r="AD30" s="87"/>
      <c r="AE30" s="88">
        <f>_xlfn.XLOOKUP(_xlfn.XLOOKUP($AS$6&amp;$B30,公表[班別+時段],公表[指揮官],""),$AX$9:$AX$25,$AY$9:$AY$25,"")</f>
        <v>4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27">
        <v>22</v>
      </c>
      <c r="AP30" s="127" t="str">
        <v>陳俊瑋</v>
      </c>
      <c r="AQ30" s="127" t="str" cm="1">
        <f t="array" ref="AQ30">IFERROR(_xlfn.XLOOKUP(_xlfn.XLOOKUP($AQ$3,輪休基準表!$C$6:$C$36,_xlfn.XLOOKUP(AP30,輪休基準表!$E$5:$AF$5,輪休基準表!$E$6:$AF$36,""),""),班別參數!$A$4:$A$20,班別參數!$B$4:$B$20,""),"")</f>
        <v>輪休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27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26</v>
      </c>
      <c r="D31" s="106"/>
      <c r="E31" s="96"/>
      <c r="F31" s="96"/>
      <c r="G31" s="123" t="str">
        <f>IF(BC19="","",BC19)</f>
        <v/>
      </c>
      <c r="H31" s="109"/>
      <c r="I31" s="216">
        <f>_xlfn.XLOOKUP(_xlfn.XLOOKUP($AS$6&amp;$B31,公表[班別+時段],公表[救護1],""),$AX$9:$AX$25,$AY$9:$AY$25,"")</f>
        <v>16</v>
      </c>
      <c r="J31" s="216">
        <f>_xlfn.XLOOKUP(_xlfn.XLOOKUP($AS$6&amp;$B31,公表[班別+時段],公表[救護2],""),$AX$9:$AX$25,$AY$9:$AY$25,"")</f>
        <v>8</v>
      </c>
      <c r="K31" s="108"/>
      <c r="L31" s="93" t="s">
        <v>212</v>
      </c>
      <c r="M31" s="312"/>
      <c r="N31" s="89">
        <f>_xlfn.XLOOKUP(_xlfn.XLOOKUP($AS$6&amp;$B31,公表[班別+時段],公表[備勤1],""),$AX$9:$AX$25,$AY$9:$AY$25,"")</f>
        <v>25</v>
      </c>
      <c r="O31" s="89">
        <f>_xlfn.XLOOKUP(_xlfn.XLOOKUP($AS$6&amp;$B31,公表[班別+時段],公表[備勤2],""),$AX$9:$AX$25,$AY$9:$AY$25,"")</f>
        <v>24</v>
      </c>
      <c r="P31" s="89"/>
      <c r="Q31" s="89">
        <f>_xlfn.XLOOKUP(_xlfn.XLOOKUP($AS$6&amp;$B31,公表[班別+時段],公表[備勤3],""),$AX$9:$AX$25,$AY$9:$AY$25,"")</f>
        <v>19</v>
      </c>
      <c r="R31" s="89">
        <f>_xlfn.XLOOKUP(_xlfn.XLOOKUP($AS$6&amp;$B31,公表[班別+時段],公表[備勤4],""),$AX$9:$AX$25,$AY$9:$AY$25,"")</f>
        <v>13</v>
      </c>
      <c r="S31" s="89"/>
      <c r="T31" s="89">
        <f>_xlfn.XLOOKUP(_xlfn.XLOOKUP($AS$6&amp;$B31,公表[班別+時段],公表[備勤5],""),$AX$9:$AX$25,$AY$9:$AY$25,"")</f>
        <v>5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89"/>
      <c r="AC31" s="89"/>
      <c r="AD31" s="89"/>
      <c r="AE31" s="104">
        <f>_xlfn.XLOOKUP(_xlfn.XLOOKUP($AS$6&amp;$B31,公表[班別+時段],公表[指揮官],""),$AX$9:$AX$25,$AY$9:$AY$25,"")</f>
        <v>4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27">
        <v>23</v>
      </c>
      <c r="AP31" s="127" t="str">
        <v>陳俊翰</v>
      </c>
      <c r="AQ31" s="127" t="str" cm="1">
        <f t="array" ref="AQ31">IFERROR(_xlfn.XLOOKUP(_xlfn.XLOOKUP($AQ$3,輪休基準表!$C$6:$C$36,_xlfn.XLOOKUP(AP31,輪休基準表!$E$5:$AF$5,輪休基準表!$E$6:$AF$36,""),""),班別參數!$A$4:$A$20,班別參數!$B$4:$B$20,""),"")</f>
        <v>身心假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/>
      </c>
      <c r="AT31" s="180" t="str">
        <f t="shared" si="0"/>
        <v/>
      </c>
      <c r="AU31" s="180" t="str">
        <f t="shared" si="1"/>
        <v/>
      </c>
      <c r="AW31" s="47"/>
      <c r="AX31" s="45"/>
      <c r="AY31" s="25"/>
      <c r="AZ31" s="28"/>
      <c r="BA31" s="33"/>
      <c r="BB31" s="25"/>
      <c r="BD31" s="127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26</v>
      </c>
      <c r="D32" s="97"/>
      <c r="E32" s="97"/>
      <c r="F32" s="97"/>
      <c r="G32" s="121" t="str">
        <f>IF(BC20="","",BC20)</f>
        <v>13,5</v>
      </c>
      <c r="H32" s="56"/>
      <c r="I32" s="94">
        <f>_xlfn.XLOOKUP(_xlfn.XLOOKUP($AS$6&amp;$B32,公表[班別+時段],公表[救護1],""),$AX$9:$AX$25,$AY$9:$AY$25,"")</f>
        <v>16</v>
      </c>
      <c r="J32" s="94">
        <f>_xlfn.XLOOKUP(_xlfn.XLOOKUP($AS$6&amp;$B32,公表[班別+時段],公表[救護2],""),$AX$9:$AX$25,$AY$9:$AY$25,"")</f>
        <v>8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24</v>
      </c>
      <c r="O32" s="90">
        <f>_xlfn.XLOOKUP(_xlfn.XLOOKUP($AS$6&amp;$B32,公表[班別+時段],公表[備勤2],""),$AX$9:$AX$25,$AY$9:$AY$25,"")</f>
        <v>19</v>
      </c>
      <c r="P32" s="90"/>
      <c r="Q32" s="90">
        <f>_xlfn.XLOOKUP(_xlfn.XLOOKUP($AS$6&amp;$B32,公表[班別+時段],公表[備勤3],""),$AX$9:$AX$25,$AY$9:$AY$25,"")</f>
        <v>25</v>
      </c>
      <c r="R32" s="90">
        <f>_xlfn.XLOOKUP(_xlfn.XLOOKUP($AS$6&amp;$B32,公表[班別+時段],公表[備勤4],""),$AX$9:$AX$25,$AY$9:$AY$25,"")</f>
        <v>0</v>
      </c>
      <c r="S32" s="90"/>
      <c r="T32" s="90">
        <f>_xlfn.XLOOKUP(_xlfn.XLOOKUP($AS$6&amp;$B32,公表[班別+時段],公表[備勤5],""),$AX$9:$AX$25,$AY$9:$AY$25,"")</f>
        <v>0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90"/>
      <c r="AC32" s="90"/>
      <c r="AD32" s="90"/>
      <c r="AE32" s="91">
        <f>_xlfn.XLOOKUP(_xlfn.XLOOKUP($AS$6&amp;$B32,公表[班別+時段],公表[指揮官],""),$AX$9:$AX$25,$AY$9:$AY$25,"")</f>
        <v>4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27">
        <v>24</v>
      </c>
      <c r="AP32" s="127" t="str">
        <v>賴俊豪</v>
      </c>
      <c r="AQ32" s="127" t="str" cm="1">
        <f t="array" ref="AQ32">IFERROR(_xlfn.XLOOKUP(_xlfn.XLOOKUP($AQ$3,輪休基準表!$C$6:$C$36,_xlfn.XLOOKUP(AP32,輪休基準表!$E$5:$AF$5,輪休基準表!$E$6:$AF$36,""),""),班別參數!$A$4:$A$20,班別參數!$B$4:$B$20,""),"")</f>
        <v>上班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>已排</v>
      </c>
      <c r="AT32" s="180">
        <f t="shared" si="0"/>
        <v>8</v>
      </c>
      <c r="AU32" s="180">
        <f t="shared" si="1"/>
        <v>8</v>
      </c>
      <c r="AW32" s="47"/>
      <c r="AX32" s="45"/>
      <c r="AY32" s="25"/>
      <c r="AZ32" s="28"/>
      <c r="BA32" s="33"/>
      <c r="BB32" s="25"/>
      <c r="BD32" s="127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26</v>
      </c>
      <c r="D33" s="95"/>
      <c r="E33" s="95"/>
      <c r="F33" s="95"/>
      <c r="G33" s="122" t="str">
        <f>IF(BC20="","",BC20)</f>
        <v>13,5</v>
      </c>
      <c r="H33" s="48"/>
      <c r="I33" s="92">
        <f>_xlfn.XLOOKUP(_xlfn.XLOOKUP($AS$6&amp;$B33,公表[班別+時段],公表[救護1],""),$AX$9:$AX$25,$AY$9:$AY$25,"")</f>
        <v>16</v>
      </c>
      <c r="J33" s="92">
        <f>_xlfn.XLOOKUP(_xlfn.XLOOKUP($AS$6&amp;$B33,公表[班別+時段],公表[救護2],""),$AX$9:$AX$25,$AY$9:$AY$25,"")</f>
        <v>8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24</v>
      </c>
      <c r="O33" s="87">
        <f>_xlfn.XLOOKUP(_xlfn.XLOOKUP($AS$6&amp;$B33,公表[班別+時段],公表[備勤2],""),$AX$9:$AX$25,$AY$9:$AY$25,"")</f>
        <v>19</v>
      </c>
      <c r="P33" s="87"/>
      <c r="Q33" s="87">
        <f>_xlfn.XLOOKUP(_xlfn.XLOOKUP($AS$6&amp;$B33,公表[班別+時段],公表[備勤3],""),$AX$9:$AX$25,$AY$9:$AY$25,"")</f>
        <v>25</v>
      </c>
      <c r="R33" s="87">
        <f>_xlfn.XLOOKUP(_xlfn.XLOOKUP($AS$6&amp;$B33,公表[班別+時段],公表[備勤4],""),$AX$9:$AX$25,$AY$9:$AY$25,"")</f>
        <v>0</v>
      </c>
      <c r="S33" s="87"/>
      <c r="T33" s="87">
        <f>_xlfn.XLOOKUP(_xlfn.XLOOKUP($AS$6&amp;$B33,公表[班別+時段],公表[備勤5],""),$AX$9:$AX$25,$AY$9:$AY$25,"")</f>
        <v>0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87"/>
      <c r="AC33" s="87"/>
      <c r="AD33" s="87"/>
      <c r="AE33" s="88">
        <f>_xlfn.XLOOKUP(_xlfn.XLOOKUP($AS$6&amp;$B33,公表[班別+時段],公表[指揮官],""),$AX$9:$AX$25,$AY$9:$AY$25,"")</f>
        <v>4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27">
        <v>25</v>
      </c>
      <c r="AP33" s="127" t="str">
        <v>郭國偵</v>
      </c>
      <c r="AQ33" s="127" t="str" cm="1">
        <f t="array" ref="AQ33">IFERROR(_xlfn.XLOOKUP(_xlfn.XLOOKUP($AQ$3,輪休基準表!$C$6:$C$36,_xlfn.XLOOKUP(AP33,輪休基準表!$E$5:$AF$5,輪休基準表!$E$6:$AF$36,""),""),班別參數!$A$4:$A$20,班別參數!$B$4:$B$20,""),"")</f>
        <v>上班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>已排</v>
      </c>
      <c r="AT33" s="180">
        <f t="shared" si="0"/>
        <v>6</v>
      </c>
      <c r="AU33" s="180">
        <f t="shared" si="1"/>
        <v>8</v>
      </c>
      <c r="AW33" s="47"/>
      <c r="AX33" s="45"/>
      <c r="AY33" s="25"/>
      <c r="AZ33" s="28"/>
      <c r="BA33" s="25"/>
      <c r="BB33" s="25"/>
      <c r="BD33" s="127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一、本日主管輪休，職務由小隊長簡永豐代理。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27">
        <v>26</v>
      </c>
      <c r="AP34" s="127" t="str">
        <v>楊紹文</v>
      </c>
      <c r="AQ34" s="127" t="str" cm="1">
        <f t="array" ref="AQ34">IFERROR(_xlfn.XLOOKUP(_xlfn.XLOOKUP($AQ$3,輪休基準表!$C$6:$C$36,_xlfn.XLOOKUP(AP34,輪休基準表!$E$5:$AF$5,輪休基準表!$E$6:$AF$36,""),""),班別參數!$A$4:$A$20,班別參數!$B$4:$B$20,""),"")</f>
        <v>上班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>已排</v>
      </c>
      <c r="AT34" s="180">
        <f t="shared" si="0"/>
        <v>6</v>
      </c>
      <c r="AU34" s="180">
        <f t="shared" si="1"/>
        <v>2</v>
      </c>
      <c r="AW34" s="47"/>
      <c r="AX34" s="45"/>
      <c r="AY34" s="25"/>
      <c r="AZ34" s="28"/>
      <c r="BA34" s="25"/>
      <c r="BB34" s="25"/>
      <c r="BD34" s="127"/>
    </row>
    <row r="35" spans="2:56" ht="30" customHeight="1">
      <c r="B35" s="349"/>
      <c r="C35" s="359" t="str">
        <f>CONCATENATE("二、在隊訓練:09-12時:",H11,";14-17時:",H16,";19-21時:",H21,"。")</f>
        <v>二、在隊訓練:09-12時:破壞器材操作;14-17時:入室搜救;19-21時:五用氣體檢知器及CO探測器。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27">
        <v>27</v>
      </c>
      <c r="AP35" s="127" t="str">
        <v>林宏為</v>
      </c>
      <c r="AQ35" s="127" t="str" cm="1">
        <f t="array" ref="AQ35">IFERROR(_xlfn.XLOOKUP(_xlfn.XLOOKUP($AQ$3,輪休基準表!$C$6:$C$36,_xlfn.XLOOKUP(AP35,輪休基準表!$E$5:$AF$5,輪休基準表!$E$6:$AF$36,""),""),班別參數!$A$4:$A$20,班別參數!$B$4:$B$20,""),"")</f>
        <v>輪休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/>
      </c>
      <c r="AT35" s="180" t="str">
        <f t="shared" si="0"/>
        <v/>
      </c>
      <c r="AU35" s="180" t="str">
        <f t="shared" si="1"/>
        <v/>
      </c>
      <c r="AW35" s="47"/>
      <c r="AX35" s="45"/>
      <c r="AY35" s="25"/>
      <c r="AZ35" s="28"/>
      <c r="BA35" s="25"/>
      <c r="BB35" s="25"/>
      <c r="BD35" s="127"/>
    </row>
    <row r="36" spans="2:56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27">
        <v>28</v>
      </c>
      <c r="AP36" s="127" t="str">
        <v>林宸彥</v>
      </c>
      <c r="AQ36" s="127" t="str" cm="1">
        <f t="array" ref="AQ36">IFERROR(_xlfn.XLOOKUP(_xlfn.XLOOKUP($AQ$3,輪休基準表!$C$6:$C$36,_xlfn.XLOOKUP(AP36,輪休基準表!$E$5:$AF$5,輪休基準表!$E$6:$AF$36,""),""),班別參數!$A$4:$A$20,班別參數!$B$4:$B$20,""),"")</f>
        <v>輪休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/>
      </c>
      <c r="AT36" s="180" t="str">
        <f t="shared" si="0"/>
        <v/>
      </c>
      <c r="AU36" s="180" t="str">
        <f t="shared" si="1"/>
        <v/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27"/>
      <c r="AP37" s="127"/>
      <c r="AQ37" s="176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27"/>
      <c r="BD37" s="10"/>
    </row>
    <row r="38" spans="2:56" ht="15" customHeight="1">
      <c r="AQ38" s="127"/>
      <c r="AR38" s="118"/>
      <c r="AS38" s="119"/>
      <c r="AT38" s="119"/>
    </row>
    <row r="39" spans="2:56" ht="15" customHeight="1">
      <c r="AR39" s="118"/>
      <c r="AS39" s="119"/>
      <c r="AT39" s="119"/>
    </row>
    <row r="40" spans="2:56" ht="15" customHeight="1">
      <c r="AR40" s="118"/>
      <c r="AS40" s="119"/>
      <c r="AT40" s="119"/>
    </row>
  </sheetData>
  <mergeCells count="73">
    <mergeCell ref="AG22:AK22"/>
    <mergeCell ref="AG23:AM23"/>
    <mergeCell ref="AG24:AI24"/>
    <mergeCell ref="AK24:AM24"/>
    <mergeCell ref="AF33:AG33"/>
    <mergeCell ref="AH33:AI33"/>
    <mergeCell ref="AJ33:AK33"/>
    <mergeCell ref="AF31:AG31"/>
    <mergeCell ref="AH31:AI31"/>
    <mergeCell ref="AJ31:AK31"/>
    <mergeCell ref="AF32:AG32"/>
    <mergeCell ref="AH32:AI32"/>
    <mergeCell ref="AJ32:AK32"/>
    <mergeCell ref="AF27:AF28"/>
    <mergeCell ref="AG27:AM27"/>
    <mergeCell ref="AG28:AM28"/>
    <mergeCell ref="B34:B36"/>
    <mergeCell ref="C34:AE34"/>
    <mergeCell ref="AF34:AM34"/>
    <mergeCell ref="C35:AE35"/>
    <mergeCell ref="AF35:AM35"/>
    <mergeCell ref="C36:AE36"/>
    <mergeCell ref="AF36:AM36"/>
    <mergeCell ref="AF29:AM29"/>
    <mergeCell ref="AF30:AG30"/>
    <mergeCell ref="AH30:AI30"/>
    <mergeCell ref="AJ30:AK30"/>
    <mergeCell ref="AG25:AI25"/>
    <mergeCell ref="AK25:AM25"/>
    <mergeCell ref="C8:AE8"/>
    <mergeCell ref="C9:AE9"/>
    <mergeCell ref="M10:M33"/>
    <mergeCell ref="H11:H13"/>
    <mergeCell ref="H16:H18"/>
    <mergeCell ref="H21:H22"/>
    <mergeCell ref="D12:D13"/>
    <mergeCell ref="E18:E19"/>
    <mergeCell ref="I6:J6"/>
    <mergeCell ref="K6:L6"/>
    <mergeCell ref="N6:P6"/>
    <mergeCell ref="Q6:S6"/>
    <mergeCell ref="T6:V6"/>
    <mergeCell ref="AF5:AM6"/>
    <mergeCell ref="AO5:AO6"/>
    <mergeCell ref="T7:V7"/>
    <mergeCell ref="AR5:AR6"/>
    <mergeCell ref="AS5:AT5"/>
    <mergeCell ref="W6:Y6"/>
    <mergeCell ref="AE6:AE7"/>
    <mergeCell ref="AS6:AT6"/>
    <mergeCell ref="AP5:AQ6"/>
    <mergeCell ref="G5:G7"/>
    <mergeCell ref="B3:AM3"/>
    <mergeCell ref="AW3:AX3"/>
    <mergeCell ref="AY3:BB3"/>
    <mergeCell ref="B4:AI4"/>
    <mergeCell ref="AJ4:AM4"/>
    <mergeCell ref="AW4:AX4"/>
    <mergeCell ref="AY4:BB4"/>
    <mergeCell ref="B5:B7"/>
    <mergeCell ref="C5:C7"/>
    <mergeCell ref="D5:D7"/>
    <mergeCell ref="E5:E7"/>
    <mergeCell ref="F5:F7"/>
    <mergeCell ref="H5:H7"/>
    <mergeCell ref="I5:L5"/>
    <mergeCell ref="M5:AE5"/>
    <mergeCell ref="AY2:BB2"/>
    <mergeCell ref="B1:AE1"/>
    <mergeCell ref="AP1:AQ1"/>
    <mergeCell ref="B2:AE2"/>
    <mergeCell ref="AG2:AM2"/>
    <mergeCell ref="AW2:AX2"/>
  </mergeCells>
  <phoneticPr fontId="9" type="noConversion"/>
  <conditionalFormatting sqref="AF8:AF13 AH8:AH21 AJ8:AJ21 AL8:AM21">
    <cfRule type="expression" dxfId="161" priority="14">
      <formula>OR(VLOOKUP(AF8,$AO$9:$AQ$40,3,0)="上班",VLOOKUP(AF8,$AO$9:$AQ$40,3,0)="外宿")</formula>
    </cfRule>
  </conditionalFormatting>
  <conditionalFormatting sqref="AO9:AQ36 AO37:AP37 AQ37:AQ38">
    <cfRule type="expression" dxfId="160" priority="15">
      <formula>COUNTIF($AQ9,"上班")&gt;=1</formula>
    </cfRule>
  </conditionalFormatting>
  <conditionalFormatting sqref="AL8">
    <cfRule type="expression" dxfId="159" priority="10">
      <formula>OR(VLOOKUP(AL8,$AO$9:$AQ$36,3,0)="上班",VLOOKUP(AL8,$AO$9:$AQ$36,3,0)="外宿")</formula>
    </cfRule>
  </conditionalFormatting>
  <conditionalFormatting sqref="AR9:AR36">
    <cfRule type="notContainsText" dxfId="158" priority="2" operator="notContains" text="已排">
      <formula>ISERROR(SEARCH("已排",AR9))</formula>
    </cfRule>
  </conditionalFormatting>
  <conditionalFormatting sqref="AS9:AS36">
    <cfRule type="notContainsText" dxfId="157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A98C4-1BE6-4391-9E02-D54D1ECB6A85}">
  <sheetPr codeName="工作表7">
    <pageSetUpPr fitToPage="1"/>
  </sheetPr>
  <dimension ref="B1:BE40"/>
  <sheetViews>
    <sheetView showZeros="0" view="pageBreakPreview" zoomScale="55" zoomScaleNormal="55" zoomScaleSheetLayoutView="55" workbookViewId="0">
      <selection activeCell="AY9" sqref="AY9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3" width="5.375" style="126" customWidth="1"/>
    <col min="4" max="4" width="7.5" style="126" customWidth="1"/>
    <col min="5" max="5" width="7.75" style="237" customWidth="1"/>
    <col min="6" max="7" width="5.375" style="126" customWidth="1"/>
    <col min="8" max="9" width="8.625" style="126" customWidth="1"/>
    <col min="10" max="13" width="5.375" style="126" customWidth="1"/>
    <col min="14" max="14" width="6.625" style="126" customWidth="1"/>
    <col min="15" max="32" width="5.375" style="126" customWidth="1"/>
    <col min="33" max="33" width="7.625" style="126" customWidth="1"/>
    <col min="34" max="34" width="10.625" style="126" customWidth="1"/>
    <col min="35" max="35" width="7.625" style="126" customWidth="1"/>
    <col min="36" max="36" width="10.625" style="126" customWidth="1"/>
    <col min="37" max="37" width="7.625" style="126" customWidth="1"/>
    <col min="38" max="38" width="10.625" style="126" customWidth="1"/>
    <col min="39" max="39" width="7.625" style="126" customWidth="1"/>
    <col min="40" max="40" width="10.625" style="126" customWidth="1"/>
    <col min="41" max="41" width="4.125" style="213" customWidth="1"/>
    <col min="42" max="48" width="11.625" style="126" customWidth="1"/>
    <col min="49" max="49" width="4.125" style="126" customWidth="1"/>
    <col min="50" max="50" width="16" style="126" customWidth="1"/>
    <col min="51" max="52" width="8.25" style="126" customWidth="1"/>
    <col min="53" max="53" width="4.125" style="126" customWidth="1"/>
    <col min="54" max="54" width="16" style="126" customWidth="1"/>
    <col min="55" max="55" width="8.25" style="126" customWidth="1"/>
    <col min="56" max="56" width="10.875" style="126" customWidth="1"/>
    <col min="57" max="59" width="4.125" style="126" customWidth="1"/>
    <col min="60" max="16384" width="11.25" style="126"/>
  </cols>
  <sheetData>
    <row r="1" spans="2:57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F1" s="366"/>
      <c r="AO1" s="215"/>
      <c r="AP1" s="127"/>
      <c r="AQ1" s="399"/>
      <c r="AR1" s="399"/>
      <c r="AS1" s="127"/>
      <c r="AT1" s="127"/>
      <c r="AU1" s="127"/>
    </row>
    <row r="2" spans="2:57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287"/>
      <c r="AG2" s="12"/>
      <c r="AH2" s="366"/>
      <c r="AI2" s="287"/>
      <c r="AJ2" s="287"/>
      <c r="AK2" s="287"/>
      <c r="AL2" s="287"/>
      <c r="AM2" s="287"/>
      <c r="AN2" s="287"/>
      <c r="AO2" s="215"/>
      <c r="AP2" s="13" t="s">
        <v>0</v>
      </c>
      <c r="AQ2" s="13" t="s">
        <v>1</v>
      </c>
      <c r="AR2" s="13" t="s">
        <v>178</v>
      </c>
      <c r="AS2" s="146" t="s">
        <v>228</v>
      </c>
      <c r="AT2" s="142"/>
      <c r="AU2" s="140"/>
      <c r="AV2" s="127"/>
      <c r="AW2" s="127"/>
      <c r="AX2" s="362" t="s">
        <v>127</v>
      </c>
      <c r="AY2" s="287"/>
      <c r="AZ2" s="367" t="str">
        <f>_xlfn.XLOOKUP($AS$3,訓練!$L$13:$L$19,訓練!$M$13:$M$19,"")</f>
        <v>車輛駕訓</v>
      </c>
      <c r="BA2" s="364"/>
      <c r="BB2" s="364"/>
      <c r="BC2" s="365"/>
    </row>
    <row r="3" spans="2:57" ht="39.950000000000003" customHeight="1" thickBot="1">
      <c r="B3" s="369" t="str">
        <f>CONCATENATE("桃園市政府消防局第三救災救護大隊新坡分隊（",$AQ$5,"人）勤務分配表 ",$AP$3,"年",$AQ$3,"月",$AR$3,"日","星期",$AS$3)</f>
        <v>桃園市政府消防局第三救災救護大隊新坡分隊（28人）勤務分配表 115年5月3日星期日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0"/>
      <c r="AN3" s="371"/>
      <c r="AO3" s="27"/>
      <c r="AP3" s="14">
        <f>班別參數!D2</f>
        <v>115</v>
      </c>
      <c r="AQ3" s="15">
        <f>班別參數!E2</f>
        <v>5</v>
      </c>
      <c r="AR3" s="143">
        <v>3</v>
      </c>
      <c r="AS3" s="141" t="str">
        <f>RIGHT(TEXT(1911+$AP$3&amp;"/"&amp;$AQ$3&amp;"/"&amp;$AR$3,"aaaa"),1)</f>
        <v>日</v>
      </c>
      <c r="AT3" s="145"/>
      <c r="AU3" s="145"/>
      <c r="AV3" s="127"/>
      <c r="AW3" s="127"/>
      <c r="AX3" s="362" t="s">
        <v>128</v>
      </c>
      <c r="AY3" s="287"/>
      <c r="AZ3" s="368" t="str">
        <f>_xlfn.XLOOKUP($AS$3,訓練!$L$13:$L$19,訓練!$N$13:$N$19,"")</f>
        <v>環境整理</v>
      </c>
      <c r="BA3" s="364"/>
      <c r="BB3" s="364"/>
      <c r="BC3" s="365"/>
    </row>
    <row r="4" spans="2:57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3"/>
      <c r="AJ4" s="374"/>
      <c r="AK4" s="377" t="s">
        <v>185</v>
      </c>
      <c r="AL4" s="373"/>
      <c r="AM4" s="373"/>
      <c r="AN4" s="378"/>
      <c r="AO4" s="16"/>
      <c r="AP4" s="17"/>
      <c r="AQ4" s="17"/>
      <c r="AR4" s="17"/>
      <c r="AU4" s="127"/>
      <c r="AV4" s="127"/>
      <c r="AW4" s="127"/>
      <c r="AX4" s="362" t="s">
        <v>129</v>
      </c>
      <c r="AY4" s="287"/>
      <c r="AZ4" s="363" t="str">
        <f>_xlfn.XLOOKUP($AS$3,訓練!$L$13:$L$19,訓練!$O$13:$O$19,"")</f>
        <v>器材車、化學(處理)車</v>
      </c>
      <c r="BA4" s="364"/>
      <c r="BB4" s="364"/>
      <c r="BC4" s="365"/>
    </row>
    <row r="5" spans="2:57" ht="24.75" customHeight="1">
      <c r="B5" s="390" t="s">
        <v>224</v>
      </c>
      <c r="C5" s="392" t="s">
        <v>7</v>
      </c>
      <c r="D5" s="403" t="s">
        <v>344</v>
      </c>
      <c r="E5" s="403" t="s">
        <v>349</v>
      </c>
      <c r="F5" s="404" t="s">
        <v>347</v>
      </c>
      <c r="G5" s="340" t="s">
        <v>341</v>
      </c>
      <c r="H5" s="340" t="s">
        <v>73</v>
      </c>
      <c r="I5" s="398" t="s">
        <v>186</v>
      </c>
      <c r="J5" s="331" t="s">
        <v>187</v>
      </c>
      <c r="K5" s="332"/>
      <c r="L5" s="332"/>
      <c r="M5" s="333"/>
      <c r="N5" s="331" t="s">
        <v>188</v>
      </c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32"/>
      <c r="AA5" s="395"/>
      <c r="AB5" s="395"/>
      <c r="AC5" s="395"/>
      <c r="AD5" s="332"/>
      <c r="AE5" s="332"/>
      <c r="AF5" s="332"/>
      <c r="AG5" s="379" t="s">
        <v>189</v>
      </c>
      <c r="AH5" s="380"/>
      <c r="AI5" s="380"/>
      <c r="AJ5" s="380"/>
      <c r="AK5" s="380"/>
      <c r="AL5" s="380"/>
      <c r="AM5" s="380"/>
      <c r="AN5" s="381"/>
      <c r="AO5" s="16"/>
      <c r="AP5" s="385" t="s">
        <v>190</v>
      </c>
      <c r="AQ5" s="386">
        <v>28</v>
      </c>
      <c r="AR5" s="387"/>
      <c r="AS5" s="385" t="s">
        <v>191</v>
      </c>
      <c r="AT5" s="389" t="s">
        <v>126</v>
      </c>
      <c r="AU5" s="387"/>
      <c r="AV5" s="13"/>
      <c r="AW5" s="13"/>
      <c r="AX5" s="19"/>
      <c r="AY5" s="20"/>
      <c r="AZ5" s="21"/>
      <c r="BA5" s="21"/>
      <c r="BB5" s="21"/>
      <c r="BC5" s="21"/>
      <c r="BD5" s="21"/>
    </row>
    <row r="6" spans="2:57" ht="42" customHeight="1" thickBot="1">
      <c r="B6" s="391"/>
      <c r="C6" s="341"/>
      <c r="D6" s="312"/>
      <c r="E6" s="405"/>
      <c r="F6" s="394"/>
      <c r="G6" s="341"/>
      <c r="H6" s="312"/>
      <c r="I6" s="312"/>
      <c r="J6" s="334" t="s">
        <v>227</v>
      </c>
      <c r="K6" s="335"/>
      <c r="L6" s="334" t="s">
        <v>346</v>
      </c>
      <c r="M6" s="336"/>
      <c r="N6" s="86" t="s">
        <v>193</v>
      </c>
      <c r="O6" s="342" t="s">
        <v>194</v>
      </c>
      <c r="P6" s="324"/>
      <c r="Q6" s="327"/>
      <c r="R6" s="342" t="s">
        <v>195</v>
      </c>
      <c r="S6" s="324"/>
      <c r="T6" s="327"/>
      <c r="U6" s="343" t="s">
        <v>196</v>
      </c>
      <c r="V6" s="344"/>
      <c r="W6" s="345"/>
      <c r="X6" s="342" t="s">
        <v>197</v>
      </c>
      <c r="Y6" s="324"/>
      <c r="Z6" s="324"/>
      <c r="AA6" s="113"/>
      <c r="AB6" s="114"/>
      <c r="AC6" s="114"/>
      <c r="AD6" s="115"/>
      <c r="AE6" s="23"/>
      <c r="AF6" s="396" t="s">
        <v>56</v>
      </c>
      <c r="AG6" s="382"/>
      <c r="AH6" s="383"/>
      <c r="AI6" s="383"/>
      <c r="AJ6" s="383"/>
      <c r="AK6" s="383"/>
      <c r="AL6" s="383"/>
      <c r="AM6" s="383"/>
      <c r="AN6" s="384"/>
      <c r="AO6" s="16"/>
      <c r="AP6" s="287"/>
      <c r="AQ6" s="388"/>
      <c r="AR6" s="376"/>
      <c r="AS6" s="287"/>
      <c r="AT6" s="375" t="str">
        <f>_xlfn.XLOOKUP($AR$3,輪休基準表!$C$6:$C$36,輪休基準表!$AH$6:$AH$36,"")</f>
        <v>2+7</v>
      </c>
      <c r="AU6" s="376"/>
      <c r="AV6" s="13"/>
      <c r="AW6" s="13"/>
      <c r="AX6" s="19"/>
      <c r="AY6" s="20"/>
      <c r="BB6" s="25"/>
      <c r="BC6" s="25"/>
    </row>
    <row r="7" spans="2:57" ht="42" customHeight="1" thickBot="1">
      <c r="B7" s="391"/>
      <c r="C7" s="341"/>
      <c r="D7" s="312"/>
      <c r="E7" s="406"/>
      <c r="F7" s="394"/>
      <c r="G7" s="341"/>
      <c r="H7" s="312"/>
      <c r="I7" s="312"/>
      <c r="J7" s="50" t="s">
        <v>198</v>
      </c>
      <c r="K7" s="50" t="s">
        <v>199</v>
      </c>
      <c r="L7" s="50" t="s">
        <v>198</v>
      </c>
      <c r="M7" s="50" t="s">
        <v>199</v>
      </c>
      <c r="N7" s="85" t="s">
        <v>200</v>
      </c>
      <c r="O7" s="50" t="s">
        <v>198</v>
      </c>
      <c r="P7" s="50" t="s">
        <v>201</v>
      </c>
      <c r="Q7" s="50" t="s">
        <v>202</v>
      </c>
      <c r="R7" s="50" t="s">
        <v>198</v>
      </c>
      <c r="S7" s="50" t="s">
        <v>201</v>
      </c>
      <c r="T7" s="111" t="s">
        <v>202</v>
      </c>
      <c r="U7" s="337" t="s">
        <v>192</v>
      </c>
      <c r="V7" s="338"/>
      <c r="W7" s="339"/>
      <c r="X7" s="112"/>
      <c r="Y7" s="51"/>
      <c r="Z7" s="51"/>
      <c r="AA7" s="116"/>
      <c r="AB7" s="117"/>
      <c r="AC7" s="117"/>
      <c r="AD7" s="52"/>
      <c r="AE7" s="52"/>
      <c r="AF7" s="397"/>
      <c r="AG7" s="57" t="s">
        <v>203</v>
      </c>
      <c r="AH7" s="31" t="s">
        <v>225</v>
      </c>
      <c r="AI7" s="31" t="s">
        <v>203</v>
      </c>
      <c r="AJ7" s="31" t="s">
        <v>225</v>
      </c>
      <c r="AK7" s="31" t="s">
        <v>203</v>
      </c>
      <c r="AL7" s="31" t="s">
        <v>225</v>
      </c>
      <c r="AM7" s="31" t="s">
        <v>203</v>
      </c>
      <c r="AN7" s="58" t="s">
        <v>225</v>
      </c>
      <c r="AO7" s="27"/>
      <c r="AP7" s="18"/>
      <c r="AW7" s="29" t="str">
        <f t="array" ref="AW7">IFERROR(INDEX(班別參數!$B$66:$G$75,MATCH(#REF!,班別參數!$B$66:$B$75,0),MATCH(#REF!,班別參數!$B$66:$G$66,0)),"")</f>
        <v/>
      </c>
      <c r="AX7" s="25"/>
      <c r="AZ7" s="30"/>
      <c r="BA7" s="28"/>
      <c r="BB7" s="25"/>
      <c r="BC7" s="25"/>
      <c r="BE7" s="127"/>
    </row>
    <row r="8" spans="2:57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299"/>
      <c r="U8" s="300"/>
      <c r="V8" s="300"/>
      <c r="W8" s="300"/>
      <c r="X8" s="299"/>
      <c r="Y8" s="299"/>
      <c r="Z8" s="299"/>
      <c r="AA8" s="299"/>
      <c r="AB8" s="299"/>
      <c r="AC8" s="299"/>
      <c r="AD8" s="299"/>
      <c r="AE8" s="299"/>
      <c r="AF8" s="301"/>
      <c r="AG8" s="57" cm="1">
        <f t="array" ref="AG8:AH12">_xlfn._xlws.FILTER(輪休基準表!AK6:$AL$36,輪休基準表!$AM$6:$AM$36="幹部","")</f>
        <v>1</v>
      </c>
      <c r="AH8" s="31" t="str">
        <v>鄧力嘉</v>
      </c>
      <c r="AI8" s="31" cm="1">
        <f t="array" ref="AI8:AJ18">_xlfn._xlws.FILTER(輪休基準表!AK6:$AL$36,輪休基準表!$AM$6:$AM$36="A班","")</f>
        <v>6</v>
      </c>
      <c r="AJ8" s="31" t="str">
        <v>吳宗耕</v>
      </c>
      <c r="AK8" s="31" cm="1">
        <f t="array" ref="AK8:AL19">_xlfn._xlws.FILTER(輪休基準表!AK6:$AL$36,輪休基準表!$AM$6:$AM$36="B班","")</f>
        <v>17</v>
      </c>
      <c r="AL8" s="31" t="str">
        <v>楊仲豪</v>
      </c>
      <c r="AM8" s="31" t="str" cm="1">
        <f t="array" ref="AM8">_xlfn._xlws.FILTER(輪休基準表!AK6:$AL$36,輪休基準表!$AM$6:$AM$36="實習生","")</f>
        <v/>
      </c>
      <c r="AN8" s="31"/>
      <c r="AP8" s="13" t="s">
        <v>205</v>
      </c>
      <c r="AQ8" s="13" t="s">
        <v>206</v>
      </c>
      <c r="AR8" s="13" t="s">
        <v>301</v>
      </c>
      <c r="AS8" s="13" t="s">
        <v>302</v>
      </c>
      <c r="AT8" s="13" t="s">
        <v>292</v>
      </c>
      <c r="AU8" s="13" t="s">
        <v>207</v>
      </c>
      <c r="AV8" s="13" t="s">
        <v>208</v>
      </c>
      <c r="AW8" s="13"/>
      <c r="AX8" s="13" t="s">
        <v>7</v>
      </c>
      <c r="AY8" s="13" t="s">
        <v>191</v>
      </c>
      <c r="AZ8" s="13" t="s">
        <v>205</v>
      </c>
      <c r="BA8" s="13"/>
      <c r="BB8" s="13" t="s">
        <v>63</v>
      </c>
      <c r="BC8" s="13" t="s">
        <v>209</v>
      </c>
      <c r="BD8" s="13" t="s">
        <v>205</v>
      </c>
      <c r="BE8" s="127"/>
    </row>
    <row r="9" spans="2:57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2"/>
      <c r="N9" s="303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2"/>
      <c r="AF9" s="304"/>
      <c r="AG9" s="57">
        <v>2</v>
      </c>
      <c r="AH9" s="31" t="str">
        <v>莊勝斌</v>
      </c>
      <c r="AI9" s="31">
        <v>7</v>
      </c>
      <c r="AJ9" s="31" t="str">
        <v>包華先</v>
      </c>
      <c r="AK9" s="31">
        <v>18</v>
      </c>
      <c r="AL9" s="4" t="str">
        <v>林志偉</v>
      </c>
      <c r="AM9" s="101"/>
      <c r="AN9" s="102"/>
      <c r="AP9" s="127" cm="1">
        <f t="array" ref="AP9:AQ36">TRANSPOSE(輪休基準表!E4:AF5)</f>
        <v>1</v>
      </c>
      <c r="AQ9" s="127" t="str">
        <v>鄧力嘉</v>
      </c>
      <c r="AR9" s="127" t="str" cm="1">
        <f t="array" ref="AR9">IFERROR(_xlfn.XLOOKUP(_xlfn.XLOOKUP($AR$3,輪休基準表!$C$6:$C$36,_xlfn.XLOOKUP(AQ9,輪休基準表!$E$5:$AF$5,輪休基準表!$E$6:$AF$36,""),""),班別參數!$A$4:$A$20,班別參數!$B$4:$B$20,""),"")</f>
        <v>上班</v>
      </c>
      <c r="AS9" s="120" t="str" cm="1">
        <f t="array" ref="AS9">_xlfn.LET(
    _xlpm.番號, COUNTIF($AZ$9:$AZ$24, $AP9),
    _xlpm.已排, _xlpm.番號 &gt; 0,
    _xlpm.上班, (AR9="上班"),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T9" s="170" t="str">
        <f>IF(AR9="上班",
    IF(ISNUMBER(SEARCH(","&amp;AP9&amp;",", ","&amp;_xlfn.TEXTJOIN(",",TRUE,$H$10:$H$33)&amp;",")), "已排", "未排"),
    IF(ISNUMBER(SEARCH(","&amp;AP9&amp;",", ","&amp;_xlfn.TEXTJOIN(",",TRUE,$H$10:$H$33)&amp;",")), "沒上班", "")
)</f>
        <v>已排</v>
      </c>
      <c r="AU9" s="180" t="str">
        <f>IF(COUNTIF($J$10:$K$33,AP9)=0,"",COUNTIF($J$10:$K$33,AP9))</f>
        <v/>
      </c>
      <c r="AV9" s="180" t="str">
        <f>IF(COUNTIF($O$10:$P$33,AP9)=0,"",COUNTIF($O$10:$P$33,AP9))</f>
        <v/>
      </c>
      <c r="AW9" s="25"/>
      <c r="AX9" s="33" t="str">
        <f t="array" ref="AX9">INDEX(班別參數!$D$4:$D$20,ROW()-7,MATCH($AX$8,班別參數!$D$4:$D$20,0))</f>
        <v>08-10</v>
      </c>
      <c r="AY9" s="34" t="str">
        <f t="array" ref="AY9">IFERROR(INDEX(班別參數!$D$4:$S$20,MATCH(AX9,班別參數!$D$4:$D$20,0),MATCH($AT$6,班別參數!$D$4:$S$4,0)),"")</f>
        <v>A</v>
      </c>
      <c r="AZ9" s="35">
        <v>28</v>
      </c>
      <c r="BA9" s="13"/>
      <c r="BB9" s="33" t="s">
        <v>18</v>
      </c>
      <c r="BC9" s="34" t="str">
        <f t="array" ref="BC9">IFERROR(INDEX(班別參數!$D$23:$S$35,MATCH(BB9,班別參數!$D$23:$D$35,0),MATCH($AT$6,班別參數!$D$23:$S$23,0)),"")</f>
        <v>H,K</v>
      </c>
      <c r="BD9" s="36" t="str">
        <f>IFERROR(_xlfn.LET(
    _xlpm.對照, BC9,
    _xlpm.拆分1, IF(LEN(_xlpm.對照)=3, LEFT(_xlpm.對照,1), _xlpm.對照),
    _xlpm.拆分2, IF(LEN(_xlpm.對照)=3, RIGHT(_xlpm.對照,1), ""),
    _xlpm.查詢1, _xlfn.XLOOKUP(_xlpm.拆分1, $AY$9:$AY$24, $AZ$9:$AZ$24, ""),
    _xlpm.查詢2, _xlfn.XLOOKUP(_xlpm.拆分2, $AY$9:$AY$24, $AZ$9:$AZ$24, ""),
    _xlfn.TEXTJOIN(",", TRUE, IF(_xlpm.查詢1=0, "", _xlpm.查詢1), IF(_xlpm.查詢2=0, "", _xlpm.查詢2))
),"")</f>
        <v>11,1</v>
      </c>
      <c r="BE9" s="127"/>
    </row>
    <row r="10" spans="2:57" ht="30" customHeight="1">
      <c r="B10" s="81" t="s">
        <v>70</v>
      </c>
      <c r="C10" s="87">
        <f>_xlfn.XLOOKUP(_xlfn.XLOOKUP($AT$6&amp;$B10,公表[班別+時段],公表[值班],""),$AY$9:$AY$25,$AZ$9:$AZ$25,"")</f>
        <v>28</v>
      </c>
      <c r="D10" s="238"/>
      <c r="E10" s="246"/>
      <c r="F10" s="411">
        <v>14</v>
      </c>
      <c r="G10" s="95"/>
      <c r="H10" s="122"/>
      <c r="I10" s="37"/>
      <c r="J10" s="92">
        <f>_xlfn.XLOOKUP(_xlfn.XLOOKUP($AT$6&amp;$B10,公表[班別+時段],公表[救護1],""),$AY$9:$AY$25,$AZ$9:$AZ$25,"")</f>
        <v>27</v>
      </c>
      <c r="K10" s="92">
        <f>_xlfn.XLOOKUP(_xlfn.XLOOKUP($AT$6&amp;$B10,公表[班別+時段],公表[救護2],""),$AY$9:$AY$25,$AZ$9:$AZ$25,"")</f>
        <v>15</v>
      </c>
      <c r="L10" s="87"/>
      <c r="M10" s="87" t="s">
        <v>212</v>
      </c>
      <c r="N10" s="311"/>
      <c r="O10" s="87">
        <f>_xlfn.XLOOKUP(_xlfn.XLOOKUP($AT$6&amp;$B10,公表[班別+時段],公表[備勤1],""),$AY$9:$AY$25,$AZ$9:$AZ$25,"")</f>
        <v>24</v>
      </c>
      <c r="P10" s="87">
        <f>_xlfn.XLOOKUP(_xlfn.XLOOKUP($AT$6&amp;$B10,公表[班別+時段],公表[備勤2],""),$AY$9:$AY$25,$AZ$9:$AZ$25,"")</f>
        <v>13</v>
      </c>
      <c r="Q10" s="87"/>
      <c r="R10" s="87">
        <v>11</v>
      </c>
      <c r="S10" s="87">
        <f>_xlfn.XLOOKUP(_xlfn.XLOOKUP($AT$6&amp;$B10,公表[班別+時段],公表[備勤4],""),$AY$9:$AY$25,$AZ$9:$AZ$25,"")</f>
        <v>0</v>
      </c>
      <c r="T10" s="87"/>
      <c r="U10" s="87">
        <v>3</v>
      </c>
      <c r="V10" s="87">
        <f>_xlfn.XLOOKUP(_xlfn.XLOOKUP($AT$6&amp;$B10,公表[班別+時段],公表[備勤6],""),$AY$9:$AY$25,$AZ$9:$AZ$25,"")</f>
        <v>0</v>
      </c>
      <c r="W10" s="87"/>
      <c r="X10" s="87">
        <f>_xlfn.XLOOKUP(_xlfn.XLOOKUP($AT$6&amp;$B10,公表[班別+時段],公表[備勤7],""),$AY$9:$AY$25,$AZ$9:$AZ$25,"")</f>
        <v>0</v>
      </c>
      <c r="Y10" s="87">
        <f>_xlfn.XLOOKUP(_xlfn.XLOOKUP($AT$6&amp;$B10,公表[班別+時段],公表[備勤8],""),$AY$9:$AY$25,$AZ$9:$AZ$25,"")</f>
        <v>0</v>
      </c>
      <c r="Z10" s="87"/>
      <c r="AA10" s="87"/>
      <c r="AB10" s="87"/>
      <c r="AC10" s="87"/>
      <c r="AD10" s="87"/>
      <c r="AE10" s="87"/>
      <c r="AF10" s="88">
        <v>1</v>
      </c>
      <c r="AG10" s="57">
        <v>3</v>
      </c>
      <c r="AH10" s="31" t="str">
        <v>孫子翔</v>
      </c>
      <c r="AI10" s="31">
        <v>8</v>
      </c>
      <c r="AJ10" s="31" t="str">
        <v>曾彥綸</v>
      </c>
      <c r="AK10" s="31">
        <v>19</v>
      </c>
      <c r="AL10" s="31" t="str">
        <v>劉家誠</v>
      </c>
      <c r="AM10" s="101"/>
      <c r="AN10" s="102"/>
      <c r="AO10" s="214"/>
      <c r="AP10" s="127">
        <v>2</v>
      </c>
      <c r="AQ10" s="127" t="str">
        <v>莊勝斌</v>
      </c>
      <c r="AR10" s="127" t="str" cm="1">
        <f t="array" ref="AR10">IFERROR(_xlfn.XLOOKUP(_xlfn.XLOOKUP($AR$3,輪休基準表!$C$6:$C$36,_xlfn.XLOOKUP(AQ10,輪休基準表!$E$5:$AF$5,輪休基準表!$E$6:$AF$36,""),""),班別參數!$A$4:$A$20,班別參數!$B$4:$B$20,""),"")</f>
        <v>輪休</v>
      </c>
      <c r="AS10" s="120" t="str" cm="1">
        <f t="array" ref="AS10">_xlfn.LET(
    _xlpm.番號, COUNTIF($AZ$9:$AZ$24, $AP10),
    _xlpm.已排, _xlpm.番號 &gt; 0,
    _xlpm.上班, (AR10="上班"),
    _xlfn.IFS(
        _xlpm.番號 &gt; 1, "重複",
        AND(_xlpm.上班, NOT(_xlpm.已排)), "未排",
        AND(NOT(_xlpm.上班),_xlpm.已排), "沒上班",
        _xlpm.已排, "已排",
        TRUE, ""
    )
)</f>
        <v/>
      </c>
      <c r="AT10" s="170" t="str">
        <f t="shared" ref="AT10:AT36" si="0">IF(AR10="上班",
    IF(ISNUMBER(SEARCH(","&amp;AP10&amp;",", ","&amp;_xlfn.TEXTJOIN(",",TRUE,$H$10:$H$33)&amp;",")), "已排", "未排"),
    IF(ISNUMBER(SEARCH(","&amp;AP10&amp;",", ","&amp;_xlfn.TEXTJOIN(",",TRUE,$H$10:$H$33)&amp;",")), "沒上班", "")
)</f>
        <v/>
      </c>
      <c r="AU10" s="180" t="str">
        <f t="shared" ref="AU10:AU36" si="1">IF(COUNTIF($J$10:$K$33,AP10)=0,"",COUNTIF($J$10:$K$33,AP10))</f>
        <v/>
      </c>
      <c r="AV10" s="180" t="str">
        <f t="shared" ref="AV10:AV36" si="2">IF(COUNTIF($O$10:$P$33,AP10)=0,"",COUNTIF($O$10:$P$33,AP10))</f>
        <v/>
      </c>
      <c r="AW10" s="25"/>
      <c r="AX10" s="33" t="str">
        <f t="array" ref="AX10">INDEX(班別參數!$D$4:$D$20,ROW()-7,MATCH($AX$8,班別參數!$D$4:$D$20,0))</f>
        <v>10-12</v>
      </c>
      <c r="AY10" s="34" t="str">
        <f t="array" ref="AY10">IFERROR(INDEX(班別參數!$D$4:$S$20,MATCH(AX10,班別參數!$D$4:$D$20,0),MATCH($AT$6,班別參數!$D$4:$S$4,0)),"")</f>
        <v>B</v>
      </c>
      <c r="AZ10" s="38">
        <v>14</v>
      </c>
      <c r="BA10" s="13"/>
      <c r="BB10" s="33" t="s">
        <v>22</v>
      </c>
      <c r="BC10" s="34" t="str">
        <f t="array" ref="BC10">IFERROR(INDEX(班別參數!$D$23:$S$35,MATCH(BB10,班別參數!$D$23:$D$35,0),MATCH($AT$6,班別參數!$D$23:$S$23,0)),"")</f>
        <v>D</v>
      </c>
      <c r="BD10" s="39" t="str">
        <f t="shared" ref="BD10:BD20" si="3">IFERROR(_xlfn.LET(
    _xlpm.對照, BC10,
    _xlpm.拆分1, IF(LEN(_xlpm.對照)=3, LEFT(_xlpm.對照,1), _xlpm.對照),
    _xlpm.拆分2, IF(LEN(_xlpm.對照)=3, RIGHT(_xlpm.對照,1), ""),
    _xlpm.查詢1, _xlfn.XLOOKUP(_xlpm.拆分1, $AY$9:$AY$24, $AZ$9:$AZ$24, ""),
    _xlpm.查詢2, _xlfn.XLOOKUP(_xlpm.拆分2, $AY$9:$AY$24, $AZ$9:$AZ$24, ""),
    _xlfn.TEXTJOIN(",", TRUE, IF(_xlpm.查詢1=0, "", _xlpm.查詢1), IF(_xlpm.查詢2=0, "", _xlpm.查詢2))
),"")</f>
        <v>13</v>
      </c>
      <c r="BE10" s="127"/>
    </row>
    <row r="11" spans="2:57" ht="30" customHeight="1">
      <c r="B11" s="81" t="s">
        <v>74</v>
      </c>
      <c r="C11" s="87">
        <f>_xlfn.XLOOKUP(_xlfn.XLOOKUP($AT$6&amp;$B11,公表[班別+時段],公表[值班],""),$AY$9:$AY$25,$AZ$9:$AZ$25,"")</f>
        <v>28</v>
      </c>
      <c r="D11" s="238"/>
      <c r="E11" s="246"/>
      <c r="F11" s="412"/>
      <c r="G11" s="95"/>
      <c r="H11" s="122"/>
      <c r="I11" s="296" t="str">
        <f>AZ2</f>
        <v>車輛駕訓</v>
      </c>
      <c r="J11" s="92">
        <f>_xlfn.XLOOKUP(_xlfn.XLOOKUP($AT$6&amp;$B11,公表[班別+時段],公表[救護1],""),$AY$9:$AY$25,$AZ$9:$AZ$25,"")</f>
        <v>27</v>
      </c>
      <c r="K11" s="92">
        <f>_xlfn.XLOOKUP(_xlfn.XLOOKUP($AT$6&amp;$B11,公表[班別+時段],公表[救護2],""),$AY$9:$AY$25,$AZ$9:$AZ$25,"")</f>
        <v>15</v>
      </c>
      <c r="L11" s="87"/>
      <c r="M11" s="87" t="s">
        <v>212</v>
      </c>
      <c r="N11" s="312"/>
      <c r="O11" s="87">
        <f>_xlfn.XLOOKUP(_xlfn.XLOOKUP($AT$6&amp;$B11,公表[班別+時段],公表[備勤1],""),$AY$9:$AY$25,$AZ$9:$AZ$25,"")</f>
        <v>24</v>
      </c>
      <c r="P11" s="87">
        <f>_xlfn.XLOOKUP(_xlfn.XLOOKUP($AT$6&amp;$B11,公表[班別+時段],公表[備勤2],""),$AY$9:$AY$25,$AZ$9:$AZ$25,"")</f>
        <v>13</v>
      </c>
      <c r="Q11" s="87"/>
      <c r="R11" s="87">
        <v>11</v>
      </c>
      <c r="S11" s="87">
        <f>_xlfn.XLOOKUP(_xlfn.XLOOKUP($AT$6&amp;$B11,公表[班別+時段],公表[備勤4],""),$AY$9:$AY$25,$AZ$9:$AZ$25,"")</f>
        <v>0</v>
      </c>
      <c r="T11" s="87"/>
      <c r="U11" s="87">
        <v>3</v>
      </c>
      <c r="V11" s="87">
        <f>_xlfn.XLOOKUP(_xlfn.XLOOKUP($AT$6&amp;$B11,公表[班別+時段],公表[備勤6],""),$AY$9:$AY$25,$AZ$9:$AZ$25,"")</f>
        <v>0</v>
      </c>
      <c r="W11" s="87"/>
      <c r="X11" s="87">
        <f>_xlfn.XLOOKUP(_xlfn.XLOOKUP($AT$6&amp;$B11,公表[班別+時段],公表[備勤7],""),$AY$9:$AY$25,$AZ$9:$AZ$25,"")</f>
        <v>0</v>
      </c>
      <c r="Y11" s="87">
        <f>_xlfn.XLOOKUP(_xlfn.XLOOKUP($AT$6&amp;$B11,公表[班別+時段],公表[備勤8],""),$AY$9:$AY$25,$AZ$9:$AZ$25,"")</f>
        <v>0</v>
      </c>
      <c r="Z11" s="87"/>
      <c r="AA11" s="87"/>
      <c r="AB11" s="87"/>
      <c r="AC11" s="87"/>
      <c r="AD11" s="87"/>
      <c r="AE11" s="87"/>
      <c r="AF11" s="88">
        <v>1</v>
      </c>
      <c r="AG11" s="57">
        <v>4</v>
      </c>
      <c r="AH11" s="31" t="str">
        <v>簡永豐</v>
      </c>
      <c r="AI11" s="31">
        <v>9</v>
      </c>
      <c r="AJ11" s="31" t="str">
        <v>鍾佳諭</v>
      </c>
      <c r="AK11" s="31">
        <v>20</v>
      </c>
      <c r="AL11" s="31" t="str">
        <v>呂奇霈</v>
      </c>
      <c r="AM11" s="101"/>
      <c r="AN11" s="102"/>
      <c r="AO11" s="214"/>
      <c r="AP11" s="127">
        <v>3</v>
      </c>
      <c r="AQ11" s="127" t="str">
        <v>孫子翔</v>
      </c>
      <c r="AR11" s="127" t="str" cm="1">
        <f t="array" ref="AR11">IFERROR(_xlfn.XLOOKUP(_xlfn.XLOOKUP($AR$3,輪休基準表!$C$6:$C$36,_xlfn.XLOOKUP(AQ11,輪休基準表!$E$5:$AF$5,輪休基準表!$E$6:$AF$36,""),""),班別參數!$A$4:$A$20,班別參數!$B$4:$B$20,""),"")</f>
        <v>上班</v>
      </c>
      <c r="AS11" s="120" t="str" cm="1">
        <f t="array" ref="AS11">_xlfn.LET(
    _xlpm.番號, COUNTIF($AZ$9:$AZ$24, $AP11),
    _xlpm.已排, _xlpm.番號 &gt; 0,
    _xlpm.上班, (AR11="上班"),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T11" s="170" t="str">
        <f t="shared" si="0"/>
        <v>已排</v>
      </c>
      <c r="AU11" s="180" t="str">
        <f t="shared" si="1"/>
        <v/>
      </c>
      <c r="AV11" s="180" t="str">
        <f t="shared" si="2"/>
        <v/>
      </c>
      <c r="AW11" s="25"/>
      <c r="AX11" s="33" t="str">
        <f t="array" ref="AX11">INDEX(班別參數!$D$4:$D$20,ROW()-7,MATCH($AX$8,班別參數!$D$4:$D$20,0))</f>
        <v>12-14</v>
      </c>
      <c r="AY11" s="34" t="str">
        <f t="array" ref="AY11">IFERROR(INDEX(班別參數!$D$4:$S$20,MATCH(AX11,班別參數!$D$4:$D$20,0),MATCH($AT$6,班別參數!$D$4:$S$4,0)),"")</f>
        <v>G</v>
      </c>
      <c r="AZ11" s="38">
        <v>15</v>
      </c>
      <c r="BA11" s="13"/>
      <c r="BB11" s="33" t="s">
        <v>25</v>
      </c>
      <c r="BC11" s="34" t="str">
        <f t="array" ref="BC11">IFERROR(INDEX(班別參數!$D$23:$S$35,MATCH(BB11,班別參數!$D$23:$D$35,0),MATCH($AT$6,班別參數!$D$23:$S$23,0)),"")</f>
        <v>F</v>
      </c>
      <c r="BD11" s="39" t="str">
        <f t="shared" si="3"/>
        <v>27</v>
      </c>
      <c r="BE11" s="127"/>
    </row>
    <row r="12" spans="2:57" ht="30" customHeight="1">
      <c r="B12" s="81" t="s">
        <v>75</v>
      </c>
      <c r="C12" s="87">
        <f>_xlfn.XLOOKUP(_xlfn.XLOOKUP($AT$6&amp;$B12,公表[班別+時段],公表[值班],""),$AY$9:$AY$25,$AZ$9:$AZ$25,"")</f>
        <v>14</v>
      </c>
      <c r="D12" s="238"/>
      <c r="E12" s="407" t="s">
        <v>354</v>
      </c>
      <c r="F12" s="243"/>
      <c r="G12" s="95"/>
      <c r="H12" s="122"/>
      <c r="I12" s="314"/>
      <c r="J12" s="92">
        <f>_xlfn.XLOOKUP(_xlfn.XLOOKUP($AT$6&amp;$B12,公表[班別+時段],公表[救護1],""),$AY$9:$AY$25,$AZ$9:$AZ$25,"")</f>
        <v>28</v>
      </c>
      <c r="K12" s="92">
        <f>_xlfn.XLOOKUP(_xlfn.XLOOKUP($AT$6&amp;$B12,公表[班別+時段],公表[救護2],""),$AY$9:$AY$25,$AZ$9:$AZ$25,"")</f>
        <v>24</v>
      </c>
      <c r="L12" s="92"/>
      <c r="M12" s="87" t="s">
        <v>212</v>
      </c>
      <c r="N12" s="312"/>
      <c r="O12" s="87">
        <v>11</v>
      </c>
      <c r="P12" s="87">
        <f>_xlfn.XLOOKUP(_xlfn.XLOOKUP($AT$6&amp;$B12,公表[班別+時段],公表[備勤2],""),$AY$9:$AY$25,$AZ$9:$AZ$25,"")</f>
        <v>27</v>
      </c>
      <c r="Q12" s="87"/>
      <c r="R12" s="87">
        <f>_xlfn.XLOOKUP(_xlfn.XLOOKUP($AT$6&amp;$B12,公表[班別+時段],公表[備勤3],""),$AY$9:$AY$25,$AZ$9:$AZ$25,"")</f>
        <v>15</v>
      </c>
      <c r="S12" s="87">
        <v>13</v>
      </c>
      <c r="T12" s="87"/>
      <c r="U12" s="87">
        <f>_xlfn.XLOOKUP(_xlfn.XLOOKUP($AT$6&amp;$B12,公表[班別+時段],公表[備勤5],""),$AY$9:$AY$25,$AZ$9:$AZ$25,"")</f>
        <v>3</v>
      </c>
      <c r="V12" s="87">
        <f>_xlfn.XLOOKUP(_xlfn.XLOOKUP($AT$6&amp;$B12,公表[班別+時段],公表[備勤6],""),$AY$9:$AY$25,$AZ$9:$AZ$25,"")</f>
        <v>0</v>
      </c>
      <c r="W12" s="87"/>
      <c r="X12" s="87">
        <f>_xlfn.XLOOKUP(_xlfn.XLOOKUP($AT$6&amp;$B12,公表[班別+時段],公表[備勤7],""),$AY$9:$AY$25,$AZ$9:$AZ$25,"")</f>
        <v>0</v>
      </c>
      <c r="Y12" s="87"/>
      <c r="Z12" s="87"/>
      <c r="AA12" s="87"/>
      <c r="AB12" s="87"/>
      <c r="AC12" s="87"/>
      <c r="AD12" s="87"/>
      <c r="AE12" s="87"/>
      <c r="AF12" s="88">
        <f>_xlfn.XLOOKUP(_xlfn.XLOOKUP($AT$6&amp;$B12,公表[班別+時段],公表[指揮官],""),$AY$9:$AY$25,$AZ$9:$AZ$25,"")</f>
        <v>1</v>
      </c>
      <c r="AG12" s="57">
        <v>5</v>
      </c>
      <c r="AH12" s="31" t="str">
        <v>張鴻志</v>
      </c>
      <c r="AI12" s="31">
        <v>10</v>
      </c>
      <c r="AJ12" s="31" t="str">
        <v>林宏澤</v>
      </c>
      <c r="AK12" s="31">
        <v>21</v>
      </c>
      <c r="AL12" s="31" t="str">
        <v>張家和</v>
      </c>
      <c r="AM12" s="101"/>
      <c r="AN12" s="102"/>
      <c r="AO12" s="214"/>
      <c r="AP12" s="127">
        <v>4</v>
      </c>
      <c r="AQ12" s="127" t="str">
        <v>簡永豐</v>
      </c>
      <c r="AR12" s="127" t="str" cm="1">
        <f t="array" ref="AR12">IFERROR(_xlfn.XLOOKUP(_xlfn.XLOOKUP($AR$3,輪休基準表!$C$6:$C$36,_xlfn.XLOOKUP(AQ12,輪休基準表!$E$5:$AF$5,輪休基準表!$E$6:$AF$36,""),""),班別參數!$A$4:$A$20,班別參數!$B$4:$B$20,""),"")</f>
        <v>輪休</v>
      </c>
      <c r="AS12" s="120" t="str" cm="1">
        <f t="array" ref="AS12">_xlfn.LET(
    _xlpm.番號, COUNTIF($AZ$9:$AZ$24, $AP12),
    _xlpm.已排, _xlpm.番號 &gt; 0,
    _xlpm.上班, (AR12="上班"),
    _xlfn.IFS(
        _xlpm.番號 &gt; 1, "重複",
        AND(_xlpm.上班, NOT(_xlpm.已排)), "未排",
        AND(NOT(_xlpm.上班),_xlpm.已排), "沒上班",
        _xlpm.已排, "已排",
        TRUE, ""
    )
)</f>
        <v/>
      </c>
      <c r="AT12" s="170" t="str">
        <f t="shared" si="0"/>
        <v/>
      </c>
      <c r="AU12" s="180" t="str">
        <f t="shared" si="1"/>
        <v/>
      </c>
      <c r="AV12" s="180" t="str">
        <f t="shared" si="2"/>
        <v/>
      </c>
      <c r="AW12" s="25"/>
      <c r="AX12" s="33" t="str">
        <f t="array" ref="AX12">INDEX(班別參數!$D$4:$D$20,ROW()-7,MATCH($AX$8,班別參數!$D$4:$D$20,0))</f>
        <v>14-16</v>
      </c>
      <c r="AY12" s="34" t="str">
        <f t="array" ref="AY12">IFERROR(INDEX(班別參數!$D$4:$S$20,MATCH(AX12,班別參數!$D$4:$D$20,0),MATCH($AT$6,班別參數!$D$4:$S$4,0)),"")</f>
        <v>C</v>
      </c>
      <c r="AZ12" s="38">
        <v>24</v>
      </c>
      <c r="BA12" s="13"/>
      <c r="BB12" s="33" t="s">
        <v>29</v>
      </c>
      <c r="BC12" s="34" t="str">
        <f t="array" ref="BC12">IFERROR(INDEX(班別參數!$D$23:$S$35,MATCH(BB12,班別參數!$D$23:$D$35,0),MATCH($AT$6,班別參數!$D$23:$S$23,0)),"")</f>
        <v/>
      </c>
      <c r="BD12" s="39" t="str">
        <f t="shared" si="3"/>
        <v/>
      </c>
      <c r="BE12" s="127"/>
    </row>
    <row r="13" spans="2:57" ht="30" customHeight="1" thickBot="1">
      <c r="B13" s="82" t="s">
        <v>76</v>
      </c>
      <c r="C13" s="89">
        <f>_xlfn.XLOOKUP(_xlfn.XLOOKUP($AT$6&amp;$B13,公表[班別+時段],公表[值班],""),$AY$9:$AY$25,$AZ$9:$AZ$25,"")</f>
        <v>14</v>
      </c>
      <c r="D13" s="239"/>
      <c r="E13" s="408"/>
      <c r="F13" s="106"/>
      <c r="G13" s="96"/>
      <c r="H13" s="123"/>
      <c r="I13" s="315"/>
      <c r="J13" s="216">
        <f>_xlfn.XLOOKUP(_xlfn.XLOOKUP($AT$6&amp;$B13,公表[班別+時段],公表[救護1],""),$AY$9:$AY$25,$AZ$9:$AZ$25,"")</f>
        <v>28</v>
      </c>
      <c r="K13" s="216">
        <f>_xlfn.XLOOKUP(_xlfn.XLOOKUP($AT$6&amp;$B13,公表[班別+時段],公表[救護2],""),$AY$9:$AY$25,$AZ$9:$AZ$25,"")</f>
        <v>24</v>
      </c>
      <c r="L13" s="105"/>
      <c r="M13" s="93" t="s">
        <v>212</v>
      </c>
      <c r="N13" s="312"/>
      <c r="O13" s="89">
        <f>_xlfn.XLOOKUP(_xlfn.XLOOKUP($AT$6&amp;$B13,公表[班別+時段],公表[備勤1],""),$AY$9:$AY$25,$AZ$9:$AZ$25,"")</f>
        <v>11</v>
      </c>
      <c r="P13" s="89">
        <f>_xlfn.XLOOKUP(_xlfn.XLOOKUP($AT$6&amp;$B13,公表[班別+時段],公表[備勤2],""),$AY$9:$AY$25,$AZ$9:$AZ$25,"")</f>
        <v>27</v>
      </c>
      <c r="Q13" s="89"/>
      <c r="R13" s="89">
        <f>_xlfn.XLOOKUP(_xlfn.XLOOKUP($AT$6&amp;$B13,公表[班別+時段],公表[備勤3],""),$AY$9:$AY$25,$AZ$9:$AZ$25,"")</f>
        <v>15</v>
      </c>
      <c r="S13" s="89">
        <v>13</v>
      </c>
      <c r="T13" s="89"/>
      <c r="U13" s="89">
        <f>_xlfn.XLOOKUP(_xlfn.XLOOKUP($AT$6&amp;$B13,公表[班別+時段],公表[備勤5],""),$AY$9:$AY$25,$AZ$9:$AZ$25,"")</f>
        <v>3</v>
      </c>
      <c r="V13" s="89">
        <f>_xlfn.XLOOKUP(_xlfn.XLOOKUP($AT$6&amp;$B13,公表[班別+時段],公表[備勤6],""),$AY$9:$AY$25,$AZ$9:$AZ$25,"")</f>
        <v>0</v>
      </c>
      <c r="W13" s="89"/>
      <c r="X13" s="89">
        <f>_xlfn.XLOOKUP(_xlfn.XLOOKUP($AT$6&amp;$B13,公表[班別+時段],公表[備勤7],""),$AY$9:$AY$25,$AZ$9:$AZ$25,"")</f>
        <v>0</v>
      </c>
      <c r="Y13" s="89">
        <f>_xlfn.XLOOKUP(_xlfn.XLOOKUP($AT$6&amp;$B13,公表[班別+時段],公表[備勤8],""),$AY$9:$AY$25,$AZ$9:$AZ$25,"")</f>
        <v>0</v>
      </c>
      <c r="Z13" s="89"/>
      <c r="AA13" s="89"/>
      <c r="AB13" s="89"/>
      <c r="AC13" s="89"/>
      <c r="AD13" s="89"/>
      <c r="AE13" s="89"/>
      <c r="AF13" s="104">
        <f>_xlfn.XLOOKUP(_xlfn.XLOOKUP($AT$6&amp;$B13,公表[班別+時段],公表[指揮官],""),$AY$9:$AY$25,$AZ$9:$AZ$25,"")</f>
        <v>1</v>
      </c>
      <c r="AG13" s="103"/>
      <c r="AH13" s="101"/>
      <c r="AI13" s="31">
        <v>11</v>
      </c>
      <c r="AJ13" s="31" t="str">
        <v>簡君諺</v>
      </c>
      <c r="AK13" s="31">
        <v>22</v>
      </c>
      <c r="AL13" s="31" t="str">
        <v>陳俊瑋</v>
      </c>
      <c r="AM13" s="101"/>
      <c r="AN13" s="102"/>
      <c r="AO13" s="214"/>
      <c r="AP13" s="127">
        <v>5</v>
      </c>
      <c r="AQ13" s="127" t="str">
        <v>張鴻志</v>
      </c>
      <c r="AR13" s="127" t="str" cm="1">
        <f t="array" ref="AR13">IFERROR(_xlfn.XLOOKUP(_xlfn.XLOOKUP($AR$3,輪休基準表!$C$6:$C$36,_xlfn.XLOOKUP(AQ13,輪休基準表!$E$5:$AF$5,輪休基準表!$E$6:$AF$36,""),""),班別參數!$A$4:$A$20,班別參數!$B$4:$B$20,""),"")</f>
        <v>輪休</v>
      </c>
      <c r="AS13" s="120" t="str" cm="1">
        <f t="array" ref="AS13">_xlfn.LET(
    _xlpm.番號, COUNTIF($AZ$9:$AZ$24, $AP13),
    _xlpm.已排, _xlpm.番號 &gt; 0,
    _xlpm.上班, (AR13="上班"),
    _xlfn.IFS(
        _xlpm.番號 &gt; 1, "重複",
        AND(_xlpm.上班, NOT(_xlpm.已排)), "未排",
        AND(NOT(_xlpm.上班),_xlpm.已排), "沒上班",
        _xlpm.已排, "已排",
        TRUE, ""
    )
)</f>
        <v/>
      </c>
      <c r="AT13" s="170" t="str">
        <f t="shared" si="0"/>
        <v/>
      </c>
      <c r="AU13" s="180" t="str">
        <f t="shared" si="1"/>
        <v/>
      </c>
      <c r="AV13" s="180" t="str">
        <f t="shared" si="2"/>
        <v/>
      </c>
      <c r="AW13" s="25"/>
      <c r="AX13" s="33" t="str">
        <f t="array" ref="AX13">INDEX(班別參數!$D$4:$D$20,ROW()-7,MATCH($AX$8,班別參數!$D$4:$D$20,0))</f>
        <v>16-18</v>
      </c>
      <c r="AY13" s="34" t="str">
        <f t="array" ref="AY13">IFERROR(INDEX(班別參數!$D$4:$S$20,MATCH(AX13,班別參數!$D$4:$D$20,0),MATCH($AT$6,班別參數!$D$4:$S$4,0)),"")</f>
        <v>D</v>
      </c>
      <c r="AZ13" s="38">
        <v>13</v>
      </c>
      <c r="BA13" s="13"/>
      <c r="BB13" s="33" t="s">
        <v>33</v>
      </c>
      <c r="BC13" s="34" t="str">
        <f t="array" ref="BC13">IFERROR(INDEX(班別參數!$D$23:$S$35,MATCH(BB13,班別參數!$D$23:$D$35,0),MATCH($AT$6,班別參數!$D$23:$S$23,0)),"")</f>
        <v>A</v>
      </c>
      <c r="BD13" s="39" t="str">
        <f t="shared" si="3"/>
        <v>28</v>
      </c>
      <c r="BE13" s="127"/>
    </row>
    <row r="14" spans="2:57" ht="30" customHeight="1">
      <c r="B14" s="83" t="s">
        <v>77</v>
      </c>
      <c r="C14" s="90">
        <f>_xlfn.XLOOKUP(_xlfn.XLOOKUP($AT$6&amp;$B14,公表[班別+時段],公表[值班],""),$AY$9:$AY$25,$AZ$9:$AZ$25,"")</f>
        <v>15</v>
      </c>
      <c r="D14" s="240"/>
      <c r="E14" s="259"/>
      <c r="F14" s="244"/>
      <c r="G14" s="97"/>
      <c r="H14" s="121" t="str">
        <f>IF(BD11="","",BD11)</f>
        <v>27</v>
      </c>
      <c r="I14" s="55"/>
      <c r="J14" s="94">
        <f>_xlfn.XLOOKUP(_xlfn.XLOOKUP($AT$6&amp;$B14,公表[班別+時段],公表[救護1],""),$AY$9:$AY$25,$AZ$9:$AZ$25,"")</f>
        <v>14</v>
      </c>
      <c r="K14" s="94">
        <f>_xlfn.XLOOKUP(_xlfn.XLOOKUP($AT$6&amp;$B14,公表[班別+時段],公表[救護2],""),$AY$9:$AY$25,$AZ$9:$AZ$25,"")</f>
        <v>11</v>
      </c>
      <c r="L14" s="94"/>
      <c r="M14" s="90" t="s">
        <v>212</v>
      </c>
      <c r="N14" s="312"/>
      <c r="O14" s="90">
        <f>_xlfn.XLOOKUP(_xlfn.XLOOKUP($AT$6&amp;$B14,公表[班別+時段],公表[備勤1],""),$AY$9:$AY$25,$AZ$9:$AZ$25,"")</f>
        <v>28</v>
      </c>
      <c r="P14" s="90">
        <f>_xlfn.XLOOKUP(_xlfn.XLOOKUP($AT$6&amp;$B14,公表[班別+時段],公表[備勤2],""),$AY$9:$AY$25,$AZ$9:$AZ$25,"")</f>
        <v>13</v>
      </c>
      <c r="Q14" s="90"/>
      <c r="R14" s="90">
        <f>_xlfn.XLOOKUP(_xlfn.XLOOKUP($AT$6&amp;$B14,公表[班別+時段],公表[備勤3],""),$AY$9:$AY$25,$AZ$9:$AZ$25,"")</f>
        <v>24</v>
      </c>
      <c r="S14" s="90">
        <f>_xlfn.XLOOKUP(_xlfn.XLOOKUP($AT$6&amp;$B14,公表[班別+時段],公表[備勤4],""),$AY$9:$AY$25,$AZ$9:$AZ$25,"")</f>
        <v>0</v>
      </c>
      <c r="T14" s="90"/>
      <c r="U14" s="90">
        <f>_xlfn.XLOOKUP(_xlfn.XLOOKUP($AT$6&amp;$B14,公表[班別+時段],公表[備勤5],""),$AY$9:$AY$25,$AZ$9:$AZ$25,"")</f>
        <v>3</v>
      </c>
      <c r="V14" s="90">
        <f>_xlfn.XLOOKUP(_xlfn.XLOOKUP($AT$6&amp;$B14,公表[班別+時段],公表[備勤6],""),$AY$9:$AY$25,$AZ$9:$AZ$25,"")</f>
        <v>0</v>
      </c>
      <c r="W14" s="90"/>
      <c r="X14" s="90">
        <f>_xlfn.XLOOKUP(_xlfn.XLOOKUP($AT$6&amp;$B14,公表[班別+時段],公表[備勤7],""),$AY$9:$AY$25,$AZ$9:$AZ$25,"")</f>
        <v>0</v>
      </c>
      <c r="Y14" s="90">
        <f>_xlfn.XLOOKUP(_xlfn.XLOOKUP($AT$6&amp;$B14,公表[班別+時段],公表[備勤8],""),$AY$9:$AY$25,$AZ$9:$AZ$25,"")</f>
        <v>0</v>
      </c>
      <c r="Z14" s="90"/>
      <c r="AA14" s="90"/>
      <c r="AB14" s="90"/>
      <c r="AC14" s="90"/>
      <c r="AD14" s="90"/>
      <c r="AE14" s="90"/>
      <c r="AF14" s="91">
        <f>_xlfn.XLOOKUP(_xlfn.XLOOKUP($AT$6&amp;$B14,公表[班別+時段],公表[指揮官],""),$AY$9:$AY$25,$AZ$9:$AZ$25,"")</f>
        <v>1</v>
      </c>
      <c r="AG14" s="103"/>
      <c r="AH14" s="101"/>
      <c r="AI14" s="31">
        <v>12</v>
      </c>
      <c r="AJ14" s="31" t="str">
        <v>王昱勛</v>
      </c>
      <c r="AK14" s="31">
        <v>23</v>
      </c>
      <c r="AL14" s="31" t="str">
        <v>陳俊翰</v>
      </c>
      <c r="AM14" s="101"/>
      <c r="AN14" s="102"/>
      <c r="AO14" s="214"/>
      <c r="AP14" s="127">
        <v>6</v>
      </c>
      <c r="AQ14" s="127" t="str">
        <v>吳宗耕</v>
      </c>
      <c r="AR14" s="127" t="str" cm="1">
        <f t="array" ref="AR14">IFERROR(_xlfn.XLOOKUP(_xlfn.XLOOKUP($AR$3,輪休基準表!$C$6:$C$36,_xlfn.XLOOKUP(AQ14,輪休基準表!$E$5:$AF$5,輪休基準表!$E$6:$AF$36,""),""),班別參數!$A$4:$A$20,班別參數!$B$4:$B$20,""),"")</f>
        <v>請休</v>
      </c>
      <c r="AS14" s="120" t="str" cm="1">
        <f t="array" ref="AS14">_xlfn.LET(
    _xlpm.番號, COUNTIF($AZ$9:$AZ$24, $AP14),
    _xlpm.已排, _xlpm.番號 &gt; 0,
    _xlpm.上班, (AR14="上班"),
    _xlfn.IFS(
        _xlpm.番號 &gt; 1, "重複",
        AND(_xlpm.上班, NOT(_xlpm.已排)), "未排",
        AND(NOT(_xlpm.上班),_xlpm.已排), "沒上班",
        _xlpm.已排, "已排",
        TRUE, ""
    )
)</f>
        <v/>
      </c>
      <c r="AT14" s="170" t="str">
        <f t="shared" si="0"/>
        <v/>
      </c>
      <c r="AU14" s="180" t="str">
        <f t="shared" si="1"/>
        <v/>
      </c>
      <c r="AV14" s="180" t="str">
        <f t="shared" si="2"/>
        <v/>
      </c>
      <c r="AW14" s="25"/>
      <c r="AX14" s="33" t="str">
        <f t="array" ref="AX14">INDEX(班別參數!$D$4:$D$20,ROW()-7,MATCH($AX$8,班別參數!$D$4:$D$20,0))</f>
        <v>18-20</v>
      </c>
      <c r="AY14" s="34">
        <f t="array" ref="AY14">IFERROR(INDEX(班別參數!$D$4:$S$20,MATCH(AX14,班別參數!$D$4:$D$20,0),MATCH($AT$6,班別參數!$D$4:$S$4,0)),"")</f>
        <v>0</v>
      </c>
      <c r="AZ14" s="38"/>
      <c r="BA14" s="13"/>
      <c r="BB14" s="33" t="s">
        <v>37</v>
      </c>
      <c r="BC14" s="34" t="str">
        <f t="array" ref="BC14">IFERROR(INDEX(班別參數!$D$23:$S$35,MATCH(BB14,班別參數!$D$23:$D$35,0),MATCH($AT$6,班別參數!$D$23:$S$23,0)),"")</f>
        <v>B</v>
      </c>
      <c r="BD14" s="39" t="str">
        <f t="shared" si="3"/>
        <v>14</v>
      </c>
      <c r="BE14" s="127"/>
    </row>
    <row r="15" spans="2:57" ht="30" customHeight="1" thickBot="1">
      <c r="B15" s="82" t="s">
        <v>78</v>
      </c>
      <c r="C15" s="89">
        <f>_xlfn.XLOOKUP(_xlfn.XLOOKUP($AT$6&amp;$B15,公表[班別+時段],公表[值班],""),$AY$9:$AY$25,$AZ$9:$AZ$25,"")</f>
        <v>15</v>
      </c>
      <c r="D15" s="241"/>
      <c r="E15" s="262"/>
      <c r="F15" s="106"/>
      <c r="G15" s="96"/>
      <c r="H15" s="123" t="str">
        <f>IF(BD11="","",BD11)</f>
        <v>27</v>
      </c>
      <c r="I15" s="40"/>
      <c r="J15" s="216">
        <f>_xlfn.XLOOKUP(_xlfn.XLOOKUP($AT$6&amp;$B15,公表[班別+時段],公表[救護1],""),$AY$9:$AY$25,$AZ$9:$AZ$25,"")</f>
        <v>14</v>
      </c>
      <c r="K15" s="216">
        <f>_xlfn.XLOOKUP(_xlfn.XLOOKUP($AT$6&amp;$B15,公表[班別+時段],公表[救護2],""),$AY$9:$AY$25,$AZ$9:$AZ$25,"")</f>
        <v>11</v>
      </c>
      <c r="L15" s="105"/>
      <c r="M15" s="93" t="s">
        <v>212</v>
      </c>
      <c r="N15" s="312"/>
      <c r="O15" s="89">
        <f>_xlfn.XLOOKUP(_xlfn.XLOOKUP($AT$6&amp;$B15,公表[班別+時段],公表[備勤1],""),$AY$9:$AY$25,$AZ$9:$AZ$25,"")</f>
        <v>28</v>
      </c>
      <c r="P15" s="89">
        <f>_xlfn.XLOOKUP(_xlfn.XLOOKUP($AT$6&amp;$B15,公表[班別+時段],公表[備勤2],""),$AY$9:$AY$25,$AZ$9:$AZ$25,"")</f>
        <v>13</v>
      </c>
      <c r="Q15" s="89"/>
      <c r="R15" s="89">
        <f>_xlfn.XLOOKUP(_xlfn.XLOOKUP($AT$6&amp;$B15,公表[班別+時段],公表[備勤3],""),$AY$9:$AY$25,$AZ$9:$AZ$25,"")</f>
        <v>24</v>
      </c>
      <c r="S15" s="89">
        <f>_xlfn.XLOOKUP(_xlfn.XLOOKUP($AT$6&amp;$B15,公表[班別+時段],公表[備勤4],""),$AY$9:$AY$25,$AZ$9:$AZ$25,"")</f>
        <v>0</v>
      </c>
      <c r="T15" s="89"/>
      <c r="U15" s="89">
        <f>_xlfn.XLOOKUP(_xlfn.XLOOKUP($AT$6&amp;$B15,公表[班別+時段],公表[備勤5],""),$AY$9:$AY$25,$AZ$9:$AZ$25,"")</f>
        <v>3</v>
      </c>
      <c r="V15" s="89">
        <f>_xlfn.XLOOKUP(_xlfn.XLOOKUP($AT$6&amp;$B15,公表[班別+時段],公表[備勤6],""),$AY$9:$AY$25,$AZ$9:$AZ$25,"")</f>
        <v>0</v>
      </c>
      <c r="W15" s="89"/>
      <c r="X15" s="89">
        <f>_xlfn.XLOOKUP(_xlfn.XLOOKUP($AT$6&amp;$B15,公表[班別+時段],公表[備勤7],""),$AY$9:$AY$25,$AZ$9:$AZ$25,"")</f>
        <v>0</v>
      </c>
      <c r="Y15" s="89">
        <f>_xlfn.XLOOKUP(_xlfn.XLOOKUP($AT$6&amp;$B15,公表[班別+時段],公表[備勤8],""),$AY$9:$AY$25,$AZ$9:$AZ$25,"")</f>
        <v>0</v>
      </c>
      <c r="Z15" s="89"/>
      <c r="AA15" s="89"/>
      <c r="AB15" s="89"/>
      <c r="AC15" s="89"/>
      <c r="AD15" s="89"/>
      <c r="AE15" s="89"/>
      <c r="AF15" s="104">
        <f>_xlfn.XLOOKUP(_xlfn.XLOOKUP($AT$6&amp;$B15,公表[班別+時段],公表[指揮官],""),$AY$9:$AY$25,$AZ$9:$AZ$25,"")</f>
        <v>1</v>
      </c>
      <c r="AG15" s="103"/>
      <c r="AH15" s="101"/>
      <c r="AI15" s="31">
        <v>13</v>
      </c>
      <c r="AJ15" s="31" t="str">
        <v>葉宗哲</v>
      </c>
      <c r="AK15" s="31">
        <v>24</v>
      </c>
      <c r="AL15" s="31" t="str">
        <v>賴俊豪</v>
      </c>
      <c r="AM15" s="101"/>
      <c r="AN15" s="102"/>
      <c r="AO15" s="214"/>
      <c r="AP15" s="127">
        <v>7</v>
      </c>
      <c r="AQ15" s="127" t="str">
        <v>包華先</v>
      </c>
      <c r="AR15" s="127" t="str" cm="1">
        <f t="array" ref="AR15">IFERROR(_xlfn.XLOOKUP(_xlfn.XLOOKUP($AR$3,輪休基準表!$C$6:$C$36,_xlfn.XLOOKUP(AQ15,輪休基準表!$E$5:$AF$5,輪休基準表!$E$6:$AF$36,""),""),班別參數!$A$4:$A$20,班別參數!$B$4:$B$20,""),"")</f>
        <v>月補</v>
      </c>
      <c r="AS15" s="120" t="str" cm="1">
        <f t="array" ref="AS15">_xlfn.LET(
    _xlpm.番號, COUNTIF($AZ$9:$AZ$24, $AP15),
    _xlpm.已排, _xlpm.番號 &gt; 0,
    _xlpm.上班, (AR15="上班"),
    _xlfn.IFS(
        _xlpm.番號 &gt; 1, "重複",
        AND(_xlpm.上班, NOT(_xlpm.已排)), "未排",
        AND(NOT(_xlpm.上班),_xlpm.已排), "沒上班",
        _xlpm.已排, "已排",
        TRUE, ""
    )
)</f>
        <v/>
      </c>
      <c r="AT15" s="170" t="str">
        <f t="shared" si="0"/>
        <v/>
      </c>
      <c r="AU15" s="180" t="str">
        <f t="shared" si="1"/>
        <v/>
      </c>
      <c r="AV15" s="180" t="str">
        <f t="shared" si="2"/>
        <v/>
      </c>
      <c r="AW15" s="25"/>
      <c r="AX15" s="33" t="str">
        <f t="array" ref="AX15">INDEX(班別參數!$D$4:$D$20,ROW()-7,MATCH($AX$8,班別參數!$D$4:$D$20,0))</f>
        <v>20-22</v>
      </c>
      <c r="AY15" s="34" t="str">
        <f t="array" ref="AY15">IFERROR(INDEX(班別參數!$D$4:$S$20,MATCH(AX15,班別參數!$D$4:$D$20,0),MATCH($AT$6,班別參數!$D$4:$S$4,0)),"")</f>
        <v>F</v>
      </c>
      <c r="AZ15" s="38">
        <v>27</v>
      </c>
      <c r="BA15" s="13"/>
      <c r="BB15" s="33" t="s">
        <v>41</v>
      </c>
      <c r="BC15" s="34" t="str">
        <f t="array" ref="BC15">IFERROR(INDEX(班別參數!$D$23:$S$35,MATCH(BB15,班別參數!$D$23:$D$35,0),MATCH($AT$6,班別參數!$D$23:$S$23,0)),"")</f>
        <v>C</v>
      </c>
      <c r="BD15" s="39" t="str">
        <f t="shared" si="3"/>
        <v>24</v>
      </c>
      <c r="BE15" s="127"/>
    </row>
    <row r="16" spans="2:57" ht="30" customHeight="1">
      <c r="B16" s="83" t="s">
        <v>79</v>
      </c>
      <c r="C16" s="90">
        <f>_xlfn.XLOOKUP(_xlfn.XLOOKUP($AT$6&amp;$B16,公表[班別+時段],公表[值班],""),$AY$9:$AY$25,$AZ$9:$AZ$25,"")</f>
        <v>24</v>
      </c>
      <c r="D16" s="242"/>
      <c r="E16" s="261"/>
      <c r="F16" s="245"/>
      <c r="G16" s="409">
        <v>28</v>
      </c>
      <c r="H16" s="121" t="str">
        <f>IF(BD12="","",BD12)</f>
        <v/>
      </c>
      <c r="I16" s="316" t="str">
        <f>AZ3</f>
        <v>環境整理</v>
      </c>
      <c r="J16" s="94">
        <f>_xlfn.XLOOKUP(_xlfn.XLOOKUP($AT$6&amp;$B16,公表[班別+時段],公表[救護1],""),$AY$9:$AY$25,$AZ$9:$AZ$25,"")</f>
        <v>27</v>
      </c>
      <c r="K16" s="94">
        <f>_xlfn.XLOOKUP(_xlfn.XLOOKUP($AT$6&amp;$B16,公表[班別+時段],公表[救護2],""),$AY$9:$AY$25,$AZ$9:$AZ$25,"")</f>
        <v>11</v>
      </c>
      <c r="L16" s="94"/>
      <c r="M16" s="90" t="s">
        <v>212</v>
      </c>
      <c r="N16" s="312"/>
      <c r="O16" s="90">
        <f>_xlfn.XLOOKUP(_xlfn.XLOOKUP($AT$6&amp;$B16,公表[班別+時段],公表[備勤1],""),$AY$9:$AY$25,$AZ$9:$AZ$25,"")</f>
        <v>14</v>
      </c>
      <c r="P16" s="90">
        <f>_xlfn.XLOOKUP(_xlfn.XLOOKUP($AT$6&amp;$B16,公表[班別+時段],公表[備勤2],""),$AY$9:$AY$25,$AZ$9:$AZ$25,"")</f>
        <v>15</v>
      </c>
      <c r="Q16" s="90"/>
      <c r="R16" s="90"/>
      <c r="S16" s="90">
        <f>_xlfn.XLOOKUP(_xlfn.XLOOKUP($AT$6&amp;$B16,公表[班別+時段],公表[備勤4],""),$AY$9:$AY$25,$AZ$9:$AZ$25,"")</f>
        <v>13</v>
      </c>
      <c r="T16" s="90"/>
      <c r="U16" s="90">
        <f>_xlfn.XLOOKUP(_xlfn.XLOOKUP($AT$6&amp;$B16,公表[班別+時段],公表[備勤5],""),$AY$9:$AY$25,$AZ$9:$AZ$25,"")</f>
        <v>3</v>
      </c>
      <c r="V16" s="90">
        <f>_xlfn.XLOOKUP(_xlfn.XLOOKUP($AT$6&amp;$B16,公表[班別+時段],公表[備勤6],""),$AY$9:$AY$25,$AZ$9:$AZ$25,"")</f>
        <v>0</v>
      </c>
      <c r="W16" s="90"/>
      <c r="X16" s="90">
        <f>_xlfn.XLOOKUP(_xlfn.XLOOKUP($AT$6&amp;$B16,公表[班別+時段],公表[備勤7],""),$AY$9:$AY$25,$AZ$9:$AZ$25,"")</f>
        <v>0</v>
      </c>
      <c r="Y16" s="90">
        <f>_xlfn.XLOOKUP(_xlfn.XLOOKUP($AT$6&amp;$B16,公表[班別+時段],公表[備勤8],""),$AY$9:$AY$25,$AZ$9:$AZ$25,"")</f>
        <v>0</v>
      </c>
      <c r="Z16" s="90"/>
      <c r="AA16" s="90"/>
      <c r="AB16" s="90"/>
      <c r="AC16" s="90"/>
      <c r="AD16" s="90"/>
      <c r="AE16" s="90"/>
      <c r="AF16" s="91">
        <f>_xlfn.XLOOKUP(_xlfn.XLOOKUP($AT$6&amp;$B16,公表[班別+時段],公表[指揮官],""),$AY$9:$AY$25,$AZ$9:$AZ$25,"")</f>
        <v>1</v>
      </c>
      <c r="AG16" s="103"/>
      <c r="AH16" s="101"/>
      <c r="AI16" s="31">
        <v>14</v>
      </c>
      <c r="AJ16" s="31" t="str">
        <v>王浩任</v>
      </c>
      <c r="AK16" s="31">
        <v>25</v>
      </c>
      <c r="AL16" s="31" t="str">
        <v>郭國偵</v>
      </c>
      <c r="AM16" s="101"/>
      <c r="AN16" s="102"/>
      <c r="AO16" s="214"/>
      <c r="AP16" s="127">
        <v>8</v>
      </c>
      <c r="AQ16" s="127" t="str">
        <v>曾彥綸</v>
      </c>
      <c r="AR16" s="127" t="str" cm="1">
        <f t="array" ref="AR16">IFERROR(_xlfn.XLOOKUP(_xlfn.XLOOKUP($AR$3,輪休基準表!$C$6:$C$36,_xlfn.XLOOKUP(AQ16,輪休基準表!$E$5:$AF$5,輪休基準表!$E$6:$AF$36,""),""),班別參數!$A$4:$A$20,班別參數!$B$4:$B$20,""),"")</f>
        <v>輪休</v>
      </c>
      <c r="AS16" s="120" t="str" cm="1">
        <f t="array" ref="AS16">_xlfn.LET(
    _xlpm.番號, COUNTIF($AZ$9:$AZ$24, $AP16),
    _xlpm.已排, _xlpm.番號 &gt; 0,
    _xlpm.上班, (AR16="上班"),
    _xlfn.IFS(
        _xlpm.番號 &gt; 1, "重複",
        AND(_xlpm.上班, NOT(_xlpm.已排)), "未排",
        AND(NOT(_xlpm.上班),_xlpm.已排), "沒上班",
        _xlpm.已排, "已排",
        TRUE, ""
    )
)</f>
        <v/>
      </c>
      <c r="AT16" s="170" t="str">
        <f t="shared" si="0"/>
        <v/>
      </c>
      <c r="AU16" s="180" t="str">
        <f t="shared" si="1"/>
        <v/>
      </c>
      <c r="AV16" s="180" t="str">
        <f t="shared" si="2"/>
        <v/>
      </c>
      <c r="AW16" s="25"/>
      <c r="AX16" s="33" t="str">
        <f t="array" ref="AX16">INDEX(班別參數!$D$4:$D$20,ROW()-7,MATCH($AX$8,班別參數!$D$4:$D$20,0))</f>
        <v>22-08</v>
      </c>
      <c r="AY16" s="34" t="str">
        <f t="array" ref="AY16">IFERROR(INDEX(班別參數!$D$4:$S$20,MATCH(AX16,班別參數!$D$4:$D$20,0),MATCH($AT$6,班別參數!$D$4:$S$4,0)),"")</f>
        <v>H</v>
      </c>
      <c r="AZ16" s="38">
        <v>11</v>
      </c>
      <c r="BA16" s="13"/>
      <c r="BB16" s="33" t="s">
        <v>64</v>
      </c>
      <c r="BC16" s="34" t="str">
        <f t="array" ref="BC16">IFERROR(INDEX(班別參數!$D$23:$S$35,MATCH(BB16,班別參數!$D$23:$D$35,0),MATCH($AT$6,班別參數!$D$23:$S$23,0)),"")</f>
        <v/>
      </c>
      <c r="BD16" s="39" t="str">
        <f t="shared" si="3"/>
        <v/>
      </c>
      <c r="BE16" s="127"/>
    </row>
    <row r="17" spans="2:57" ht="30" customHeight="1">
      <c r="B17" s="81" t="s">
        <v>80</v>
      </c>
      <c r="C17" s="87">
        <f>_xlfn.XLOOKUP(_xlfn.XLOOKUP($AT$6&amp;$B17,公表[班別+時段],公表[值班],""),$AY$9:$AY$25,$AZ$9:$AZ$25,"")</f>
        <v>24</v>
      </c>
      <c r="D17" s="238"/>
      <c r="E17" s="246"/>
      <c r="F17" s="243"/>
      <c r="G17" s="410"/>
      <c r="H17" s="122" t="str">
        <f>IF(BD12="","",BD12)</f>
        <v/>
      </c>
      <c r="I17" s="314"/>
      <c r="J17" s="92">
        <f>_xlfn.XLOOKUP(_xlfn.XLOOKUP($AT$6&amp;$B17,公表[班別+時段],公表[救護1],""),$AY$9:$AY$25,$AZ$9:$AZ$25,"")</f>
        <v>27</v>
      </c>
      <c r="K17" s="92">
        <f>_xlfn.XLOOKUP(_xlfn.XLOOKUP($AT$6&amp;$B17,公表[班別+時段],公表[救護2],""),$AY$9:$AY$25,$AZ$9:$AZ$25,"")</f>
        <v>11</v>
      </c>
      <c r="L17" s="92"/>
      <c r="M17" s="87" t="s">
        <v>212</v>
      </c>
      <c r="N17" s="312"/>
      <c r="O17" s="87">
        <f>_xlfn.XLOOKUP(_xlfn.XLOOKUP($AT$6&amp;$B17,公表[班別+時段],公表[備勤1],""),$AY$9:$AY$25,$AZ$9:$AZ$25,"")</f>
        <v>14</v>
      </c>
      <c r="P17" s="87">
        <f>_xlfn.XLOOKUP(_xlfn.XLOOKUP($AT$6&amp;$B17,公表[班別+時段],公表[備勤2],""),$AY$9:$AY$25,$AZ$9:$AZ$25,"")</f>
        <v>15</v>
      </c>
      <c r="Q17" s="87"/>
      <c r="R17" s="87"/>
      <c r="S17" s="87">
        <f>_xlfn.XLOOKUP(_xlfn.XLOOKUP($AT$6&amp;$B17,公表[班別+時段],公表[備勤4],""),$AY$9:$AY$25,$AZ$9:$AZ$25,"")</f>
        <v>13</v>
      </c>
      <c r="T17" s="87"/>
      <c r="U17" s="87">
        <f>_xlfn.XLOOKUP(_xlfn.XLOOKUP($AT$6&amp;$B17,公表[班別+時段],公表[備勤5],""),$AY$9:$AY$25,$AZ$9:$AZ$25,"")</f>
        <v>3</v>
      </c>
      <c r="V17" s="87">
        <f>_xlfn.XLOOKUP(_xlfn.XLOOKUP($AT$6&amp;$B17,公表[班別+時段],公表[備勤6],""),$AY$9:$AY$25,$AZ$9:$AZ$25,"")</f>
        <v>0</v>
      </c>
      <c r="W17" s="87"/>
      <c r="X17" s="87">
        <f>_xlfn.XLOOKUP(_xlfn.XLOOKUP($AT$6&amp;$B17,公表[班別+時段],公表[備勤7],""),$AY$9:$AY$25,$AZ$9:$AZ$25,"")</f>
        <v>0</v>
      </c>
      <c r="Y17" s="87">
        <f>_xlfn.XLOOKUP(_xlfn.XLOOKUP($AT$6&amp;$B17,公表[班別+時段],公表[備勤8],""),$AY$9:$AY$25,$AZ$9:$AZ$25,"")</f>
        <v>0</v>
      </c>
      <c r="Z17" s="87"/>
      <c r="AA17" s="87"/>
      <c r="AB17" s="87"/>
      <c r="AC17" s="87"/>
      <c r="AD17" s="87"/>
      <c r="AE17" s="87"/>
      <c r="AF17" s="88">
        <f>_xlfn.XLOOKUP(_xlfn.XLOOKUP($AT$6&amp;$B17,公表[班別+時段],公表[指揮官],""),$AY$9:$AY$25,$AZ$9:$AZ$25,"")</f>
        <v>1</v>
      </c>
      <c r="AG17" s="103"/>
      <c r="AH17" s="101"/>
      <c r="AI17" s="31">
        <v>15</v>
      </c>
      <c r="AJ17" s="31" t="str">
        <v>李仕詮</v>
      </c>
      <c r="AK17" s="31">
        <v>26</v>
      </c>
      <c r="AL17" s="31" t="str">
        <v>楊紹文</v>
      </c>
      <c r="AM17" s="101"/>
      <c r="AN17" s="102"/>
      <c r="AO17" s="214"/>
      <c r="AP17" s="127">
        <v>9</v>
      </c>
      <c r="AQ17" s="127" t="str">
        <v>鍾佳諭</v>
      </c>
      <c r="AR17" s="127" t="str" cm="1">
        <f t="array" ref="AR17">IFERROR(_xlfn.XLOOKUP(_xlfn.XLOOKUP($AR$3,輪休基準表!$C$6:$C$36,_xlfn.XLOOKUP(AQ17,輪休基準表!$E$5:$AF$5,輪休基準表!$E$6:$AF$36,""),""),班別參數!$A$4:$A$20,班別參數!$B$4:$B$20,""),"")</f>
        <v>輪休</v>
      </c>
      <c r="AS17" s="120" t="str" cm="1">
        <f t="array" ref="AS17">_xlfn.LET(
    _xlpm.番號, COUNTIF($AZ$9:$AZ$24, $AP17),
    _xlpm.已排, _xlpm.番號 &gt; 0,
    _xlpm.上班, (AR17="上班"),
    _xlfn.IFS(
        _xlpm.番號 &gt; 1, "重複",
        AND(_xlpm.上班, NOT(_xlpm.已排)), "未排",
        AND(NOT(_xlpm.上班),_xlpm.已排), "沒上班",
        _xlpm.已排, "已排",
        TRUE, ""
    )
)</f>
        <v/>
      </c>
      <c r="AT17" s="170" t="str">
        <f t="shared" si="0"/>
        <v/>
      </c>
      <c r="AU17" s="180" t="str">
        <f t="shared" si="1"/>
        <v/>
      </c>
      <c r="AV17" s="180" t="str">
        <f t="shared" si="2"/>
        <v/>
      </c>
      <c r="AW17" s="25"/>
      <c r="AX17" s="33" t="str">
        <f t="array" ref="AX17">INDEX(班別參數!$D$4:$D$20,ROW()-7,MATCH($AX$8,班別參數!$D$4:$D$20,0))</f>
        <v>無班1</v>
      </c>
      <c r="AY17" s="34">
        <f t="array" ref="AY17">IFERROR(INDEX(班別參數!$D$4:$S$20,MATCH(AX17,班別參數!$D$4:$D$20,0),MATCH($AT$6,班別參數!$D$4:$S$4,0)),"")</f>
        <v>0</v>
      </c>
      <c r="AZ17" s="38"/>
      <c r="BA17" s="13"/>
      <c r="BB17" s="33" t="s">
        <v>356</v>
      </c>
      <c r="BC17" s="34" t="str">
        <f t="array" ref="BC17">IFERROR(INDEX(班別參數!$D$23:$S$35,MATCH(BB17,班別參數!$D$23:$D$35,0),MATCH($AT$6,班別參數!$D$23:$S$23,0)),"")</f>
        <v/>
      </c>
      <c r="BD17" s="39" t="str">
        <f t="shared" si="3"/>
        <v/>
      </c>
      <c r="BE17" s="127"/>
    </row>
    <row r="18" spans="2:57" ht="30" customHeight="1">
      <c r="B18" s="81" t="s">
        <v>81</v>
      </c>
      <c r="C18" s="87">
        <f>_xlfn.XLOOKUP(_xlfn.XLOOKUP($AT$6&amp;$B18,公表[班別+時段],公表[值班],""),$AY$9:$AY$25,$AZ$9:$AZ$25,"")</f>
        <v>13</v>
      </c>
      <c r="D18" s="413" t="s">
        <v>348</v>
      </c>
      <c r="E18" s="247"/>
      <c r="F18" s="243"/>
      <c r="G18" s="100"/>
      <c r="H18" s="122" t="str">
        <f>IF(BD13="","",BD13)</f>
        <v>28</v>
      </c>
      <c r="I18" s="297"/>
      <c r="J18" s="92">
        <f>_xlfn.XLOOKUP(_xlfn.XLOOKUP($AT$6&amp;$B18,公表[班別+時段],公表[救護1],""),$AY$9:$AY$25,$AZ$9:$AZ$25,"")</f>
        <v>27</v>
      </c>
      <c r="K18" s="92">
        <f>_xlfn.XLOOKUP(_xlfn.XLOOKUP($AT$6&amp;$B18,公表[班別+時段],公表[救護2],""),$AY$9:$AY$25,$AZ$9:$AZ$25,"")</f>
        <v>15</v>
      </c>
      <c r="L18" s="92"/>
      <c r="M18" s="87" t="s">
        <v>212</v>
      </c>
      <c r="N18" s="312"/>
      <c r="O18" s="87">
        <v>14</v>
      </c>
      <c r="P18" s="87">
        <f>_xlfn.XLOOKUP(_xlfn.XLOOKUP($AT$6&amp;$B18,公表[班別+時段],公表[備勤2],""),$AY$9:$AY$25,$AZ$9:$AZ$25,"")</f>
        <v>11</v>
      </c>
      <c r="Q18" s="87"/>
      <c r="R18" s="87"/>
      <c r="S18" s="87">
        <f>_xlfn.XLOOKUP(_xlfn.XLOOKUP($AT$6&amp;$B18,公表[班別+時段],公表[備勤4],""),$AY$9:$AY$25,$AZ$9:$AZ$25,"")</f>
        <v>0</v>
      </c>
      <c r="T18" s="87"/>
      <c r="U18" s="87"/>
      <c r="V18" s="87">
        <f>_xlfn.XLOOKUP(_xlfn.XLOOKUP($AT$6&amp;$B18,公表[班別+時段],公表[備勤6],""),$AY$9:$AY$25,$AZ$9:$AZ$25,"")</f>
        <v>0</v>
      </c>
      <c r="W18" s="87"/>
      <c r="X18" s="87">
        <f>_xlfn.XLOOKUP(_xlfn.XLOOKUP($AT$6&amp;$B18,公表[班別+時段],公表[備勤7],""),$AY$9:$AY$25,$AZ$9:$AZ$25,"")</f>
        <v>0</v>
      </c>
      <c r="Y18" s="87">
        <f>_xlfn.XLOOKUP(_xlfn.XLOOKUP($AT$6&amp;$B18,公表[班別+時段],公表[備勤8],""),$AY$9:$AY$25,$AZ$9:$AZ$25,"")</f>
        <v>0</v>
      </c>
      <c r="Z18" s="87"/>
      <c r="AA18" s="87"/>
      <c r="AB18" s="87"/>
      <c r="AC18" s="87"/>
      <c r="AD18" s="87"/>
      <c r="AE18" s="87"/>
      <c r="AF18" s="88">
        <v>3</v>
      </c>
      <c r="AG18" s="103"/>
      <c r="AH18" s="101"/>
      <c r="AI18" s="31">
        <v>16</v>
      </c>
      <c r="AJ18" s="31" t="str">
        <v>楊弘宇</v>
      </c>
      <c r="AK18" s="31">
        <v>27</v>
      </c>
      <c r="AL18" s="31" t="str">
        <v>林宏為</v>
      </c>
      <c r="AM18" s="101"/>
      <c r="AN18" s="102"/>
      <c r="AO18" s="214"/>
      <c r="AP18" s="127">
        <v>10</v>
      </c>
      <c r="AQ18" s="127" t="str">
        <v>林宏澤</v>
      </c>
      <c r="AR18" s="127" t="str" cm="1">
        <f t="array" ref="AR18">IFERROR(_xlfn.XLOOKUP(_xlfn.XLOOKUP($AR$3,輪休基準表!$C$6:$C$36,_xlfn.XLOOKUP(AQ18,輪休基準表!$E$5:$AF$5,輪休基準表!$E$6:$AF$36,""),""),班別參數!$A$4:$A$20,班別參數!$B$4:$B$20,""),"")</f>
        <v>月補</v>
      </c>
      <c r="AS18" s="120" t="str" cm="1">
        <f t="array" ref="AS18">_xlfn.LET(
    _xlpm.番號, COUNTIF($AZ$9:$AZ$24, $AP18),
    _xlpm.已排, _xlpm.番號 &gt; 0,
    _xlpm.上班, (AR18="上班"),
    _xlfn.IFS(
        _xlpm.番號 &gt; 1, "重複",
        AND(_xlpm.上班, NOT(_xlpm.已排)), "未排",
        AND(NOT(_xlpm.上班),_xlpm.已排), "沒上班",
        _xlpm.已排, "已排",
        TRUE, ""
    )
)</f>
        <v/>
      </c>
      <c r="AT18" s="170" t="str">
        <f t="shared" si="0"/>
        <v/>
      </c>
      <c r="AU18" s="180" t="str">
        <f t="shared" si="1"/>
        <v/>
      </c>
      <c r="AV18" s="180" t="str">
        <f t="shared" si="2"/>
        <v/>
      </c>
      <c r="AW18" s="25"/>
      <c r="AX18" s="33" t="str">
        <f t="array" ref="AX18">INDEX(班別參數!$D$4:$D$20,ROW()-7,MATCH($AX$8,班別參數!$D$4:$D$20,0))</f>
        <v>無班2</v>
      </c>
      <c r="AY18" s="34">
        <f t="array" ref="AY18">IFERROR(INDEX(班別參數!$D$4:$S$20,MATCH(AX18,班別參數!$D$4:$D$20,0),MATCH($AT$6,班別參數!$D$4:$S$4,0)),"")</f>
        <v>0</v>
      </c>
      <c r="AZ18" s="38"/>
      <c r="BA18" s="13"/>
      <c r="BB18" s="33" t="s">
        <v>65</v>
      </c>
      <c r="BC18" s="34" t="str">
        <f t="array" ref="BC18">IFERROR(INDEX(班別參數!$D$23:$S$35,MATCH(BB18,班別參數!$D$23:$D$35,0),MATCH($AT$6,班別參數!$D$23:$S$23,0)),"")</f>
        <v/>
      </c>
      <c r="BD18" s="39" t="str">
        <f t="shared" si="3"/>
        <v/>
      </c>
      <c r="BE18" s="127"/>
    </row>
    <row r="19" spans="2:57" ht="30" customHeight="1" thickBot="1">
      <c r="B19" s="110" t="s">
        <v>82</v>
      </c>
      <c r="C19" s="89">
        <f>_xlfn.XLOOKUP(_xlfn.XLOOKUP($AT$6&amp;$B19,公表[班別+時段],公表[值班],""),$AY$9:$AY$25,$AZ$9:$AZ$25,"")</f>
        <v>13</v>
      </c>
      <c r="D19" s="414"/>
      <c r="E19" s="260"/>
      <c r="F19" s="106"/>
      <c r="G19" s="236"/>
      <c r="H19" s="123" t="str">
        <f>IF(BD13="","",BD13)</f>
        <v>28</v>
      </c>
      <c r="I19" s="107"/>
      <c r="J19" s="216">
        <f>_xlfn.XLOOKUP(_xlfn.XLOOKUP($AT$6&amp;$B19,公表[班別+時段],公表[救護1],""),$AY$9:$AY$25,$AZ$9:$AZ$25,"")</f>
        <v>27</v>
      </c>
      <c r="K19" s="216">
        <f>_xlfn.XLOOKUP(_xlfn.XLOOKUP($AT$6&amp;$B19,公表[班別+時段],公表[救護2],""),$AY$9:$AY$25,$AZ$9:$AZ$25,"")</f>
        <v>15</v>
      </c>
      <c r="L19" s="105"/>
      <c r="M19" s="93" t="s">
        <v>212</v>
      </c>
      <c r="N19" s="312"/>
      <c r="O19" s="89">
        <v>14</v>
      </c>
      <c r="P19" s="89">
        <f>_xlfn.XLOOKUP(_xlfn.XLOOKUP($AT$6&amp;$B19,公表[班別+時段],公表[備勤2],""),$AY$9:$AY$25,$AZ$9:$AZ$25,"")</f>
        <v>11</v>
      </c>
      <c r="Q19" s="89"/>
      <c r="R19" s="89"/>
      <c r="S19" s="89">
        <f>_xlfn.XLOOKUP(_xlfn.XLOOKUP($AT$6&amp;$B19,公表[班別+時段],公表[備勤4],""),$AY$9:$AY$25,$AZ$9:$AZ$25,"")</f>
        <v>0</v>
      </c>
      <c r="T19" s="89"/>
      <c r="U19" s="89"/>
      <c r="V19" s="89">
        <f>_xlfn.XLOOKUP(_xlfn.XLOOKUP($AT$6&amp;$B19,公表[班別+時段],公表[備勤6],""),$AY$9:$AY$25,$AZ$9:$AZ$25,"")</f>
        <v>0</v>
      </c>
      <c r="W19" s="89"/>
      <c r="X19" s="89">
        <f>_xlfn.XLOOKUP(_xlfn.XLOOKUP($AT$6&amp;$B19,公表[班別+時段],公表[備勤7],""),$AY$9:$AY$25,$AZ$9:$AZ$25,"")</f>
        <v>0</v>
      </c>
      <c r="Y19" s="89">
        <f>_xlfn.XLOOKUP(_xlfn.XLOOKUP($AT$6&amp;$B19,公表[班別+時段],公表[備勤8],""),$AY$9:$AY$25,$AZ$9:$AZ$25,"")</f>
        <v>0</v>
      </c>
      <c r="Z19" s="89"/>
      <c r="AA19" s="89"/>
      <c r="AB19" s="89"/>
      <c r="AC19" s="89"/>
      <c r="AD19" s="89"/>
      <c r="AE19" s="89"/>
      <c r="AF19" s="104">
        <v>3</v>
      </c>
      <c r="AG19" s="103"/>
      <c r="AH19" s="101"/>
      <c r="AI19" s="101"/>
      <c r="AJ19" s="101"/>
      <c r="AK19" s="31">
        <v>28</v>
      </c>
      <c r="AL19" s="31" t="str">
        <v>林宸彥</v>
      </c>
      <c r="AM19" s="101"/>
      <c r="AN19" s="102"/>
      <c r="AO19" s="214"/>
      <c r="AP19" s="127">
        <v>11</v>
      </c>
      <c r="AQ19" s="127" t="str">
        <v>簡君諺</v>
      </c>
      <c r="AR19" s="127" t="str" cm="1">
        <f t="array" ref="AR19">IFERROR(_xlfn.XLOOKUP(_xlfn.XLOOKUP($AR$3,輪休基準表!$C$6:$C$36,_xlfn.XLOOKUP(AQ19,輪休基準表!$E$5:$AF$5,輪休基準表!$E$6:$AF$36,""),""),班別參數!$A$4:$A$20,班別參數!$B$4:$B$20,""),"")</f>
        <v>上班</v>
      </c>
      <c r="AS19" s="120" t="str" cm="1">
        <f t="array" ref="AS19">_xlfn.LET(
    _xlpm.番號, COUNTIF($AZ$9:$AZ$24, $AP19),
    _xlpm.已排, _xlpm.番號 &gt; 0,
    _xlpm.上班, (AR19="上班"),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T19" s="170" t="str">
        <f t="shared" si="0"/>
        <v>已排</v>
      </c>
      <c r="AU19" s="180">
        <f t="shared" si="1"/>
        <v>6</v>
      </c>
      <c r="AV19" s="180">
        <f t="shared" si="2"/>
        <v>4</v>
      </c>
      <c r="AW19" s="25"/>
      <c r="AX19" s="33" t="str">
        <f t="array" ref="AX19">INDEX(班別參數!$D$4:$D$20,ROW()-7,MATCH($AX$8,班別參數!$D$4:$D$20,0))</f>
        <v>指揮官</v>
      </c>
      <c r="AY19" s="34" t="str">
        <f t="array" ref="AY19">IFERROR(INDEX(班別參數!$D$4:$S$20,MATCH(AX19,班別參數!$D$4:$D$20,0),MATCH($AT$6,班別參數!$D$4:$S$4,0)),"")</f>
        <v>K</v>
      </c>
      <c r="AZ19" s="38" cm="1">
        <f t="array" ref="AZ19:AZ20">IF(AY19="","",_xlfn._xlws.FILTER($AP$9:$AP$13,$AR$9:$AR$13="上班",""))</f>
        <v>1</v>
      </c>
      <c r="BA19" s="13"/>
      <c r="BB19" s="33" t="s">
        <v>66</v>
      </c>
      <c r="BC19" s="34" t="str">
        <f t="array" ref="BC19">IFERROR(INDEX(班別參數!$D$23:$S$35,MATCH(BB19,班別參數!$D$23:$D$35,0),MATCH($AT$6,班別參數!$D$23:$S$23,0)),"")</f>
        <v/>
      </c>
      <c r="BD19" s="39" t="str">
        <f t="shared" si="3"/>
        <v/>
      </c>
      <c r="BE19" s="127"/>
    </row>
    <row r="20" spans="2:57" ht="30" customHeight="1" thickBot="1">
      <c r="B20" s="83" t="s">
        <v>83</v>
      </c>
      <c r="C20" s="90">
        <f>_xlfn.XLOOKUP(_xlfn.XLOOKUP($AT$6&amp;$B20,公表[班別+時段],公表[值班],""),$AY$9:$AY$25,$AZ$9:$AZ$25,"")</f>
        <v>3</v>
      </c>
      <c r="D20" s="97"/>
      <c r="E20" s="97"/>
      <c r="F20" s="97"/>
      <c r="G20" s="97"/>
      <c r="H20" s="121" t="str">
        <f>IF(BD14="","",BD14)</f>
        <v>14</v>
      </c>
      <c r="I20" s="55"/>
      <c r="J20" s="94">
        <f>_xlfn.XLOOKUP(_xlfn.XLOOKUP($AT$6&amp;$B20,公表[班別+時段],公表[救護1],""),$AY$9:$AY$25,$AZ$9:$AZ$25,"")</f>
        <v>13</v>
      </c>
      <c r="K20" s="94">
        <f>_xlfn.XLOOKUP(_xlfn.XLOOKUP($AT$6&amp;$B20,公表[班別+時段],公表[救護2],""),$AY$9:$AY$25,$AZ$9:$AZ$25,"")</f>
        <v>11</v>
      </c>
      <c r="L20" s="94"/>
      <c r="M20" s="90" t="s">
        <v>212</v>
      </c>
      <c r="N20" s="312"/>
      <c r="O20" s="90">
        <f>_xlfn.XLOOKUP(_xlfn.XLOOKUP($AT$6&amp;$B20,公表[班別+時段],公表[備勤1],""),$AY$9:$AY$25,$AZ$9:$AZ$25,"")</f>
        <v>15</v>
      </c>
      <c r="P20" s="90">
        <f>_xlfn.XLOOKUP(_xlfn.XLOOKUP($AT$6&amp;$B20,公表[班別+時段],公表[備勤2],""),$AY$9:$AY$25,$AZ$9:$AZ$25,"")</f>
        <v>28</v>
      </c>
      <c r="Q20" s="90"/>
      <c r="R20" s="90">
        <f>_xlfn.XLOOKUP(_xlfn.XLOOKUP($AT$6&amp;$B20,公表[班別+時段],公表[備勤3],""),$AY$9:$AY$25,$AZ$9:$AZ$25,"")</f>
        <v>24</v>
      </c>
      <c r="S20" s="90">
        <f>_xlfn.XLOOKUP(_xlfn.XLOOKUP($AT$6&amp;$B20,公表[班別+時段],公表[備勤4],""),$AY$9:$AY$25,$AZ$9:$AZ$25,"")</f>
        <v>27</v>
      </c>
      <c r="T20" s="90"/>
      <c r="U20" s="90">
        <f>_xlfn.XLOOKUP(_xlfn.XLOOKUP($AT$6&amp;$B20,公表[班別+時段],公表[備勤5],""),$AY$9:$AY$25,$AZ$9:$AZ$25,"")</f>
        <v>0</v>
      </c>
      <c r="V20" s="90">
        <f>_xlfn.XLOOKUP(_xlfn.XLOOKUP($AT$6&amp;$B20,公表[班別+時段],公表[備勤6],""),$AY$9:$AY$25,$AZ$9:$AZ$25,"")</f>
        <v>0</v>
      </c>
      <c r="W20" s="90"/>
      <c r="X20" s="90">
        <f>_xlfn.XLOOKUP(_xlfn.XLOOKUP($AT$6&amp;$B20,公表[班別+時段],公表[備勤7],""),$AY$9:$AY$25,$AZ$9:$AZ$25,"")</f>
        <v>0</v>
      </c>
      <c r="Y20" s="90">
        <f>_xlfn.XLOOKUP(_xlfn.XLOOKUP($AT$6&amp;$B20,公表[班別+時段],公表[備勤8],""),$AY$9:$AY$25,$AZ$9:$AZ$25,"")</f>
        <v>0</v>
      </c>
      <c r="Z20" s="90"/>
      <c r="AA20" s="90"/>
      <c r="AB20" s="90"/>
      <c r="AC20" s="90"/>
      <c r="AD20" s="90"/>
      <c r="AE20" s="90"/>
      <c r="AF20" s="91">
        <f>_xlfn.XLOOKUP(_xlfn.XLOOKUP($AT$6&amp;$B20,公表[班別+時段],公表[指揮官],""),$AY$9:$AY$25,$AZ$9:$AZ$25,"")</f>
        <v>1</v>
      </c>
      <c r="AG20" s="103"/>
      <c r="AH20" s="101"/>
      <c r="AI20" s="101"/>
      <c r="AJ20" s="101"/>
      <c r="AK20" s="101"/>
      <c r="AL20" s="101"/>
      <c r="AM20" s="101"/>
      <c r="AN20" s="102"/>
      <c r="AO20" s="214"/>
      <c r="AP20" s="127">
        <v>12</v>
      </c>
      <c r="AQ20" s="127" t="str">
        <v>王昱勛</v>
      </c>
      <c r="AR20" s="127" t="str" cm="1">
        <f t="array" ref="AR20">IFERROR(_xlfn.XLOOKUP(_xlfn.XLOOKUP($AR$3,輪休基準表!$C$6:$C$36,_xlfn.XLOOKUP(AQ20,輪休基準表!$E$5:$AF$5,輪休基準表!$E$6:$AF$36,""),""),班別參數!$A$4:$A$20,班別參數!$B$4:$B$20,""),"")</f>
        <v>補休</v>
      </c>
      <c r="AS20" s="120" t="str" cm="1">
        <f t="array" ref="AS20">_xlfn.LET(
    _xlpm.番號, COUNTIF($AZ$9:$AZ$24, $AP20),
    _xlpm.已排, _xlpm.番號 &gt; 0,
    _xlpm.上班, (AR20="上班"),
    _xlfn.IFS(
        _xlpm.番號 &gt; 1, "重複",
        AND(_xlpm.上班, NOT(_xlpm.已排)), "未排",
        AND(NOT(_xlpm.上班),_xlpm.已排), "沒上班",
        _xlpm.已排, "已排",
        TRUE, ""
    )
)</f>
        <v/>
      </c>
      <c r="AT20" s="170" t="str">
        <f t="shared" si="0"/>
        <v/>
      </c>
      <c r="AU20" s="180" t="str">
        <f t="shared" si="1"/>
        <v/>
      </c>
      <c r="AV20" s="180" t="str">
        <f t="shared" si="2"/>
        <v/>
      </c>
      <c r="AW20" s="25"/>
      <c r="AX20" s="33" t="str">
        <f t="array" ref="AX20">INDEX(班別參數!$D$4:$D$20,ROW()-7,MATCH($AX$8,班別參數!$D$4:$D$20,0))</f>
        <v>帶隊官</v>
      </c>
      <c r="AY20" s="34" t="str">
        <f t="array" ref="AY20">IFERROR(INDEX(班別參數!$D$4:$S$20,MATCH(AX20,班別參數!$D$4:$D$20,0),MATCH($AT$6,班別參數!$D$4:$S$4,0)),"")</f>
        <v>L</v>
      </c>
      <c r="AZ20" s="38">
        <v>3</v>
      </c>
      <c r="BA20" s="32"/>
      <c r="BB20" s="33" t="s">
        <v>67</v>
      </c>
      <c r="BC20" s="34" t="str">
        <f t="array" ref="BC20">IFERROR(INDEX(班別參數!$D$23:$S$35,MATCH(BB20,班別參數!$D$23:$D$35,0),MATCH($AT$6,班別參數!$D$23:$S$23,0)),"")</f>
        <v>G,L</v>
      </c>
      <c r="BD20" s="41" t="str">
        <f t="shared" si="3"/>
        <v>15,3</v>
      </c>
      <c r="BE20" s="127"/>
    </row>
    <row r="21" spans="2:57" ht="30" customHeight="1" thickBot="1">
      <c r="B21" s="81" t="s">
        <v>84</v>
      </c>
      <c r="C21" s="87">
        <f>_xlfn.XLOOKUP(_xlfn.XLOOKUP($AT$6&amp;$B21,公表[班別+時段],公表[值班],""),$AY$9:$AY$25,$AZ$9:$AZ$25,"")</f>
        <v>3</v>
      </c>
      <c r="D21" s="95"/>
      <c r="E21" s="95"/>
      <c r="F21" s="95"/>
      <c r="G21" s="95"/>
      <c r="H21" s="122" t="str">
        <f>IF(BD14="","",BD14)</f>
        <v>14</v>
      </c>
      <c r="I21" s="296" t="str">
        <f>AZ4</f>
        <v>器材車、化學(處理)車</v>
      </c>
      <c r="J21" s="92">
        <f>_xlfn.XLOOKUP(_xlfn.XLOOKUP($AT$6&amp;$B21,公表[班別+時段],公表[救護1],""),$AY$9:$AY$25,$AZ$9:$AZ$25,"")</f>
        <v>13</v>
      </c>
      <c r="K21" s="92">
        <f>_xlfn.XLOOKUP(_xlfn.XLOOKUP($AT$6&amp;$B21,公表[班別+時段],公表[救護2],""),$AY$9:$AY$25,$AZ$9:$AZ$25,"")</f>
        <v>11</v>
      </c>
      <c r="L21" s="92"/>
      <c r="M21" s="87" t="s">
        <v>212</v>
      </c>
      <c r="N21" s="312"/>
      <c r="O21" s="87">
        <f>_xlfn.XLOOKUP(_xlfn.XLOOKUP($AT$6&amp;$B21,公表[班別+時段],公表[備勤1],""),$AY$9:$AY$25,$AZ$9:$AZ$25,"")</f>
        <v>15</v>
      </c>
      <c r="P21" s="87">
        <f>_xlfn.XLOOKUP(_xlfn.XLOOKUP($AT$6&amp;$B21,公表[班別+時段],公表[備勤2],""),$AY$9:$AY$25,$AZ$9:$AZ$25,"")</f>
        <v>28</v>
      </c>
      <c r="Q21" s="87"/>
      <c r="R21" s="87">
        <f>_xlfn.XLOOKUP(_xlfn.XLOOKUP($AT$6&amp;$B21,公表[班別+時段],公表[備勤3],""),$AY$9:$AY$25,$AZ$9:$AZ$25,"")</f>
        <v>24</v>
      </c>
      <c r="S21" s="87">
        <f>_xlfn.XLOOKUP(_xlfn.XLOOKUP($AT$6&amp;$B21,公表[班別+時段],公表[備勤4],""),$AY$9:$AY$25,$AZ$9:$AZ$25,"")</f>
        <v>27</v>
      </c>
      <c r="T21" s="87"/>
      <c r="U21" s="87">
        <f>_xlfn.XLOOKUP(_xlfn.XLOOKUP($AT$6&amp;$B21,公表[班別+時段],公表[備勤5],""),$AY$9:$AY$25,$AZ$9:$AZ$25,"")</f>
        <v>0</v>
      </c>
      <c r="V21" s="87">
        <f>_xlfn.XLOOKUP(_xlfn.XLOOKUP($AT$6&amp;$B21,公表[班別+時段],公表[備勤6],""),$AY$9:$AY$25,$AZ$9:$AZ$25,"")</f>
        <v>0</v>
      </c>
      <c r="W21" s="87"/>
      <c r="X21" s="87">
        <f>_xlfn.XLOOKUP(_xlfn.XLOOKUP($AT$6&amp;$B21,公表[班別+時段],公表[備勤7],""),$AY$9:$AY$25,$AZ$9:$AZ$25,"")</f>
        <v>0</v>
      </c>
      <c r="Y21" s="87">
        <f>_xlfn.XLOOKUP(_xlfn.XLOOKUP($AT$6&amp;$B21,公表[班別+時段],公表[備勤8],""),$AY$9:$AY$25,$AZ$9:$AZ$25,"")</f>
        <v>0</v>
      </c>
      <c r="Z21" s="87"/>
      <c r="AA21" s="87"/>
      <c r="AB21" s="87"/>
      <c r="AC21" s="87"/>
      <c r="AD21" s="87"/>
      <c r="AE21" s="87"/>
      <c r="AF21" s="88">
        <f>_xlfn.XLOOKUP(_xlfn.XLOOKUP($AT$6&amp;$B21,公表[班別+時段],公表[指揮官],""),$AY$9:$AY$25,$AZ$9:$AZ$25,"")</f>
        <v>1</v>
      </c>
      <c r="AG21" s="103"/>
      <c r="AH21" s="101"/>
      <c r="AI21" s="101"/>
      <c r="AJ21" s="101"/>
      <c r="AK21" s="101"/>
      <c r="AL21" s="101"/>
      <c r="AM21" s="101"/>
      <c r="AN21" s="102"/>
      <c r="AO21" s="214"/>
      <c r="AP21" s="127">
        <v>13</v>
      </c>
      <c r="AQ21" s="127" t="str">
        <v>葉宗哲</v>
      </c>
      <c r="AR21" s="127" t="str" cm="1">
        <f t="array" ref="AR21">IFERROR(_xlfn.XLOOKUP(_xlfn.XLOOKUP($AR$3,輪休基準表!$C$6:$C$36,_xlfn.XLOOKUP(AQ21,輪休基準表!$E$5:$AF$5,輪休基準表!$E$6:$AF$36,""),""),班別參數!$A$4:$A$20,班別參數!$B$4:$B$20,""),"")</f>
        <v>上班</v>
      </c>
      <c r="AS21" s="120" t="str" cm="1">
        <f t="array" ref="AS21">_xlfn.LET(
    _xlpm.番號, COUNTIF($AZ$9:$AZ$24, $AP21),
    _xlpm.已排, _xlpm.番號 &gt; 0,
    _xlpm.上班, (AR21="上班"),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T21" s="170" t="str">
        <f t="shared" si="0"/>
        <v>已排</v>
      </c>
      <c r="AU21" s="180">
        <f t="shared" si="1"/>
        <v>6</v>
      </c>
      <c r="AV21" s="180">
        <f t="shared" si="2"/>
        <v>8</v>
      </c>
      <c r="AX21" s="33" t="str">
        <f t="array" ref="AX21">INDEX(班別參數!$D$4:$D$20,ROW()-7,MATCH($AX$8,班別參數!$D$4:$D$20,0))</f>
        <v>帶隊官2</v>
      </c>
      <c r="AY21" s="34">
        <f t="array" ref="AY21">IFERROR(INDEX(班別參數!$D$4:$S$20,MATCH(AX21,班別參數!$D$4:$D$20,0),MATCH($AT$6,班別參數!$D$4:$S$4,0)),"")</f>
        <v>0</v>
      </c>
      <c r="AZ21" s="42"/>
      <c r="BA21" s="10"/>
      <c r="BB21" s="33"/>
      <c r="BC21" s="10"/>
      <c r="BE21" s="127"/>
    </row>
    <row r="22" spans="2:57" ht="30" customHeight="1">
      <c r="B22" s="81" t="s">
        <v>85</v>
      </c>
      <c r="C22" s="87">
        <f>_xlfn.XLOOKUP(_xlfn.XLOOKUP($AT$6&amp;$B22,公表[班別+時段],公表[值班],""),$AY$9:$AY$25,$AZ$9:$AZ$25,"")</f>
        <v>27</v>
      </c>
      <c r="D22" s="95"/>
      <c r="E22" s="95"/>
      <c r="F22" s="95"/>
      <c r="G22" s="95"/>
      <c r="H22" s="122" t="s">
        <v>350</v>
      </c>
      <c r="I22" s="297"/>
      <c r="J22" s="92">
        <f>_xlfn.XLOOKUP(_xlfn.XLOOKUP($AT$6&amp;$B22,公表[班別+時段],公表[救護1],""),$AY$9:$AY$25,$AZ$9:$AZ$25,"")</f>
        <v>14</v>
      </c>
      <c r="K22" s="92">
        <f>_xlfn.XLOOKUP(_xlfn.XLOOKUP($AT$6&amp;$B22,公表[班別+時段],公表[救護2],""),$AY$9:$AY$25,$AZ$9:$AZ$25,"")</f>
        <v>15</v>
      </c>
      <c r="L22" s="92"/>
      <c r="M22" s="87" t="s">
        <v>212</v>
      </c>
      <c r="N22" s="312"/>
      <c r="O22" s="87">
        <f>_xlfn.XLOOKUP(_xlfn.XLOOKUP($AT$6&amp;$B22,公表[班別+時段],公表[備勤1],""),$AY$9:$AY$25,$AZ$9:$AZ$25,"")</f>
        <v>28</v>
      </c>
      <c r="P22" s="87">
        <f>_xlfn.XLOOKUP(_xlfn.XLOOKUP($AT$6&amp;$B22,公表[班別+時段],公表[備勤2],""),$AY$9:$AY$25,$AZ$9:$AZ$25,"")</f>
        <v>13</v>
      </c>
      <c r="Q22" s="87"/>
      <c r="R22" s="87"/>
      <c r="S22" s="87">
        <f>_xlfn.XLOOKUP(_xlfn.XLOOKUP($AT$6&amp;$B22,公表[班別+時段],公表[備勤4],""),$AY$9:$AY$25,$AZ$9:$AZ$25,"")</f>
        <v>0</v>
      </c>
      <c r="T22" s="87"/>
      <c r="U22" s="87">
        <f>_xlfn.XLOOKUP(_xlfn.XLOOKUP($AT$6&amp;$B22,公表[班別+時段],公表[備勤5],""),$AY$9:$AY$25,$AZ$9:$AZ$25,"")</f>
        <v>3</v>
      </c>
      <c r="V22" s="87">
        <f>_xlfn.XLOOKUP(_xlfn.XLOOKUP($AT$6&amp;$B22,公表[班別+時段],公表[備勤6],""),$AY$9:$AY$25,$AZ$9:$AZ$25,"")</f>
        <v>0</v>
      </c>
      <c r="W22" s="87"/>
      <c r="X22" s="87">
        <f>_xlfn.XLOOKUP(_xlfn.XLOOKUP($AT$6&amp;$B22,公表[班別+時段],公表[備勤7],""),$AY$9:$AY$25,$AZ$9:$AZ$25,"")</f>
        <v>0</v>
      </c>
      <c r="Y22" s="87">
        <f>_xlfn.XLOOKUP(_xlfn.XLOOKUP($AT$6&amp;$B22,公表[班別+時段],公表[備勤8],""),$AY$9:$AY$25,$AZ$9:$AZ$25,"")</f>
        <v>0</v>
      </c>
      <c r="Z22" s="87"/>
      <c r="AA22" s="87"/>
      <c r="AB22" s="87"/>
      <c r="AC22" s="87"/>
      <c r="AD22" s="87"/>
      <c r="AE22" s="87"/>
      <c r="AF22" s="88">
        <f>_xlfn.XLOOKUP(_xlfn.XLOOKUP($AT$6&amp;$B22,公表[班別+時段],公表[指揮官],""),$AY$9:$AY$25,$AZ$9:$AZ$25,"")</f>
        <v>1</v>
      </c>
      <c r="AG22" s="57" t="s">
        <v>213</v>
      </c>
      <c r="AH22" s="305" t="str" cm="1">
        <f t="array" ref="AH22">_xlfn.TEXTJOIN(".",1,_xlfn._xlws.FILTER($AP$9:$AP$40,$AR$9:$AR$40="上班",""))</f>
        <v>1.3.11.13.14.15.24.27.28</v>
      </c>
      <c r="AI22" s="400"/>
      <c r="AJ22" s="400"/>
      <c r="AK22" s="400"/>
      <c r="AL22" s="307"/>
      <c r="AM22" s="31" t="s">
        <v>214</v>
      </c>
      <c r="AN22" s="58" t="str">
        <f>CONCATENATE(COUNTIF($AR$9:$AR$36,"上班"),"人")</f>
        <v>9人</v>
      </c>
      <c r="AO22" s="214"/>
      <c r="AP22" s="127">
        <v>14</v>
      </c>
      <c r="AQ22" s="127" t="str">
        <v>王浩任</v>
      </c>
      <c r="AR22" s="127" t="str" cm="1">
        <f t="array" ref="AR22">IFERROR(_xlfn.XLOOKUP(_xlfn.XLOOKUP($AR$3,輪休基準表!$C$6:$C$36,_xlfn.XLOOKUP(AQ22,輪休基準表!$E$5:$AF$5,輪休基準表!$E$6:$AF$36,""),""),班別參數!$A$4:$A$20,班別參數!$B$4:$B$20,""),"")</f>
        <v>上班</v>
      </c>
      <c r="AS22" s="120" t="str" cm="1">
        <f t="array" ref="AS22">_xlfn.LET(
    _xlpm.番號, COUNTIF($AZ$9:$AZ$24, $AP22),
    _xlpm.已排, _xlpm.番號 &gt; 0,
    _xlpm.上班, (AR22="上班"),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T22" s="170" t="str">
        <f t="shared" si="0"/>
        <v>已排</v>
      </c>
      <c r="AU22" s="180">
        <f t="shared" si="1"/>
        <v>8</v>
      </c>
      <c r="AV22" s="180">
        <f t="shared" si="2"/>
        <v>8</v>
      </c>
      <c r="AX22" s="33">
        <f t="array" ref="AX22">INDEX(班別參數!$D$4:$D$20,ROW()-7,MATCH($AX$8,班別參數!$D$4:$D$20,0))</f>
        <v>0</v>
      </c>
      <c r="AY22" s="34" t="str">
        <f t="array" ref="AY22">IFERROR(INDEX(班別參數!$D$4:$S$20,MATCH(AX22,班別參數!$D$4:$D$20,0),MATCH($AX$5,班別參數!$D$4:$S$4,0)),"")</f>
        <v/>
      </c>
      <c r="AZ22" s="24"/>
      <c r="BB22" s="33"/>
      <c r="BE22" s="127"/>
    </row>
    <row r="23" spans="2:57" ht="30" customHeight="1" thickBot="1">
      <c r="B23" s="110" t="s">
        <v>86</v>
      </c>
      <c r="C23" s="89">
        <f>_xlfn.XLOOKUP(_xlfn.XLOOKUP($AT$6&amp;$B23,公表[班別+時段],公表[值班],""),$AY$9:$AY$25,$AZ$9:$AZ$25,"")</f>
        <v>27</v>
      </c>
      <c r="D23" s="106"/>
      <c r="E23" s="106"/>
      <c r="F23" s="96"/>
      <c r="G23" s="96"/>
      <c r="H23" s="123" t="s">
        <v>350</v>
      </c>
      <c r="I23" s="107"/>
      <c r="J23" s="216">
        <f>_xlfn.XLOOKUP(_xlfn.XLOOKUP($AT$6&amp;$B23,公表[班別+時段],公表[救護1],""),$AY$9:$AY$25,$AZ$9:$AZ$25,"")</f>
        <v>14</v>
      </c>
      <c r="K23" s="216">
        <f>_xlfn.XLOOKUP(_xlfn.XLOOKUP($AT$6&amp;$B23,公表[班別+時段],公表[救護2],""),$AY$9:$AY$25,$AZ$9:$AZ$25,"")</f>
        <v>15</v>
      </c>
      <c r="L23" s="105"/>
      <c r="M23" s="93" t="s">
        <v>212</v>
      </c>
      <c r="N23" s="312"/>
      <c r="O23" s="89">
        <f>_xlfn.XLOOKUP(_xlfn.XLOOKUP($AT$6&amp;$B23,公表[班別+時段],公表[備勤1],""),$AY$9:$AY$25,$AZ$9:$AZ$25,"")</f>
        <v>28</v>
      </c>
      <c r="P23" s="89">
        <f>_xlfn.XLOOKUP(_xlfn.XLOOKUP($AT$6&amp;$B23,公表[班別+時段],公表[備勤2],""),$AY$9:$AY$25,$AZ$9:$AZ$25,"")</f>
        <v>13</v>
      </c>
      <c r="Q23" s="89"/>
      <c r="R23" s="89"/>
      <c r="S23" s="89">
        <f>_xlfn.XLOOKUP(_xlfn.XLOOKUP($AT$6&amp;$B23,公表[班別+時段],公表[備勤4],""),$AY$9:$AY$25,$AZ$9:$AZ$25,"")</f>
        <v>0</v>
      </c>
      <c r="T23" s="89"/>
      <c r="U23" s="89">
        <f>_xlfn.XLOOKUP(_xlfn.XLOOKUP($AT$6&amp;$B23,公表[班別+時段],公表[備勤5],""),$AY$9:$AY$25,$AZ$9:$AZ$25,"")</f>
        <v>3</v>
      </c>
      <c r="V23" s="89">
        <f>_xlfn.XLOOKUP(_xlfn.XLOOKUP($AT$6&amp;$B23,公表[班別+時段],公表[備勤6],""),$AY$9:$AY$25,$AZ$9:$AZ$25,"")</f>
        <v>0</v>
      </c>
      <c r="W23" s="89"/>
      <c r="X23" s="89">
        <f>_xlfn.XLOOKUP(_xlfn.XLOOKUP($AT$6&amp;$B23,公表[班別+時段],公表[備勤7],""),$AY$9:$AY$25,$AZ$9:$AZ$25,"")</f>
        <v>0</v>
      </c>
      <c r="Y23" s="89">
        <f>_xlfn.XLOOKUP(_xlfn.XLOOKUP($AT$6&amp;$B23,公表[班別+時段],公表[備勤8],""),$AY$9:$AY$25,$AZ$9:$AZ$25,"")</f>
        <v>0</v>
      </c>
      <c r="Z23" s="89"/>
      <c r="AA23" s="89"/>
      <c r="AB23" s="89"/>
      <c r="AC23" s="89"/>
      <c r="AD23" s="89"/>
      <c r="AE23" s="89"/>
      <c r="AF23" s="104">
        <f>_xlfn.XLOOKUP(_xlfn.XLOOKUP($AT$6&amp;$B23,公表[班別+時段],公表[指揮官],""),$AY$9:$AY$25,$AZ$9:$AZ$25,"")</f>
        <v>1</v>
      </c>
      <c r="AG23" s="57" t="s">
        <v>6</v>
      </c>
      <c r="AH23" s="305" t="str" cm="1">
        <f t="array" ref="AH23">_xlfn.TEXTJOIN(".",1,_xlfn._xlws.FILTER($AP$9:$AP$40,$AR$9:$AR$40=$AG$23,""))</f>
        <v>2.4.5.8.9.16.17.18.19.20.21.22.23.25.26</v>
      </c>
      <c r="AI23" s="400"/>
      <c r="AJ23" s="400"/>
      <c r="AK23" s="400"/>
      <c r="AL23" s="400"/>
      <c r="AM23" s="400"/>
      <c r="AN23" s="401"/>
      <c r="AO23" s="214"/>
      <c r="AP23" s="127">
        <v>15</v>
      </c>
      <c r="AQ23" s="127" t="str">
        <v>李仕詮</v>
      </c>
      <c r="AR23" s="127" t="str" cm="1">
        <f t="array" ref="AR23">IFERROR(_xlfn.XLOOKUP(_xlfn.XLOOKUP($AR$3,輪休基準表!$C$6:$C$36,_xlfn.XLOOKUP(AQ23,輪休基準表!$E$5:$AF$5,輪休基準表!$E$6:$AF$36,""),""),班別參數!$A$4:$A$20,班別參數!$B$4:$B$20,""),"")</f>
        <v>上班</v>
      </c>
      <c r="AS23" s="120" t="str" cm="1">
        <f t="array" ref="AS23">_xlfn.LET(
    _xlpm.番號, COUNTIF($AZ$9:$AZ$24, $AP23),
    _xlpm.已排, _xlpm.番號 &gt; 0,
    _xlpm.上班, (AR23="上班"),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T23" s="170" t="str">
        <f t="shared" si="0"/>
        <v>已排</v>
      </c>
      <c r="AU23" s="180">
        <f t="shared" si="1"/>
        <v>6</v>
      </c>
      <c r="AV23" s="180">
        <f t="shared" si="2"/>
        <v>8</v>
      </c>
      <c r="AX23" s="33">
        <f t="array" ref="AX23">INDEX(班別參數!$D$4:$D$20,ROW()-7,MATCH($AX$8,班別參數!$D$4:$D$20,0))</f>
        <v>0</v>
      </c>
      <c r="AY23" s="43" t="str">
        <f t="array" ref="AY23">IFERROR(INDEX(班別參數!$D$4:$S$20,MATCH(AX23,班別參數!$D$4:$D$20,0),MATCH($AX$5,班別參數!$D$4:$S$4,0)),"")</f>
        <v/>
      </c>
      <c r="AZ23" s="24"/>
      <c r="BB23" s="33"/>
      <c r="BC23" s="25"/>
      <c r="BE23" s="127"/>
    </row>
    <row r="24" spans="2:57" ht="30" customHeight="1">
      <c r="B24" s="84" t="s">
        <v>87</v>
      </c>
      <c r="C24" s="90">
        <f>_xlfn.XLOOKUP(_xlfn.XLOOKUP($AT$6&amp;$B24,公表[班別+時段],公表[值班],""),$AY$9:$AY$25,$AZ$9:$AZ$25,"")</f>
        <v>11</v>
      </c>
      <c r="D24" s="97"/>
      <c r="E24" s="97"/>
      <c r="F24" s="97"/>
      <c r="G24" s="97"/>
      <c r="H24" s="121">
        <v>13</v>
      </c>
      <c r="I24" s="55"/>
      <c r="J24" s="94">
        <f>_xlfn.XLOOKUP(_xlfn.XLOOKUP($AT$6&amp;$B24,公表[班別+時段],公表[救護1],""),$AY$9:$AY$25,$AZ$9:$AZ$25,"")</f>
        <v>27</v>
      </c>
      <c r="K24" s="94">
        <f>_xlfn.XLOOKUP(_xlfn.XLOOKUP($AT$6&amp;$B24,公表[班別+時段],公表[救護2],""),$AY$9:$AY$25,$AZ$9:$AZ$25,"")</f>
        <v>24</v>
      </c>
      <c r="L24" s="90"/>
      <c r="M24" s="90" t="s">
        <v>212</v>
      </c>
      <c r="N24" s="312"/>
      <c r="O24" s="90">
        <f>_xlfn.XLOOKUP(_xlfn.XLOOKUP($AT$6&amp;$B24,公表[班別+時段],公表[備勤1],""),$AY$9:$AY$25,$AZ$9:$AZ$25,"")</f>
        <v>14</v>
      </c>
      <c r="P24" s="90">
        <f>_xlfn.XLOOKUP(_xlfn.XLOOKUP($AT$6&amp;$B24,公表[班別+時段],公表[備勤2],""),$AY$9:$AY$25,$AZ$9:$AZ$25,"")</f>
        <v>15</v>
      </c>
      <c r="Q24" s="90"/>
      <c r="R24" s="90">
        <f>_xlfn.XLOOKUP(_xlfn.XLOOKUP($AT$6&amp;$B24,公表[班別+時段],公表[備勤3],""),$AY$9:$AY$25,$AZ$9:$AZ$25,"")</f>
        <v>28</v>
      </c>
      <c r="S24" s="90"/>
      <c r="T24" s="90"/>
      <c r="U24" s="90">
        <f>_xlfn.XLOOKUP(_xlfn.XLOOKUP($AT$6&amp;$B24,公表[班別+時段],公表[備勤5],""),$AY$9:$AY$25,$AZ$9:$AZ$25,"")</f>
        <v>3</v>
      </c>
      <c r="V24" s="90">
        <f>_xlfn.XLOOKUP(_xlfn.XLOOKUP($AT$6&amp;$B24,公表[班別+時段],公表[備勤6],""),$AY$9:$AY$25,$AZ$9:$AZ$25,"")</f>
        <v>0</v>
      </c>
      <c r="W24" s="90"/>
      <c r="X24" s="90">
        <f>_xlfn.XLOOKUP(_xlfn.XLOOKUP($AT$6&amp;$B24,公表[班別+時段],公表[備勤7],""),$AY$9:$AY$25,$AZ$9:$AZ$25,"")</f>
        <v>0</v>
      </c>
      <c r="Y24" s="90">
        <f>_xlfn.XLOOKUP(_xlfn.XLOOKUP($AT$6&amp;$B24,公表[班別+時段],公表[備勤8],""),$AY$9:$AY$25,$AZ$9:$AZ$25,"")</f>
        <v>0</v>
      </c>
      <c r="Z24" s="90"/>
      <c r="AA24" s="90"/>
      <c r="AB24" s="90"/>
      <c r="AC24" s="90"/>
      <c r="AD24" s="90"/>
      <c r="AE24" s="90"/>
      <c r="AF24" s="91">
        <f>_xlfn.XLOOKUP(_xlfn.XLOOKUP($AT$6&amp;$B24,公表[班別+時段],公表[指揮官],""),$AY$9:$AY$25,$AZ$9:$AZ$25,"")</f>
        <v>1</v>
      </c>
      <c r="AG24" s="57" t="s">
        <v>17</v>
      </c>
      <c r="AH24" s="305" t="str" cm="1">
        <f t="array" ref="AH24">_xlfn.TEXTJOIN(".",1,_xlfn._xlws.FILTER($AP$9:$AP$40,$AR$9:$AR$40=$AG$24,""))</f>
        <v>7.10</v>
      </c>
      <c r="AI24" s="400"/>
      <c r="AJ24" s="307"/>
      <c r="AK24" s="31" t="s">
        <v>21</v>
      </c>
      <c r="AL24" s="305" t="str" cm="1">
        <f t="array" ref="AL24">_xlfn.TEXTJOIN(".",1,_xlfn._xlws.FILTER($AP$9:$AP$40,$AR$9:$AR$40=$AK$24,""))</f>
        <v>12</v>
      </c>
      <c r="AM24" s="400"/>
      <c r="AN24" s="401"/>
      <c r="AO24" s="214"/>
      <c r="AP24" s="127">
        <v>16</v>
      </c>
      <c r="AQ24" s="127" t="str">
        <v>楊弘宇</v>
      </c>
      <c r="AR24" s="127" t="str" cm="1">
        <f t="array" ref="AR24">IFERROR(_xlfn.XLOOKUP(_xlfn.XLOOKUP($AR$3,輪休基準表!$C$6:$C$36,_xlfn.XLOOKUP(AQ24,輪休基準表!$E$5:$AF$5,輪休基準表!$E$6:$AF$36,""),""),班別參數!$A$4:$A$20,班別參數!$B$4:$B$20,""),"")</f>
        <v>輪休</v>
      </c>
      <c r="AS24" s="120" t="str" cm="1">
        <f t="array" ref="AS24">_xlfn.LET(
    _xlpm.番號, COUNTIF($AZ$9:$AZ$24, $AP24),
    _xlpm.已排, _xlpm.番號 &gt; 0,
    _xlpm.上班, (AR24="上班"),
    _xlfn.IFS(
        _xlpm.番號 &gt; 1, "重複",
        AND(_xlpm.上班, NOT(_xlpm.已排)), "未排",
        AND(NOT(_xlpm.上班),_xlpm.已排), "沒上班",
        _xlpm.已排, "已排",
        TRUE, ""
    )
)</f>
        <v/>
      </c>
      <c r="AT24" s="170" t="str">
        <f t="shared" si="0"/>
        <v/>
      </c>
      <c r="AU24" s="180" t="str">
        <f t="shared" si="1"/>
        <v/>
      </c>
      <c r="AV24" s="180" t="str">
        <f t="shared" si="2"/>
        <v/>
      </c>
      <c r="AX24" s="33">
        <f t="array" ref="AX24">INDEX(班別參數!$D$4:$D$20,ROW()-7,MATCH($AX$8,班別參數!$D$4:$D$20,0))</f>
        <v>0</v>
      </c>
      <c r="AY24" s="43" t="str">
        <f t="array" ref="AY24">IFERROR(INDEX(班別參數!$D$4:$S$20,MATCH(AX24,班別參數!$D$4:$D$20,0),MATCH($AX$5,班別參數!$D$4:$S$4,0)),"")</f>
        <v/>
      </c>
      <c r="AZ24" s="24"/>
      <c r="BA24" s="28"/>
      <c r="BB24" s="33"/>
      <c r="BC24" s="25"/>
      <c r="BE24" s="127"/>
    </row>
    <row r="25" spans="2:57" ht="30" customHeight="1">
      <c r="B25" s="81" t="s">
        <v>88</v>
      </c>
      <c r="C25" s="87">
        <f>_xlfn.XLOOKUP(_xlfn.XLOOKUP($AT$6&amp;$B25,公表[班別+時段],公表[值班],""),$AY$9:$AY$25,$AZ$9:$AZ$25,"")</f>
        <v>11</v>
      </c>
      <c r="D25" s="95"/>
      <c r="E25" s="95"/>
      <c r="F25" s="95"/>
      <c r="G25" s="95"/>
      <c r="H25" s="122">
        <v>13</v>
      </c>
      <c r="I25" s="37"/>
      <c r="J25" s="92">
        <f>_xlfn.XLOOKUP(_xlfn.XLOOKUP($AT$6&amp;$B25,公表[班別+時段],公表[救護1],""),$AY$9:$AY$25,$AZ$9:$AZ$25,"")</f>
        <v>27</v>
      </c>
      <c r="K25" s="92">
        <f>_xlfn.XLOOKUP(_xlfn.XLOOKUP($AT$6&amp;$B25,公表[班別+時段],公表[救護2],""),$AY$9:$AY$25,$AZ$9:$AZ$25,"")</f>
        <v>24</v>
      </c>
      <c r="L25" s="87"/>
      <c r="M25" s="87" t="s">
        <v>212</v>
      </c>
      <c r="N25" s="312"/>
      <c r="O25" s="87">
        <f>_xlfn.XLOOKUP(_xlfn.XLOOKUP($AT$6&amp;$B25,公表[班別+時段],公表[備勤1],""),$AY$9:$AY$25,$AZ$9:$AZ$25,"")</f>
        <v>14</v>
      </c>
      <c r="P25" s="87">
        <f>_xlfn.XLOOKUP(_xlfn.XLOOKUP($AT$6&amp;$B25,公表[班別+時段],公表[備勤2],""),$AY$9:$AY$25,$AZ$9:$AZ$25,"")</f>
        <v>15</v>
      </c>
      <c r="Q25" s="87"/>
      <c r="R25" s="87">
        <f>_xlfn.XLOOKUP(_xlfn.XLOOKUP($AT$6&amp;$B25,公表[班別+時段],公表[備勤3],""),$AY$9:$AY$25,$AZ$9:$AZ$25,"")</f>
        <v>28</v>
      </c>
      <c r="S25" s="87"/>
      <c r="T25" s="87"/>
      <c r="U25" s="87">
        <f>_xlfn.XLOOKUP(_xlfn.XLOOKUP($AT$6&amp;$B25,公表[班別+時段],公表[備勤5],""),$AY$9:$AY$25,$AZ$9:$AZ$25,"")</f>
        <v>3</v>
      </c>
      <c r="V25" s="87">
        <f>_xlfn.XLOOKUP(_xlfn.XLOOKUP($AT$6&amp;$B25,公表[班別+時段],公表[備勤6],""),$AY$9:$AY$25,$AZ$9:$AZ$25,"")</f>
        <v>0</v>
      </c>
      <c r="W25" s="87"/>
      <c r="X25" s="87">
        <f>_xlfn.XLOOKUP(_xlfn.XLOOKUP($AT$6&amp;$B25,公表[班別+時段],公表[備勤7],""),$AY$9:$AY$25,$AZ$9:$AZ$25,"")</f>
        <v>0</v>
      </c>
      <c r="Y25" s="87">
        <f>_xlfn.XLOOKUP(_xlfn.XLOOKUP($AT$6&amp;$B25,公表[班別+時段],公表[備勤8],""),$AY$9:$AY$25,$AZ$9:$AZ$25,"")</f>
        <v>0</v>
      </c>
      <c r="Z25" s="87"/>
      <c r="AA25" s="87"/>
      <c r="AB25" s="87"/>
      <c r="AC25" s="87"/>
      <c r="AD25" s="87"/>
      <c r="AE25" s="87"/>
      <c r="AF25" s="88">
        <f>_xlfn.XLOOKUP(_xlfn.XLOOKUP($AT$6&amp;$B25,公表[班別+時段],公表[指揮官],""),$AY$9:$AY$25,$AZ$9:$AZ$25,"")</f>
        <v>1</v>
      </c>
      <c r="AG25" s="57" t="s">
        <v>28</v>
      </c>
      <c r="AH25" s="305" t="str" cm="1">
        <f t="array" ref="AH25">_xlfn.TEXTJOIN(".",1,_xlfn._xlws.FILTER($AP$9:$AP$40,$AR$9:$AR$40=$AG$25,""))</f>
        <v>6</v>
      </c>
      <c r="AI25" s="306"/>
      <c r="AJ25" s="307"/>
      <c r="AK25" s="50" t="s">
        <v>44</v>
      </c>
      <c r="AL25" s="308" t="str" cm="1">
        <f t="array" ref="AL25">_xlfn.TEXTJOIN(".",1,_xlfn._xlws.FILTER($AP$9:$AP$40,$AR$9:$AR$40=$AK$25,""))</f>
        <v/>
      </c>
      <c r="AM25" s="309"/>
      <c r="AN25" s="310"/>
      <c r="AO25" s="214"/>
      <c r="AP25" s="127">
        <v>17</v>
      </c>
      <c r="AQ25" s="127" t="str">
        <v>楊仲豪</v>
      </c>
      <c r="AR25" s="127" t="str" cm="1">
        <f t="array" ref="AR25">IFERROR(_xlfn.XLOOKUP(_xlfn.XLOOKUP($AR$3,輪休基準表!$C$6:$C$36,_xlfn.XLOOKUP(AQ25,輪休基準表!$E$5:$AF$5,輪休基準表!$E$6:$AF$36,""),""),班別參數!$A$4:$A$20,班別參數!$B$4:$B$20,""),"")</f>
        <v>輪休</v>
      </c>
      <c r="AS25" s="120" t="str" cm="1">
        <f t="array" ref="AS25">_xlfn.LET(
    _xlpm.番號, COUNTIF($AZ$9:$AZ$24, $AP25),
    _xlpm.已排, _xlpm.番號 &gt; 0,
    _xlpm.上班, (AR25="上班"),
    _xlfn.IFS(
        _xlpm.番號 &gt; 1, "重複",
        AND(_xlpm.上班, NOT(_xlpm.已排)), "未排",
        AND(NOT(_xlpm.上班),_xlpm.已排), "沒上班",
        _xlpm.已排, "已排",
        TRUE, ""
    )
)</f>
        <v/>
      </c>
      <c r="AT25" s="170" t="str">
        <f t="shared" si="0"/>
        <v/>
      </c>
      <c r="AU25" s="180" t="str">
        <f t="shared" si="1"/>
        <v/>
      </c>
      <c r="AV25" s="180" t="str">
        <f t="shared" si="2"/>
        <v/>
      </c>
      <c r="AX25" s="33"/>
      <c r="AY25" s="45"/>
      <c r="AZ25" s="25"/>
      <c r="BA25" s="28"/>
      <c r="BB25" s="33"/>
      <c r="BC25" s="25"/>
      <c r="BE25" s="127"/>
    </row>
    <row r="26" spans="2:57" ht="30" customHeight="1">
      <c r="B26" s="81" t="s">
        <v>89</v>
      </c>
      <c r="C26" s="87">
        <f>_xlfn.XLOOKUP(_xlfn.XLOOKUP($AT$6&amp;$B26,公表[班別+時段],公表[值班],""),$AY$9:$AY$25,$AZ$9:$AZ$25,"")</f>
        <v>11</v>
      </c>
      <c r="D26" s="95"/>
      <c r="E26" s="95"/>
      <c r="F26" s="95"/>
      <c r="G26" s="95"/>
      <c r="H26" s="122">
        <v>3</v>
      </c>
      <c r="I26" s="37"/>
      <c r="J26" s="92">
        <f>_xlfn.XLOOKUP(_xlfn.XLOOKUP($AT$6&amp;$B26,公表[班別+時段],公表[救護1],""),$AY$9:$AY$25,$AZ$9:$AZ$25,"")</f>
        <v>28</v>
      </c>
      <c r="K26" s="92">
        <f>_xlfn.XLOOKUP(_xlfn.XLOOKUP($AT$6&amp;$B26,公表[班別+時段],公表[救護2],""),$AY$9:$AY$25,$AZ$9:$AZ$25,"")</f>
        <v>14</v>
      </c>
      <c r="L26" s="87"/>
      <c r="M26" s="87" t="s">
        <v>212</v>
      </c>
      <c r="N26" s="312"/>
      <c r="O26" s="87">
        <f>_xlfn.XLOOKUP(_xlfn.XLOOKUP($AT$6&amp;$B26,公表[班別+時段],公表[備勤1],""),$AY$9:$AY$25,$AZ$9:$AZ$25,"")</f>
        <v>15</v>
      </c>
      <c r="P26" s="87">
        <f>_xlfn.XLOOKUP(_xlfn.XLOOKUP($AT$6&amp;$B26,公表[班別+時段],公表[備勤2],""),$AY$9:$AY$25,$AZ$9:$AZ$25,"")</f>
        <v>27</v>
      </c>
      <c r="Q26" s="87"/>
      <c r="R26" s="87">
        <f>_xlfn.XLOOKUP(_xlfn.XLOOKUP($AT$6&amp;$B26,公表[班別+時段],公表[備勤3],""),$AY$9:$AY$25,$AZ$9:$AZ$25,"")</f>
        <v>13</v>
      </c>
      <c r="S26" s="87">
        <f>_xlfn.XLOOKUP(_xlfn.XLOOKUP($AT$6&amp;$B26,公表[班別+時段],公表[備勤4],""),$AY$9:$AY$25,$AZ$9:$AZ$25,"")</f>
        <v>24</v>
      </c>
      <c r="T26" s="87"/>
      <c r="U26" s="87"/>
      <c r="V26" s="87"/>
      <c r="W26" s="87"/>
      <c r="X26" s="87">
        <f>_xlfn.XLOOKUP(_xlfn.XLOOKUP($AT$6&amp;$B26,公表[班別+時段],公表[備勤7],""),$AY$9:$AY$25,$AZ$9:$AZ$25,"")</f>
        <v>0</v>
      </c>
      <c r="Y26" s="87">
        <f>_xlfn.XLOOKUP(_xlfn.XLOOKUP($AT$6&amp;$B26,公表[班別+時段],公表[備勤8],""),$AY$9:$AY$25,$AZ$9:$AZ$25,"")</f>
        <v>0</v>
      </c>
      <c r="Z26" s="87"/>
      <c r="AA26" s="87"/>
      <c r="AB26" s="87"/>
      <c r="AC26" s="87"/>
      <c r="AD26" s="87"/>
      <c r="AE26" s="87"/>
      <c r="AF26" s="88">
        <f>_xlfn.XLOOKUP(_xlfn.XLOOKUP($AT$6&amp;$B26,公表[班別+時段],公表[指揮官],""),$AY$9:$AY$25,$AZ$9:$AZ$25,"")</f>
        <v>1</v>
      </c>
      <c r="AG26" s="57" t="s">
        <v>289</v>
      </c>
      <c r="AH26" s="178" t="str" cm="1">
        <f t="array" ref="AH26">_xlfn.TEXTJOIN(".",1,_xlfn._xlws.FILTER($AP$9:$AP$40,$AR$9:$AR$40=$AG$26,""))</f>
        <v/>
      </c>
      <c r="AI26" s="168" t="s">
        <v>290</v>
      </c>
      <c r="AJ26" s="179" t="str" cm="1">
        <f t="array" ref="AJ26">_xlfn.TEXTJOIN(".",1,_xlfn._xlws.FILTER($AP$9:$AP$40,$AR$9:$AR$40=$AI$26,""))</f>
        <v/>
      </c>
      <c r="AK26" s="169" t="s">
        <v>287</v>
      </c>
      <c r="AL26" s="171" t="str" cm="1">
        <f t="array" ref="AL26">_xlfn.TEXTJOIN(".",1,_xlfn._xlws.FILTER($AP$9:$AP$40,$AR$9:$AR$40=$AK$26,""))</f>
        <v/>
      </c>
      <c r="AM26" s="169" t="s">
        <v>291</v>
      </c>
      <c r="AN26" s="172" t="str" cm="1">
        <f t="array" ref="AN26">_xlfn.TEXTJOIN(".",1,_xlfn._xlws.FILTER($AP$9:$AP$40,$AR$9:$AR$40=$AM$26,""))</f>
        <v/>
      </c>
      <c r="AO26" s="214"/>
      <c r="AP26" s="127">
        <v>18</v>
      </c>
      <c r="AQ26" s="127" t="str">
        <v>林志偉</v>
      </c>
      <c r="AR26" s="127" t="str" cm="1">
        <f t="array" ref="AR26">IFERROR(_xlfn.XLOOKUP(_xlfn.XLOOKUP($AR$3,輪休基準表!$C$6:$C$36,_xlfn.XLOOKUP(AQ26,輪休基準表!$E$5:$AF$5,輪休基準表!$E$6:$AF$36,""),""),班別參數!$A$4:$A$20,班別參數!$B$4:$B$20,""),"")</f>
        <v>輪休</v>
      </c>
      <c r="AS26" s="120" t="str" cm="1">
        <f t="array" ref="AS26">_xlfn.LET(
    _xlpm.番號, COUNTIF($AZ$9:$AZ$24, $AP26),
    _xlpm.已排, _xlpm.番號 &gt; 0,
    _xlpm.上班, (AR26="上班"),
    _xlfn.IFS(
        _xlpm.番號 &gt; 1, "重複",
        AND(_xlpm.上班, NOT(_xlpm.已排)), "未排",
        AND(NOT(_xlpm.上班),_xlpm.已排), "沒上班",
        _xlpm.已排, "已排",
        TRUE, ""
    )
)</f>
        <v/>
      </c>
      <c r="AT26" s="170" t="str">
        <f t="shared" si="0"/>
        <v/>
      </c>
      <c r="AU26" s="180" t="str">
        <f t="shared" si="1"/>
        <v/>
      </c>
      <c r="AV26" s="180" t="str">
        <f t="shared" si="2"/>
        <v/>
      </c>
      <c r="AW26" s="10"/>
      <c r="AX26" s="46"/>
      <c r="AY26" s="45"/>
      <c r="AZ26" s="25"/>
      <c r="BA26" s="28"/>
      <c r="BB26" s="33"/>
      <c r="BC26" s="25"/>
      <c r="BE26" s="127"/>
    </row>
    <row r="27" spans="2:57" ht="30" customHeight="1">
      <c r="B27" s="81" t="s">
        <v>90</v>
      </c>
      <c r="C27" s="87">
        <f>_xlfn.XLOOKUP(_xlfn.XLOOKUP($AT$6&amp;$B27,公表[班別+時段],公表[值班],""),$AY$9:$AY$25,$AZ$9:$AZ$25,"")</f>
        <v>11</v>
      </c>
      <c r="D27" s="95"/>
      <c r="E27" s="95"/>
      <c r="F27" s="95"/>
      <c r="G27" s="95"/>
      <c r="H27" s="122">
        <v>3</v>
      </c>
      <c r="I27" s="37"/>
      <c r="J27" s="92">
        <f>_xlfn.XLOOKUP(_xlfn.XLOOKUP($AT$6&amp;$B27,公表[班別+時段],公表[救護1],""),$AY$9:$AY$25,$AZ$9:$AZ$25,"")</f>
        <v>28</v>
      </c>
      <c r="K27" s="92">
        <f>_xlfn.XLOOKUP(_xlfn.XLOOKUP($AT$6&amp;$B27,公表[班別+時段],公表[救護2],""),$AY$9:$AY$25,$AZ$9:$AZ$25,"")</f>
        <v>14</v>
      </c>
      <c r="L27" s="87"/>
      <c r="M27" s="87" t="s">
        <v>212</v>
      </c>
      <c r="N27" s="312"/>
      <c r="O27" s="87">
        <f>_xlfn.XLOOKUP(_xlfn.XLOOKUP($AT$6&amp;$B27,公表[班別+時段],公表[備勤1],""),$AY$9:$AY$25,$AZ$9:$AZ$25,"")</f>
        <v>15</v>
      </c>
      <c r="P27" s="87">
        <f>_xlfn.XLOOKUP(_xlfn.XLOOKUP($AT$6&amp;$B27,公表[班別+時段],公表[備勤2],""),$AY$9:$AY$25,$AZ$9:$AZ$25,"")</f>
        <v>27</v>
      </c>
      <c r="Q27" s="87"/>
      <c r="R27" s="87">
        <f>_xlfn.XLOOKUP(_xlfn.XLOOKUP($AT$6&amp;$B27,公表[班別+時段],公表[備勤3],""),$AY$9:$AY$25,$AZ$9:$AZ$25,"")</f>
        <v>13</v>
      </c>
      <c r="S27" s="87">
        <f>_xlfn.XLOOKUP(_xlfn.XLOOKUP($AT$6&amp;$B27,公表[班別+時段],公表[備勤4],""),$AY$9:$AY$25,$AZ$9:$AZ$25,"")</f>
        <v>24</v>
      </c>
      <c r="T27" s="87"/>
      <c r="U27" s="87"/>
      <c r="V27" s="87"/>
      <c r="W27" s="87"/>
      <c r="X27" s="87">
        <f>_xlfn.XLOOKUP(_xlfn.XLOOKUP($AT$6&amp;$B27,公表[班別+時段],公表[備勤7],""),$AY$9:$AY$25,$AZ$9:$AZ$25,"")</f>
        <v>0</v>
      </c>
      <c r="Y27" s="87">
        <f>_xlfn.XLOOKUP(_xlfn.XLOOKUP($AT$6&amp;$B27,公表[班別+時段],公表[備勤8],""),$AY$9:$AY$25,$AZ$9:$AZ$25,"")</f>
        <v>0</v>
      </c>
      <c r="Z27" s="87"/>
      <c r="AA27" s="87"/>
      <c r="AB27" s="87"/>
      <c r="AC27" s="87"/>
      <c r="AD27" s="87"/>
      <c r="AE27" s="87"/>
      <c r="AF27" s="88">
        <f>_xlfn.XLOOKUP(_xlfn.XLOOKUP($AT$6&amp;$B27,公表[班別+時段],公表[指揮官],""),$AY$9:$AY$25,$AZ$9:$AZ$25,"")</f>
        <v>1</v>
      </c>
      <c r="AG27" s="317" t="s">
        <v>215</v>
      </c>
      <c r="AH27" s="319"/>
      <c r="AI27" s="321"/>
      <c r="AJ27" s="321"/>
      <c r="AK27" s="321"/>
      <c r="AL27" s="321"/>
      <c r="AM27" s="321"/>
      <c r="AN27" s="322"/>
      <c r="AO27" s="214"/>
      <c r="AP27" s="127">
        <v>19</v>
      </c>
      <c r="AQ27" s="127" t="str">
        <v>劉家誠</v>
      </c>
      <c r="AR27" s="127" t="str" cm="1">
        <f t="array" ref="AR27">IFERROR(_xlfn.XLOOKUP(_xlfn.XLOOKUP($AR$3,輪休基準表!$C$6:$C$36,_xlfn.XLOOKUP(AQ27,輪休基準表!$E$5:$AF$5,輪休基準表!$E$6:$AF$36,""),""),班別參數!$A$4:$A$20,班別參數!$B$4:$B$20,""),"")</f>
        <v>輪休</v>
      </c>
      <c r="AS27" s="120" t="str" cm="1">
        <f t="array" ref="AS27">_xlfn.LET(
    _xlpm.番號, COUNTIF($AZ$9:$AZ$24, $AP27),
    _xlpm.已排, _xlpm.番號 &gt; 0,
    _xlpm.上班, (AR27="上班"),
    _xlfn.IFS(
        _xlpm.番號 &gt; 1, "重複",
        AND(_xlpm.上班, NOT(_xlpm.已排)), "未排",
        AND(NOT(_xlpm.上班),_xlpm.已排), "沒上班",
        _xlpm.已排, "已排",
        TRUE, ""
    )
)</f>
        <v/>
      </c>
      <c r="AT27" s="170" t="str">
        <f t="shared" si="0"/>
        <v/>
      </c>
      <c r="AU27" s="180" t="str">
        <f t="shared" si="1"/>
        <v/>
      </c>
      <c r="AV27" s="180" t="str">
        <f t="shared" si="2"/>
        <v/>
      </c>
      <c r="AW27" s="10"/>
      <c r="AX27" s="46"/>
      <c r="AY27" s="45"/>
      <c r="AZ27" s="25"/>
      <c r="BA27" s="28"/>
      <c r="BB27" s="33"/>
      <c r="BC27" s="25"/>
      <c r="BE27" s="127"/>
    </row>
    <row r="28" spans="2:57" ht="30" customHeight="1">
      <c r="B28" s="81" t="s">
        <v>91</v>
      </c>
      <c r="C28" s="87">
        <f>_xlfn.XLOOKUP(_xlfn.XLOOKUP($AT$6&amp;$B28,公表[班別+時段],公表[值班],""),$AY$9:$AY$25,$AZ$9:$AZ$25,"")</f>
        <v>11</v>
      </c>
      <c r="D28" s="95"/>
      <c r="E28" s="95"/>
      <c r="F28" s="95"/>
      <c r="G28" s="95"/>
      <c r="H28" s="122" t="str">
        <f>IF(BD18="","",BD18)</f>
        <v/>
      </c>
      <c r="I28" s="37"/>
      <c r="J28" s="92">
        <f>_xlfn.XLOOKUP(_xlfn.XLOOKUP($AT$6&amp;$B28,公表[班別+時段],公表[救護1],""),$AY$9:$AY$25,$AZ$9:$AZ$25,"")</f>
        <v>28</v>
      </c>
      <c r="K28" s="92">
        <f>_xlfn.XLOOKUP(_xlfn.XLOOKUP($AT$6&amp;$B28,公表[班別+時段],公表[救護2],""),$AY$9:$AY$25,$AZ$9:$AZ$25,"")</f>
        <v>14</v>
      </c>
      <c r="L28" s="87"/>
      <c r="M28" s="87" t="s">
        <v>212</v>
      </c>
      <c r="N28" s="312"/>
      <c r="O28" s="87">
        <f>_xlfn.XLOOKUP(_xlfn.XLOOKUP($AT$6&amp;$B28,公表[班別+時段],公表[備勤1],""),$AY$9:$AY$25,$AZ$9:$AZ$25,"")</f>
        <v>24</v>
      </c>
      <c r="P28" s="87">
        <f>_xlfn.XLOOKUP(_xlfn.XLOOKUP($AT$6&amp;$B28,公表[班別+時段],公表[備勤2],""),$AY$9:$AY$25,$AZ$9:$AZ$25,"")</f>
        <v>13</v>
      </c>
      <c r="Q28" s="87"/>
      <c r="R28" s="87">
        <f>_xlfn.XLOOKUP(_xlfn.XLOOKUP($AT$6&amp;$B28,公表[班別+時段],公表[備勤3],""),$AY$9:$AY$25,$AZ$9:$AZ$25,"")</f>
        <v>15</v>
      </c>
      <c r="S28" s="87">
        <f>_xlfn.XLOOKUP(_xlfn.XLOOKUP($AT$6&amp;$B28,公表[班別+時段],公表[備勤4],""),$AY$9:$AY$25,$AZ$9:$AZ$25,"")</f>
        <v>27</v>
      </c>
      <c r="T28" s="87"/>
      <c r="U28" s="87">
        <f>_xlfn.XLOOKUP(_xlfn.XLOOKUP($AT$6&amp;$B28,公表[班別+時段],公表[備勤5],""),$AY$9:$AY$25,$AZ$9:$AZ$25,"")</f>
        <v>3</v>
      </c>
      <c r="V28" s="87">
        <f>_xlfn.XLOOKUP(_xlfn.XLOOKUP($AT$6&amp;$B28,公表[班別+時段],公表[備勤6],""),$AY$9:$AY$25,$AZ$9:$AZ$25,"")</f>
        <v>0</v>
      </c>
      <c r="W28" s="87"/>
      <c r="X28" s="87">
        <f>_xlfn.XLOOKUP(_xlfn.XLOOKUP($AT$6&amp;$B28,公表[班別+時段],公表[備勤7],""),$AY$9:$AY$25,$AZ$9:$AZ$25,"")</f>
        <v>0</v>
      </c>
      <c r="Y28" s="87">
        <f>_xlfn.XLOOKUP(_xlfn.XLOOKUP($AT$6&amp;$B28,公表[班別+時段],公表[備勤8],""),$AY$9:$AY$25,$AZ$9:$AZ$25,"")</f>
        <v>0</v>
      </c>
      <c r="Z28" s="87"/>
      <c r="AA28" s="87"/>
      <c r="AB28" s="87"/>
      <c r="AC28" s="87"/>
      <c r="AD28" s="87"/>
      <c r="AE28" s="87"/>
      <c r="AF28" s="88">
        <f>_xlfn.XLOOKUP(_xlfn.XLOOKUP($AT$6&amp;$B28,公表[班別+時段],公表[指揮官],""),$AY$9:$AY$25,$AZ$9:$AZ$25,"")</f>
        <v>1</v>
      </c>
      <c r="AG28" s="318"/>
      <c r="AH28" s="319"/>
      <c r="AI28" s="321"/>
      <c r="AJ28" s="321"/>
      <c r="AK28" s="321"/>
      <c r="AL28" s="321"/>
      <c r="AM28" s="321"/>
      <c r="AN28" s="322"/>
      <c r="AO28" s="214"/>
      <c r="AP28" s="127">
        <v>20</v>
      </c>
      <c r="AQ28" s="127" t="str">
        <v>呂奇霈</v>
      </c>
      <c r="AR28" s="127" t="str" cm="1">
        <f t="array" ref="AR28">IFERROR(_xlfn.XLOOKUP(_xlfn.XLOOKUP($AR$3,輪休基準表!$C$6:$C$36,_xlfn.XLOOKUP(AQ28,輪休基準表!$E$5:$AF$5,輪休基準表!$E$6:$AF$36,""),""),班別參數!$A$4:$A$20,班別參數!$B$4:$B$20,""),"")</f>
        <v>輪休</v>
      </c>
      <c r="AS28" s="120" t="str" cm="1">
        <f t="array" ref="AS28">_xlfn.LET(
    _xlpm.番號, COUNTIF($AZ$9:$AZ$24, $AP28),
    _xlpm.已排, _xlpm.番號 &gt; 0,
    _xlpm.上班, (AR28="上班"),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T28" s="170" t="str">
        <f t="shared" si="0"/>
        <v/>
      </c>
      <c r="AU28" s="180" t="str">
        <f t="shared" si="1"/>
        <v/>
      </c>
      <c r="AV28" s="180" t="str">
        <f t="shared" si="2"/>
        <v/>
      </c>
      <c r="AW28" s="10"/>
      <c r="AX28" s="47"/>
      <c r="AY28" s="45"/>
      <c r="AZ28" s="25"/>
      <c r="BA28" s="28"/>
      <c r="BB28" s="33"/>
      <c r="BC28" s="25"/>
      <c r="BE28" s="127"/>
    </row>
    <row r="29" spans="2:57" ht="30" customHeight="1">
      <c r="B29" s="81" t="s">
        <v>92</v>
      </c>
      <c r="C29" s="87">
        <f>_xlfn.XLOOKUP(_xlfn.XLOOKUP($AT$6&amp;$B29,公表[班別+時段],公表[值班],""),$AY$9:$AY$25,$AZ$9:$AZ$25,"")</f>
        <v>11</v>
      </c>
      <c r="D29" s="95"/>
      <c r="E29" s="95"/>
      <c r="F29" s="95"/>
      <c r="G29" s="95"/>
      <c r="H29" s="122" t="str">
        <f>IF(BD18="","",BD18)</f>
        <v/>
      </c>
      <c r="I29" s="37"/>
      <c r="J29" s="92">
        <f>_xlfn.XLOOKUP(_xlfn.XLOOKUP($AT$6&amp;$B29,公表[班別+時段],公表[救護1],""),$AY$9:$AY$25,$AZ$9:$AZ$25,"")</f>
        <v>28</v>
      </c>
      <c r="K29" s="92">
        <f>_xlfn.XLOOKUP(_xlfn.XLOOKUP($AT$6&amp;$B29,公表[班別+時段],公表[救護2],""),$AY$9:$AY$25,$AZ$9:$AZ$25,"")</f>
        <v>14</v>
      </c>
      <c r="L29" s="87"/>
      <c r="M29" s="87" t="s">
        <v>212</v>
      </c>
      <c r="N29" s="312"/>
      <c r="O29" s="87">
        <f>_xlfn.XLOOKUP(_xlfn.XLOOKUP($AT$6&amp;$B29,公表[班別+時段],公表[備勤1],""),$AY$9:$AY$25,$AZ$9:$AZ$25,"")</f>
        <v>24</v>
      </c>
      <c r="P29" s="87">
        <f>_xlfn.XLOOKUP(_xlfn.XLOOKUP($AT$6&amp;$B29,公表[班別+時段],公表[備勤2],""),$AY$9:$AY$25,$AZ$9:$AZ$25,"")</f>
        <v>13</v>
      </c>
      <c r="Q29" s="87"/>
      <c r="R29" s="87">
        <f>_xlfn.XLOOKUP(_xlfn.XLOOKUP($AT$6&amp;$B29,公表[班別+時段],公表[備勤3],""),$AY$9:$AY$25,$AZ$9:$AZ$25,"")</f>
        <v>15</v>
      </c>
      <c r="S29" s="87">
        <f>_xlfn.XLOOKUP(_xlfn.XLOOKUP($AT$6&amp;$B29,公表[班別+時段],公表[備勤4],""),$AY$9:$AY$25,$AZ$9:$AZ$25,"")</f>
        <v>27</v>
      </c>
      <c r="T29" s="87"/>
      <c r="U29" s="87">
        <f>_xlfn.XLOOKUP(_xlfn.XLOOKUP($AT$6&amp;$B29,公表[班別+時段],公表[備勤5],""),$AY$9:$AY$25,$AZ$9:$AZ$25,"")</f>
        <v>3</v>
      </c>
      <c r="V29" s="87">
        <f>_xlfn.XLOOKUP(_xlfn.XLOOKUP($AT$6&amp;$B29,公表[班別+時段],公表[備勤6],""),$AY$9:$AY$25,$AZ$9:$AZ$25,"")</f>
        <v>0</v>
      </c>
      <c r="W29" s="87"/>
      <c r="X29" s="87">
        <f>_xlfn.XLOOKUP(_xlfn.XLOOKUP($AT$6&amp;$B29,公表[班別+時段],公表[備勤7],""),$AY$9:$AY$25,$AZ$9:$AZ$25,"")</f>
        <v>0</v>
      </c>
      <c r="Y29" s="87">
        <f>_xlfn.XLOOKUP(_xlfn.XLOOKUP($AT$6&amp;$B29,公表[班別+時段],公表[備勤8],""),$AY$9:$AY$25,$AZ$9:$AZ$25,"")</f>
        <v>0</v>
      </c>
      <c r="Z29" s="87"/>
      <c r="AA29" s="87"/>
      <c r="AB29" s="87"/>
      <c r="AC29" s="87"/>
      <c r="AD29" s="87"/>
      <c r="AE29" s="87"/>
      <c r="AF29" s="88">
        <f>_xlfn.XLOOKUP(_xlfn.XLOOKUP($AT$6&amp;$B29,公表[班別+時段],公表[指揮官],""),$AY$9:$AY$25,$AZ$9:$AZ$25,"")</f>
        <v>1</v>
      </c>
      <c r="AG29" s="323" t="s">
        <v>216</v>
      </c>
      <c r="AH29" s="324"/>
      <c r="AI29" s="324"/>
      <c r="AJ29" s="324"/>
      <c r="AK29" s="324"/>
      <c r="AL29" s="324"/>
      <c r="AM29" s="324"/>
      <c r="AN29" s="325"/>
      <c r="AO29" s="214"/>
      <c r="AP29" s="127">
        <v>21</v>
      </c>
      <c r="AQ29" s="127" t="str">
        <v>張家和</v>
      </c>
      <c r="AR29" s="127" t="str" cm="1">
        <f t="array" ref="AR29">IFERROR(_xlfn.XLOOKUP(_xlfn.XLOOKUP($AR$3,輪休基準表!$C$6:$C$36,_xlfn.XLOOKUP(AQ29,輪休基準表!$E$5:$AF$5,輪休基準表!$E$6:$AF$36,""),""),班別參數!$A$4:$A$20,班別參數!$B$4:$B$20,""),"")</f>
        <v>輪休</v>
      </c>
      <c r="AS29" s="120" t="str" cm="1">
        <f t="array" ref="AS29">_xlfn.LET(
    _xlpm.番號, COUNTIF($AZ$9:$AZ$24, $AP29),
    _xlpm.已排, _xlpm.番號 &gt; 0,
    _xlpm.上班, (AR29="上班"),
    _xlfn.IFS(
        _xlpm.番號 &gt; 1, "重複",
        AND(_xlpm.上班, NOT(_xlpm.已排)), "未排",
        AND(NOT(_xlpm.上班),_xlpm.已排), "沒上班",
        _xlpm.已排, "已排",
        TRUE, ""
    )
)</f>
        <v/>
      </c>
      <c r="AT29" s="170" t="str">
        <f t="shared" si="0"/>
        <v/>
      </c>
      <c r="AU29" s="180" t="str">
        <f t="shared" si="1"/>
        <v/>
      </c>
      <c r="AV29" s="180" t="str">
        <f t="shared" si="2"/>
        <v/>
      </c>
      <c r="AW29" s="10"/>
      <c r="AX29" s="47"/>
      <c r="AY29" s="45"/>
      <c r="AZ29" s="25"/>
      <c r="BA29" s="28"/>
      <c r="BB29" s="33"/>
      <c r="BC29" s="25"/>
      <c r="BE29" s="127"/>
    </row>
    <row r="30" spans="2:57" ht="30" customHeight="1">
      <c r="B30" s="81" t="s">
        <v>93</v>
      </c>
      <c r="C30" s="87">
        <f>_xlfn.XLOOKUP(_xlfn.XLOOKUP($AT$6&amp;$B30,公表[班別+時段],公表[值班],""),$AY$9:$AY$25,$AZ$9:$AZ$25,"")</f>
        <v>11</v>
      </c>
      <c r="D30" s="95"/>
      <c r="E30" s="95"/>
      <c r="F30" s="95"/>
      <c r="G30" s="95"/>
      <c r="H30" s="122" t="str">
        <f>IF(BD19="","",BD19)</f>
        <v/>
      </c>
      <c r="I30" s="37"/>
      <c r="J30" s="92">
        <f>_xlfn.XLOOKUP(_xlfn.XLOOKUP($AT$6&amp;$B30,公表[班別+時段],公表[救護1],""),$AY$9:$AY$25,$AZ$9:$AZ$25,"")</f>
        <v>24</v>
      </c>
      <c r="K30" s="92">
        <f>_xlfn.XLOOKUP(_xlfn.XLOOKUP($AT$6&amp;$B30,公表[班別+時段],公表[救護2],""),$AY$9:$AY$25,$AZ$9:$AZ$25,"")</f>
        <v>13</v>
      </c>
      <c r="L30" s="87"/>
      <c r="M30" s="87" t="s">
        <v>212</v>
      </c>
      <c r="N30" s="312"/>
      <c r="O30" s="87">
        <f>_xlfn.XLOOKUP(_xlfn.XLOOKUP($AT$6&amp;$B30,公表[班別+時段],公表[備勤1],""),$AY$9:$AY$25,$AZ$9:$AZ$25,"")</f>
        <v>28</v>
      </c>
      <c r="P30" s="87">
        <f>_xlfn.XLOOKUP(_xlfn.XLOOKUP($AT$6&amp;$B30,公表[班別+時段],公表[備勤2],""),$AY$9:$AY$25,$AZ$9:$AZ$25,"")</f>
        <v>27</v>
      </c>
      <c r="Q30" s="87"/>
      <c r="R30" s="87">
        <f>_xlfn.XLOOKUP(_xlfn.XLOOKUP($AT$6&amp;$B30,公表[班別+時段],公表[備勤3],""),$AY$9:$AY$25,$AZ$9:$AZ$25,"")</f>
        <v>14</v>
      </c>
      <c r="S30" s="87">
        <f>_xlfn.XLOOKUP(_xlfn.XLOOKUP($AT$6&amp;$B30,公表[班別+時段],公表[備勤4],""),$AY$9:$AY$25,$AZ$9:$AZ$25,"")</f>
        <v>15</v>
      </c>
      <c r="T30" s="87"/>
      <c r="U30" s="87">
        <f>_xlfn.XLOOKUP(_xlfn.XLOOKUP($AT$6&amp;$B30,公表[班別+時段],公表[備勤5],""),$AY$9:$AY$25,$AZ$9:$AZ$25,"")</f>
        <v>3</v>
      </c>
      <c r="V30" s="87">
        <f>_xlfn.XLOOKUP(_xlfn.XLOOKUP($AT$6&amp;$B30,公表[班別+時段],公表[備勤6],""),$AY$9:$AY$25,$AZ$9:$AZ$25,"")</f>
        <v>0</v>
      </c>
      <c r="W30" s="87"/>
      <c r="X30" s="87">
        <f>_xlfn.XLOOKUP(_xlfn.XLOOKUP($AT$6&amp;$B30,公表[班別+時段],公表[備勤7],""),$AY$9:$AY$25,$AZ$9:$AZ$25,"")</f>
        <v>0</v>
      </c>
      <c r="Y30" s="87">
        <f>_xlfn.XLOOKUP(_xlfn.XLOOKUP($AT$6&amp;$B30,公表[班別+時段],公表[備勤8],""),$AY$9:$AY$25,$AZ$9:$AZ$25,"")</f>
        <v>0</v>
      </c>
      <c r="Z30" s="87"/>
      <c r="AA30" s="87"/>
      <c r="AB30" s="87"/>
      <c r="AC30" s="87"/>
      <c r="AD30" s="87"/>
      <c r="AE30" s="87"/>
      <c r="AF30" s="88">
        <f>_xlfn.XLOOKUP(_xlfn.XLOOKUP($AT$6&amp;$B30,公表[班別+時段],公表[指揮官],""),$AY$9:$AY$25,$AZ$9:$AZ$25,"")</f>
        <v>1</v>
      </c>
      <c r="AG30" s="323" t="s">
        <v>217</v>
      </c>
      <c r="AH30" s="327"/>
      <c r="AI30" s="326" t="s">
        <v>218</v>
      </c>
      <c r="AJ30" s="327"/>
      <c r="AK30" s="326" t="s">
        <v>219</v>
      </c>
      <c r="AL30" s="327"/>
      <c r="AM30" s="26" t="s">
        <v>220</v>
      </c>
      <c r="AN30" s="124" t="s">
        <v>221</v>
      </c>
      <c r="AO30" s="214"/>
      <c r="AP30" s="127">
        <v>22</v>
      </c>
      <c r="AQ30" s="127" t="str">
        <v>陳俊瑋</v>
      </c>
      <c r="AR30" s="127" t="str" cm="1">
        <f t="array" ref="AR30">IFERROR(_xlfn.XLOOKUP(_xlfn.XLOOKUP($AR$3,輪休基準表!$C$6:$C$36,_xlfn.XLOOKUP(AQ30,輪休基準表!$E$5:$AF$5,輪休基準表!$E$6:$AF$36,""),""),班別參數!$A$4:$A$20,班別參數!$B$4:$B$20,""),"")</f>
        <v>輪休</v>
      </c>
      <c r="AS30" s="120" t="str" cm="1">
        <f t="array" ref="AS30">_xlfn.LET(
    _xlpm.番號, COUNTIF($AZ$9:$AZ$24, $AP30),
    _xlpm.已排, _xlpm.番號 &gt; 0,
    _xlpm.上班, (AR30="上班"),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T30" s="170" t="str">
        <f t="shared" si="0"/>
        <v/>
      </c>
      <c r="AU30" s="180" t="str">
        <f t="shared" si="1"/>
        <v/>
      </c>
      <c r="AV30" s="180" t="str">
        <f t="shared" si="2"/>
        <v/>
      </c>
      <c r="AW30" s="10"/>
      <c r="AX30" s="47"/>
      <c r="AY30" s="45"/>
      <c r="AZ30" s="25"/>
      <c r="BA30" s="28"/>
      <c r="BB30" s="33"/>
      <c r="BC30" s="25"/>
      <c r="BE30" s="127"/>
    </row>
    <row r="31" spans="2:57" ht="30" customHeight="1" thickBot="1">
      <c r="B31" s="110" t="s">
        <v>94</v>
      </c>
      <c r="C31" s="89">
        <f>_xlfn.XLOOKUP(_xlfn.XLOOKUP($AT$6&amp;$B31,公表[班別+時段],公表[值班],""),$AY$9:$AY$25,$AZ$9:$AZ$25,"")</f>
        <v>11</v>
      </c>
      <c r="D31" s="106"/>
      <c r="E31" s="106"/>
      <c r="F31" s="96"/>
      <c r="G31" s="96"/>
      <c r="H31" s="123" t="str">
        <f>IF(BD19="","",BD19)</f>
        <v/>
      </c>
      <c r="I31" s="109"/>
      <c r="J31" s="216">
        <f>_xlfn.XLOOKUP(_xlfn.XLOOKUP($AT$6&amp;$B31,公表[班別+時段],公表[救護1],""),$AY$9:$AY$25,$AZ$9:$AZ$25,"")</f>
        <v>24</v>
      </c>
      <c r="K31" s="216">
        <f>_xlfn.XLOOKUP(_xlfn.XLOOKUP($AT$6&amp;$B31,公表[班別+時段],公表[救護2],""),$AY$9:$AY$25,$AZ$9:$AZ$25,"")</f>
        <v>13</v>
      </c>
      <c r="L31" s="108"/>
      <c r="M31" s="93" t="s">
        <v>212</v>
      </c>
      <c r="N31" s="312"/>
      <c r="O31" s="89">
        <f>_xlfn.XLOOKUP(_xlfn.XLOOKUP($AT$6&amp;$B31,公表[班別+時段],公表[備勤1],""),$AY$9:$AY$25,$AZ$9:$AZ$25,"")</f>
        <v>28</v>
      </c>
      <c r="P31" s="89">
        <f>_xlfn.XLOOKUP(_xlfn.XLOOKUP($AT$6&amp;$B31,公表[班別+時段],公表[備勤2],""),$AY$9:$AY$25,$AZ$9:$AZ$25,"")</f>
        <v>27</v>
      </c>
      <c r="Q31" s="89"/>
      <c r="R31" s="89">
        <f>_xlfn.XLOOKUP(_xlfn.XLOOKUP($AT$6&amp;$B31,公表[班別+時段],公表[備勤3],""),$AY$9:$AY$25,$AZ$9:$AZ$25,"")</f>
        <v>14</v>
      </c>
      <c r="S31" s="89">
        <f>_xlfn.XLOOKUP(_xlfn.XLOOKUP($AT$6&amp;$B31,公表[班別+時段],公表[備勤4],""),$AY$9:$AY$25,$AZ$9:$AZ$25,"")</f>
        <v>15</v>
      </c>
      <c r="T31" s="89"/>
      <c r="U31" s="89">
        <f>_xlfn.XLOOKUP(_xlfn.XLOOKUP($AT$6&amp;$B31,公表[班別+時段],公表[備勤5],""),$AY$9:$AY$25,$AZ$9:$AZ$25,"")</f>
        <v>3</v>
      </c>
      <c r="V31" s="89">
        <f>_xlfn.XLOOKUP(_xlfn.XLOOKUP($AT$6&amp;$B31,公表[班別+時段],公表[備勤6],""),$AY$9:$AY$25,$AZ$9:$AZ$25,"")</f>
        <v>0</v>
      </c>
      <c r="W31" s="89"/>
      <c r="X31" s="89">
        <f>_xlfn.XLOOKUP(_xlfn.XLOOKUP($AT$6&amp;$B31,公表[班別+時段],公表[備勤7],""),$AY$9:$AY$25,$AZ$9:$AZ$25,"")</f>
        <v>0</v>
      </c>
      <c r="Y31" s="89">
        <f>_xlfn.XLOOKUP(_xlfn.XLOOKUP($AT$6&amp;$B31,公表[班別+時段],公表[備勤8],""),$AY$9:$AY$25,$AZ$9:$AZ$25,"")</f>
        <v>0</v>
      </c>
      <c r="Z31" s="89"/>
      <c r="AA31" s="89"/>
      <c r="AB31" s="89"/>
      <c r="AC31" s="89"/>
      <c r="AD31" s="89"/>
      <c r="AE31" s="89"/>
      <c r="AF31" s="104">
        <f>_xlfn.XLOOKUP(_xlfn.XLOOKUP($AT$6&amp;$B31,公表[班別+時段],公表[指揮官],""),$AY$9:$AY$25,$AZ$9:$AZ$25,"")</f>
        <v>1</v>
      </c>
      <c r="AG31" s="330"/>
      <c r="AH31" s="327"/>
      <c r="AI31" s="346"/>
      <c r="AJ31" s="327"/>
      <c r="AK31" s="346"/>
      <c r="AL31" s="327"/>
      <c r="AM31" s="22"/>
      <c r="AN31" s="59"/>
      <c r="AO31" s="214"/>
      <c r="AP31" s="127">
        <v>23</v>
      </c>
      <c r="AQ31" s="127" t="str">
        <v>陳俊翰</v>
      </c>
      <c r="AR31" s="127" t="str" cm="1">
        <f t="array" ref="AR31">IFERROR(_xlfn.XLOOKUP(_xlfn.XLOOKUP($AR$3,輪休基準表!$C$6:$C$36,_xlfn.XLOOKUP(AQ31,輪休基準表!$E$5:$AF$5,輪休基準表!$E$6:$AF$36,""),""),班別參數!$A$4:$A$20,班別參數!$B$4:$B$20,""),"")</f>
        <v>輪休</v>
      </c>
      <c r="AS31" s="120" t="str" cm="1">
        <f t="array" ref="AS31">_xlfn.LET(
    _xlpm.番號, COUNTIF($AZ$9:$AZ$24, $AP31),
    _xlpm.已排, _xlpm.番號 &gt; 0,
    _xlpm.上班, (AR31="上班"),
    _xlfn.IFS(
        _xlpm.番號 &gt; 1, "重複",
        AND(_xlpm.上班, NOT(_xlpm.已排)), "未排",
        AND(NOT(_xlpm.上班),_xlpm.已排), "沒上班",
        _xlpm.已排, "已排",
        TRUE, ""
    )
)</f>
        <v/>
      </c>
      <c r="AT31" s="170" t="str">
        <f t="shared" si="0"/>
        <v/>
      </c>
      <c r="AU31" s="180" t="str">
        <f t="shared" si="1"/>
        <v/>
      </c>
      <c r="AV31" s="180" t="str">
        <f t="shared" si="2"/>
        <v/>
      </c>
      <c r="AX31" s="47"/>
      <c r="AY31" s="45"/>
      <c r="AZ31" s="25"/>
      <c r="BA31" s="28"/>
      <c r="BB31" s="33"/>
      <c r="BC31" s="25"/>
      <c r="BE31" s="127"/>
    </row>
    <row r="32" spans="2:57" ht="30" customHeight="1">
      <c r="B32" s="84" t="s">
        <v>95</v>
      </c>
      <c r="C32" s="90">
        <f>_xlfn.XLOOKUP(_xlfn.XLOOKUP($AT$6&amp;$B32,公表[班別+時段],公表[值班],""),$AY$9:$AY$25,$AZ$9:$AZ$25,"")</f>
        <v>11</v>
      </c>
      <c r="D32" s="97"/>
      <c r="E32" s="97"/>
      <c r="F32" s="97"/>
      <c r="G32" s="97"/>
      <c r="H32" s="121" t="s">
        <v>351</v>
      </c>
      <c r="I32" s="56"/>
      <c r="J32" s="94">
        <f>_xlfn.XLOOKUP(_xlfn.XLOOKUP($AT$6&amp;$B32,公表[班別+時段],公表[救護1],""),$AY$9:$AY$25,$AZ$9:$AZ$25,"")</f>
        <v>24</v>
      </c>
      <c r="K32" s="94">
        <f>_xlfn.XLOOKUP(_xlfn.XLOOKUP($AT$6&amp;$B32,公表[班別+時段],公表[救護2],""),$AY$9:$AY$25,$AZ$9:$AZ$25,"")</f>
        <v>13</v>
      </c>
      <c r="L32" s="90"/>
      <c r="M32" s="90" t="s">
        <v>212</v>
      </c>
      <c r="N32" s="312"/>
      <c r="O32" s="90">
        <f>_xlfn.XLOOKUP(_xlfn.XLOOKUP($AT$6&amp;$B32,公表[班別+時段],公表[備勤1],""),$AY$9:$AY$25,$AZ$9:$AZ$25,"")</f>
        <v>27</v>
      </c>
      <c r="P32" s="90">
        <f>_xlfn.XLOOKUP(_xlfn.XLOOKUP($AT$6&amp;$B32,公表[班別+時段],公表[備勤2],""),$AY$9:$AY$25,$AZ$9:$AZ$25,"")</f>
        <v>14</v>
      </c>
      <c r="Q32" s="90"/>
      <c r="R32" s="90">
        <f>_xlfn.XLOOKUP(_xlfn.XLOOKUP($AT$6&amp;$B32,公表[班別+時段],公表[備勤3],""),$AY$9:$AY$25,$AZ$9:$AZ$25,"")</f>
        <v>28</v>
      </c>
      <c r="S32" s="90">
        <f>_xlfn.XLOOKUP(_xlfn.XLOOKUP($AT$6&amp;$B32,公表[班別+時段],公表[備勤4],""),$AY$9:$AY$25,$AZ$9:$AZ$25,"")</f>
        <v>0</v>
      </c>
      <c r="T32" s="90"/>
      <c r="U32" s="90">
        <f>_xlfn.XLOOKUP(_xlfn.XLOOKUP($AT$6&amp;$B32,公表[班別+時段],公表[備勤5],""),$AY$9:$AY$25,$AZ$9:$AZ$25,"")</f>
        <v>0</v>
      </c>
      <c r="V32" s="90">
        <f>_xlfn.XLOOKUP(_xlfn.XLOOKUP($AT$6&amp;$B32,公表[班別+時段],公表[備勤6],""),$AY$9:$AY$25,$AZ$9:$AZ$25,"")</f>
        <v>0</v>
      </c>
      <c r="W32" s="90"/>
      <c r="X32" s="90">
        <f>_xlfn.XLOOKUP(_xlfn.XLOOKUP($AT$6&amp;$B32,公表[班別+時段],公表[備勤7],""),$AY$9:$AY$25,$AZ$9:$AZ$25,"")</f>
        <v>0</v>
      </c>
      <c r="Y32" s="90">
        <f>_xlfn.XLOOKUP(_xlfn.XLOOKUP($AT$6&amp;$B32,公表[班別+時段],公表[備勤8],""),$AY$9:$AY$25,$AZ$9:$AZ$25,"")</f>
        <v>0</v>
      </c>
      <c r="Z32" s="90"/>
      <c r="AA32" s="90"/>
      <c r="AB32" s="90"/>
      <c r="AC32" s="90"/>
      <c r="AD32" s="90"/>
      <c r="AE32" s="90"/>
      <c r="AF32" s="91">
        <v>3</v>
      </c>
      <c r="AG32" s="347"/>
      <c r="AH32" s="327"/>
      <c r="AI32" s="329"/>
      <c r="AJ32" s="327"/>
      <c r="AK32" s="329"/>
      <c r="AL32" s="327"/>
      <c r="AM32" s="22"/>
      <c r="AN32" s="60"/>
      <c r="AO32" s="214"/>
      <c r="AP32" s="127">
        <v>24</v>
      </c>
      <c r="AQ32" s="127" t="str">
        <v>賴俊豪</v>
      </c>
      <c r="AR32" s="127" t="str" cm="1">
        <f t="array" ref="AR32">IFERROR(_xlfn.XLOOKUP(_xlfn.XLOOKUP($AR$3,輪休基準表!$C$6:$C$36,_xlfn.XLOOKUP(AQ32,輪休基準表!$E$5:$AF$5,輪休基準表!$E$6:$AF$36,""),""),班別參數!$A$4:$A$20,班別參數!$B$4:$B$20,""),"")</f>
        <v>上班</v>
      </c>
      <c r="AS32" s="120" t="str" cm="1">
        <f t="array" ref="AS32">_xlfn.LET(
    _xlpm.番號, COUNTIF($AZ$9:$AZ$24, $AP32),
    _xlpm.已排, _xlpm.番號 &gt; 0,
    _xlpm.上班, (AR32="上班"),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T32" s="170" t="str">
        <f t="shared" si="0"/>
        <v>已排</v>
      </c>
      <c r="AU32" s="180">
        <f t="shared" si="1"/>
        <v>8</v>
      </c>
      <c r="AV32" s="180">
        <f t="shared" si="2"/>
        <v>4</v>
      </c>
      <c r="AX32" s="47"/>
      <c r="AY32" s="45"/>
      <c r="AZ32" s="25"/>
      <c r="BA32" s="28"/>
      <c r="BB32" s="33"/>
      <c r="BC32" s="25"/>
      <c r="BE32" s="127"/>
    </row>
    <row r="33" spans="2:57" ht="30" customHeight="1">
      <c r="B33" s="81" t="s">
        <v>96</v>
      </c>
      <c r="C33" s="87">
        <f>_xlfn.XLOOKUP(_xlfn.XLOOKUP($AT$6&amp;$B33,公表[班別+時段],公表[值班],""),$AY$9:$AY$25,$AZ$9:$AZ$25,"")</f>
        <v>11</v>
      </c>
      <c r="D33" s="95"/>
      <c r="E33" s="95"/>
      <c r="F33" s="95"/>
      <c r="G33" s="95"/>
      <c r="H33" s="122" t="s">
        <v>351</v>
      </c>
      <c r="I33" s="48"/>
      <c r="J33" s="92">
        <f>_xlfn.XLOOKUP(_xlfn.XLOOKUP($AT$6&amp;$B33,公表[班別+時段],公表[救護1],""),$AY$9:$AY$25,$AZ$9:$AZ$25,"")</f>
        <v>24</v>
      </c>
      <c r="K33" s="92">
        <f>_xlfn.XLOOKUP(_xlfn.XLOOKUP($AT$6&amp;$B33,公表[班別+時段],公表[救護2],""),$AY$9:$AY$25,$AZ$9:$AZ$25,"")</f>
        <v>13</v>
      </c>
      <c r="L33" s="87"/>
      <c r="M33" s="87" t="s">
        <v>212</v>
      </c>
      <c r="N33" s="313"/>
      <c r="O33" s="87">
        <f>_xlfn.XLOOKUP(_xlfn.XLOOKUP($AT$6&amp;$B33,公表[班別+時段],公表[備勤1],""),$AY$9:$AY$25,$AZ$9:$AZ$25,"")</f>
        <v>27</v>
      </c>
      <c r="P33" s="87">
        <f>_xlfn.XLOOKUP(_xlfn.XLOOKUP($AT$6&amp;$B33,公表[班別+時段],公表[備勤2],""),$AY$9:$AY$25,$AZ$9:$AZ$25,"")</f>
        <v>14</v>
      </c>
      <c r="Q33" s="87"/>
      <c r="R33" s="87">
        <f>_xlfn.XLOOKUP(_xlfn.XLOOKUP($AT$6&amp;$B33,公表[班別+時段],公表[備勤3],""),$AY$9:$AY$25,$AZ$9:$AZ$25,"")</f>
        <v>28</v>
      </c>
      <c r="S33" s="87">
        <f>_xlfn.XLOOKUP(_xlfn.XLOOKUP($AT$6&amp;$B33,公表[班別+時段],公表[備勤4],""),$AY$9:$AY$25,$AZ$9:$AZ$25,"")</f>
        <v>0</v>
      </c>
      <c r="T33" s="87"/>
      <c r="U33" s="87">
        <f>_xlfn.XLOOKUP(_xlfn.XLOOKUP($AT$6&amp;$B33,公表[班別+時段],公表[備勤5],""),$AY$9:$AY$25,$AZ$9:$AZ$25,"")</f>
        <v>0</v>
      </c>
      <c r="V33" s="87">
        <f>_xlfn.XLOOKUP(_xlfn.XLOOKUP($AT$6&amp;$B33,公表[班別+時段],公表[備勤6],""),$AY$9:$AY$25,$AZ$9:$AZ$25,"")</f>
        <v>0</v>
      </c>
      <c r="W33" s="87"/>
      <c r="X33" s="87">
        <f>_xlfn.XLOOKUP(_xlfn.XLOOKUP($AT$6&amp;$B33,公表[班別+時段],公表[備勤7],""),$AY$9:$AY$25,$AZ$9:$AZ$25,"")</f>
        <v>0</v>
      </c>
      <c r="Y33" s="87">
        <f>_xlfn.XLOOKUP(_xlfn.XLOOKUP($AT$6&amp;$B33,公表[班別+時段],公表[備勤8],""),$AY$9:$AY$25,$AZ$9:$AZ$25,"")</f>
        <v>0</v>
      </c>
      <c r="Z33" s="87"/>
      <c r="AA33" s="87"/>
      <c r="AB33" s="87"/>
      <c r="AC33" s="87"/>
      <c r="AD33" s="87"/>
      <c r="AE33" s="87"/>
      <c r="AF33" s="88">
        <v>3</v>
      </c>
      <c r="AG33" s="328"/>
      <c r="AH33" s="327"/>
      <c r="AI33" s="329"/>
      <c r="AJ33" s="327"/>
      <c r="AK33" s="329"/>
      <c r="AL33" s="327"/>
      <c r="AM33" s="22"/>
      <c r="AN33" s="61"/>
      <c r="AO33" s="214"/>
      <c r="AP33" s="127">
        <v>25</v>
      </c>
      <c r="AQ33" s="127" t="str">
        <v>郭國偵</v>
      </c>
      <c r="AR33" s="127" t="str" cm="1">
        <f t="array" ref="AR33">IFERROR(_xlfn.XLOOKUP(_xlfn.XLOOKUP($AR$3,輪休基準表!$C$6:$C$36,_xlfn.XLOOKUP(AQ33,輪休基準表!$E$5:$AF$5,輪休基準表!$E$6:$AF$36,""),""),班別參數!$A$4:$A$20,班別參數!$B$4:$B$20,""),"")</f>
        <v>輪休</v>
      </c>
      <c r="AS33" s="120" t="str" cm="1">
        <f t="array" ref="AS33">_xlfn.LET(
    _xlpm.番號, COUNTIF($AZ$9:$AZ$24, $AP33),
    _xlpm.已排, _xlpm.番號 &gt; 0,
    _xlpm.上班, (AR33="上班"),
    _xlfn.IFS(
        _xlpm.番號 &gt; 1, "重複",
        AND(_xlpm.上班, NOT(_xlpm.已排)), "未排",
        AND(NOT(_xlpm.上班),_xlpm.已排), "沒上班",
        _xlpm.已排, "已排",
        TRUE, ""
    )
)</f>
        <v/>
      </c>
      <c r="AT33" s="170" t="str">
        <f t="shared" si="0"/>
        <v/>
      </c>
      <c r="AU33" s="180" t="str">
        <f t="shared" si="1"/>
        <v/>
      </c>
      <c r="AV33" s="180" t="str">
        <f t="shared" si="2"/>
        <v/>
      </c>
      <c r="AX33" s="47"/>
      <c r="AY33" s="45"/>
      <c r="AZ33" s="25"/>
      <c r="BA33" s="28"/>
      <c r="BB33" s="25"/>
      <c r="BC33" s="25"/>
      <c r="BE33" s="127"/>
    </row>
    <row r="34" spans="2:57" ht="30" customHeight="1">
      <c r="B34" s="348" t="s">
        <v>215</v>
      </c>
      <c r="C34" s="351" t="str" cm="1">
        <f t="array" ref="C34">_xlfn.IFS(
  $AR$9="上班", "一、本日主管上班。",
  $AR$10="上班", "一、本日主管"&amp;$AR$9&amp;"，職務由小隊長"&amp;$AQ$10&amp;"代理。",
  $AR$11="上班", "一、本日主管"&amp;$AR$9&amp;"，職務由小隊長"&amp;$AQ$11&amp;"代理。",
  $AR$12="上班", "一、本日主管"&amp;$AR$9&amp;"，職務由小隊長"&amp;$AQ$12&amp;"代理。",
  $AR$13="上班", "一、本日主管"&amp;$AR$9&amp;"，職務由小隊長"&amp;$AQ$13&amp;"代理。",
  TRUE, "一、本日主管"&amp;$AR$9&amp;"，目前無人代理。"
)</f>
        <v>一、本日主管上班。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2"/>
      <c r="AG34" s="355"/>
      <c r="AH34" s="324"/>
      <c r="AI34" s="324"/>
      <c r="AJ34" s="324"/>
      <c r="AK34" s="324"/>
      <c r="AL34" s="324"/>
      <c r="AM34" s="324"/>
      <c r="AN34" s="325"/>
      <c r="AP34" s="127">
        <v>26</v>
      </c>
      <c r="AQ34" s="127" t="str">
        <v>楊紹文</v>
      </c>
      <c r="AR34" s="127" t="str" cm="1">
        <f t="array" ref="AR34">IFERROR(_xlfn.XLOOKUP(_xlfn.XLOOKUP($AR$3,輪休基準表!$C$6:$C$36,_xlfn.XLOOKUP(AQ34,輪休基準表!$E$5:$AF$5,輪休基準表!$E$6:$AF$36,""),""),班別參數!$A$4:$A$20,班別參數!$B$4:$B$20,""),"")</f>
        <v>輪休</v>
      </c>
      <c r="AS34" s="120" t="str" cm="1">
        <f t="array" ref="AS34">_xlfn.LET(
    _xlpm.番號, COUNTIF($AZ$9:$AZ$24, $AP34),
    _xlpm.已排, _xlpm.番號 &gt; 0,
    _xlpm.上班, (AR34="上班"),
    _xlfn.IFS(
        _xlpm.番號 &gt; 1, "重複",
        AND(_xlpm.上班, NOT(_xlpm.已排)), "未排",
        AND(NOT(_xlpm.上班),_xlpm.已排), "沒上班",
        _xlpm.已排, "已排",
        TRUE, ""
    )
)</f>
        <v/>
      </c>
      <c r="AT34" s="170" t="str">
        <f t="shared" si="0"/>
        <v/>
      </c>
      <c r="AU34" s="180" t="str">
        <f t="shared" si="1"/>
        <v/>
      </c>
      <c r="AV34" s="180" t="str">
        <f t="shared" si="2"/>
        <v/>
      </c>
      <c r="AX34" s="47"/>
      <c r="AY34" s="45"/>
      <c r="AZ34" s="25"/>
      <c r="BA34" s="28"/>
      <c r="BB34" s="25"/>
      <c r="BC34" s="25"/>
      <c r="BE34" s="127"/>
    </row>
    <row r="35" spans="2:57" ht="30" customHeight="1">
      <c r="B35" s="349"/>
      <c r="C35" s="359" t="str">
        <f>CONCATENATE("二、在隊訓練:09-12時:",I11,";14-17時:",I16,";19-21時:",I21,"。")</f>
        <v>二、在隊訓練:09-12時:車輛駕訓;14-17時:環境整理;19-21時:器材車、化學(處理)車。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2"/>
      <c r="AG35" s="356"/>
      <c r="AH35" s="324"/>
      <c r="AI35" s="324"/>
      <c r="AJ35" s="324"/>
      <c r="AK35" s="324"/>
      <c r="AL35" s="324"/>
      <c r="AM35" s="324"/>
      <c r="AN35" s="325"/>
      <c r="AO35" s="44"/>
      <c r="AP35" s="127">
        <v>27</v>
      </c>
      <c r="AQ35" s="127" t="str">
        <v>林宏為</v>
      </c>
      <c r="AR35" s="127" t="str" cm="1">
        <f t="array" ref="AR35">IFERROR(_xlfn.XLOOKUP(_xlfn.XLOOKUP($AR$3,輪休基準表!$C$6:$C$36,_xlfn.XLOOKUP(AQ35,輪休基準表!$E$5:$AF$5,輪休基準表!$E$6:$AF$36,""),""),班別參數!$A$4:$A$20,班別參數!$B$4:$B$20,""),"")</f>
        <v>上班</v>
      </c>
      <c r="AS35" s="120" t="str" cm="1">
        <f t="array" ref="AS35">_xlfn.LET(
    _xlpm.番號, COUNTIF($AZ$9:$AZ$24, $AP35),
    _xlpm.已排, _xlpm.番號 &gt; 0,
    _xlpm.上班, (AR35="上班"),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T35" s="170" t="str">
        <f t="shared" si="0"/>
        <v>已排</v>
      </c>
      <c r="AU35" s="180">
        <f t="shared" si="1"/>
        <v>8</v>
      </c>
      <c r="AV35" s="180">
        <f t="shared" si="2"/>
        <v>8</v>
      </c>
      <c r="AX35" s="47"/>
      <c r="AY35" s="45"/>
      <c r="AZ35" s="25"/>
      <c r="BA35" s="28"/>
      <c r="BB35" s="25"/>
      <c r="BC35" s="25"/>
      <c r="BE35" s="127"/>
    </row>
    <row r="36" spans="2:57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38"/>
      <c r="AG36" s="357"/>
      <c r="AH36" s="338"/>
      <c r="AI36" s="338"/>
      <c r="AJ36" s="338"/>
      <c r="AK36" s="338"/>
      <c r="AL36" s="338"/>
      <c r="AM36" s="338"/>
      <c r="AN36" s="358"/>
      <c r="AP36" s="127">
        <v>28</v>
      </c>
      <c r="AQ36" s="127" t="str">
        <v>林宸彥</v>
      </c>
      <c r="AR36" s="127" t="str" cm="1">
        <f t="array" ref="AR36">IFERROR(_xlfn.XLOOKUP(_xlfn.XLOOKUP($AR$3,輪休基準表!$C$6:$C$36,_xlfn.XLOOKUP(AQ36,輪休基準表!$E$5:$AF$5,輪休基準表!$E$6:$AF$36,""),""),班別參數!$A$4:$A$20,班別參數!$B$4:$B$20,""),"")</f>
        <v>上班</v>
      </c>
      <c r="AS36" s="120" t="str" cm="1">
        <f t="array" ref="AS36">_xlfn.LET(
    _xlpm.番號, COUNTIF($AZ$9:$AZ$24, $AP36),
    _xlpm.已排, _xlpm.番號 &gt; 0,
    _xlpm.上班, (AR36="上班"),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T36" s="170" t="str">
        <f t="shared" si="0"/>
        <v>已排</v>
      </c>
      <c r="AU36" s="180">
        <f t="shared" si="1"/>
        <v>6</v>
      </c>
      <c r="AV36" s="180">
        <f t="shared" si="2"/>
        <v>8</v>
      </c>
      <c r="BE36" s="10"/>
    </row>
    <row r="37" spans="2:57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17"/>
      <c r="AH37" s="17"/>
      <c r="AI37" s="17"/>
      <c r="AJ37" s="17"/>
      <c r="AK37" s="17"/>
      <c r="AL37" s="17"/>
      <c r="AM37" s="17"/>
      <c r="AN37" s="17"/>
      <c r="AP37" s="127"/>
      <c r="AQ37" s="127"/>
      <c r="AR37" s="127" t="str" cm="1">
        <f t="array" ref="AR37">IFERROR(_xlfn.XLOOKUP(_xlfn.XLOOKUP($AR$3,輪休基準表!$C$6:$C$36,_xlfn.XLOOKUP(AQ37,輪休基準表!$E$5:$AF$5,輪休基準表!$E$6:$AF$36,""),""),班別參數!$A$4:$A$20,班別參數!$B$4:$B$20,""),"")</f>
        <v/>
      </c>
      <c r="AS37" s="118" t="str">
        <f>IFERROR(IF(VLOOKUP($AP37,$AZ$9:$AZ$24,1,0)&lt;&gt;"0","已排",""),"")</f>
        <v/>
      </c>
      <c r="AT37" s="119" t="str">
        <f>IF(COUNTIF($AZ$9:$AZ$23,$AP37)&gt;1,"重複","")</f>
        <v/>
      </c>
      <c r="AU37" s="119" t="str">
        <f>IF(AND(AR37&lt;&gt;"上班",AS37="已排"),"沒上班","")</f>
        <v/>
      </c>
      <c r="AV37" s="127"/>
      <c r="BE37" s="10"/>
    </row>
    <row r="38" spans="2:57" ht="15" customHeight="1">
      <c r="AR38" s="127"/>
      <c r="AS38" s="118"/>
      <c r="AT38" s="119"/>
      <c r="AU38" s="119"/>
    </row>
    <row r="39" spans="2:57" ht="15" customHeight="1">
      <c r="AS39" s="118"/>
      <c r="AT39" s="119"/>
      <c r="AU39" s="119"/>
    </row>
    <row r="40" spans="2:57" ht="15" customHeight="1">
      <c r="AS40" s="118"/>
      <c r="AT40" s="119"/>
      <c r="AU40" s="119"/>
    </row>
  </sheetData>
  <mergeCells count="76">
    <mergeCell ref="H5:H7"/>
    <mergeCell ref="I5:I7"/>
    <mergeCell ref="J5:M5"/>
    <mergeCell ref="J6:K6"/>
    <mergeCell ref="L6:M6"/>
    <mergeCell ref="E12:E13"/>
    <mergeCell ref="AH22:AL22"/>
    <mergeCell ref="C8:AF8"/>
    <mergeCell ref="C9:AF9"/>
    <mergeCell ref="N10:N33"/>
    <mergeCell ref="I11:I13"/>
    <mergeCell ref="I16:I18"/>
    <mergeCell ref="I21:I22"/>
    <mergeCell ref="G16:G17"/>
    <mergeCell ref="F10:F11"/>
    <mergeCell ref="D18:D19"/>
    <mergeCell ref="AG27:AG28"/>
    <mergeCell ref="AH23:AN23"/>
    <mergeCell ref="AH24:AJ24"/>
    <mergeCell ref="AL24:AN24"/>
    <mergeCell ref="AI30:AJ30"/>
    <mergeCell ref="AK30:AL30"/>
    <mergeCell ref="AH25:AJ25"/>
    <mergeCell ref="AL25:AN25"/>
    <mergeCell ref="AH27:AN27"/>
    <mergeCell ref="AH28:AN28"/>
    <mergeCell ref="AG29:AN29"/>
    <mergeCell ref="AG30:AH30"/>
    <mergeCell ref="AG33:AH33"/>
    <mergeCell ref="AI33:AJ33"/>
    <mergeCell ref="AK33:AL33"/>
    <mergeCell ref="AG31:AH31"/>
    <mergeCell ref="AI31:AJ31"/>
    <mergeCell ref="AK31:AL31"/>
    <mergeCell ref="AG32:AH32"/>
    <mergeCell ref="AI32:AJ32"/>
    <mergeCell ref="AK32:AL32"/>
    <mergeCell ref="B34:B36"/>
    <mergeCell ref="C34:AF34"/>
    <mergeCell ref="AG34:AN34"/>
    <mergeCell ref="C35:AF35"/>
    <mergeCell ref="AG35:AN35"/>
    <mergeCell ref="C36:AF36"/>
    <mergeCell ref="AG36:AN36"/>
    <mergeCell ref="AP5:AP6"/>
    <mergeCell ref="U7:W7"/>
    <mergeCell ref="AS5:AS6"/>
    <mergeCell ref="AT5:AU5"/>
    <mergeCell ref="X6:Z6"/>
    <mergeCell ref="AF6:AF7"/>
    <mergeCell ref="AT6:AU6"/>
    <mergeCell ref="AQ5:AR6"/>
    <mergeCell ref="N5:AF5"/>
    <mergeCell ref="AG5:AN6"/>
    <mergeCell ref="O6:Q6"/>
    <mergeCell ref="R6:T6"/>
    <mergeCell ref="U6:W6"/>
    <mergeCell ref="B3:AN3"/>
    <mergeCell ref="AX3:AY3"/>
    <mergeCell ref="AZ3:BC3"/>
    <mergeCell ref="B4:AJ4"/>
    <mergeCell ref="AK4:AN4"/>
    <mergeCell ref="AX4:AY4"/>
    <mergeCell ref="AZ4:BC4"/>
    <mergeCell ref="B5:B7"/>
    <mergeCell ref="C5:C7"/>
    <mergeCell ref="D5:D7"/>
    <mergeCell ref="F5:F7"/>
    <mergeCell ref="G5:G7"/>
    <mergeCell ref="E5:E7"/>
    <mergeCell ref="AZ2:BC2"/>
    <mergeCell ref="B1:AF1"/>
    <mergeCell ref="AQ1:AR1"/>
    <mergeCell ref="B2:AF2"/>
    <mergeCell ref="AH2:AN2"/>
    <mergeCell ref="AX2:AY2"/>
  </mergeCells>
  <phoneticPr fontId="9" type="noConversion"/>
  <conditionalFormatting sqref="AP9:AR36 AP37:AQ37 AR37:AR38">
    <cfRule type="expression" dxfId="156" priority="17">
      <formula>COUNTIF($AR9,"上班")&gt;=1</formula>
    </cfRule>
  </conditionalFormatting>
  <conditionalFormatting sqref="AG8:AG13 AI8:AI21 AK8:AK21 AM8:AN21">
    <cfRule type="expression" dxfId="155" priority="12">
      <formula>OR(VLOOKUP(AG8,$AP$9:$AR$40,3,0)="上班",VLOOKUP(AG8,$AP$9:$AR$40,3,0)="外宿")</formula>
    </cfRule>
  </conditionalFormatting>
  <conditionalFormatting sqref="AM8">
    <cfRule type="expression" dxfId="154" priority="11">
      <formula>OR(VLOOKUP(AM8,$AP$9:$AR$36,3,0)="上班",VLOOKUP(AM8,$AP$9:$AR$36,3,0)="外宿")</formula>
    </cfRule>
  </conditionalFormatting>
  <conditionalFormatting sqref="AT9:AT36">
    <cfRule type="notContainsText" dxfId="153" priority="3" operator="notContains" text="已排">
      <formula>ISERROR(SEARCH("已排",AT9))</formula>
    </cfRule>
  </conditionalFormatting>
  <conditionalFormatting sqref="AS9:AS36">
    <cfRule type="notContainsText" dxfId="152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tn_CheckAll">
              <controlPr defaultSize="0" print="0" autoFill="0" autoPict="0" macro="[0]!執行檢查_重複與漏排">
                <anchor moveWithCells="1">
                  <from>
                    <xdr:col>49</xdr:col>
                    <xdr:colOff>0</xdr:colOff>
                    <xdr:row>5</xdr:row>
                    <xdr:rowOff>0</xdr:rowOff>
                  </from>
                  <to>
                    <xdr:col>51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5E5E7-77A9-457A-B961-BF5FD77E82C4}">
  <sheetPr codeName="工作表8">
    <pageSetUpPr fitToPage="1"/>
  </sheetPr>
  <dimension ref="B1:BD40"/>
  <sheetViews>
    <sheetView showZeros="0" view="pageBreakPreview" zoomScale="55" zoomScaleNormal="55" zoomScaleSheetLayoutView="55" workbookViewId="0">
      <selection activeCell="C36" sqref="C36:AE36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6" width="5.375" style="126" customWidth="1"/>
    <col min="7" max="8" width="8.625" style="126" customWidth="1"/>
    <col min="9" max="12" width="5.375" style="126" customWidth="1"/>
    <col min="13" max="13" width="6.625" style="126" customWidth="1"/>
    <col min="14" max="31" width="5.375" style="126" customWidth="1"/>
    <col min="32" max="32" width="7.625" style="126" customWidth="1"/>
    <col min="33" max="33" width="10.625" style="126" customWidth="1"/>
    <col min="34" max="34" width="7.625" style="126" customWidth="1"/>
    <col min="35" max="35" width="10.625" style="126" customWidth="1"/>
    <col min="36" max="36" width="7.625" style="126" customWidth="1"/>
    <col min="37" max="37" width="10.625" style="126" customWidth="1"/>
    <col min="38" max="38" width="7.625" style="126" customWidth="1"/>
    <col min="39" max="39" width="10.625" style="126" customWidth="1"/>
    <col min="40" max="40" width="4.125" style="213" customWidth="1"/>
    <col min="41" max="47" width="11.625" style="126" customWidth="1"/>
    <col min="48" max="48" width="4.125" style="126" customWidth="1"/>
    <col min="49" max="49" width="16" style="126" customWidth="1"/>
    <col min="50" max="51" width="8.25" style="126" customWidth="1"/>
    <col min="52" max="52" width="4.125" style="126" customWidth="1"/>
    <col min="53" max="53" width="16" style="126" customWidth="1"/>
    <col min="54" max="54" width="8.25" style="126" customWidth="1"/>
    <col min="55" max="55" width="10.875" style="126" customWidth="1"/>
    <col min="56" max="58" width="4.125" style="126" customWidth="1"/>
    <col min="59" max="16384" width="11.25" style="126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27"/>
      <c r="AP1" s="399"/>
      <c r="AQ1" s="399"/>
      <c r="AR1" s="127"/>
      <c r="AS1" s="127"/>
      <c r="AT1" s="127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3" t="s">
        <v>178</v>
      </c>
      <c r="AR2" s="146" t="s">
        <v>228</v>
      </c>
      <c r="AS2" s="142"/>
      <c r="AT2" s="140"/>
      <c r="AU2" s="127"/>
      <c r="AV2" s="127"/>
      <c r="AW2" s="362" t="s">
        <v>127</v>
      </c>
      <c r="AX2" s="287"/>
      <c r="AY2" s="367" t="str">
        <f>_xlfn.XLOOKUP($AR$3,訓練!$L$13:$L$19,訓練!$M$13:$M$19,"")</f>
        <v>河川抽水及水源運用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115年5月4日星期一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4</v>
      </c>
      <c r="AR3" s="141" t="str">
        <f>RIGHT(TEXT(1911+$AO$3&amp;"/"&amp;$AP$3&amp;"/"&amp;$AQ$3,"aaaa"),1)</f>
        <v>一</v>
      </c>
      <c r="AS3" s="145"/>
      <c r="AT3" s="145"/>
      <c r="AU3" s="127"/>
      <c r="AV3" s="127"/>
      <c r="AW3" s="362" t="s">
        <v>128</v>
      </c>
      <c r="AX3" s="287"/>
      <c r="AY3" s="368" t="str">
        <f>_xlfn.XLOOKUP($AR$3,訓練!$L$13:$L$19,訓練!$N$13:$N$19,"")</f>
        <v>SCBA訓練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27"/>
      <c r="AU4" s="127"/>
      <c r="AV4" s="127"/>
      <c r="AW4" s="362" t="s">
        <v>129</v>
      </c>
      <c r="AX4" s="287"/>
      <c r="AY4" s="363" t="str">
        <f>_xlfn.XLOOKUP($AR$3,訓練!$L$13:$L$19,訓練!$O$13:$O$19,"")</f>
        <v>火災特性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2" t="s">
        <v>341</v>
      </c>
      <c r="E5" s="340" t="s">
        <v>352</v>
      </c>
      <c r="F5" s="340" t="s">
        <v>353</v>
      </c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341"/>
      <c r="E6" s="341"/>
      <c r="F6" s="341"/>
      <c r="G6" s="312"/>
      <c r="H6" s="312"/>
      <c r="I6" s="334" t="s">
        <v>227</v>
      </c>
      <c r="J6" s="335"/>
      <c r="K6" s="334" t="s">
        <v>346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2+7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341"/>
      <c r="E7" s="341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192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27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27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27" cm="1">
        <f t="array" ref="AO9:AP36">TRANSPOSE(輪休基準表!E4:AF5)</f>
        <v>1</v>
      </c>
      <c r="AP9" s="127" t="str">
        <v>鄧力嘉</v>
      </c>
      <c r="AQ9" s="127" t="str" cm="1">
        <f t="array" ref="AQ9">IFERROR(_xlfn.XLOOKUP(_xlfn.XLOOKUP($AQ$3,輪休基準表!$C$6:$C$36,_xlfn.XLOOKUP(AP9,輪休基準表!$E$5:$AF$5,輪休基準表!$E$6:$AF$36,""),""),班別參數!$A$4:$A$20,班別參數!$B$4:$B$20,""),"")</f>
        <v>輪休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/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 t="array" ref="AX9">IFERROR(INDEX(班別參數!$D$4:$S$20,MATCH(AW9,班別參數!$D$4:$D$20,0),MATCH($AS$6,班別參數!$D$4:$S$4,0)),"")</f>
        <v>A</v>
      </c>
      <c r="AY9" s="35">
        <v>23</v>
      </c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H,K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25,4</v>
      </c>
      <c r="BD9" s="127"/>
    </row>
    <row r="10" spans="2:56" ht="30" customHeight="1">
      <c r="B10" s="81" t="s">
        <v>70</v>
      </c>
      <c r="C10" s="87">
        <f>_xlfn.XLOOKUP(_xlfn.XLOOKUP($AS$6&amp;$B10,公表[班別+時段],公表[值班],""),$AX$9:$AX$25,$AY$9:$AY$25,"")</f>
        <v>23</v>
      </c>
      <c r="D10" s="95"/>
      <c r="E10" s="95"/>
      <c r="F10" s="95"/>
      <c r="G10" s="122" t="s">
        <v>383</v>
      </c>
      <c r="H10" s="37"/>
      <c r="I10" s="92">
        <f>_xlfn.XLOOKUP(_xlfn.XLOOKUP($AS$6&amp;$B10,公表[班別+時段],公表[救護1],""),$AX$9:$AX$25,$AY$9:$AY$25,"")</f>
        <v>9</v>
      </c>
      <c r="J10" s="92">
        <f>_xlfn.XLOOKUP(_xlfn.XLOOKUP($AS$6&amp;$B10,公表[班別+時段],公表[救護2],""),$AX$9:$AX$25,$AY$9:$AY$25,"")</f>
        <v>18</v>
      </c>
      <c r="K10" s="87"/>
      <c r="L10" s="87" t="s">
        <v>212</v>
      </c>
      <c r="M10" s="311"/>
      <c r="N10" s="87">
        <f>_xlfn.XLOOKUP(_xlfn.XLOOKUP($AS$6&amp;$B10,公表[班別+時段],公表[備勤1],""),$AX$9:$AX$25,$AY$9:$AY$25,"")</f>
        <v>17</v>
      </c>
      <c r="O10" s="87">
        <f>_xlfn.XLOOKUP(_xlfn.XLOOKUP($AS$6&amp;$B10,公表[班別+時段],公表[備勤2],""),$AX$9:$AX$25,$AY$9:$AY$25,"")</f>
        <v>19</v>
      </c>
      <c r="P10" s="87"/>
      <c r="Q10" s="87">
        <f>_xlfn.XLOOKUP(_xlfn.XLOOKUP($AS$6&amp;$B10,公表[班別+時段],公表[備勤3],""),$AX$9:$AX$25,$AY$9:$AY$25,"")</f>
        <v>16</v>
      </c>
      <c r="R10" s="87">
        <f>_xlfn.XLOOKUP(_xlfn.XLOOKUP($AS$6&amp;$B10,公表[班別+時段],公表[備勤4],""),$AX$9:$AX$25,$AY$9:$AY$25,"")</f>
        <v>0</v>
      </c>
      <c r="S10" s="87"/>
      <c r="T10" s="87">
        <f>_xlfn.XLOOKUP(_xlfn.XLOOKUP($AS$6&amp;$B10,公表[班別+時段],公表[備勤5],""),$AX$9:$AX$25,$AY$9:$AY$25,"")</f>
        <v>0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87"/>
      <c r="AB10" s="87"/>
      <c r="AC10" s="87"/>
      <c r="AD10" s="87"/>
      <c r="AE10" s="88">
        <v>4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27">
        <v>2</v>
      </c>
      <c r="AP10" s="127" t="str">
        <v>莊勝斌</v>
      </c>
      <c r="AQ10" s="127" t="str" cm="1">
        <f t="array" ref="AQ10">IFERROR(_xlfn.XLOOKUP(_xlfn.XLOOKUP($AQ$3,輪休基準表!$C$6:$C$36,_xlfn.XLOOKUP(AP10,輪休基準表!$E$5:$AF$5,輪休基準表!$E$6:$AF$36,""),""),班別參數!$A$4:$A$20,班別參數!$B$4:$B$20,""),"")</f>
        <v>月補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/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>
        <v>16</v>
      </c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19</v>
      </c>
      <c r="BD10" s="127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23</v>
      </c>
      <c r="D11" s="95"/>
      <c r="E11" s="415" t="s">
        <v>354</v>
      </c>
      <c r="F11" s="248"/>
      <c r="G11" s="249" t="s">
        <v>383</v>
      </c>
      <c r="H11" s="296" t="str">
        <f>AY2</f>
        <v>河川抽水及水源運用</v>
      </c>
      <c r="I11" s="92">
        <f>_xlfn.XLOOKUP(_xlfn.XLOOKUP($AS$6&amp;$B11,公表[班別+時段],公表[救護1],""),$AX$9:$AX$25,$AY$9:$AY$25,"")</f>
        <v>9</v>
      </c>
      <c r="J11" s="92">
        <f>_xlfn.XLOOKUP(_xlfn.XLOOKUP($AS$6&amp;$B11,公表[班別+時段],公表[救護2],""),$AX$9:$AX$25,$AY$9:$AY$25,"")</f>
        <v>18</v>
      </c>
      <c r="K11" s="87"/>
      <c r="L11" s="87" t="s">
        <v>212</v>
      </c>
      <c r="M11" s="312"/>
      <c r="N11" s="87">
        <f>_xlfn.XLOOKUP(_xlfn.XLOOKUP($AS$6&amp;$B11,公表[班別+時段],公表[備勤1],""),$AX$9:$AX$25,$AY$9:$AY$25,"")</f>
        <v>17</v>
      </c>
      <c r="O11" s="87">
        <f>_xlfn.XLOOKUP(_xlfn.XLOOKUP($AS$6&amp;$B11,公表[班別+時段],公表[備勤2],""),$AX$9:$AX$25,$AY$9:$AY$25,"")</f>
        <v>19</v>
      </c>
      <c r="P11" s="87"/>
      <c r="Q11" s="87">
        <f>_xlfn.XLOOKUP(_xlfn.XLOOKUP($AS$6&amp;$B11,公表[班別+時段],公表[備勤3],""),$AX$9:$AX$25,$AY$9:$AY$25,"")</f>
        <v>16</v>
      </c>
      <c r="R11" s="87">
        <f>_xlfn.XLOOKUP(_xlfn.XLOOKUP($AS$6&amp;$B11,公表[班別+時段],公表[備勤4],""),$AX$9:$AX$25,$AY$9:$AY$25,"")</f>
        <v>0</v>
      </c>
      <c r="S11" s="87"/>
      <c r="T11" s="87">
        <f>_xlfn.XLOOKUP(_xlfn.XLOOKUP($AS$6&amp;$B11,公表[班別+時段],公表[備勤5],""),$AX$9:$AX$25,$AY$9:$AY$25,"")</f>
        <v>0</v>
      </c>
      <c r="U11" s="87">
        <f>_xlfn.XLOOKUP(_xlfn.XLOOKUP($AS$6&amp;$B11,公表[班別+時段],公表[備勤6],""),$AX$9:$AX$25,$AY$9:$AY$25,"")</f>
        <v>0</v>
      </c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87"/>
      <c r="AB11" s="87"/>
      <c r="AC11" s="87"/>
      <c r="AD11" s="87"/>
      <c r="AE11" s="88">
        <v>4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27">
        <v>3</v>
      </c>
      <c r="AP11" s="127" t="str">
        <v>孫子翔</v>
      </c>
      <c r="AQ11" s="127" t="str" cm="1">
        <f t="array" ref="AQ11">IFERROR(_xlfn.XLOOKUP(_xlfn.XLOOKUP($AQ$3,輪休基準表!$C$6:$C$36,_xlfn.XLOOKUP(AP11,輪休基準表!$E$5:$AF$5,輪休基準表!$E$6:$AF$36,""),""),班別參數!$A$4:$A$20,班別參數!$B$4:$B$20,""),"")</f>
        <v>輪休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/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>
        <v>18</v>
      </c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F</v>
      </c>
      <c r="BC11" s="39" t="str">
        <f t="shared" si="2"/>
        <v>9</v>
      </c>
      <c r="BD11" s="127"/>
    </row>
    <row r="12" spans="2:56" ht="30" customHeight="1">
      <c r="B12" s="81" t="s">
        <v>75</v>
      </c>
      <c r="C12" s="87">
        <f>_xlfn.XLOOKUP(_xlfn.XLOOKUP($AS$6&amp;$B12,公表[班別+時段],公表[值班],""),$AX$9:$AX$25,$AY$9:$AY$25,"")</f>
        <v>16</v>
      </c>
      <c r="D12" s="95"/>
      <c r="E12" s="416"/>
      <c r="F12" s="248"/>
      <c r="G12" s="249">
        <v>25</v>
      </c>
      <c r="H12" s="314"/>
      <c r="I12" s="92">
        <f>_xlfn.XLOOKUP(_xlfn.XLOOKUP($AS$6&amp;$B12,公表[班別+時段],公表[救護1],""),$AX$9:$AX$25,$AY$9:$AY$25,"")</f>
        <v>23</v>
      </c>
      <c r="J12" s="92">
        <v>9</v>
      </c>
      <c r="K12" s="92"/>
      <c r="L12" s="87" t="s">
        <v>212</v>
      </c>
      <c r="M12" s="312"/>
      <c r="N12" s="87">
        <v>18</v>
      </c>
      <c r="O12" s="87">
        <v>17</v>
      </c>
      <c r="P12" s="87"/>
      <c r="Q12" s="87">
        <v>19</v>
      </c>
      <c r="R12" s="87"/>
      <c r="S12" s="87"/>
      <c r="T12" s="87">
        <f>_xlfn.XLOOKUP(_xlfn.XLOOKUP($AS$6&amp;$B12,公表[班別+時段],公表[備勤5],""),$AX$9:$AX$25,$AY$9:$AY$25,"")</f>
        <v>5</v>
      </c>
      <c r="U12" s="87">
        <f>_xlfn.XLOOKUP(_xlfn.XLOOKUP($AS$6&amp;$B12,公表[班別+時段],公表[備勤6],""),$AX$9:$AX$25,$AY$9:$AY$25,"")</f>
        <v>0</v>
      </c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87"/>
      <c r="AC12" s="87"/>
      <c r="AD12" s="87"/>
      <c r="AE12" s="88">
        <f>_xlfn.XLOOKUP(_xlfn.XLOOKUP($AS$6&amp;$B12,公表[班別+時段],公表[指揮官],""),$AX$9:$AX$25,$AY$9:$AY$25,"")</f>
        <v>4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27">
        <v>4</v>
      </c>
      <c r="AP12" s="127" t="str">
        <v>簡永豐</v>
      </c>
      <c r="AQ12" s="127" t="str" cm="1">
        <f t="array" ref="AQ12">IFERROR(_xlfn.XLOOKUP(_xlfn.XLOOKUP($AQ$3,輪休基準表!$C$6:$C$36,_xlfn.XLOOKUP(AP12,輪休基準表!$E$5:$AF$5,輪休基準表!$E$6:$AF$36,""),""),班別參數!$A$4:$A$20,班別參數!$B$4:$B$20,""),"")</f>
        <v>上班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>已排</v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>
        <v>17</v>
      </c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27"/>
    </row>
    <row r="13" spans="2:56" ht="30" customHeight="1" thickBot="1">
      <c r="B13" s="82" t="s">
        <v>76</v>
      </c>
      <c r="C13" s="89">
        <f>_xlfn.XLOOKUP(_xlfn.XLOOKUP($AS$6&amp;$B13,公表[班別+時段],公表[值班],""),$AX$9:$AX$25,$AY$9:$AY$25,"")</f>
        <v>16</v>
      </c>
      <c r="D13" s="233"/>
      <c r="E13" s="250"/>
      <c r="F13" s="250"/>
      <c r="G13" s="251">
        <v>25</v>
      </c>
      <c r="H13" s="315"/>
      <c r="I13" s="216">
        <f>_xlfn.XLOOKUP(_xlfn.XLOOKUP($AS$6&amp;$B13,公表[班別+時段],公表[救護1],""),$AX$9:$AX$25,$AY$9:$AY$25,"")</f>
        <v>23</v>
      </c>
      <c r="J13" s="216">
        <v>9</v>
      </c>
      <c r="K13" s="105"/>
      <c r="L13" s="93" t="s">
        <v>212</v>
      </c>
      <c r="M13" s="312"/>
      <c r="N13" s="89">
        <v>18</v>
      </c>
      <c r="O13" s="89">
        <v>17</v>
      </c>
      <c r="P13" s="89"/>
      <c r="Q13" s="89">
        <v>19</v>
      </c>
      <c r="R13" s="89"/>
      <c r="S13" s="89"/>
      <c r="T13" s="89">
        <f>_xlfn.XLOOKUP(_xlfn.XLOOKUP($AS$6&amp;$B13,公表[班別+時段],公表[備勤5],""),$AX$9:$AX$25,$AY$9:$AY$25,"")</f>
        <v>5</v>
      </c>
      <c r="U13" s="89">
        <f>_xlfn.XLOOKUP(_xlfn.XLOOKUP($AS$6&amp;$B13,公表[班別+時段],公表[備勤6],""),$AX$9:$AX$25,$AY$9:$AY$25,"")</f>
        <v>0</v>
      </c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89"/>
      <c r="AC13" s="89"/>
      <c r="AD13" s="89"/>
      <c r="AE13" s="104">
        <f>_xlfn.XLOOKUP(_xlfn.XLOOKUP($AS$6&amp;$B13,公表[班別+時段],公表[指揮官],""),$AX$9:$AX$25,$AY$9:$AY$25,"")</f>
        <v>4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27">
        <v>5</v>
      </c>
      <c r="AP13" s="127" t="str">
        <v>張鴻志</v>
      </c>
      <c r="AQ13" s="127" t="str" cm="1">
        <f t="array" ref="AQ13">IFERROR(_xlfn.XLOOKUP(_xlfn.XLOOKUP($AQ$3,輪休基準表!$C$6:$C$36,_xlfn.XLOOKUP(AP13,輪休基準表!$E$5:$AF$5,輪休基準表!$E$6:$AF$36,""),""),班別參數!$A$4:$A$20,班別參數!$B$4:$B$20,""),"")</f>
        <v>上班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>已排</v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>
        <v>19</v>
      </c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>23</v>
      </c>
      <c r="BD13" s="127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18</v>
      </c>
      <c r="D14" s="234"/>
      <c r="E14" s="252"/>
      <c r="F14" s="252"/>
      <c r="G14" s="253" t="str">
        <f>IF(BC11="","",BC11)</f>
        <v>9</v>
      </c>
      <c r="H14" s="55"/>
      <c r="I14" s="94">
        <f>_xlfn.XLOOKUP(_xlfn.XLOOKUP($AS$6&amp;$B14,公表[班別+時段],公表[救護1],""),$AX$9:$AX$25,$AY$9:$AY$25,"")</f>
        <v>16</v>
      </c>
      <c r="J14" s="94">
        <f>_xlfn.XLOOKUP(_xlfn.XLOOKUP($AS$6&amp;$B14,公表[班別+時段],公表[救護2],""),$AX$9:$AX$25,$AY$9:$AY$25,"")</f>
        <v>25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23</v>
      </c>
      <c r="O14" s="90">
        <f>_xlfn.XLOOKUP(_xlfn.XLOOKUP($AS$6&amp;$B14,公表[班別+時段],公表[備勤2],""),$AX$9:$AX$25,$AY$9:$AY$25,"")</f>
        <v>19</v>
      </c>
      <c r="P14" s="90"/>
      <c r="Q14" s="90">
        <f>_xlfn.XLOOKUP(_xlfn.XLOOKUP($AS$6&amp;$B14,公表[班別+時段],公表[備勤3],""),$AX$9:$AX$25,$AY$9:$AY$25,"")</f>
        <v>17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5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90"/>
      <c r="AC14" s="90"/>
      <c r="AD14" s="90"/>
      <c r="AE14" s="91">
        <f>_xlfn.XLOOKUP(_xlfn.XLOOKUP($AS$6&amp;$B14,公表[班別+時段],公表[指揮官],""),$AX$9:$AX$25,$AY$9:$AY$25,"")</f>
        <v>4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27">
        <v>6</v>
      </c>
      <c r="AP14" s="127" t="str">
        <v>吳宗耕</v>
      </c>
      <c r="AQ14" s="127" t="str" cm="1">
        <f t="array" ref="AQ14">IFERROR(_xlfn.XLOOKUP(_xlfn.XLOOKUP($AQ$3,輪休基準表!$C$6:$C$36,_xlfn.XLOOKUP(AP14,輪休基準表!$E$5:$AF$5,輪休基準表!$E$6:$AF$36,""),""),班別參數!$A$4:$A$20,班別參數!$B$4:$B$20,""),"")</f>
        <v>輪休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/>
      </c>
      <c r="AT14" s="180" t="str">
        <f t="shared" si="0"/>
        <v/>
      </c>
      <c r="AU14" s="180" t="str">
        <f t="shared" si="1"/>
        <v/>
      </c>
      <c r="AV14" s="25"/>
      <c r="AW14" s="33" t="str">
        <f t="array" ref="AW14">INDEX(班別參數!$D$4:$D$20,ROW()-7,MATCH($AW$8,班別參數!$D$4:$D$20,0))</f>
        <v>18-20</v>
      </c>
      <c r="AX14" s="34">
        <f t="array" ref="AX14">IFERROR(INDEX(班別參數!$D$4:$S$20,MATCH(AW14,班別參數!$D$4:$D$20,0),MATCH($AS$6,班別參數!$D$4:$S$4,0)),"")</f>
        <v>0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</v>
      </c>
      <c r="BC14" s="39" t="str">
        <f t="shared" si="2"/>
        <v>16</v>
      </c>
      <c r="BD14" s="127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18</v>
      </c>
      <c r="D15" s="235"/>
      <c r="E15" s="254"/>
      <c r="F15" s="250"/>
      <c r="G15" s="251" t="str">
        <f>IF(BC11="","",BC11)</f>
        <v>9</v>
      </c>
      <c r="H15" s="40"/>
      <c r="I15" s="216">
        <f>_xlfn.XLOOKUP(_xlfn.XLOOKUP($AS$6&amp;$B15,公表[班別+時段],公表[救護1],""),$AX$9:$AX$25,$AY$9:$AY$25,"")</f>
        <v>16</v>
      </c>
      <c r="J15" s="216">
        <f>_xlfn.XLOOKUP(_xlfn.XLOOKUP($AS$6&amp;$B15,公表[班別+時段],公表[救護2],""),$AX$9:$AX$25,$AY$9:$AY$25,"")</f>
        <v>25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23</v>
      </c>
      <c r="O15" s="89">
        <f>_xlfn.XLOOKUP(_xlfn.XLOOKUP($AS$6&amp;$B15,公表[班別+時段],公表[備勤2],""),$AX$9:$AX$25,$AY$9:$AY$25,"")</f>
        <v>19</v>
      </c>
      <c r="P15" s="89"/>
      <c r="Q15" s="89">
        <f>_xlfn.XLOOKUP(_xlfn.XLOOKUP($AS$6&amp;$B15,公表[班別+時段],公表[備勤3],""),$AX$9:$AX$25,$AY$9:$AY$25,"")</f>
        <v>17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5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89"/>
      <c r="AC15" s="89"/>
      <c r="AD15" s="89"/>
      <c r="AE15" s="104">
        <f>_xlfn.XLOOKUP(_xlfn.XLOOKUP($AS$6&amp;$B15,公表[班別+時段],公表[指揮官],""),$AX$9:$AX$25,$AY$9:$AY$25,"")</f>
        <v>4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27">
        <v>7</v>
      </c>
      <c r="AP15" s="127" t="str">
        <v>包華先</v>
      </c>
      <c r="AQ15" s="127" t="str" cm="1">
        <f t="array" ref="AQ15">IFERROR(_xlfn.XLOOKUP(_xlfn.XLOOKUP($AQ$3,輪休基準表!$C$6:$C$36,_xlfn.XLOOKUP(AP15,輪休基準表!$E$5:$AF$5,輪休基準表!$E$6:$AF$36,""),""),班別參數!$A$4:$A$20,班別參數!$B$4:$B$20,""),"")</f>
        <v>輪休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/>
      </c>
      <c r="AT15" s="180" t="str">
        <f t="shared" si="0"/>
        <v/>
      </c>
      <c r="AU15" s="180" t="str">
        <f t="shared" si="1"/>
        <v/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>
        <v>9</v>
      </c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>17</v>
      </c>
      <c r="BD15" s="127"/>
    </row>
    <row r="16" spans="2:56" ht="30" customHeight="1">
      <c r="B16" s="83" t="s">
        <v>79</v>
      </c>
      <c r="C16" s="90">
        <f>_xlfn.XLOOKUP(_xlfn.XLOOKUP($AS$6&amp;$B16,公表[班別+時段],公表[值班],""),$AX$9:$AX$25,$AY$9:$AY$25,"")</f>
        <v>17</v>
      </c>
      <c r="D16" s="98"/>
      <c r="E16" s="255"/>
      <c r="F16" s="256"/>
      <c r="G16" s="253" t="str">
        <f>IF(BC12="","",BC12)</f>
        <v/>
      </c>
      <c r="H16" s="316" t="str">
        <f>AY3</f>
        <v>SCBA訓練</v>
      </c>
      <c r="I16" s="94">
        <f>_xlfn.XLOOKUP(_xlfn.XLOOKUP($AS$6&amp;$B16,公表[班別+時段],公表[救護1],""),$AX$9:$AX$25,$AY$9:$AY$25,"")</f>
        <v>9</v>
      </c>
      <c r="J16" s="94">
        <f>_xlfn.XLOOKUP(_xlfn.XLOOKUP($AS$6&amp;$B16,公表[班別+時段],公表[救護2],""),$AX$9:$AX$25,$AY$9:$AY$25,"")</f>
        <v>25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16</v>
      </c>
      <c r="O16" s="90">
        <f>_xlfn.XLOOKUP(_xlfn.XLOOKUP($AS$6&amp;$B16,公表[班別+時段],公表[備勤2],""),$AX$9:$AX$25,$AY$9:$AY$25,"")</f>
        <v>18</v>
      </c>
      <c r="P16" s="90"/>
      <c r="Q16" s="90">
        <f>_xlfn.XLOOKUP(_xlfn.XLOOKUP($AS$6&amp;$B16,公表[班別+時段],公表[備勤3],""),$AX$9:$AX$25,$AY$9:$AY$25,"")</f>
        <v>23</v>
      </c>
      <c r="R16" s="90">
        <f>_xlfn.XLOOKUP(_xlfn.XLOOKUP($AS$6&amp;$B16,公表[班別+時段],公表[備勤4],""),$AX$9:$AX$25,$AY$9:$AY$25,"")</f>
        <v>19</v>
      </c>
      <c r="S16" s="90"/>
      <c r="T16" s="90">
        <f>_xlfn.XLOOKUP(_xlfn.XLOOKUP($AS$6&amp;$B16,公表[班別+時段],公表[備勤5],""),$AX$9:$AX$25,$AY$9:$AY$25,"")</f>
        <v>5</v>
      </c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90"/>
      <c r="AC16" s="90"/>
      <c r="AD16" s="90"/>
      <c r="AE16" s="91">
        <f>_xlfn.XLOOKUP(_xlfn.XLOOKUP($AS$6&amp;$B16,公表[班別+時段],公表[指揮官],""),$AX$9:$AX$25,$AY$9:$AY$25,"")</f>
        <v>4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27">
        <v>8</v>
      </c>
      <c r="AP16" s="127" t="str">
        <v>曾彥綸</v>
      </c>
      <c r="AQ16" s="127" t="str" cm="1">
        <f t="array" ref="AQ16">IFERROR(_xlfn.XLOOKUP(_xlfn.XLOOKUP($AQ$3,輪休基準表!$C$6:$C$36,_xlfn.XLOOKUP(AP16,輪休基準表!$E$5:$AF$5,輪休基準表!$E$6:$AF$36,""),""),班別參數!$A$4:$A$20,班別參數!$B$4:$B$20,""),"")</f>
        <v>月補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/>
      </c>
      <c r="AT16" s="180" t="str">
        <f t="shared" si="0"/>
        <v/>
      </c>
      <c r="AU16" s="180" t="str">
        <f t="shared" si="1"/>
        <v/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>
        <v>25</v>
      </c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27"/>
    </row>
    <row r="17" spans="2:56" ht="30" customHeight="1">
      <c r="B17" s="81" t="s">
        <v>80</v>
      </c>
      <c r="C17" s="87">
        <f>_xlfn.XLOOKUP(_xlfn.XLOOKUP($AS$6&amp;$B17,公表[班別+時段],公表[值班],""),$AX$9:$AX$25,$AY$9:$AY$25,"")</f>
        <v>17</v>
      </c>
      <c r="D17" s="95"/>
      <c r="E17" s="248"/>
      <c r="F17" s="257"/>
      <c r="G17" s="249" t="str">
        <f>IF(BC12="","",BC12)</f>
        <v/>
      </c>
      <c r="H17" s="314"/>
      <c r="I17" s="92">
        <f>_xlfn.XLOOKUP(_xlfn.XLOOKUP($AS$6&amp;$B17,公表[班別+時段],公表[救護1],""),$AX$9:$AX$25,$AY$9:$AY$25,"")</f>
        <v>9</v>
      </c>
      <c r="J17" s="92">
        <f>_xlfn.XLOOKUP(_xlfn.XLOOKUP($AS$6&amp;$B17,公表[班別+時段],公表[救護2],""),$AX$9:$AX$25,$AY$9:$AY$25,"")</f>
        <v>25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16</v>
      </c>
      <c r="O17" s="87">
        <f>_xlfn.XLOOKUP(_xlfn.XLOOKUP($AS$6&amp;$B17,公表[班別+時段],公表[備勤2],""),$AX$9:$AX$25,$AY$9:$AY$25,"")</f>
        <v>18</v>
      </c>
      <c r="P17" s="87"/>
      <c r="Q17" s="87">
        <f>_xlfn.XLOOKUP(_xlfn.XLOOKUP($AS$6&amp;$B17,公表[班別+時段],公表[備勤3],""),$AX$9:$AX$25,$AY$9:$AY$25,"")</f>
        <v>23</v>
      </c>
      <c r="R17" s="87">
        <f>_xlfn.XLOOKUP(_xlfn.XLOOKUP($AS$6&amp;$B17,公表[班別+時段],公表[備勤4],""),$AX$9:$AX$25,$AY$9:$AY$25,"")</f>
        <v>19</v>
      </c>
      <c r="S17" s="87"/>
      <c r="T17" s="87">
        <f>_xlfn.XLOOKUP(_xlfn.XLOOKUP($AS$6&amp;$B17,公表[班別+時段],公表[備勤5],""),$AX$9:$AX$25,$AY$9:$AY$25,"")</f>
        <v>5</v>
      </c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87"/>
      <c r="AC17" s="87"/>
      <c r="AD17" s="87"/>
      <c r="AE17" s="88">
        <f>_xlfn.XLOOKUP(_xlfn.XLOOKUP($AS$6&amp;$B17,公表[班別+時段],公表[指揮官],""),$AX$9:$AX$25,$AY$9:$AY$25,"")</f>
        <v>4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27">
        <v>9</v>
      </c>
      <c r="AP17" s="127" t="str">
        <v>鍾佳諭</v>
      </c>
      <c r="AQ17" s="127" t="str" cm="1">
        <f t="array" ref="AQ17">IFERROR(_xlfn.XLOOKUP(_xlfn.XLOOKUP($AQ$3,輪休基準表!$C$6:$C$36,_xlfn.XLOOKUP(AP17,輪休基準表!$E$5:$AF$5,輪休基準表!$E$6:$AF$36,""),""),班別參數!$A$4:$A$20,班別參數!$B$4:$B$20,""),"")</f>
        <v>上班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>已排</v>
      </c>
      <c r="AT17" s="180">
        <f t="shared" si="0"/>
        <v>8</v>
      </c>
      <c r="AU17" s="180">
        <f t="shared" si="1"/>
        <v>6</v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27"/>
    </row>
    <row r="18" spans="2:56" ht="30" customHeight="1">
      <c r="B18" s="81" t="s">
        <v>81</v>
      </c>
      <c r="C18" s="87">
        <f>_xlfn.XLOOKUP(_xlfn.XLOOKUP($AS$6&amp;$B18,公表[班別+時段],公表[值班],""),$AX$9:$AX$25,$AY$9:$AY$25,"")</f>
        <v>19</v>
      </c>
      <c r="D18" s="294">
        <v>9</v>
      </c>
      <c r="E18" s="248"/>
      <c r="F18" s="257"/>
      <c r="G18" s="249" t="str">
        <f>IF(BC13="","",BC13)</f>
        <v>23</v>
      </c>
      <c r="H18" s="297"/>
      <c r="I18" s="92">
        <v>17</v>
      </c>
      <c r="J18" s="92">
        <f>_xlfn.XLOOKUP(_xlfn.XLOOKUP($AS$6&amp;$B18,公表[班別+時段],公表[救護2],""),$AX$9:$AX$25,$AY$9:$AY$25,"")</f>
        <v>18</v>
      </c>
      <c r="K18" s="92"/>
      <c r="L18" s="87" t="s">
        <v>212</v>
      </c>
      <c r="M18" s="312"/>
      <c r="N18" s="87">
        <v>16</v>
      </c>
      <c r="O18" s="87">
        <f>_xlfn.XLOOKUP(_xlfn.XLOOKUP($AS$6&amp;$B18,公表[班別+時段],公表[備勤2],""),$AX$9:$AX$25,$AY$9:$AY$25,"")</f>
        <v>25</v>
      </c>
      <c r="P18" s="87"/>
      <c r="Q18" s="87"/>
      <c r="R18" s="87">
        <f>_xlfn.XLOOKUP(_xlfn.XLOOKUP($AS$6&amp;$B18,公表[班別+時段],公表[備勤4],""),$AX$9:$AX$25,$AY$9:$AY$25,"")</f>
        <v>0</v>
      </c>
      <c r="S18" s="87"/>
      <c r="T18" s="87">
        <f>_xlfn.XLOOKUP(_xlfn.XLOOKUP($AS$6&amp;$B18,公表[班別+時段],公表[備勤5],""),$AX$9:$AX$25,$AY$9:$AY$25,"")</f>
        <v>5</v>
      </c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87"/>
      <c r="AC18" s="87"/>
      <c r="AD18" s="87"/>
      <c r="AE18" s="88">
        <f>_xlfn.XLOOKUP(_xlfn.XLOOKUP($AS$6&amp;$B18,公表[班別+時段],公表[指揮官],""),$AX$9:$AX$25,$AY$9:$AY$25,"")</f>
        <v>4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27">
        <v>10</v>
      </c>
      <c r="AP18" s="127" t="str">
        <v>林宏澤</v>
      </c>
      <c r="AQ18" s="127" t="str" cm="1">
        <f t="array" ref="AQ18">IFERROR(_xlfn.XLOOKUP(_xlfn.XLOOKUP($AQ$3,輪休基準表!$C$6:$C$36,_xlfn.XLOOKUP(AP18,輪休基準表!$E$5:$AF$5,輪休基準表!$E$6:$AF$36,""),""),班別參數!$A$4:$A$20,班別參數!$B$4:$B$20,""),"")</f>
        <v>輪休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/>
      </c>
      <c r="AT18" s="180" t="str">
        <f t="shared" si="0"/>
        <v/>
      </c>
      <c r="AU18" s="180" t="str">
        <f t="shared" si="1"/>
        <v/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27"/>
    </row>
    <row r="19" spans="2:56" ht="30" customHeight="1" thickBot="1">
      <c r="B19" s="110" t="s">
        <v>82</v>
      </c>
      <c r="C19" s="89">
        <f>_xlfn.XLOOKUP(_xlfn.XLOOKUP($AS$6&amp;$B19,公表[班別+時段],公表[值班],""),$AX$9:$AX$25,$AY$9:$AY$25,"")</f>
        <v>19</v>
      </c>
      <c r="D19" s="295"/>
      <c r="E19" s="250"/>
      <c r="F19" s="258"/>
      <c r="G19" s="251" t="str">
        <f>IF(BC13="","",BC13)</f>
        <v>23</v>
      </c>
      <c r="H19" s="107"/>
      <c r="I19" s="216">
        <v>17</v>
      </c>
      <c r="J19" s="216">
        <f>_xlfn.XLOOKUP(_xlfn.XLOOKUP($AS$6&amp;$B19,公表[班別+時段],公表[救護2],""),$AX$9:$AX$25,$AY$9:$AY$25,"")</f>
        <v>18</v>
      </c>
      <c r="K19" s="105"/>
      <c r="L19" s="93" t="s">
        <v>212</v>
      </c>
      <c r="M19" s="312"/>
      <c r="N19" s="89">
        <v>16</v>
      </c>
      <c r="O19" s="89">
        <f>_xlfn.XLOOKUP(_xlfn.XLOOKUP($AS$6&amp;$B19,公表[班別+時段],公表[備勤2],""),$AX$9:$AX$25,$AY$9:$AY$25,"")</f>
        <v>25</v>
      </c>
      <c r="P19" s="89"/>
      <c r="Q19" s="89"/>
      <c r="R19" s="89">
        <f>_xlfn.XLOOKUP(_xlfn.XLOOKUP($AS$6&amp;$B19,公表[班別+時段],公表[備勤4],""),$AX$9:$AX$25,$AY$9:$AY$25,"")</f>
        <v>0</v>
      </c>
      <c r="S19" s="89"/>
      <c r="T19" s="89">
        <f>_xlfn.XLOOKUP(_xlfn.XLOOKUP($AS$6&amp;$B19,公表[班別+時段],公表[備勤5],""),$AX$9:$AX$25,$AY$9:$AY$25,"")</f>
        <v>5</v>
      </c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89"/>
      <c r="AC19" s="89"/>
      <c r="AD19" s="89"/>
      <c r="AE19" s="104">
        <f>_xlfn.XLOOKUP(_xlfn.XLOOKUP($AS$6&amp;$B19,公表[班別+時段],公表[指揮官],""),$AX$9:$AX$25,$AY$9:$AY$25,"")</f>
        <v>4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27">
        <v>11</v>
      </c>
      <c r="AP19" s="127" t="str">
        <v>簡君諺</v>
      </c>
      <c r="AQ19" s="127" t="str" cm="1">
        <f t="array" ref="AQ19">IFERROR(_xlfn.XLOOKUP(_xlfn.XLOOKUP($AQ$3,輪休基準表!$C$6:$C$36,_xlfn.XLOOKUP(AP19,輪休基準表!$E$5:$AF$5,輪休基準表!$E$6:$AF$36,""),""),班別參數!$A$4:$A$20,班別參數!$B$4:$B$20,""),"")</f>
        <v>輪休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/>
      </c>
      <c r="AT19" s="180" t="str">
        <f t="shared" si="0"/>
        <v/>
      </c>
      <c r="AU19" s="180" t="str">
        <f t="shared" si="1"/>
        <v/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:AY20">IF(AX19="","",_xlfn._xlws.FILTER($AO$9:$AO$13,$AQ$9:$AQ$13="上班",""))</f>
        <v>4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27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5</v>
      </c>
      <c r="D20" s="97"/>
      <c r="E20" s="252"/>
      <c r="F20" s="252"/>
      <c r="G20" s="253" t="str">
        <f>IF(BC14="","",BC14)</f>
        <v>16</v>
      </c>
      <c r="H20" s="55"/>
      <c r="I20" s="94">
        <f>_xlfn.XLOOKUP(_xlfn.XLOOKUP($AS$6&amp;$B20,公表[班別+時段],公表[救護1],""),$AX$9:$AX$25,$AY$9:$AY$25,"")</f>
        <v>19</v>
      </c>
      <c r="J20" s="94">
        <f>_xlfn.XLOOKUP(_xlfn.XLOOKUP($AS$6&amp;$B20,公表[班別+時段],公表[救護2],""),$AX$9:$AX$25,$AY$9:$AY$25,"")</f>
        <v>25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18</v>
      </c>
      <c r="O20" s="90">
        <f>_xlfn.XLOOKUP(_xlfn.XLOOKUP($AS$6&amp;$B20,公表[班別+時段],公表[備勤2],""),$AX$9:$AX$25,$AY$9:$AY$25,"")</f>
        <v>23</v>
      </c>
      <c r="P20" s="90"/>
      <c r="Q20" s="90">
        <f>_xlfn.XLOOKUP(_xlfn.XLOOKUP($AS$6&amp;$B20,公表[班別+時段],公表[備勤3],""),$AX$9:$AX$25,$AY$9:$AY$25,"")</f>
        <v>17</v>
      </c>
      <c r="R20" s="90">
        <f>_xlfn.XLOOKUP(_xlfn.XLOOKUP($AS$6&amp;$B20,公表[班別+時段],公表[備勤4],""),$AX$9:$AX$25,$AY$9:$AY$25,"")</f>
        <v>9</v>
      </c>
      <c r="S20" s="90"/>
      <c r="T20" s="90">
        <f>_xlfn.XLOOKUP(_xlfn.XLOOKUP($AS$6&amp;$B20,公表[班別+時段],公表[備勤5],""),$AX$9:$AX$25,$AY$9:$AY$25,"")</f>
        <v>0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90"/>
      <c r="AC20" s="90"/>
      <c r="AD20" s="90"/>
      <c r="AE20" s="91">
        <f>_xlfn.XLOOKUP(_xlfn.XLOOKUP($AS$6&amp;$B20,公表[班別+時段],公表[指揮官],""),$AX$9:$AX$25,$AY$9:$AY$25,"")</f>
        <v>4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27">
        <v>12</v>
      </c>
      <c r="AP20" s="127" t="str">
        <v>王昱勛</v>
      </c>
      <c r="AQ20" s="127" t="str" cm="1">
        <f t="array" ref="AQ20">IFERROR(_xlfn.XLOOKUP(_xlfn.XLOOKUP($AQ$3,輪休基準表!$C$6:$C$36,_xlfn.XLOOKUP(AP20,輪休基準表!$E$5:$AF$5,輪休基準表!$E$6:$AF$36,""),""),班別參數!$A$4:$A$20,班別參數!$B$4:$B$20,""),"")</f>
        <v>輪休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/>
      </c>
      <c r="AT20" s="180" t="str">
        <f t="shared" si="0"/>
        <v/>
      </c>
      <c r="AU20" s="180" t="str">
        <f t="shared" si="1"/>
        <v/>
      </c>
      <c r="AV20" s="25"/>
      <c r="AW20" s="33" t="str">
        <f t="array" ref="AW20">INDEX(班別參數!$D$4:$D$20,ROW()-7,MATCH($AW$8,班別參數!$D$4:$D$20,0))</f>
        <v>帶隊官</v>
      </c>
      <c r="AX20" s="34" t="str">
        <f t="array" ref="AX20">IFERROR(INDEX(班別參數!$D$4:$S$20,MATCH(AW20,班別參數!$D$4:$D$20,0),MATCH($AS$6,班別參數!$D$4:$S$4,0)),"")</f>
        <v>L</v>
      </c>
      <c r="AY20" s="38">
        <v>5</v>
      </c>
      <c r="AZ20" s="32"/>
      <c r="BA20" s="33" t="s">
        <v>67</v>
      </c>
      <c r="BB20" s="34" t="str">
        <f t="array" ref="BB20">IFERROR(INDEX(班別參數!$D$23:$S$35,MATCH(BA20,班別參數!$D$23:$D$35,0),MATCH($AS$6,班別參數!$D$23:$S$23,0)),"")</f>
        <v>G,L</v>
      </c>
      <c r="BC20" s="41" t="str">
        <f t="shared" si="2"/>
        <v>18,5</v>
      </c>
      <c r="BD20" s="127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5</v>
      </c>
      <c r="D21" s="95"/>
      <c r="E21" s="248"/>
      <c r="F21" s="248">
        <v>17</v>
      </c>
      <c r="G21" s="249" t="str">
        <f>IF(BC14="","",BC14)</f>
        <v>16</v>
      </c>
      <c r="H21" s="296" t="str">
        <f>AY4</f>
        <v>火災特性</v>
      </c>
      <c r="I21" s="92">
        <f>_xlfn.XLOOKUP(_xlfn.XLOOKUP($AS$6&amp;$B21,公表[班別+時段],公表[救護1],""),$AX$9:$AX$25,$AY$9:$AY$25,"")</f>
        <v>19</v>
      </c>
      <c r="J21" s="92">
        <f>_xlfn.XLOOKUP(_xlfn.XLOOKUP($AS$6&amp;$B21,公表[班別+時段],公表[救護2],""),$AX$9:$AX$25,$AY$9:$AY$25,"")</f>
        <v>25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18</v>
      </c>
      <c r="O21" s="87">
        <f>_xlfn.XLOOKUP(_xlfn.XLOOKUP($AS$6&amp;$B21,公表[班別+時段],公表[備勤2],""),$AX$9:$AX$25,$AY$9:$AY$25,"")</f>
        <v>23</v>
      </c>
      <c r="P21" s="87"/>
      <c r="Q21" s="87">
        <v>9</v>
      </c>
      <c r="R21" s="87"/>
      <c r="S21" s="87"/>
      <c r="T21" s="87">
        <f>_xlfn.XLOOKUP(_xlfn.XLOOKUP($AS$6&amp;$B21,公表[班別+時段],公表[備勤5],""),$AX$9:$AX$25,$AY$9:$AY$25,"")</f>
        <v>0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87"/>
      <c r="AC21" s="87"/>
      <c r="AD21" s="87"/>
      <c r="AE21" s="88">
        <f>_xlfn.XLOOKUP(_xlfn.XLOOKUP($AS$6&amp;$B21,公表[班別+時段],公表[指揮官],""),$AX$9:$AX$25,$AY$9:$AY$25,"")</f>
        <v>4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27">
        <v>13</v>
      </c>
      <c r="AP21" s="127" t="str">
        <v>葉宗哲</v>
      </c>
      <c r="AQ21" s="127" t="str" cm="1">
        <f t="array" ref="AQ21">IFERROR(_xlfn.XLOOKUP(_xlfn.XLOOKUP($AQ$3,輪休基準表!$C$6:$C$36,_xlfn.XLOOKUP(AP21,輪休基準表!$E$5:$AF$5,輪休基準表!$E$6:$AF$36,""),""),班別參數!$A$4:$A$20,班別參數!$B$4:$B$20,""),"")</f>
        <v>輪休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/>
      </c>
      <c r="AT21" s="180" t="str">
        <f t="shared" si="0"/>
        <v/>
      </c>
      <c r="AU21" s="180" t="str">
        <f t="shared" si="1"/>
        <v/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27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9</v>
      </c>
      <c r="D22" s="95"/>
      <c r="E22" s="248"/>
      <c r="F22" s="248"/>
      <c r="G22" s="249" t="str">
        <f>IF(BC15="","",BC15)</f>
        <v>17</v>
      </c>
      <c r="H22" s="297"/>
      <c r="I22" s="92">
        <f>_xlfn.XLOOKUP(_xlfn.XLOOKUP($AS$6&amp;$B22,公表[班別+時段],公表[救護1],""),$AX$9:$AX$25,$AY$9:$AY$25,"")</f>
        <v>16</v>
      </c>
      <c r="J22" s="92">
        <f>_xlfn.XLOOKUP(_xlfn.XLOOKUP($AS$6&amp;$B22,公表[班別+時段],公表[救護2],""),$AX$9:$AX$25,$AY$9:$AY$25,"")</f>
        <v>18</v>
      </c>
      <c r="K22" s="92"/>
      <c r="L22" s="87" t="s">
        <v>212</v>
      </c>
      <c r="M22" s="312"/>
      <c r="N22" s="87">
        <f>_xlfn.XLOOKUP(_xlfn.XLOOKUP($AS$6&amp;$B22,公表[班別+時段],公表[備勤1],""),$AX$9:$AX$25,$AY$9:$AY$25,"")</f>
        <v>23</v>
      </c>
      <c r="O22" s="87">
        <f>_xlfn.XLOOKUP(_xlfn.XLOOKUP($AS$6&amp;$B22,公表[班別+時段],公表[備勤2],""),$AX$9:$AX$25,$AY$9:$AY$25,"")</f>
        <v>19</v>
      </c>
      <c r="P22" s="87"/>
      <c r="Q22" s="87">
        <f>_xlfn.XLOOKUP(_xlfn.XLOOKUP($AS$6&amp;$B22,公表[班別+時段],公表[備勤3],""),$AX$9:$AX$25,$AY$9:$AY$25,"")</f>
        <v>25</v>
      </c>
      <c r="R22" s="87">
        <f>_xlfn.XLOOKUP(_xlfn.XLOOKUP($AS$6&amp;$B22,公表[班別+時段],公表[備勤4],""),$AX$9:$AX$25,$AY$9:$AY$25,"")</f>
        <v>0</v>
      </c>
      <c r="S22" s="87"/>
      <c r="T22" s="87">
        <f>_xlfn.XLOOKUP(_xlfn.XLOOKUP($AS$6&amp;$B22,公表[班別+時段],公表[備勤5],""),$AX$9:$AX$25,$AY$9:$AY$25,"")</f>
        <v>5</v>
      </c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87"/>
      <c r="AC22" s="87"/>
      <c r="AD22" s="87"/>
      <c r="AE22" s="88">
        <f>_xlfn.XLOOKUP(_xlfn.XLOOKUP($AS$6&amp;$B22,公表[班別+時段],公表[指揮官],""),$AX$9:$AX$25,$AY$9:$AY$25,"")</f>
        <v>4</v>
      </c>
      <c r="AF22" s="57" t="s">
        <v>213</v>
      </c>
      <c r="AG22" s="305" t="str" cm="1">
        <f t="array" ref="AG22">_xlfn.TEXTJOIN(".",1,_xlfn._xlws.FILTER($AO$9:$AO$40,$AQ$9:$AQ$40="上班",""))</f>
        <v>4.5.9.16.17.18.19.23.25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27">
        <v>14</v>
      </c>
      <c r="AP22" s="127" t="str">
        <v>王浩任</v>
      </c>
      <c r="AQ22" s="127" t="str" cm="1">
        <f t="array" ref="AQ22">IFERROR(_xlfn.XLOOKUP(_xlfn.XLOOKUP($AQ$3,輪休基準表!$C$6:$C$36,_xlfn.XLOOKUP(AP22,輪休基準表!$E$5:$AF$5,輪休基準表!$E$6:$AF$36,""),""),班別參數!$A$4:$A$20,班別參數!$B$4:$B$20,""),"")</f>
        <v>補休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/>
      </c>
      <c r="AT22" s="180" t="str">
        <f t="shared" si="0"/>
        <v/>
      </c>
      <c r="AU22" s="180" t="str">
        <f t="shared" si="1"/>
        <v/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27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9</v>
      </c>
      <c r="D23" s="106"/>
      <c r="E23" s="96"/>
      <c r="F23" s="96"/>
      <c r="G23" s="123" t="str">
        <f>IF(BC15="","",BC15)</f>
        <v>17</v>
      </c>
      <c r="H23" s="107"/>
      <c r="I23" s="216">
        <f>_xlfn.XLOOKUP(_xlfn.XLOOKUP($AS$6&amp;$B23,公表[班別+時段],公表[救護1],""),$AX$9:$AX$25,$AY$9:$AY$25,"")</f>
        <v>16</v>
      </c>
      <c r="J23" s="216">
        <f>_xlfn.XLOOKUP(_xlfn.XLOOKUP($AS$6&amp;$B23,公表[班別+時段],公表[救護2],""),$AX$9:$AX$25,$AY$9:$AY$25,"")</f>
        <v>18</v>
      </c>
      <c r="K23" s="105"/>
      <c r="L23" s="93" t="s">
        <v>212</v>
      </c>
      <c r="M23" s="312"/>
      <c r="N23" s="89">
        <f>_xlfn.XLOOKUP(_xlfn.XLOOKUP($AS$6&amp;$B23,公表[班別+時段],公表[備勤1],""),$AX$9:$AX$25,$AY$9:$AY$25,"")</f>
        <v>23</v>
      </c>
      <c r="O23" s="89">
        <f>_xlfn.XLOOKUP(_xlfn.XLOOKUP($AS$6&amp;$B23,公表[班別+時段],公表[備勤2],""),$AX$9:$AX$25,$AY$9:$AY$25,"")</f>
        <v>19</v>
      </c>
      <c r="P23" s="89"/>
      <c r="Q23" s="89">
        <f>_xlfn.XLOOKUP(_xlfn.XLOOKUP($AS$6&amp;$B23,公表[班別+時段],公表[備勤3],""),$AX$9:$AX$25,$AY$9:$AY$25,"")</f>
        <v>25</v>
      </c>
      <c r="R23" s="89">
        <f>_xlfn.XLOOKUP(_xlfn.XLOOKUP($AS$6&amp;$B23,公表[班別+時段],公表[備勤4],""),$AX$9:$AX$25,$AY$9:$AY$25,"")</f>
        <v>0</v>
      </c>
      <c r="S23" s="89"/>
      <c r="T23" s="89">
        <f>_xlfn.XLOOKUP(_xlfn.XLOOKUP($AS$6&amp;$B23,公表[班別+時段],公表[備勤5],""),$AX$9:$AX$25,$AY$9:$AY$25,"")</f>
        <v>5</v>
      </c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89"/>
      <c r="AC23" s="89"/>
      <c r="AD23" s="89"/>
      <c r="AE23" s="104">
        <f>_xlfn.XLOOKUP(_xlfn.XLOOKUP($AS$6&amp;$B23,公表[班別+時段],公表[指揮官],""),$AX$9:$AX$25,$AY$9:$AY$25,"")</f>
        <v>4</v>
      </c>
      <c r="AF23" s="57" t="s">
        <v>6</v>
      </c>
      <c r="AG23" s="305" t="str" cm="1">
        <f t="array" ref="AG23">_xlfn.TEXTJOIN(".",1,_xlfn._xlws.FILTER($AO$9:$AO$40,$AQ$9:$AQ$40=$AF$23,""))</f>
        <v>1.3.6.7.10.11.12.13.15.24.26.27.28</v>
      </c>
      <c r="AH23" s="400"/>
      <c r="AI23" s="400"/>
      <c r="AJ23" s="400"/>
      <c r="AK23" s="400"/>
      <c r="AL23" s="400"/>
      <c r="AM23" s="401"/>
      <c r="AN23" s="214"/>
      <c r="AO23" s="127">
        <v>15</v>
      </c>
      <c r="AP23" s="127" t="str">
        <v>李仕詮</v>
      </c>
      <c r="AQ23" s="127" t="str" cm="1">
        <f t="array" ref="AQ23">IFERROR(_xlfn.XLOOKUP(_xlfn.XLOOKUP($AQ$3,輪休基準表!$C$6:$C$36,_xlfn.XLOOKUP(AP23,輪休基準表!$E$5:$AF$5,輪休基準表!$E$6:$AF$36,""),""),班別參數!$A$4:$A$20,班別參數!$B$4:$B$20,""),"")</f>
        <v>輪休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/>
      </c>
      <c r="AT23" s="180" t="str">
        <f t="shared" si="0"/>
        <v/>
      </c>
      <c r="AU23" s="180" t="str">
        <f t="shared" si="1"/>
        <v/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27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25</v>
      </c>
      <c r="D24" s="97"/>
      <c r="E24" s="97"/>
      <c r="F24" s="97"/>
      <c r="G24" s="121">
        <v>19</v>
      </c>
      <c r="H24" s="55"/>
      <c r="I24" s="94">
        <f>_xlfn.XLOOKUP(_xlfn.XLOOKUP($AS$6&amp;$B24,公表[班別+時段],公表[救護1],""),$AX$9:$AX$25,$AY$9:$AY$25,"")</f>
        <v>9</v>
      </c>
      <c r="J24" s="94">
        <f>_xlfn.XLOOKUP(_xlfn.XLOOKUP($AS$6&amp;$B24,公表[班別+時段],公表[救護2],""),$AX$9:$AX$25,$AY$9:$AY$25,"")</f>
        <v>17</v>
      </c>
      <c r="K24" s="90"/>
      <c r="L24" s="90" t="s">
        <v>212</v>
      </c>
      <c r="M24" s="312"/>
      <c r="N24" s="90">
        <f>_xlfn.XLOOKUP(_xlfn.XLOOKUP($AS$6&amp;$B24,公表[班別+時段],公表[備勤1],""),$AX$9:$AX$25,$AY$9:$AY$25,"")</f>
        <v>16</v>
      </c>
      <c r="O24" s="90">
        <f>_xlfn.XLOOKUP(_xlfn.XLOOKUP($AS$6&amp;$B24,公表[班別+時段],公表[備勤2],""),$AX$9:$AX$25,$AY$9:$AY$25,"")</f>
        <v>18</v>
      </c>
      <c r="P24" s="90"/>
      <c r="Q24" s="90">
        <f>_xlfn.XLOOKUP(_xlfn.XLOOKUP($AS$6&amp;$B24,公表[班別+時段],公表[備勤3],""),$AX$9:$AX$25,$AY$9:$AY$25,"")</f>
        <v>23</v>
      </c>
      <c r="R24" s="90"/>
      <c r="S24" s="90"/>
      <c r="T24" s="90">
        <f>_xlfn.XLOOKUP(_xlfn.XLOOKUP($AS$6&amp;$B24,公表[班別+時段],公表[備勤5],""),$AX$9:$AX$25,$AY$9:$AY$25,"")</f>
        <v>5</v>
      </c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90"/>
      <c r="AC24" s="90"/>
      <c r="AD24" s="90"/>
      <c r="AE24" s="91">
        <f>_xlfn.XLOOKUP(_xlfn.XLOOKUP($AS$6&amp;$B24,公表[班別+時段],公表[指揮官],""),$AX$9:$AX$25,$AY$9:$AY$25,"")</f>
        <v>4</v>
      </c>
      <c r="AF24" s="57" t="s">
        <v>17</v>
      </c>
      <c r="AG24" s="305" t="str" cm="1">
        <f t="array" ref="AG24">_xlfn.TEXTJOIN(".",1,_xlfn._xlws.FILTER($AO$9:$AO$40,$AQ$9:$AQ$40=$AF$24,""))</f>
        <v>2.8</v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>14</v>
      </c>
      <c r="AL24" s="400"/>
      <c r="AM24" s="401"/>
      <c r="AN24" s="214"/>
      <c r="AO24" s="127">
        <v>16</v>
      </c>
      <c r="AP24" s="127" t="str">
        <v>楊弘宇</v>
      </c>
      <c r="AQ24" s="127" t="str" cm="1">
        <f t="array" ref="AQ24">IFERROR(_xlfn.XLOOKUP(_xlfn.XLOOKUP($AQ$3,輪休基準表!$C$6:$C$36,_xlfn.XLOOKUP(AP24,輪休基準表!$E$5:$AF$5,輪休基準表!$E$6:$AF$36,""),""),班別參數!$A$4:$A$20,班別參數!$B$4:$B$20,""),"")</f>
        <v>上班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>已排</v>
      </c>
      <c r="AT24" s="180">
        <f t="shared" si="0"/>
        <v>8</v>
      </c>
      <c r="AU24" s="180">
        <f t="shared" si="1"/>
        <v>8</v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27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25</v>
      </c>
      <c r="D25" s="95"/>
      <c r="E25" s="95"/>
      <c r="F25" s="95"/>
      <c r="G25" s="122">
        <v>19</v>
      </c>
      <c r="H25" s="37"/>
      <c r="I25" s="92">
        <f>_xlfn.XLOOKUP(_xlfn.XLOOKUP($AS$6&amp;$B25,公表[班別+時段],公表[救護1],""),$AX$9:$AX$25,$AY$9:$AY$25,"")</f>
        <v>9</v>
      </c>
      <c r="J25" s="92">
        <f>_xlfn.XLOOKUP(_xlfn.XLOOKUP($AS$6&amp;$B25,公表[班別+時段],公表[救護2],""),$AX$9:$AX$25,$AY$9:$AY$25,"")</f>
        <v>17</v>
      </c>
      <c r="K25" s="87"/>
      <c r="L25" s="87" t="s">
        <v>212</v>
      </c>
      <c r="M25" s="312"/>
      <c r="N25" s="87">
        <f>_xlfn.XLOOKUP(_xlfn.XLOOKUP($AS$6&amp;$B25,公表[班別+時段],公表[備勤1],""),$AX$9:$AX$25,$AY$9:$AY$25,"")</f>
        <v>16</v>
      </c>
      <c r="O25" s="87">
        <f>_xlfn.XLOOKUP(_xlfn.XLOOKUP($AS$6&amp;$B25,公表[班別+時段],公表[備勤2],""),$AX$9:$AX$25,$AY$9:$AY$25,"")</f>
        <v>18</v>
      </c>
      <c r="P25" s="87"/>
      <c r="Q25" s="87">
        <f>_xlfn.XLOOKUP(_xlfn.XLOOKUP($AS$6&amp;$B25,公表[班別+時段],公表[備勤3],""),$AX$9:$AX$25,$AY$9:$AY$25,"")</f>
        <v>23</v>
      </c>
      <c r="R25" s="87"/>
      <c r="S25" s="87"/>
      <c r="T25" s="87">
        <f>_xlfn.XLOOKUP(_xlfn.XLOOKUP($AS$6&amp;$B25,公表[班別+時段],公表[備勤5],""),$AX$9:$AX$25,$AY$9:$AY$25,"")</f>
        <v>5</v>
      </c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87"/>
      <c r="AC25" s="87"/>
      <c r="AD25" s="87"/>
      <c r="AE25" s="88">
        <f>_xlfn.XLOOKUP(_xlfn.XLOOKUP($AS$6&amp;$B25,公表[班別+時段],公表[指揮官],""),$AX$9:$AX$25,$AY$9:$AY$25,"")</f>
        <v>4</v>
      </c>
      <c r="AF25" s="57" t="s">
        <v>28</v>
      </c>
      <c r="AG25" s="305" t="str" cm="1">
        <f t="array" ref="AG25">_xlfn.TEXTJOIN(".",1,_xlfn._xlws.FILTER($AO$9:$AO$40,$AQ$9:$AQ$40=$AF$25,""))</f>
        <v>21</v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>20.22</v>
      </c>
      <c r="AL25" s="309"/>
      <c r="AM25" s="310"/>
      <c r="AN25" s="214"/>
      <c r="AO25" s="127">
        <v>17</v>
      </c>
      <c r="AP25" s="127" t="str">
        <v>楊仲豪</v>
      </c>
      <c r="AQ25" s="127" t="str" cm="1">
        <f t="array" ref="AQ25">IFERROR(_xlfn.XLOOKUP(_xlfn.XLOOKUP($AQ$3,輪休基準表!$C$6:$C$36,_xlfn.XLOOKUP(AP25,輪休基準表!$E$5:$AF$5,輪休基準表!$E$6:$AF$36,""),""),班別參數!$A$4:$A$20,班別參數!$B$4:$B$20,""),"")</f>
        <v>上班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>已排</v>
      </c>
      <c r="AT25" s="180">
        <f t="shared" si="0"/>
        <v>8</v>
      </c>
      <c r="AU25" s="180">
        <f t="shared" si="1"/>
        <v>6</v>
      </c>
      <c r="AW25" s="33"/>
      <c r="AX25" s="45"/>
      <c r="AY25" s="25"/>
      <c r="AZ25" s="28"/>
      <c r="BA25" s="33"/>
      <c r="BB25" s="25"/>
      <c r="BD25" s="127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25</v>
      </c>
      <c r="D26" s="95"/>
      <c r="E26" s="95"/>
      <c r="F26" s="95"/>
      <c r="G26" s="122" t="str">
        <f>IF(BC17="","",BC17)</f>
        <v/>
      </c>
      <c r="H26" s="37"/>
      <c r="I26" s="92">
        <f>_xlfn.XLOOKUP(_xlfn.XLOOKUP($AS$6&amp;$B26,公表[班別+時段],公表[救護1],""),$AX$9:$AX$25,$AY$9:$AY$25,"")</f>
        <v>23</v>
      </c>
      <c r="J26" s="92">
        <f>_xlfn.XLOOKUP(_xlfn.XLOOKUP($AS$6&amp;$B26,公表[班別+時段],公表[救護2],""),$AX$9:$AX$25,$AY$9:$AY$25,"")</f>
        <v>16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18</v>
      </c>
      <c r="O26" s="87">
        <f>_xlfn.XLOOKUP(_xlfn.XLOOKUP($AS$6&amp;$B26,公表[班別+時段],公表[備勤2],""),$AX$9:$AX$25,$AY$9:$AY$25,"")</f>
        <v>9</v>
      </c>
      <c r="P26" s="87"/>
      <c r="Q26" s="87">
        <f>_xlfn.XLOOKUP(_xlfn.XLOOKUP($AS$6&amp;$B26,公表[班別+時段],公表[備勤3],""),$AX$9:$AX$25,$AY$9:$AY$25,"")</f>
        <v>19</v>
      </c>
      <c r="R26" s="87">
        <f>_xlfn.XLOOKUP(_xlfn.XLOOKUP($AS$6&amp;$B26,公表[班別+時段],公表[備勤4],""),$AX$9:$AX$25,$AY$9:$AY$25,"")</f>
        <v>17</v>
      </c>
      <c r="S26" s="87"/>
      <c r="T26" s="87">
        <f>_xlfn.XLOOKUP(_xlfn.XLOOKUP($AS$6&amp;$B26,公表[班別+時段],公表[備勤5],""),$AX$9:$AX$25,$AY$9:$AY$25,"")</f>
        <v>5</v>
      </c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87"/>
      <c r="AC26" s="87"/>
      <c r="AD26" s="87"/>
      <c r="AE26" s="88">
        <f>_xlfn.XLOOKUP(_xlfn.XLOOKUP($AS$6&amp;$B26,公表[班別+時段],公表[指揮官],""),$AX$9:$AX$25,$AY$9:$AY$25,"")</f>
        <v>4</v>
      </c>
      <c r="AF26" s="57" t="s">
        <v>289</v>
      </c>
      <c r="AG26" s="178" t="str" cm="1">
        <f t="array" ref="AG26">_xlfn.TEXTJOIN(".",1,_xlfn._xlws.FILTER($AO$9:$AO$40,$AQ$9:$AQ$40=$AF$26,""))</f>
        <v/>
      </c>
      <c r="AH26" s="168" t="s">
        <v>290</v>
      </c>
      <c r="AI26" s="179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/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27">
        <v>18</v>
      </c>
      <c r="AP26" s="127" t="str">
        <v>林志偉</v>
      </c>
      <c r="AQ26" s="127" t="str" cm="1">
        <f t="array" ref="AQ26">IFERROR(_xlfn.XLOOKUP(_xlfn.XLOOKUP($AQ$3,輪休基準表!$C$6:$C$36,_xlfn.XLOOKUP(AP26,輪休基準表!$E$5:$AF$5,輪休基準表!$E$6:$AF$36,""),""),班別參數!$A$4:$A$20,班別參數!$B$4:$B$20,""),"")</f>
        <v>上班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>已排</v>
      </c>
      <c r="AT26" s="180">
        <f t="shared" si="0"/>
        <v>6</v>
      </c>
      <c r="AU26" s="180">
        <f t="shared" si="1"/>
        <v>10</v>
      </c>
      <c r="AV26" s="10"/>
      <c r="AW26" s="46"/>
      <c r="AX26" s="45"/>
      <c r="AY26" s="25"/>
      <c r="AZ26" s="28"/>
      <c r="BA26" s="33"/>
      <c r="BB26" s="25"/>
      <c r="BD26" s="127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25</v>
      </c>
      <c r="D27" s="95"/>
      <c r="E27" s="95"/>
      <c r="F27" s="95"/>
      <c r="G27" s="122" t="str">
        <f>IF(BC17="","",BC17)</f>
        <v/>
      </c>
      <c r="H27" s="37"/>
      <c r="I27" s="92">
        <f>_xlfn.XLOOKUP(_xlfn.XLOOKUP($AS$6&amp;$B27,公表[班別+時段],公表[救護1],""),$AX$9:$AX$25,$AY$9:$AY$25,"")</f>
        <v>23</v>
      </c>
      <c r="J27" s="92">
        <f>_xlfn.XLOOKUP(_xlfn.XLOOKUP($AS$6&amp;$B27,公表[班別+時段],公表[救護2],""),$AX$9:$AX$25,$AY$9:$AY$25,"")</f>
        <v>16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18</v>
      </c>
      <c r="O27" s="87">
        <f>_xlfn.XLOOKUP(_xlfn.XLOOKUP($AS$6&amp;$B27,公表[班別+時段],公表[備勤2],""),$AX$9:$AX$25,$AY$9:$AY$25,"")</f>
        <v>9</v>
      </c>
      <c r="P27" s="87"/>
      <c r="Q27" s="87">
        <f>_xlfn.XLOOKUP(_xlfn.XLOOKUP($AS$6&amp;$B27,公表[班別+時段],公表[備勤3],""),$AX$9:$AX$25,$AY$9:$AY$25,"")</f>
        <v>19</v>
      </c>
      <c r="R27" s="87">
        <f>_xlfn.XLOOKUP(_xlfn.XLOOKUP($AS$6&amp;$B27,公表[班別+時段],公表[備勤4],""),$AX$9:$AX$25,$AY$9:$AY$25,"")</f>
        <v>17</v>
      </c>
      <c r="S27" s="87"/>
      <c r="T27" s="87">
        <f>_xlfn.XLOOKUP(_xlfn.XLOOKUP($AS$6&amp;$B27,公表[班別+時段],公表[備勤5],""),$AX$9:$AX$25,$AY$9:$AY$25,"")</f>
        <v>5</v>
      </c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87"/>
      <c r="AC27" s="87"/>
      <c r="AD27" s="87"/>
      <c r="AE27" s="88">
        <f>_xlfn.XLOOKUP(_xlfn.XLOOKUP($AS$6&amp;$B27,公表[班別+時段],公表[指揮官],""),$AX$9:$AX$25,$AY$9:$AY$25,"")</f>
        <v>4</v>
      </c>
      <c r="AF27" s="317" t="s">
        <v>215</v>
      </c>
      <c r="AG27" s="319"/>
      <c r="AH27" s="321"/>
      <c r="AI27" s="321"/>
      <c r="AJ27" s="321"/>
      <c r="AK27" s="321"/>
      <c r="AL27" s="321"/>
      <c r="AM27" s="322"/>
      <c r="AN27" s="214"/>
      <c r="AO27" s="127">
        <v>19</v>
      </c>
      <c r="AP27" s="127" t="str">
        <v>劉家誠</v>
      </c>
      <c r="AQ27" s="127" t="str" cm="1">
        <f t="array" ref="AQ27">IFERROR(_xlfn.XLOOKUP(_xlfn.XLOOKUP($AQ$3,輪休基準表!$C$6:$C$36,_xlfn.XLOOKUP(AP27,輪休基準表!$E$5:$AF$5,輪休基準表!$E$6:$AF$36,""),""),班別參數!$A$4:$A$20,班別參數!$B$4:$B$20,""),"")</f>
        <v>上班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>已排</v>
      </c>
      <c r="AT27" s="180">
        <f t="shared" si="0"/>
        <v>6</v>
      </c>
      <c r="AU27" s="180">
        <f t="shared" si="1"/>
        <v>8</v>
      </c>
      <c r="AV27" s="10"/>
      <c r="AW27" s="46"/>
      <c r="AX27" s="45"/>
      <c r="AY27" s="25"/>
      <c r="AZ27" s="28"/>
      <c r="BA27" s="33"/>
      <c r="BB27" s="25"/>
      <c r="BD27" s="127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25</v>
      </c>
      <c r="D28" s="95"/>
      <c r="E28" s="95"/>
      <c r="F28" s="95"/>
      <c r="G28" s="122" t="str">
        <f>IF(BC18="","",BC18)</f>
        <v/>
      </c>
      <c r="H28" s="37"/>
      <c r="I28" s="92">
        <f>_xlfn.XLOOKUP(_xlfn.XLOOKUP($AS$6&amp;$B28,公表[班別+時段],公表[救護1],""),$AX$9:$AX$25,$AY$9:$AY$25,"")</f>
        <v>23</v>
      </c>
      <c r="J28" s="92">
        <f>_xlfn.XLOOKUP(_xlfn.XLOOKUP($AS$6&amp;$B28,公表[班別+時段],公表[救護2],""),$AX$9:$AX$25,$AY$9:$AY$25,"")</f>
        <v>16</v>
      </c>
      <c r="K28" s="87"/>
      <c r="L28" s="87" t="s">
        <v>212</v>
      </c>
      <c r="M28" s="312"/>
      <c r="N28" s="87">
        <f>_xlfn.XLOOKUP(_xlfn.XLOOKUP($AS$6&amp;$B28,公表[班別+時段],公表[備勤1],""),$AX$9:$AX$25,$AY$9:$AY$25,"")</f>
        <v>17</v>
      </c>
      <c r="O28" s="87">
        <f>_xlfn.XLOOKUP(_xlfn.XLOOKUP($AS$6&amp;$B28,公表[班別+時段],公表[備勤2],""),$AX$9:$AX$25,$AY$9:$AY$25,"")</f>
        <v>19</v>
      </c>
      <c r="P28" s="87"/>
      <c r="Q28" s="87">
        <f>_xlfn.XLOOKUP(_xlfn.XLOOKUP($AS$6&amp;$B28,公表[班別+時段],公表[備勤3],""),$AX$9:$AX$25,$AY$9:$AY$25,"")</f>
        <v>18</v>
      </c>
      <c r="R28" s="87">
        <f>_xlfn.XLOOKUP(_xlfn.XLOOKUP($AS$6&amp;$B28,公表[班別+時段],公表[備勤4],""),$AX$9:$AX$25,$AY$9:$AY$25,"")</f>
        <v>9</v>
      </c>
      <c r="S28" s="87"/>
      <c r="T28" s="87">
        <f>_xlfn.XLOOKUP(_xlfn.XLOOKUP($AS$6&amp;$B28,公表[班別+時段],公表[備勤5],""),$AX$9:$AX$25,$AY$9:$AY$25,"")</f>
        <v>5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87"/>
      <c r="AC28" s="87"/>
      <c r="AD28" s="87"/>
      <c r="AE28" s="88">
        <f>_xlfn.XLOOKUP(_xlfn.XLOOKUP($AS$6&amp;$B28,公表[班別+時段],公表[指揮官],""),$AX$9:$AX$25,$AY$9:$AY$25,"")</f>
        <v>4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27">
        <v>20</v>
      </c>
      <c r="AP28" s="127" t="str">
        <v>呂奇霈</v>
      </c>
      <c r="AQ28" s="127" t="str" cm="1">
        <f t="array" ref="AQ28">IFERROR(_xlfn.XLOOKUP(_xlfn.XLOOKUP($AQ$3,輪休基準表!$C$6:$C$36,_xlfn.XLOOKUP(AP28,輪休基準表!$E$5:$AF$5,輪休基準表!$E$6:$AF$36,""),""),班別參數!$A$4:$A$20,班別參數!$B$4:$B$20,""),"")</f>
        <v>公假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27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25</v>
      </c>
      <c r="D29" s="95"/>
      <c r="E29" s="95"/>
      <c r="F29" s="95"/>
      <c r="G29" s="122" t="str">
        <f>IF(BC18="","",BC18)</f>
        <v/>
      </c>
      <c r="H29" s="37"/>
      <c r="I29" s="92">
        <f>_xlfn.XLOOKUP(_xlfn.XLOOKUP($AS$6&amp;$B29,公表[班別+時段],公表[救護1],""),$AX$9:$AX$25,$AY$9:$AY$25,"")</f>
        <v>23</v>
      </c>
      <c r="J29" s="92">
        <f>_xlfn.XLOOKUP(_xlfn.XLOOKUP($AS$6&amp;$B29,公表[班別+時段],公表[救護2],""),$AX$9:$AX$25,$AY$9:$AY$25,"")</f>
        <v>16</v>
      </c>
      <c r="K29" s="87"/>
      <c r="L29" s="87" t="s">
        <v>212</v>
      </c>
      <c r="M29" s="312"/>
      <c r="N29" s="87">
        <f>_xlfn.XLOOKUP(_xlfn.XLOOKUP($AS$6&amp;$B29,公表[班別+時段],公表[備勤1],""),$AX$9:$AX$25,$AY$9:$AY$25,"")</f>
        <v>17</v>
      </c>
      <c r="O29" s="87">
        <f>_xlfn.XLOOKUP(_xlfn.XLOOKUP($AS$6&amp;$B29,公表[班別+時段],公表[備勤2],""),$AX$9:$AX$25,$AY$9:$AY$25,"")</f>
        <v>19</v>
      </c>
      <c r="P29" s="87"/>
      <c r="Q29" s="87">
        <f>_xlfn.XLOOKUP(_xlfn.XLOOKUP($AS$6&amp;$B29,公表[班別+時段],公表[備勤3],""),$AX$9:$AX$25,$AY$9:$AY$25,"")</f>
        <v>18</v>
      </c>
      <c r="R29" s="87">
        <f>_xlfn.XLOOKUP(_xlfn.XLOOKUP($AS$6&amp;$B29,公表[班別+時段],公表[備勤4],""),$AX$9:$AX$25,$AY$9:$AY$25,"")</f>
        <v>9</v>
      </c>
      <c r="S29" s="87"/>
      <c r="T29" s="87">
        <f>_xlfn.XLOOKUP(_xlfn.XLOOKUP($AS$6&amp;$B29,公表[班別+時段],公表[備勤5],""),$AX$9:$AX$25,$AY$9:$AY$25,"")</f>
        <v>5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87"/>
      <c r="AC29" s="87"/>
      <c r="AD29" s="87"/>
      <c r="AE29" s="88">
        <f>_xlfn.XLOOKUP(_xlfn.XLOOKUP($AS$6&amp;$B29,公表[班別+時段],公表[指揮官],""),$AX$9:$AX$25,$AY$9:$AY$25,"")</f>
        <v>4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27">
        <v>21</v>
      </c>
      <c r="AP29" s="127" t="str">
        <v>張家和</v>
      </c>
      <c r="AQ29" s="127" t="str" cm="1">
        <f t="array" ref="AQ29">IFERROR(_xlfn.XLOOKUP(_xlfn.XLOOKUP($AQ$3,輪休基準表!$C$6:$C$36,_xlfn.XLOOKUP(AP29,輪休基準表!$E$5:$AF$5,輪休基準表!$E$6:$AF$36,""),""),班別參數!$A$4:$A$20,班別參數!$B$4:$B$20,""),"")</f>
        <v>請休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/>
      </c>
      <c r="AT29" s="180" t="str">
        <f t="shared" si="0"/>
        <v/>
      </c>
      <c r="AU29" s="180" t="str">
        <f t="shared" si="1"/>
        <v/>
      </c>
      <c r="AV29" s="10"/>
      <c r="AW29" s="47"/>
      <c r="AX29" s="45"/>
      <c r="AY29" s="25"/>
      <c r="AZ29" s="28"/>
      <c r="BA29" s="33"/>
      <c r="BB29" s="25"/>
      <c r="BD29" s="127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25</v>
      </c>
      <c r="D30" s="95"/>
      <c r="E30" s="95"/>
      <c r="F30" s="95"/>
      <c r="G30" s="122" t="str">
        <f>IF(BC19="","",BC19)</f>
        <v/>
      </c>
      <c r="H30" s="37"/>
      <c r="I30" s="92">
        <f>_xlfn.XLOOKUP(_xlfn.XLOOKUP($AS$6&amp;$B30,公表[班別+時段],公表[救護1],""),$AX$9:$AX$25,$AY$9:$AY$25,"")</f>
        <v>17</v>
      </c>
      <c r="J30" s="92">
        <f>_xlfn.XLOOKUP(_xlfn.XLOOKUP($AS$6&amp;$B30,公表[班別+時段],公表[救護2],""),$AX$9:$AX$25,$AY$9:$AY$25,"")</f>
        <v>19</v>
      </c>
      <c r="K30" s="87"/>
      <c r="L30" s="87" t="s">
        <v>212</v>
      </c>
      <c r="M30" s="312"/>
      <c r="N30" s="87">
        <f>_xlfn.XLOOKUP(_xlfn.XLOOKUP($AS$6&amp;$B30,公表[班別+時段],公表[備勤1],""),$AX$9:$AX$25,$AY$9:$AY$25,"")</f>
        <v>23</v>
      </c>
      <c r="O30" s="87">
        <f>_xlfn.XLOOKUP(_xlfn.XLOOKUP($AS$6&amp;$B30,公表[班別+時段],公表[備勤2],""),$AX$9:$AX$25,$AY$9:$AY$25,"")</f>
        <v>9</v>
      </c>
      <c r="P30" s="87"/>
      <c r="Q30" s="87">
        <f>_xlfn.XLOOKUP(_xlfn.XLOOKUP($AS$6&amp;$B30,公表[班別+時段],公表[備勤3],""),$AX$9:$AX$25,$AY$9:$AY$25,"")</f>
        <v>16</v>
      </c>
      <c r="R30" s="87">
        <f>_xlfn.XLOOKUP(_xlfn.XLOOKUP($AS$6&amp;$B30,公表[班別+時段],公表[備勤4],""),$AX$9:$AX$25,$AY$9:$AY$25,"")</f>
        <v>18</v>
      </c>
      <c r="S30" s="87"/>
      <c r="T30" s="87">
        <f>_xlfn.XLOOKUP(_xlfn.XLOOKUP($AS$6&amp;$B30,公表[班別+時段],公表[備勤5],""),$AX$9:$AX$25,$AY$9:$AY$25,"")</f>
        <v>5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87"/>
      <c r="AC30" s="87"/>
      <c r="AD30" s="87"/>
      <c r="AE30" s="88">
        <f>_xlfn.XLOOKUP(_xlfn.XLOOKUP($AS$6&amp;$B30,公表[班別+時段],公表[指揮官],""),$AX$9:$AX$25,$AY$9:$AY$25,"")</f>
        <v>4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27">
        <v>22</v>
      </c>
      <c r="AP30" s="127" t="str">
        <v>陳俊瑋</v>
      </c>
      <c r="AQ30" s="127" t="str" cm="1">
        <f t="array" ref="AQ30">IFERROR(_xlfn.XLOOKUP(_xlfn.XLOOKUP($AQ$3,輪休基準表!$C$6:$C$36,_xlfn.XLOOKUP(AP30,輪休基準表!$E$5:$AF$5,輪休基準表!$E$6:$AF$36,""),""),班別參數!$A$4:$A$20,班別參數!$B$4:$B$20,""),"")</f>
        <v>公假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27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25</v>
      </c>
      <c r="D31" s="106"/>
      <c r="E31" s="96"/>
      <c r="F31" s="96"/>
      <c r="G31" s="123" t="str">
        <f>IF(BC19="","",BC19)</f>
        <v/>
      </c>
      <c r="H31" s="109"/>
      <c r="I31" s="216">
        <f>_xlfn.XLOOKUP(_xlfn.XLOOKUP($AS$6&amp;$B31,公表[班別+時段],公表[救護1],""),$AX$9:$AX$25,$AY$9:$AY$25,"")</f>
        <v>17</v>
      </c>
      <c r="J31" s="216">
        <f>_xlfn.XLOOKUP(_xlfn.XLOOKUP($AS$6&amp;$B31,公表[班別+時段],公表[救護2],""),$AX$9:$AX$25,$AY$9:$AY$25,"")</f>
        <v>19</v>
      </c>
      <c r="K31" s="108"/>
      <c r="L31" s="93" t="s">
        <v>212</v>
      </c>
      <c r="M31" s="312"/>
      <c r="N31" s="89">
        <f>_xlfn.XLOOKUP(_xlfn.XLOOKUP($AS$6&amp;$B31,公表[班別+時段],公表[備勤1],""),$AX$9:$AX$25,$AY$9:$AY$25,"")</f>
        <v>23</v>
      </c>
      <c r="O31" s="89">
        <f>_xlfn.XLOOKUP(_xlfn.XLOOKUP($AS$6&amp;$B31,公表[班別+時段],公表[備勤2],""),$AX$9:$AX$25,$AY$9:$AY$25,"")</f>
        <v>9</v>
      </c>
      <c r="P31" s="89"/>
      <c r="Q31" s="89">
        <f>_xlfn.XLOOKUP(_xlfn.XLOOKUP($AS$6&amp;$B31,公表[班別+時段],公表[備勤3],""),$AX$9:$AX$25,$AY$9:$AY$25,"")</f>
        <v>16</v>
      </c>
      <c r="R31" s="89">
        <f>_xlfn.XLOOKUP(_xlfn.XLOOKUP($AS$6&amp;$B31,公表[班別+時段],公表[備勤4],""),$AX$9:$AX$25,$AY$9:$AY$25,"")</f>
        <v>18</v>
      </c>
      <c r="S31" s="89"/>
      <c r="T31" s="89">
        <f>_xlfn.XLOOKUP(_xlfn.XLOOKUP($AS$6&amp;$B31,公表[班別+時段],公表[備勤5],""),$AX$9:$AX$25,$AY$9:$AY$25,"")</f>
        <v>5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89"/>
      <c r="AC31" s="89"/>
      <c r="AD31" s="89"/>
      <c r="AE31" s="104">
        <f>_xlfn.XLOOKUP(_xlfn.XLOOKUP($AS$6&amp;$B31,公表[班別+時段],公表[指揮官],""),$AX$9:$AX$25,$AY$9:$AY$25,"")</f>
        <v>4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27">
        <v>23</v>
      </c>
      <c r="AP31" s="127" t="str">
        <v>陳俊翰</v>
      </c>
      <c r="AQ31" s="127" t="str" cm="1">
        <f t="array" ref="AQ31">IFERROR(_xlfn.XLOOKUP(_xlfn.XLOOKUP($AQ$3,輪休基準表!$C$6:$C$36,_xlfn.XLOOKUP(AP31,輪休基準表!$E$5:$AF$5,輪休基準表!$E$6:$AF$36,""),""),班別參數!$A$4:$A$20,班別參數!$B$4:$B$20,""),"")</f>
        <v>上班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>已排</v>
      </c>
      <c r="AT31" s="180">
        <f t="shared" si="0"/>
        <v>6</v>
      </c>
      <c r="AU31" s="180">
        <f t="shared" si="1"/>
        <v>8</v>
      </c>
      <c r="AW31" s="47"/>
      <c r="AX31" s="45"/>
      <c r="AY31" s="25"/>
      <c r="AZ31" s="28"/>
      <c r="BA31" s="33"/>
      <c r="BB31" s="25"/>
      <c r="BD31" s="127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25</v>
      </c>
      <c r="D32" s="97"/>
      <c r="E32" s="97"/>
      <c r="F32" s="97"/>
      <c r="G32" s="121" t="str">
        <f>IF(BC20="","",BC20)</f>
        <v>18,5</v>
      </c>
      <c r="H32" s="56"/>
      <c r="I32" s="94">
        <f>_xlfn.XLOOKUP(_xlfn.XLOOKUP($AS$6&amp;$B32,公表[班別+時段],公表[救護1],""),$AX$9:$AX$25,$AY$9:$AY$25,"")</f>
        <v>17</v>
      </c>
      <c r="J32" s="94">
        <f>_xlfn.XLOOKUP(_xlfn.XLOOKUP($AS$6&amp;$B32,公表[班別+時段],公表[救護2],""),$AX$9:$AX$25,$AY$9:$AY$25,"")</f>
        <v>19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9</v>
      </c>
      <c r="O32" s="90">
        <f>_xlfn.XLOOKUP(_xlfn.XLOOKUP($AS$6&amp;$B32,公表[班別+時段],公表[備勤2],""),$AX$9:$AX$25,$AY$9:$AY$25,"")</f>
        <v>16</v>
      </c>
      <c r="P32" s="90"/>
      <c r="Q32" s="90">
        <f>_xlfn.XLOOKUP(_xlfn.XLOOKUP($AS$6&amp;$B32,公表[班別+時段],公表[備勤3],""),$AX$9:$AX$25,$AY$9:$AY$25,"")</f>
        <v>23</v>
      </c>
      <c r="R32" s="90">
        <f>_xlfn.XLOOKUP(_xlfn.XLOOKUP($AS$6&amp;$B32,公表[班別+時段],公表[備勤4],""),$AX$9:$AX$25,$AY$9:$AY$25,"")</f>
        <v>0</v>
      </c>
      <c r="S32" s="90"/>
      <c r="T32" s="90">
        <f>_xlfn.XLOOKUP(_xlfn.XLOOKUP($AS$6&amp;$B32,公表[班別+時段],公表[備勤5],""),$AX$9:$AX$25,$AY$9:$AY$25,"")</f>
        <v>0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90"/>
      <c r="AC32" s="90"/>
      <c r="AD32" s="90"/>
      <c r="AE32" s="91">
        <f>_xlfn.XLOOKUP(_xlfn.XLOOKUP($AS$6&amp;$B32,公表[班別+時段],公表[指揮官],""),$AX$9:$AX$25,$AY$9:$AY$25,"")</f>
        <v>4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27">
        <v>24</v>
      </c>
      <c r="AP32" s="127" t="str">
        <v>賴俊豪</v>
      </c>
      <c r="AQ32" s="127" t="str" cm="1">
        <f t="array" ref="AQ32">IFERROR(_xlfn.XLOOKUP(_xlfn.XLOOKUP($AQ$3,輪休基準表!$C$6:$C$36,_xlfn.XLOOKUP(AP32,輪休基準表!$E$5:$AF$5,輪休基準表!$E$6:$AF$36,""),""),班別參數!$A$4:$A$20,班別參數!$B$4:$B$20,""),"")</f>
        <v>輪休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/>
      </c>
      <c r="AT32" s="180" t="str">
        <f t="shared" si="0"/>
        <v/>
      </c>
      <c r="AU32" s="180" t="str">
        <f t="shared" si="1"/>
        <v/>
      </c>
      <c r="AW32" s="47"/>
      <c r="AX32" s="45"/>
      <c r="AY32" s="25"/>
      <c r="AZ32" s="28"/>
      <c r="BA32" s="33"/>
      <c r="BB32" s="25"/>
      <c r="BD32" s="127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25</v>
      </c>
      <c r="D33" s="95"/>
      <c r="E33" s="95"/>
      <c r="F33" s="95"/>
      <c r="G33" s="122" t="str">
        <f>IF(BC20="","",BC20)</f>
        <v>18,5</v>
      </c>
      <c r="H33" s="48"/>
      <c r="I33" s="92">
        <f>_xlfn.XLOOKUP(_xlfn.XLOOKUP($AS$6&amp;$B33,公表[班別+時段],公表[救護1],""),$AX$9:$AX$25,$AY$9:$AY$25,"")</f>
        <v>17</v>
      </c>
      <c r="J33" s="92">
        <f>_xlfn.XLOOKUP(_xlfn.XLOOKUP($AS$6&amp;$B33,公表[班別+時段],公表[救護2],""),$AX$9:$AX$25,$AY$9:$AY$25,"")</f>
        <v>19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9</v>
      </c>
      <c r="O33" s="87">
        <f>_xlfn.XLOOKUP(_xlfn.XLOOKUP($AS$6&amp;$B33,公表[班別+時段],公表[備勤2],""),$AX$9:$AX$25,$AY$9:$AY$25,"")</f>
        <v>16</v>
      </c>
      <c r="P33" s="87"/>
      <c r="Q33" s="87">
        <f>_xlfn.XLOOKUP(_xlfn.XLOOKUP($AS$6&amp;$B33,公表[班別+時段],公表[備勤3],""),$AX$9:$AX$25,$AY$9:$AY$25,"")</f>
        <v>23</v>
      </c>
      <c r="R33" s="87">
        <f>_xlfn.XLOOKUP(_xlfn.XLOOKUP($AS$6&amp;$B33,公表[班別+時段],公表[備勤4],""),$AX$9:$AX$25,$AY$9:$AY$25,"")</f>
        <v>0</v>
      </c>
      <c r="S33" s="87"/>
      <c r="T33" s="87">
        <f>_xlfn.XLOOKUP(_xlfn.XLOOKUP($AS$6&amp;$B33,公表[班別+時段],公表[備勤5],""),$AX$9:$AX$25,$AY$9:$AY$25,"")</f>
        <v>0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87"/>
      <c r="AC33" s="87"/>
      <c r="AD33" s="87"/>
      <c r="AE33" s="88">
        <f>_xlfn.XLOOKUP(_xlfn.XLOOKUP($AS$6&amp;$B33,公表[班別+時段],公表[指揮官],""),$AX$9:$AX$25,$AY$9:$AY$25,"")</f>
        <v>4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27">
        <v>25</v>
      </c>
      <c r="AP33" s="127" t="str">
        <v>郭國偵</v>
      </c>
      <c r="AQ33" s="127" t="str" cm="1">
        <f t="array" ref="AQ33">IFERROR(_xlfn.XLOOKUP(_xlfn.XLOOKUP($AQ$3,輪休基準表!$C$6:$C$36,_xlfn.XLOOKUP(AP33,輪休基準表!$E$5:$AF$5,輪休基準表!$E$6:$AF$36,""),""),班別參數!$A$4:$A$20,班別參數!$B$4:$B$20,""),"")</f>
        <v>上班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>已排</v>
      </c>
      <c r="AT33" s="180">
        <f t="shared" si="0"/>
        <v>6</v>
      </c>
      <c r="AU33" s="180">
        <f t="shared" si="1"/>
        <v>2</v>
      </c>
      <c r="AW33" s="47"/>
      <c r="AX33" s="45"/>
      <c r="AY33" s="25"/>
      <c r="AZ33" s="28"/>
      <c r="BA33" s="25"/>
      <c r="BB33" s="25"/>
      <c r="BD33" s="127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一、本日主管輪休，職務由小隊長簡永豐代理。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27">
        <v>26</v>
      </c>
      <c r="AP34" s="127" t="str">
        <v>楊紹文</v>
      </c>
      <c r="AQ34" s="127" t="str" cm="1">
        <f t="array" ref="AQ34">IFERROR(_xlfn.XLOOKUP(_xlfn.XLOOKUP($AQ$3,輪休基準表!$C$6:$C$36,_xlfn.XLOOKUP(AP34,輪休基準表!$E$5:$AF$5,輪休基準表!$E$6:$AF$36,""),""),班別參數!$A$4:$A$20,班別參數!$B$4:$B$20,""),"")</f>
        <v>輪休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/>
      </c>
      <c r="AT34" s="180" t="str">
        <f t="shared" si="0"/>
        <v/>
      </c>
      <c r="AU34" s="180" t="str">
        <f t="shared" si="1"/>
        <v/>
      </c>
      <c r="AW34" s="47"/>
      <c r="AX34" s="45"/>
      <c r="AY34" s="25"/>
      <c r="AZ34" s="28"/>
      <c r="BA34" s="25"/>
      <c r="BB34" s="25"/>
      <c r="BD34" s="127"/>
    </row>
    <row r="35" spans="2:56" ht="30" customHeight="1">
      <c r="B35" s="349"/>
      <c r="C35" s="359" t="str">
        <f>CONCATENATE("二、在隊訓練:09-12時:",H11,";14-17時:",H16,";19-21時:",H21,"。")</f>
        <v>二、在隊訓練:09-12時:河川抽水及水源運用;14-17時:SCBA訓練;19-21時:火災特性。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27">
        <v>27</v>
      </c>
      <c r="AP35" s="127" t="str">
        <v>林宏為</v>
      </c>
      <c r="AQ35" s="127" t="str" cm="1">
        <f t="array" ref="AQ35">IFERROR(_xlfn.XLOOKUP(_xlfn.XLOOKUP($AQ$3,輪休基準表!$C$6:$C$36,_xlfn.XLOOKUP(AP35,輪休基準表!$E$5:$AF$5,輪休基準表!$E$6:$AF$36,""),""),班別參數!$A$4:$A$20,班別參數!$B$4:$B$20,""),"")</f>
        <v>輪休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/>
      </c>
      <c r="AT35" s="180" t="str">
        <f t="shared" si="0"/>
        <v/>
      </c>
      <c r="AU35" s="180" t="str">
        <f t="shared" si="1"/>
        <v/>
      </c>
      <c r="AW35" s="47"/>
      <c r="AX35" s="45"/>
      <c r="AY35" s="25"/>
      <c r="AZ35" s="28"/>
      <c r="BA35" s="25"/>
      <c r="BB35" s="25"/>
      <c r="BD35" s="127"/>
    </row>
    <row r="36" spans="2:56" ht="30" customHeight="1" thickBot="1">
      <c r="B36" s="350"/>
      <c r="C36" s="360" t="s">
        <v>355</v>
      </c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27">
        <v>28</v>
      </c>
      <c r="AP36" s="127" t="str">
        <v>林宸彥</v>
      </c>
      <c r="AQ36" s="127" t="str" cm="1">
        <f t="array" ref="AQ36">IFERROR(_xlfn.XLOOKUP(_xlfn.XLOOKUP($AQ$3,輪休基準表!$C$6:$C$36,_xlfn.XLOOKUP(AP36,輪休基準表!$E$5:$AF$5,輪休基準表!$E$6:$AF$36,""),""),班別參數!$A$4:$A$20,班別參數!$B$4:$B$20,""),"")</f>
        <v>輪休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/>
      </c>
      <c r="AT36" s="180" t="str">
        <f t="shared" si="0"/>
        <v/>
      </c>
      <c r="AU36" s="180" t="str">
        <f t="shared" si="1"/>
        <v/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27"/>
      <c r="AP37" s="127"/>
      <c r="AQ37" s="127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27"/>
      <c r="BD37" s="10"/>
    </row>
    <row r="38" spans="2:56" ht="15" customHeight="1">
      <c r="AQ38" s="127"/>
      <c r="AR38" s="118"/>
      <c r="AS38" s="119"/>
      <c r="AT38" s="119"/>
    </row>
    <row r="39" spans="2:56" ht="15" customHeight="1">
      <c r="AR39" s="118"/>
      <c r="AS39" s="119"/>
      <c r="AT39" s="119"/>
    </row>
    <row r="40" spans="2:56" ht="15" customHeight="1">
      <c r="AR40" s="118"/>
      <c r="AS40" s="119"/>
      <c r="AT40" s="119"/>
    </row>
  </sheetData>
  <mergeCells count="73">
    <mergeCell ref="AG22:AK22"/>
    <mergeCell ref="AG23:AM23"/>
    <mergeCell ref="AG24:AI24"/>
    <mergeCell ref="AK24:AM24"/>
    <mergeCell ref="AF33:AG33"/>
    <mergeCell ref="AH33:AI33"/>
    <mergeCell ref="AJ33:AK33"/>
    <mergeCell ref="AF31:AG31"/>
    <mergeCell ref="AH31:AI31"/>
    <mergeCell ref="AJ31:AK31"/>
    <mergeCell ref="AF32:AG32"/>
    <mergeCell ref="AH32:AI32"/>
    <mergeCell ref="AJ32:AK32"/>
    <mergeCell ref="AF27:AF28"/>
    <mergeCell ref="AG27:AM27"/>
    <mergeCell ref="AG28:AM28"/>
    <mergeCell ref="B34:B36"/>
    <mergeCell ref="C34:AE34"/>
    <mergeCell ref="AF34:AM34"/>
    <mergeCell ref="C35:AE35"/>
    <mergeCell ref="AF35:AM35"/>
    <mergeCell ref="C36:AE36"/>
    <mergeCell ref="AF36:AM36"/>
    <mergeCell ref="AF29:AM29"/>
    <mergeCell ref="AF30:AG30"/>
    <mergeCell ref="AH30:AI30"/>
    <mergeCell ref="AJ30:AK30"/>
    <mergeCell ref="AG25:AI25"/>
    <mergeCell ref="AK25:AM25"/>
    <mergeCell ref="C8:AE8"/>
    <mergeCell ref="C9:AE9"/>
    <mergeCell ref="M10:M33"/>
    <mergeCell ref="H11:H13"/>
    <mergeCell ref="H16:H18"/>
    <mergeCell ref="H21:H22"/>
    <mergeCell ref="E11:E12"/>
    <mergeCell ref="D18:D19"/>
    <mergeCell ref="I6:J6"/>
    <mergeCell ref="K6:L6"/>
    <mergeCell ref="N6:P6"/>
    <mergeCell ref="Q6:S6"/>
    <mergeCell ref="T6:V6"/>
    <mergeCell ref="AF5:AM6"/>
    <mergeCell ref="AO5:AO6"/>
    <mergeCell ref="T7:V7"/>
    <mergeCell ref="AR5:AR6"/>
    <mergeCell ref="AS5:AT5"/>
    <mergeCell ref="W6:Y6"/>
    <mergeCell ref="AE6:AE7"/>
    <mergeCell ref="AS6:AT6"/>
    <mergeCell ref="AP5:AQ6"/>
    <mergeCell ref="G5:G7"/>
    <mergeCell ref="B3:AM3"/>
    <mergeCell ref="AW3:AX3"/>
    <mergeCell ref="AY3:BB3"/>
    <mergeCell ref="B4:AI4"/>
    <mergeCell ref="AJ4:AM4"/>
    <mergeCell ref="AW4:AX4"/>
    <mergeCell ref="AY4:BB4"/>
    <mergeCell ref="B5:B7"/>
    <mergeCell ref="C5:C7"/>
    <mergeCell ref="D5:D7"/>
    <mergeCell ref="E5:E7"/>
    <mergeCell ref="F5:F7"/>
    <mergeCell ref="H5:H7"/>
    <mergeCell ref="I5:L5"/>
    <mergeCell ref="M5:AE5"/>
    <mergeCell ref="AY2:BB2"/>
    <mergeCell ref="B1:AE1"/>
    <mergeCell ref="AP1:AQ1"/>
    <mergeCell ref="B2:AE2"/>
    <mergeCell ref="AG2:AM2"/>
    <mergeCell ref="AW2:AX2"/>
  </mergeCells>
  <phoneticPr fontId="9" type="noConversion"/>
  <conditionalFormatting sqref="AO9:AQ36 AO37:AP37 AQ37:AQ38">
    <cfRule type="expression" dxfId="151" priority="16">
      <formula>COUNTIF($AQ9,"上班")&gt;=1</formula>
    </cfRule>
  </conditionalFormatting>
  <conditionalFormatting sqref="AF8:AF13 AH8:AH21 AJ8:AJ21 AL8:AM21">
    <cfRule type="expression" dxfId="150" priority="11">
      <formula>OR(VLOOKUP(AF8,$AO$9:$AQ$40,3,0)="上班",VLOOKUP(AF8,$AO$9:$AQ$40,3,0)="外宿")</formula>
    </cfRule>
  </conditionalFormatting>
  <conditionalFormatting sqref="AL8">
    <cfRule type="expression" dxfId="149" priority="10">
      <formula>OR(VLOOKUP(AL8,$AO$9:$AQ$36,3,0)="上班",VLOOKUP(AL8,$AO$9:$AQ$36,3,0)="外宿")</formula>
    </cfRule>
  </conditionalFormatting>
  <conditionalFormatting sqref="AR9:AR36">
    <cfRule type="notContainsText" dxfId="148" priority="2" operator="notContains" text="已排">
      <formula>ISERROR(SEARCH("已排",AR9))</formula>
    </cfRule>
  </conditionalFormatting>
  <conditionalFormatting sqref="AS9:AS36">
    <cfRule type="notContainsText" dxfId="147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E37E1-A984-4C65-8AA5-16473BE322BA}">
  <sheetPr codeName="工作表9">
    <pageSetUpPr fitToPage="1"/>
  </sheetPr>
  <dimension ref="B1:BD40"/>
  <sheetViews>
    <sheetView showZeros="0" view="pageBreakPreview" topLeftCell="B1" zoomScale="55" zoomScaleNormal="55" zoomScaleSheetLayoutView="55" workbookViewId="0">
      <selection activeCell="E10" sqref="E10:E14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6" width="5.375" style="126" customWidth="1"/>
    <col min="7" max="8" width="8.625" style="126" customWidth="1"/>
    <col min="9" max="12" width="5.375" style="126" customWidth="1"/>
    <col min="13" max="13" width="6.625" style="126" customWidth="1"/>
    <col min="14" max="31" width="5.375" style="126" customWidth="1"/>
    <col min="32" max="32" width="7.625" style="126" customWidth="1"/>
    <col min="33" max="33" width="10.625" style="126" customWidth="1"/>
    <col min="34" max="34" width="7.625" style="126" customWidth="1"/>
    <col min="35" max="35" width="10.625" style="126" customWidth="1"/>
    <col min="36" max="36" width="7.625" style="126" customWidth="1"/>
    <col min="37" max="37" width="10.625" style="126" customWidth="1"/>
    <col min="38" max="38" width="7.625" style="126" customWidth="1"/>
    <col min="39" max="39" width="10.625" style="126" customWidth="1"/>
    <col min="40" max="40" width="4.125" style="213" customWidth="1"/>
    <col min="41" max="47" width="11.625" style="126" customWidth="1"/>
    <col min="48" max="48" width="4.125" style="126" customWidth="1"/>
    <col min="49" max="49" width="16" style="126" customWidth="1"/>
    <col min="50" max="51" width="8.25" style="126" customWidth="1"/>
    <col min="52" max="52" width="4.125" style="126" customWidth="1"/>
    <col min="53" max="53" width="16" style="126" customWidth="1"/>
    <col min="54" max="54" width="8.25" style="126" customWidth="1"/>
    <col min="55" max="55" width="10.875" style="126" customWidth="1"/>
    <col min="56" max="58" width="4.125" style="126" customWidth="1"/>
    <col min="59" max="16384" width="11.25" style="126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27"/>
      <c r="AP1" s="399"/>
      <c r="AQ1" s="399"/>
      <c r="AR1" s="127"/>
      <c r="AS1" s="127"/>
      <c r="AT1" s="127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3" t="s">
        <v>178</v>
      </c>
      <c r="AR2" s="146" t="s">
        <v>228</v>
      </c>
      <c r="AS2" s="142"/>
      <c r="AT2" s="140"/>
      <c r="AU2" s="127"/>
      <c r="AV2" s="127"/>
      <c r="AW2" s="362" t="s">
        <v>127</v>
      </c>
      <c r="AX2" s="287"/>
      <c r="AY2" s="367" t="str">
        <f>_xlfn.XLOOKUP($AR$3,訓練!$L$13:$L$19,訓練!$M$13:$M$19,"")</f>
        <v>通風排煙訓練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115年5月5日星期二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5</v>
      </c>
      <c r="AR3" s="141" t="str">
        <f>RIGHT(TEXT(1911+$AO$3&amp;"/"&amp;$AP$3&amp;"/"&amp;$AQ$3,"aaaa"),1)</f>
        <v>二</v>
      </c>
      <c r="AS3" s="145"/>
      <c r="AT3" s="145"/>
      <c r="AU3" s="127"/>
      <c r="AV3" s="127"/>
      <c r="AW3" s="362" t="s">
        <v>128</v>
      </c>
      <c r="AX3" s="287"/>
      <c r="AY3" s="368" t="str">
        <f>_xlfn.XLOOKUP($AR$3,訓練!$L$13:$L$19,訓練!$N$13:$N$19,"")</f>
        <v>人命救助訓練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27"/>
      <c r="AU4" s="127"/>
      <c r="AV4" s="127"/>
      <c r="AW4" s="362" t="s">
        <v>129</v>
      </c>
      <c r="AX4" s="287"/>
      <c r="AY4" s="363" t="str">
        <f>_xlfn.XLOOKUP($AR$3,訓練!$L$13:$L$19,訓練!$O$13:$O$19,"")</f>
        <v>火場控制及殘火處理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2" t="s">
        <v>360</v>
      </c>
      <c r="E5" s="340" t="s">
        <v>358</v>
      </c>
      <c r="F5" s="340" t="s">
        <v>362</v>
      </c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341"/>
      <c r="E6" s="341"/>
      <c r="F6" s="341"/>
      <c r="G6" s="312"/>
      <c r="H6" s="312"/>
      <c r="I6" s="334" t="s">
        <v>227</v>
      </c>
      <c r="J6" s="335"/>
      <c r="K6" s="334" t="s">
        <v>346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2+7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341"/>
      <c r="E7" s="341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192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27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27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27" cm="1">
        <f t="array" ref="AO9:AP36">TRANSPOSE(輪休基準表!E4:AF5)</f>
        <v>1</v>
      </c>
      <c r="AP9" s="127" t="str">
        <v>鄧力嘉</v>
      </c>
      <c r="AQ9" s="127" t="str" cm="1">
        <f t="array" ref="AQ9">IFERROR(_xlfn.XLOOKUP(_xlfn.XLOOKUP($AQ$3,輪休基準表!$C$6:$C$36,_xlfn.XLOOKUP(AP9,輪休基準表!$E$5:$AF$5,輪休基準表!$E$6:$AF$36,""),""),班別參數!$A$4:$A$20,班別參數!$B$4:$B$20,""),"")</f>
        <v>上班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>已排</v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>IFERROR(INDEX(班別參數!$D$4:$S$20,MATCH(AW9,班別參數!$D$4:$D$20,0),MATCH($AS$6,班別參數!$D$4:$S$4,0)),"")</f>
        <v>A</v>
      </c>
      <c r="AY9" s="35">
        <v>27</v>
      </c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H,K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24,1</v>
      </c>
      <c r="BD9" s="127"/>
    </row>
    <row r="10" spans="2:56" ht="30" customHeight="1">
      <c r="B10" s="81" t="s">
        <v>70</v>
      </c>
      <c r="C10" s="88">
        <f>_xlfn.XLOOKUP(_xlfn.XLOOKUP($AS$6&amp;$B10,公表[班別+時段],公表[值班],""),$AX$9:$AX$25,$AY$9:$AY$25,"")</f>
        <v>27</v>
      </c>
      <c r="D10" s="265"/>
      <c r="E10" s="417" t="s">
        <v>359</v>
      </c>
      <c r="F10" s="95"/>
      <c r="G10" s="122">
        <v>24</v>
      </c>
      <c r="H10" s="37"/>
      <c r="I10" s="92">
        <f>_xlfn.XLOOKUP(_xlfn.XLOOKUP($AS$6&amp;$B10,公表[班別+時段],公表[救護1],""),$AX$9:$AX$25,$AY$9:$AY$25,"")</f>
        <v>26</v>
      </c>
      <c r="J10" s="92">
        <f>_xlfn.XLOOKUP(_xlfn.XLOOKUP($AS$6&amp;$B10,公表[班別+時段],公表[救護2],""),$AX$9:$AX$25,$AY$9:$AY$25,"")</f>
        <v>9</v>
      </c>
      <c r="K10" s="87"/>
      <c r="L10" s="87" t="s">
        <v>212</v>
      </c>
      <c r="M10" s="311"/>
      <c r="N10" s="87">
        <f>_xlfn.XLOOKUP(_xlfn.XLOOKUP($AS$6&amp;$B10,公表[班別+時段],公表[備勤1],""),$AX$9:$AX$25,$AY$9:$AY$25,"")</f>
        <v>8</v>
      </c>
      <c r="O10" s="87">
        <f>_xlfn.XLOOKUP(_xlfn.XLOOKUP($AS$6&amp;$B10,公表[班別+時段],公表[備勤2],""),$AX$9:$AX$25,$AY$9:$AY$25,"")</f>
        <v>15</v>
      </c>
      <c r="P10" s="87"/>
      <c r="Q10" s="87">
        <f>_xlfn.XLOOKUP(_xlfn.XLOOKUP($AS$6&amp;$B10,公表[班別+時段],公表[備勤3],""),$AX$9:$AX$25,$AY$9:$AY$25,"")</f>
        <v>12</v>
      </c>
      <c r="R10" s="87">
        <f>_xlfn.XLOOKUP(_xlfn.XLOOKUP($AS$6&amp;$B10,公表[班別+時段],公表[備勤4],""),$AX$9:$AX$25,$AY$9:$AY$25,"")</f>
        <v>0</v>
      </c>
      <c r="S10" s="87"/>
      <c r="T10" s="87">
        <v>3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87"/>
      <c r="AB10" s="87"/>
      <c r="AC10" s="87"/>
      <c r="AD10" s="87"/>
      <c r="AE10" s="88">
        <v>1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27">
        <v>2</v>
      </c>
      <c r="AP10" s="127" t="str">
        <v>莊勝斌</v>
      </c>
      <c r="AQ10" s="127" t="str" cm="1">
        <f t="array" ref="AQ10">IFERROR(_xlfn.XLOOKUP(_xlfn.XLOOKUP($AQ$3,輪休基準表!$C$6:$C$36,_xlfn.XLOOKUP(AP10,輪休基準表!$E$5:$AF$5,輪休基準表!$E$6:$AF$36,""),""),班別參數!$A$4:$A$20,班別參數!$B$4:$B$20,""),"")</f>
        <v>輪休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/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>
        <v>12</v>
      </c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15</v>
      </c>
      <c r="BD10" s="127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27</v>
      </c>
      <c r="D11" s="422">
        <v>3</v>
      </c>
      <c r="E11" s="418"/>
      <c r="F11" s="95"/>
      <c r="G11" s="122">
        <v>24</v>
      </c>
      <c r="H11" s="296" t="str">
        <f>AY2</f>
        <v>通風排煙訓練</v>
      </c>
      <c r="I11" s="92">
        <f>_xlfn.XLOOKUP(_xlfn.XLOOKUP($AS$6&amp;$B11,公表[班別+時段],公表[救護1],""),$AX$9:$AX$25,$AY$9:$AY$25,"")</f>
        <v>26</v>
      </c>
      <c r="J11" s="92">
        <f>_xlfn.XLOOKUP(_xlfn.XLOOKUP($AS$6&amp;$B11,公表[班別+時段],公表[救護2],""),$AX$9:$AX$25,$AY$9:$AY$25,"")</f>
        <v>9</v>
      </c>
      <c r="K11" s="87"/>
      <c r="L11" s="87" t="s">
        <v>212</v>
      </c>
      <c r="M11" s="312"/>
      <c r="N11" s="87">
        <f>_xlfn.XLOOKUP(_xlfn.XLOOKUP($AS$6&amp;$B11,公表[班別+時段],公表[備勤1],""),$AX$9:$AX$25,$AY$9:$AY$25,"")</f>
        <v>8</v>
      </c>
      <c r="O11" s="87">
        <f>_xlfn.XLOOKUP(_xlfn.XLOOKUP($AS$6&amp;$B11,公表[班別+時段],公表[備勤2],""),$AX$9:$AX$25,$AY$9:$AY$25,"")</f>
        <v>15</v>
      </c>
      <c r="P11" s="87"/>
      <c r="Q11" s="87">
        <f>_xlfn.XLOOKUP(_xlfn.XLOOKUP($AS$6&amp;$B11,公表[班別+時段],公表[備勤3],""),$AX$9:$AX$25,$AY$9:$AY$25,"")</f>
        <v>12</v>
      </c>
      <c r="R11" s="87">
        <f>_xlfn.XLOOKUP(_xlfn.XLOOKUP($AS$6&amp;$B11,公表[班別+時段],公表[備勤4],""),$AX$9:$AX$25,$AY$9:$AY$25,"")</f>
        <v>0</v>
      </c>
      <c r="S11" s="87"/>
      <c r="T11" s="87"/>
      <c r="U11" s="87"/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87"/>
      <c r="AB11" s="87"/>
      <c r="AC11" s="87"/>
      <c r="AD11" s="87"/>
      <c r="AE11" s="88">
        <v>1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27">
        <v>3</v>
      </c>
      <c r="AP11" s="127" t="str">
        <v>孫子翔</v>
      </c>
      <c r="AQ11" s="127" t="str" cm="1">
        <f t="array" ref="AQ11">IFERROR(_xlfn.XLOOKUP(_xlfn.XLOOKUP($AQ$3,輪休基準表!$C$6:$C$36,_xlfn.XLOOKUP(AP11,輪休基準表!$E$5:$AF$5,輪休基準表!$E$6:$AF$36,""),""),班別參數!$A$4:$A$20,班別參數!$B$4:$B$20,""),"")</f>
        <v>上班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>已排</v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>
        <v>9</v>
      </c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F</v>
      </c>
      <c r="BC11" s="39" t="str">
        <f t="shared" si="2"/>
        <v>26</v>
      </c>
      <c r="BD11" s="127"/>
    </row>
    <row r="12" spans="2:56" ht="30" customHeight="1">
      <c r="B12" s="81" t="s">
        <v>75</v>
      </c>
      <c r="C12" s="87">
        <f>_xlfn.XLOOKUP(_xlfn.XLOOKUP($AS$6&amp;$B12,公表[班別+時段],公表[值班],""),$AX$9:$AX$25,$AY$9:$AY$25,"")</f>
        <v>12</v>
      </c>
      <c r="D12" s="422"/>
      <c r="E12" s="418"/>
      <c r="F12" s="95"/>
      <c r="G12" s="122">
        <v>24</v>
      </c>
      <c r="H12" s="314"/>
      <c r="I12" s="92">
        <f>_xlfn.XLOOKUP(_xlfn.XLOOKUP($AS$6&amp;$B12,公表[班別+時段],公表[救護1],""),$AX$9:$AX$25,$AY$9:$AY$25,"")</f>
        <v>27</v>
      </c>
      <c r="J12" s="92">
        <f>_xlfn.XLOOKUP(_xlfn.XLOOKUP($AS$6&amp;$B12,公表[班別+時段],公表[救護2],""),$AX$9:$AX$25,$AY$9:$AY$25,"")</f>
        <v>8</v>
      </c>
      <c r="K12" s="92"/>
      <c r="L12" s="87" t="s">
        <v>212</v>
      </c>
      <c r="M12" s="312"/>
      <c r="N12" s="87">
        <v>15</v>
      </c>
      <c r="O12" s="87">
        <f>_xlfn.XLOOKUP(_xlfn.XLOOKUP($AS$6&amp;$B12,公表[班別+時段],公表[備勤2],""),$AX$9:$AX$25,$AY$9:$AY$25,"")</f>
        <v>26</v>
      </c>
      <c r="P12" s="87"/>
      <c r="Q12" s="87">
        <f>_xlfn.XLOOKUP(_xlfn.XLOOKUP($AS$6&amp;$B12,公表[班別+時段],公表[備勤3],""),$AX$9:$AX$25,$AY$9:$AY$25,"")</f>
        <v>9</v>
      </c>
      <c r="R12" s="87">
        <f>_xlfn.XLOOKUP(_xlfn.XLOOKUP($AS$6&amp;$B12,公表[班別+時段],公表[備勤4],""),$AX$9:$AX$25,$AY$9:$AY$25,"")</f>
        <v>0</v>
      </c>
      <c r="S12" s="87"/>
      <c r="T12" s="87"/>
      <c r="U12" s="87"/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87"/>
      <c r="AC12" s="87"/>
      <c r="AD12" s="87"/>
      <c r="AE12" s="88">
        <f>_xlfn.XLOOKUP(_xlfn.XLOOKUP($AS$6&amp;$B12,公表[班別+時段],公表[指揮官],""),$AX$9:$AX$25,$AY$9:$AY$25,"")</f>
        <v>1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27">
        <v>4</v>
      </c>
      <c r="AP12" s="127" t="str">
        <v>簡永豐</v>
      </c>
      <c r="AQ12" s="127" t="str" cm="1">
        <f t="array" ref="AQ12">IFERROR(_xlfn.XLOOKUP(_xlfn.XLOOKUP($AQ$3,輪休基準表!$C$6:$C$36,_xlfn.XLOOKUP(AP12,輪休基準表!$E$5:$AF$5,輪休基準表!$E$6:$AF$36,""),""),班別參數!$A$4:$A$20,班別參數!$B$4:$B$20,""),"")</f>
        <v>輪休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/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>
        <v>8</v>
      </c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27"/>
    </row>
    <row r="13" spans="2:56" ht="30" customHeight="1" thickBot="1">
      <c r="B13" s="82" t="s">
        <v>76</v>
      </c>
      <c r="C13" s="89">
        <f>_xlfn.XLOOKUP(_xlfn.XLOOKUP($AS$6&amp;$B13,公表[班別+時段],公表[值班],""),$AX$9:$AX$25,$AY$9:$AY$25,"")</f>
        <v>12</v>
      </c>
      <c r="D13" s="293"/>
      <c r="E13" s="418"/>
      <c r="F13" s="96"/>
      <c r="G13" s="123">
        <v>24</v>
      </c>
      <c r="H13" s="315"/>
      <c r="I13" s="216">
        <f>_xlfn.XLOOKUP(_xlfn.XLOOKUP($AS$6&amp;$B13,公表[班別+時段],公表[救護1],""),$AX$9:$AX$25,$AY$9:$AY$25,"")</f>
        <v>27</v>
      </c>
      <c r="J13" s="216">
        <f>_xlfn.XLOOKUP(_xlfn.XLOOKUP($AS$6&amp;$B13,公表[班別+時段],公表[救護2],""),$AX$9:$AX$25,$AY$9:$AY$25,"")</f>
        <v>8</v>
      </c>
      <c r="K13" s="105"/>
      <c r="L13" s="93" t="s">
        <v>212</v>
      </c>
      <c r="M13" s="312"/>
      <c r="N13" s="89">
        <v>15</v>
      </c>
      <c r="O13" s="89">
        <f>_xlfn.XLOOKUP(_xlfn.XLOOKUP($AS$6&amp;$B13,公表[班別+時段],公表[備勤2],""),$AX$9:$AX$25,$AY$9:$AY$25,"")</f>
        <v>26</v>
      </c>
      <c r="P13" s="89"/>
      <c r="Q13" s="89">
        <f>_xlfn.XLOOKUP(_xlfn.XLOOKUP($AS$6&amp;$B13,公表[班別+時段],公表[備勤3],""),$AX$9:$AX$25,$AY$9:$AY$25,"")</f>
        <v>9</v>
      </c>
      <c r="R13" s="89">
        <f>_xlfn.XLOOKUP(_xlfn.XLOOKUP($AS$6&amp;$B13,公表[班別+時段],公表[備勤4],""),$AX$9:$AX$25,$AY$9:$AY$25,"")</f>
        <v>0</v>
      </c>
      <c r="S13" s="89"/>
      <c r="T13" s="89"/>
      <c r="U13" s="89"/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89"/>
      <c r="AC13" s="89"/>
      <c r="AD13" s="89"/>
      <c r="AE13" s="104">
        <f>_xlfn.XLOOKUP(_xlfn.XLOOKUP($AS$6&amp;$B13,公表[班別+時段],公表[指揮官],""),$AX$9:$AX$25,$AY$9:$AY$25,"")</f>
        <v>1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27">
        <v>5</v>
      </c>
      <c r="AP13" s="127" t="str">
        <v>張鴻志</v>
      </c>
      <c r="AQ13" s="127" t="str" cm="1">
        <f t="array" ref="AQ13">IFERROR(_xlfn.XLOOKUP(_xlfn.XLOOKUP($AQ$3,輪休基準表!$C$6:$C$36,_xlfn.XLOOKUP(AP13,輪休基準表!$E$5:$AF$5,輪休基準表!$E$6:$AF$36,""),""),班別參數!$A$4:$A$20,班別參數!$B$4:$B$20,""),"")</f>
        <v>輪休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/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>
        <v>15</v>
      </c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>27</v>
      </c>
      <c r="BD13" s="127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9</v>
      </c>
      <c r="D14" s="234"/>
      <c r="E14" s="419"/>
      <c r="F14" s="97"/>
      <c r="G14" s="121" t="str">
        <f>IF(BC11="","",BC11)</f>
        <v>26</v>
      </c>
      <c r="H14" s="55"/>
      <c r="I14" s="94">
        <f>_xlfn.XLOOKUP(_xlfn.XLOOKUP($AS$6&amp;$B14,公表[班別+時段],公表[救護1],""),$AX$9:$AX$25,$AY$9:$AY$25,"")</f>
        <v>12</v>
      </c>
      <c r="J14" s="94">
        <f>_xlfn.XLOOKUP(_xlfn.XLOOKUP($AS$6&amp;$B14,公表[班別+時段],公表[救護2],""),$AX$9:$AX$25,$AY$9:$AY$25,"")</f>
        <v>24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27</v>
      </c>
      <c r="O14" s="90">
        <f>_xlfn.XLOOKUP(_xlfn.XLOOKUP($AS$6&amp;$B14,公表[班別+時段],公表[備勤2],""),$AX$9:$AX$25,$AY$9:$AY$25,"")</f>
        <v>15</v>
      </c>
      <c r="P14" s="90"/>
      <c r="Q14" s="90">
        <f>_xlfn.XLOOKUP(_xlfn.XLOOKUP($AS$6&amp;$B14,公表[班別+時段],公表[備勤3],""),$AX$9:$AX$25,$AY$9:$AY$25,"")</f>
        <v>8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3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90"/>
      <c r="AC14" s="90"/>
      <c r="AD14" s="90"/>
      <c r="AE14" s="91">
        <f>_xlfn.XLOOKUP(_xlfn.XLOOKUP($AS$6&amp;$B14,公表[班別+時段],公表[指揮官],""),$AX$9:$AX$25,$AY$9:$AY$25,"")</f>
        <v>1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27">
        <v>6</v>
      </c>
      <c r="AP14" s="127" t="str">
        <v>吳宗耕</v>
      </c>
      <c r="AQ14" s="127" t="str" cm="1">
        <f t="array" ref="AQ14">IFERROR(_xlfn.XLOOKUP(_xlfn.XLOOKUP($AQ$3,輪休基準表!$C$6:$C$36,_xlfn.XLOOKUP(AP14,輪休基準表!$E$5:$AF$5,輪休基準表!$E$6:$AF$36,""),""),班別參數!$A$4:$A$20,班別參數!$B$4:$B$20,""),"")</f>
        <v>輪休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/>
      </c>
      <c r="AT14" s="180" t="str">
        <f t="shared" si="0"/>
        <v/>
      </c>
      <c r="AU14" s="180" t="str">
        <f t="shared" si="1"/>
        <v/>
      </c>
      <c r="AV14" s="25"/>
      <c r="AW14" s="33" t="str">
        <f t="array" ref="AW14">INDEX(班別參數!$D$4:$D$20,ROW()-7,MATCH($AW$8,班別參數!$D$4:$D$20,0))</f>
        <v>18-20</v>
      </c>
      <c r="AX14" s="34">
        <f t="array" ref="AX14">IFERROR(INDEX(班別參數!$D$4:$S$20,MATCH(AW14,班別參數!$D$4:$D$20,0),MATCH($AS$6,班別參數!$D$4:$S$4,0)),"")</f>
        <v>0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</v>
      </c>
      <c r="BC14" s="39" t="str">
        <f t="shared" si="2"/>
        <v>12</v>
      </c>
      <c r="BD14" s="127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9</v>
      </c>
      <c r="D15" s="235"/>
      <c r="E15" s="106"/>
      <c r="F15" s="264"/>
      <c r="G15" s="123" t="str">
        <f>IF(BC11="","",BC11)</f>
        <v>26</v>
      </c>
      <c r="H15" s="40"/>
      <c r="I15" s="216">
        <f>_xlfn.XLOOKUP(_xlfn.XLOOKUP($AS$6&amp;$B15,公表[班別+時段],公表[救護1],""),$AX$9:$AX$25,$AY$9:$AY$25,"")</f>
        <v>12</v>
      </c>
      <c r="J15" s="216">
        <f>_xlfn.XLOOKUP(_xlfn.XLOOKUP($AS$6&amp;$B15,公表[班別+時段],公表[救護2],""),$AX$9:$AX$25,$AY$9:$AY$25,"")</f>
        <v>24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27</v>
      </c>
      <c r="O15" s="89">
        <f>_xlfn.XLOOKUP(_xlfn.XLOOKUP($AS$6&amp;$B15,公表[班別+時段],公表[備勤2],""),$AX$9:$AX$25,$AY$9:$AY$25,"")</f>
        <v>15</v>
      </c>
      <c r="P15" s="89"/>
      <c r="Q15" s="89">
        <f>_xlfn.XLOOKUP(_xlfn.XLOOKUP($AS$6&amp;$B15,公表[班別+時段],公表[備勤3],""),$AX$9:$AX$25,$AY$9:$AY$25,"")</f>
        <v>8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3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89"/>
      <c r="AC15" s="89"/>
      <c r="AD15" s="89"/>
      <c r="AE15" s="104">
        <f>_xlfn.XLOOKUP(_xlfn.XLOOKUP($AS$6&amp;$B15,公表[班別+時段],公表[指揮官],""),$AX$9:$AX$25,$AY$9:$AY$25,"")</f>
        <v>1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27">
        <v>7</v>
      </c>
      <c r="AP15" s="127" t="str">
        <v>包華先</v>
      </c>
      <c r="AQ15" s="127" t="str" cm="1">
        <f t="array" ref="AQ15">IFERROR(_xlfn.XLOOKUP(_xlfn.XLOOKUP($AQ$3,輪休基準表!$C$6:$C$36,_xlfn.XLOOKUP(AP15,輪休基準表!$E$5:$AF$5,輪休基準表!$E$6:$AF$36,""),""),班別參數!$A$4:$A$20,班別參數!$B$4:$B$20,""),"")</f>
        <v>月補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/>
      </c>
      <c r="AT15" s="180" t="str">
        <f t="shared" si="0"/>
        <v/>
      </c>
      <c r="AU15" s="180" t="str">
        <f t="shared" si="1"/>
        <v/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>
        <v>26</v>
      </c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>8</v>
      </c>
      <c r="BD15" s="127"/>
    </row>
    <row r="16" spans="2:56" ht="30" customHeight="1">
      <c r="B16" s="83" t="s">
        <v>79</v>
      </c>
      <c r="C16" s="90">
        <f>_xlfn.XLOOKUP(_xlfn.XLOOKUP($AS$6&amp;$B16,公表[班別+時段],公表[值班],""),$AX$9:$AX$25,$AY$9:$AY$25,"")</f>
        <v>8</v>
      </c>
      <c r="D16" s="98"/>
      <c r="E16" s="270"/>
      <c r="F16" s="420">
        <v>27</v>
      </c>
      <c r="G16" s="271" t="str">
        <f>IF(BC12="","",BC12)</f>
        <v/>
      </c>
      <c r="H16" s="316" t="str">
        <f>AY3</f>
        <v>人命救助訓練</v>
      </c>
      <c r="I16" s="94">
        <f>_xlfn.XLOOKUP(_xlfn.XLOOKUP($AS$6&amp;$B16,公表[班別+時段],公表[救護1],""),$AX$9:$AX$25,$AY$9:$AY$25,"")</f>
        <v>26</v>
      </c>
      <c r="J16" s="94">
        <v>9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12</v>
      </c>
      <c r="O16" s="90">
        <v>24</v>
      </c>
      <c r="P16" s="90"/>
      <c r="Q16" s="90">
        <v>15</v>
      </c>
      <c r="R16" s="90"/>
      <c r="S16" s="90"/>
      <c r="T16" s="90">
        <f>_xlfn.XLOOKUP(_xlfn.XLOOKUP($AS$6&amp;$B16,公表[班別+時段],公表[備勤5],""),$AX$9:$AX$25,$AY$9:$AY$25,"")</f>
        <v>3</v>
      </c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90"/>
      <c r="AC16" s="90"/>
      <c r="AD16" s="90"/>
      <c r="AE16" s="91">
        <f>_xlfn.XLOOKUP(_xlfn.XLOOKUP($AS$6&amp;$B16,公表[班別+時段],公表[指揮官],""),$AX$9:$AX$25,$AY$9:$AY$25,"")</f>
        <v>1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27">
        <v>8</v>
      </c>
      <c r="AP16" s="127" t="str">
        <v>曾彥綸</v>
      </c>
      <c r="AQ16" s="127" t="str" cm="1">
        <f t="array" ref="AQ16">IFERROR(_xlfn.XLOOKUP(_xlfn.XLOOKUP($AQ$3,輪休基準表!$C$6:$C$36,_xlfn.XLOOKUP(AP16,輪休基準表!$E$5:$AF$5,輪休基準表!$E$6:$AF$36,""),""),班別參數!$A$4:$A$20,班別參數!$B$4:$B$20,""),"")</f>
        <v>上班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>已排</v>
      </c>
      <c r="AT16" s="180">
        <f t="shared" si="0"/>
        <v>8</v>
      </c>
      <c r="AU16" s="180">
        <f t="shared" si="1"/>
        <v>6</v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>
        <v>24</v>
      </c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27"/>
    </row>
    <row r="17" spans="2:56" ht="30" customHeight="1">
      <c r="B17" s="81" t="s">
        <v>80</v>
      </c>
      <c r="C17" s="87">
        <f>_xlfn.XLOOKUP(_xlfn.XLOOKUP($AS$6&amp;$B17,公表[班別+時段],公表[值班],""),$AX$9:$AX$25,$AY$9:$AY$25,"")</f>
        <v>8</v>
      </c>
      <c r="D17" s="95"/>
      <c r="E17" s="238"/>
      <c r="F17" s="421"/>
      <c r="G17" s="272" t="str">
        <f>IF(BC12="","",BC12)</f>
        <v/>
      </c>
      <c r="H17" s="314"/>
      <c r="I17" s="92">
        <f>_xlfn.XLOOKUP(_xlfn.XLOOKUP($AS$6&amp;$B17,公表[班別+時段],公表[救護1],""),$AX$9:$AX$25,$AY$9:$AY$25,"")</f>
        <v>26</v>
      </c>
      <c r="J17" s="92">
        <v>9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12</v>
      </c>
      <c r="O17" s="87">
        <v>24</v>
      </c>
      <c r="P17" s="87"/>
      <c r="Q17" s="87">
        <v>15</v>
      </c>
      <c r="R17" s="87"/>
      <c r="S17" s="87"/>
      <c r="T17" s="87">
        <f>_xlfn.XLOOKUP(_xlfn.XLOOKUP($AS$6&amp;$B17,公表[班別+時段],公表[備勤5],""),$AX$9:$AX$25,$AY$9:$AY$25,"")</f>
        <v>3</v>
      </c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87"/>
      <c r="AC17" s="87"/>
      <c r="AD17" s="87"/>
      <c r="AE17" s="88">
        <f>_xlfn.XLOOKUP(_xlfn.XLOOKUP($AS$6&amp;$B17,公表[班別+時段],公表[指揮官],""),$AX$9:$AX$25,$AY$9:$AY$25,"")</f>
        <v>1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27">
        <v>9</v>
      </c>
      <c r="AP17" s="127" t="str">
        <v>鍾佳諭</v>
      </c>
      <c r="AQ17" s="127" t="str" cm="1">
        <f t="array" ref="AQ17">IFERROR(_xlfn.XLOOKUP(_xlfn.XLOOKUP($AQ$3,輪休基準表!$C$6:$C$36,_xlfn.XLOOKUP(AP17,輪休基準表!$E$5:$AF$5,輪休基準表!$E$6:$AF$36,""),""),班別參數!$A$4:$A$20,班別參數!$B$4:$B$20,""),"")</f>
        <v>上班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>已排</v>
      </c>
      <c r="AT17" s="180">
        <f t="shared" si="0"/>
        <v>6</v>
      </c>
      <c r="AU17" s="180">
        <f t="shared" si="1"/>
        <v>8</v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27"/>
    </row>
    <row r="18" spans="2:56" ht="30" customHeight="1">
      <c r="B18" s="81" t="s">
        <v>81</v>
      </c>
      <c r="C18" s="87">
        <f>_xlfn.XLOOKUP(_xlfn.XLOOKUP($AS$6&amp;$B18,公表[班別+時段],公表[值班],""),$AX$9:$AX$25,$AY$9:$AY$25,"")</f>
        <v>15</v>
      </c>
      <c r="D18" s="100"/>
      <c r="E18" s="238"/>
      <c r="F18" s="267"/>
      <c r="G18" s="272">
        <v>27</v>
      </c>
      <c r="H18" s="297"/>
      <c r="I18" s="92">
        <f>_xlfn.XLOOKUP(_xlfn.XLOOKUP($AS$6&amp;$B18,公表[班別+時段],公表[救護1],""),$AX$9:$AX$25,$AY$9:$AY$25,"")</f>
        <v>26</v>
      </c>
      <c r="J18" s="92">
        <v>24</v>
      </c>
      <c r="K18" s="92"/>
      <c r="L18" s="87" t="s">
        <v>212</v>
      </c>
      <c r="M18" s="312"/>
      <c r="N18" s="87">
        <f>_xlfn.XLOOKUP(_xlfn.XLOOKUP($AS$6&amp;$B18,公表[班別+時段],公表[備勤1],""),$AX$9:$AX$25,$AY$9:$AY$25,"")</f>
        <v>8</v>
      </c>
      <c r="O18" s="87">
        <v>9</v>
      </c>
      <c r="P18" s="87"/>
      <c r="Q18" s="87">
        <f>_xlfn.XLOOKUP(_xlfn.XLOOKUP($AS$6&amp;$B18,公表[班別+時段],公表[備勤3],""),$AX$9:$AX$25,$AY$9:$AY$25,"")</f>
        <v>12</v>
      </c>
      <c r="R18" s="87">
        <f>_xlfn.XLOOKUP(_xlfn.XLOOKUP($AS$6&amp;$B18,公表[班別+時段],公表[備勤4],""),$AX$9:$AX$25,$AY$9:$AY$25,"")</f>
        <v>0</v>
      </c>
      <c r="S18" s="87"/>
      <c r="T18" s="87">
        <f>_xlfn.XLOOKUP(_xlfn.XLOOKUP($AS$6&amp;$B18,公表[班別+時段],公表[備勤5],""),$AX$9:$AX$25,$AY$9:$AY$25,"")</f>
        <v>3</v>
      </c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87"/>
      <c r="AC18" s="87"/>
      <c r="AD18" s="87"/>
      <c r="AE18" s="88">
        <f>_xlfn.XLOOKUP(_xlfn.XLOOKUP($AS$6&amp;$B18,公表[班別+時段],公表[指揮官],""),$AX$9:$AX$25,$AY$9:$AY$25,"")</f>
        <v>1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27">
        <v>10</v>
      </c>
      <c r="AP18" s="127" t="str">
        <v>林宏澤</v>
      </c>
      <c r="AQ18" s="127" t="str" cm="1">
        <f t="array" ref="AQ18">IFERROR(_xlfn.XLOOKUP(_xlfn.XLOOKUP($AQ$3,輪休基準表!$C$6:$C$36,_xlfn.XLOOKUP(AP18,輪休基準表!$E$5:$AF$5,輪休基準表!$E$6:$AF$36,""),""),班別參數!$A$4:$A$20,班別參數!$B$4:$B$20,""),"")</f>
        <v>輪休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/>
      </c>
      <c r="AT18" s="180" t="str">
        <f t="shared" si="0"/>
        <v/>
      </c>
      <c r="AU18" s="180" t="str">
        <f t="shared" si="1"/>
        <v/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27"/>
    </row>
    <row r="19" spans="2:56" ht="30" customHeight="1" thickBot="1">
      <c r="B19" s="110" t="s">
        <v>82</v>
      </c>
      <c r="C19" s="89">
        <f>_xlfn.XLOOKUP(_xlfn.XLOOKUP($AS$6&amp;$B19,公表[班別+時段],公表[值班],""),$AX$9:$AX$25,$AY$9:$AY$25,"")</f>
        <v>15</v>
      </c>
      <c r="D19" s="106"/>
      <c r="E19" s="273"/>
      <c r="F19" s="267"/>
      <c r="G19" s="274">
        <v>27</v>
      </c>
      <c r="H19" s="107"/>
      <c r="I19" s="216">
        <f>_xlfn.XLOOKUP(_xlfn.XLOOKUP($AS$6&amp;$B19,公表[班別+時段],公表[救護1],""),$AX$9:$AX$25,$AY$9:$AY$25,"")</f>
        <v>26</v>
      </c>
      <c r="J19" s="216">
        <v>24</v>
      </c>
      <c r="K19" s="105"/>
      <c r="L19" s="93" t="s">
        <v>212</v>
      </c>
      <c r="M19" s="312"/>
      <c r="N19" s="89">
        <f>_xlfn.XLOOKUP(_xlfn.XLOOKUP($AS$6&amp;$B19,公表[班別+時段],公表[備勤1],""),$AX$9:$AX$25,$AY$9:$AY$25,"")</f>
        <v>8</v>
      </c>
      <c r="O19" s="89">
        <v>9</v>
      </c>
      <c r="P19" s="89"/>
      <c r="Q19" s="89">
        <f>_xlfn.XLOOKUP(_xlfn.XLOOKUP($AS$6&amp;$B19,公表[班別+時段],公表[備勤3],""),$AX$9:$AX$25,$AY$9:$AY$25,"")</f>
        <v>12</v>
      </c>
      <c r="R19" s="89">
        <f>_xlfn.XLOOKUP(_xlfn.XLOOKUP($AS$6&amp;$B19,公表[班別+時段],公表[備勤4],""),$AX$9:$AX$25,$AY$9:$AY$25,"")</f>
        <v>0</v>
      </c>
      <c r="S19" s="89"/>
      <c r="T19" s="89">
        <f>_xlfn.XLOOKUP(_xlfn.XLOOKUP($AS$6&amp;$B19,公表[班別+時段],公表[備勤5],""),$AX$9:$AX$25,$AY$9:$AY$25,"")</f>
        <v>3</v>
      </c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89"/>
      <c r="AC19" s="89"/>
      <c r="AD19" s="89"/>
      <c r="AE19" s="104">
        <f>_xlfn.XLOOKUP(_xlfn.XLOOKUP($AS$6&amp;$B19,公表[班別+時段],公表[指揮官],""),$AX$9:$AX$25,$AY$9:$AY$25,"")</f>
        <v>1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27">
        <v>11</v>
      </c>
      <c r="AP19" s="127" t="str">
        <v>簡君諺</v>
      </c>
      <c r="AQ19" s="127" t="str" cm="1">
        <f t="array" ref="AQ19">IFERROR(_xlfn.XLOOKUP(_xlfn.XLOOKUP($AQ$3,輪休基準表!$C$6:$C$36,_xlfn.XLOOKUP(AP19,輪休基準表!$E$5:$AF$5,輪休基準表!$E$6:$AF$36,""),""),班別參數!$A$4:$A$20,班別參數!$B$4:$B$20,""),"")</f>
        <v>請休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/>
      </c>
      <c r="AT19" s="180" t="str">
        <f t="shared" si="0"/>
        <v/>
      </c>
      <c r="AU19" s="180" t="str">
        <f t="shared" si="1"/>
        <v/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:AY20">IF(AX19="","",_xlfn._xlws.FILTER($AO$9:$AO$13,$AQ$9:$AQ$13="上班",""))</f>
        <v>1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27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3</v>
      </c>
      <c r="D20" s="97"/>
      <c r="E20" s="97"/>
      <c r="F20" s="97"/>
      <c r="G20" s="121" t="str">
        <f>IF(BC14="","",BC14)</f>
        <v>12</v>
      </c>
      <c r="H20" s="55"/>
      <c r="I20" s="94">
        <f>_xlfn.XLOOKUP(_xlfn.XLOOKUP($AS$6&amp;$B20,公表[班別+時段],公表[救護1],""),$AX$9:$AX$25,$AY$9:$AY$25,"")</f>
        <v>15</v>
      </c>
      <c r="J20" s="94">
        <f>_xlfn.XLOOKUP(_xlfn.XLOOKUP($AS$6&amp;$B20,公表[班別+時段],公表[救護2],""),$AX$9:$AX$25,$AY$9:$AY$25,"")</f>
        <v>24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9</v>
      </c>
      <c r="O20" s="90">
        <f>_xlfn.XLOOKUP(_xlfn.XLOOKUP($AS$6&amp;$B20,公表[班別+時段],公表[備勤2],""),$AX$9:$AX$25,$AY$9:$AY$25,"")</f>
        <v>27</v>
      </c>
      <c r="P20" s="90"/>
      <c r="Q20" s="90">
        <f>_xlfn.XLOOKUP(_xlfn.XLOOKUP($AS$6&amp;$B20,公表[班別+時段],公表[備勤3],""),$AX$9:$AX$25,$AY$9:$AY$25,"")</f>
        <v>8</v>
      </c>
      <c r="R20" s="90">
        <f>_xlfn.XLOOKUP(_xlfn.XLOOKUP($AS$6&amp;$B20,公表[班別+時段],公表[備勤4],""),$AX$9:$AX$25,$AY$9:$AY$25,"")</f>
        <v>26</v>
      </c>
      <c r="S20" s="90"/>
      <c r="T20" s="90">
        <f>_xlfn.XLOOKUP(_xlfn.XLOOKUP($AS$6&amp;$B20,公表[班別+時段],公表[備勤5],""),$AX$9:$AX$25,$AY$9:$AY$25,"")</f>
        <v>0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90"/>
      <c r="AC20" s="90"/>
      <c r="AD20" s="90"/>
      <c r="AE20" s="91">
        <f>_xlfn.XLOOKUP(_xlfn.XLOOKUP($AS$6&amp;$B20,公表[班別+時段],公表[指揮官],""),$AX$9:$AX$25,$AY$9:$AY$25,"")</f>
        <v>1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27">
        <v>12</v>
      </c>
      <c r="AP20" s="127" t="str">
        <v>王昱勛</v>
      </c>
      <c r="AQ20" s="127" t="str" cm="1">
        <f t="array" ref="AQ20">IFERROR(_xlfn.XLOOKUP(_xlfn.XLOOKUP($AQ$3,輪休基準表!$C$6:$C$36,_xlfn.XLOOKUP(AP20,輪休基準表!$E$5:$AF$5,輪休基準表!$E$6:$AF$36,""),""),班別參數!$A$4:$A$20,班別參數!$B$4:$B$20,""),"")</f>
        <v>上班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>已排</v>
      </c>
      <c r="AT20" s="180">
        <f t="shared" si="0"/>
        <v>8</v>
      </c>
      <c r="AU20" s="180">
        <f t="shared" si="1"/>
        <v>6</v>
      </c>
      <c r="AV20" s="25"/>
      <c r="AW20" s="33" t="str">
        <f t="array" ref="AW20">INDEX(班別參數!$D$4:$D$20,ROW()-7,MATCH($AW$8,班別參數!$D$4:$D$20,0))</f>
        <v>帶隊官</v>
      </c>
      <c r="AX20" s="34" t="str">
        <f t="array" ref="AX20">IFERROR(INDEX(班別參數!$D$4:$S$20,MATCH(AW20,班別參數!$D$4:$D$20,0),MATCH($AS$6,班別參數!$D$4:$S$4,0)),"")</f>
        <v>L</v>
      </c>
      <c r="AY20" s="38">
        <v>3</v>
      </c>
      <c r="AZ20" s="32"/>
      <c r="BA20" s="33" t="s">
        <v>67</v>
      </c>
      <c r="BB20" s="34" t="str">
        <f t="array" ref="BB20">IFERROR(INDEX(班別參數!$D$23:$S$35,MATCH(BA20,班別參數!$D$23:$D$35,0),MATCH($AS$6,班別參數!$D$23:$S$23,0)),"")</f>
        <v>G,L</v>
      </c>
      <c r="BC20" s="41" t="str">
        <f t="shared" si="2"/>
        <v>9,3</v>
      </c>
      <c r="BD20" s="127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3</v>
      </c>
      <c r="D21" s="95"/>
      <c r="E21" s="95"/>
      <c r="F21" s="95"/>
      <c r="G21" s="122" t="str">
        <f>IF(BC14="","",BC14)</f>
        <v>12</v>
      </c>
      <c r="H21" s="296" t="str">
        <f>AY4</f>
        <v>火場控制及殘火處理</v>
      </c>
      <c r="I21" s="92">
        <f>_xlfn.XLOOKUP(_xlfn.XLOOKUP($AS$6&amp;$B21,公表[班別+時段],公表[救護1],""),$AX$9:$AX$25,$AY$9:$AY$25,"")</f>
        <v>15</v>
      </c>
      <c r="J21" s="92">
        <f>_xlfn.XLOOKUP(_xlfn.XLOOKUP($AS$6&amp;$B21,公表[班別+時段],公表[救護2],""),$AX$9:$AX$25,$AY$9:$AY$25,"")</f>
        <v>24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9</v>
      </c>
      <c r="O21" s="87">
        <f>_xlfn.XLOOKUP(_xlfn.XLOOKUP($AS$6&amp;$B21,公表[班別+時段],公表[備勤2],""),$AX$9:$AX$25,$AY$9:$AY$25,"")</f>
        <v>27</v>
      </c>
      <c r="P21" s="87"/>
      <c r="Q21" s="87">
        <f>_xlfn.XLOOKUP(_xlfn.XLOOKUP($AS$6&amp;$B21,公表[班別+時段],公表[備勤3],""),$AX$9:$AX$25,$AY$9:$AY$25,"")</f>
        <v>8</v>
      </c>
      <c r="R21" s="87">
        <f>_xlfn.XLOOKUP(_xlfn.XLOOKUP($AS$6&amp;$B21,公表[班別+時段],公表[備勤4],""),$AX$9:$AX$25,$AY$9:$AY$25,"")</f>
        <v>26</v>
      </c>
      <c r="S21" s="87"/>
      <c r="T21" s="87">
        <f>_xlfn.XLOOKUP(_xlfn.XLOOKUP($AS$6&amp;$B21,公表[班別+時段],公表[備勤5],""),$AX$9:$AX$25,$AY$9:$AY$25,"")</f>
        <v>0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87"/>
      <c r="AC21" s="87"/>
      <c r="AD21" s="87"/>
      <c r="AE21" s="88">
        <f>_xlfn.XLOOKUP(_xlfn.XLOOKUP($AS$6&amp;$B21,公表[班別+時段],公表[指揮官],""),$AX$9:$AX$25,$AY$9:$AY$25,"")</f>
        <v>1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27">
        <v>13</v>
      </c>
      <c r="AP21" s="127" t="str">
        <v>葉宗哲</v>
      </c>
      <c r="AQ21" s="127" t="str" cm="1">
        <f t="array" ref="AQ21">IFERROR(_xlfn.XLOOKUP(_xlfn.XLOOKUP($AQ$3,輪休基準表!$C$6:$C$36,_xlfn.XLOOKUP(AP21,輪休基準表!$E$5:$AF$5,輪休基準表!$E$6:$AF$36,""),""),班別參數!$A$4:$A$20,班別參數!$B$4:$B$20,""),"")</f>
        <v>月補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/>
      </c>
      <c r="AT21" s="180" t="str">
        <f t="shared" si="0"/>
        <v/>
      </c>
      <c r="AU21" s="180" t="str">
        <f t="shared" si="1"/>
        <v/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27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26</v>
      </c>
      <c r="D22" s="95"/>
      <c r="E22" s="95"/>
      <c r="F22" s="95"/>
      <c r="G22" s="122" t="str">
        <f>IF(BC15="","",BC15)</f>
        <v>8</v>
      </c>
      <c r="H22" s="297"/>
      <c r="I22" s="92">
        <f>_xlfn.XLOOKUP(_xlfn.XLOOKUP($AS$6&amp;$B22,公表[班別+時段],公表[救護1],""),$AX$9:$AX$25,$AY$9:$AY$25,"")</f>
        <v>12</v>
      </c>
      <c r="J22" s="92">
        <f>_xlfn.XLOOKUP(_xlfn.XLOOKUP($AS$6&amp;$B22,公表[班別+時段],公表[救護2],""),$AX$9:$AX$25,$AY$9:$AY$25,"")</f>
        <v>9</v>
      </c>
      <c r="K22" s="92"/>
      <c r="L22" s="87" t="s">
        <v>212</v>
      </c>
      <c r="M22" s="312"/>
      <c r="N22" s="87">
        <f>_xlfn.XLOOKUP(_xlfn.XLOOKUP($AS$6&amp;$B22,公表[班別+時段],公表[備勤1],""),$AX$9:$AX$25,$AY$9:$AY$25,"")</f>
        <v>27</v>
      </c>
      <c r="O22" s="87">
        <f>_xlfn.XLOOKUP(_xlfn.XLOOKUP($AS$6&amp;$B22,公表[班別+時段],公表[備勤2],""),$AX$9:$AX$25,$AY$9:$AY$25,"")</f>
        <v>15</v>
      </c>
      <c r="P22" s="87"/>
      <c r="Q22" s="87">
        <f>_xlfn.XLOOKUP(_xlfn.XLOOKUP($AS$6&amp;$B22,公表[班別+時段],公表[備勤3],""),$AX$9:$AX$25,$AY$9:$AY$25,"")</f>
        <v>24</v>
      </c>
      <c r="R22" s="87">
        <f>_xlfn.XLOOKUP(_xlfn.XLOOKUP($AS$6&amp;$B22,公表[班別+時段],公表[備勤4],""),$AX$9:$AX$25,$AY$9:$AY$25,"")</f>
        <v>0</v>
      </c>
      <c r="S22" s="87"/>
      <c r="T22" s="87">
        <f>_xlfn.XLOOKUP(_xlfn.XLOOKUP($AS$6&amp;$B22,公表[班別+時段],公表[備勤5],""),$AX$9:$AX$25,$AY$9:$AY$25,"")</f>
        <v>3</v>
      </c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87"/>
      <c r="AC22" s="87"/>
      <c r="AD22" s="87"/>
      <c r="AE22" s="88">
        <f>_xlfn.XLOOKUP(_xlfn.XLOOKUP($AS$6&amp;$B22,公表[班別+時段],公表[指揮官],""),$AX$9:$AX$25,$AY$9:$AY$25,"")</f>
        <v>1</v>
      </c>
      <c r="AF22" s="57" t="s">
        <v>213</v>
      </c>
      <c r="AG22" s="305" t="str" cm="1">
        <f t="array" ref="AG22">_xlfn.TEXTJOIN(".",1,_xlfn._xlws.FILTER($AO$9:$AO$40,$AQ$9:$AQ$40="上班",""))</f>
        <v>1.3.8.9.12.15.24.26.27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27">
        <v>14</v>
      </c>
      <c r="AP22" s="127" t="str">
        <v>王浩任</v>
      </c>
      <c r="AQ22" s="127" t="str" cm="1">
        <f t="array" ref="AQ22">IFERROR(_xlfn.XLOOKUP(_xlfn.XLOOKUP($AQ$3,輪休基準表!$C$6:$C$36,_xlfn.XLOOKUP(AP22,輪休基準表!$E$5:$AF$5,輪休基準表!$E$6:$AF$36,""),""),班別參數!$A$4:$A$20,班別參數!$B$4:$B$20,""),"")</f>
        <v>輪休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/>
      </c>
      <c r="AT22" s="180" t="str">
        <f t="shared" si="0"/>
        <v/>
      </c>
      <c r="AU22" s="180" t="str">
        <f t="shared" si="1"/>
        <v/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27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26</v>
      </c>
      <c r="D23" s="106"/>
      <c r="E23" s="96"/>
      <c r="F23" s="96"/>
      <c r="G23" s="123" t="str">
        <f>IF(BC15="","",BC15)</f>
        <v>8</v>
      </c>
      <c r="H23" s="107"/>
      <c r="I23" s="216">
        <f>_xlfn.XLOOKUP(_xlfn.XLOOKUP($AS$6&amp;$B23,公表[班別+時段],公表[救護1],""),$AX$9:$AX$25,$AY$9:$AY$25,"")</f>
        <v>12</v>
      </c>
      <c r="J23" s="216">
        <f>_xlfn.XLOOKUP(_xlfn.XLOOKUP($AS$6&amp;$B23,公表[班別+時段],公表[救護2],""),$AX$9:$AX$25,$AY$9:$AY$25,"")</f>
        <v>9</v>
      </c>
      <c r="K23" s="105"/>
      <c r="L23" s="93" t="s">
        <v>212</v>
      </c>
      <c r="M23" s="312"/>
      <c r="N23" s="89">
        <f>_xlfn.XLOOKUP(_xlfn.XLOOKUP($AS$6&amp;$B23,公表[班別+時段],公表[備勤1],""),$AX$9:$AX$25,$AY$9:$AY$25,"")</f>
        <v>27</v>
      </c>
      <c r="O23" s="89">
        <f>_xlfn.XLOOKUP(_xlfn.XLOOKUP($AS$6&amp;$B23,公表[班別+時段],公表[備勤2],""),$AX$9:$AX$25,$AY$9:$AY$25,"")</f>
        <v>15</v>
      </c>
      <c r="P23" s="89"/>
      <c r="Q23" s="89">
        <f>_xlfn.XLOOKUP(_xlfn.XLOOKUP($AS$6&amp;$B23,公表[班別+時段],公表[備勤3],""),$AX$9:$AX$25,$AY$9:$AY$25,"")</f>
        <v>24</v>
      </c>
      <c r="R23" s="89">
        <f>_xlfn.XLOOKUP(_xlfn.XLOOKUP($AS$6&amp;$B23,公表[班別+時段],公表[備勤4],""),$AX$9:$AX$25,$AY$9:$AY$25,"")</f>
        <v>0</v>
      </c>
      <c r="S23" s="89"/>
      <c r="T23" s="89">
        <f>_xlfn.XLOOKUP(_xlfn.XLOOKUP($AS$6&amp;$B23,公表[班別+時段],公表[備勤5],""),$AX$9:$AX$25,$AY$9:$AY$25,"")</f>
        <v>3</v>
      </c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89"/>
      <c r="AC23" s="89"/>
      <c r="AD23" s="89"/>
      <c r="AE23" s="104">
        <f>_xlfn.XLOOKUP(_xlfn.XLOOKUP($AS$6&amp;$B23,公表[班別+時段],公表[指揮官],""),$AX$9:$AX$25,$AY$9:$AY$25,"")</f>
        <v>1</v>
      </c>
      <c r="AF23" s="57" t="s">
        <v>6</v>
      </c>
      <c r="AG23" s="305" t="str" cm="1">
        <f t="array" ref="AG23">_xlfn.TEXTJOIN(".",1,_xlfn._xlws.FILTER($AO$9:$AO$40,$AQ$9:$AQ$40=$AF$23,""))</f>
        <v>2.4.5.6.10.14.16.17.18.19.21.23.25.28</v>
      </c>
      <c r="AH23" s="400"/>
      <c r="AI23" s="400"/>
      <c r="AJ23" s="400"/>
      <c r="AK23" s="400"/>
      <c r="AL23" s="400"/>
      <c r="AM23" s="401"/>
      <c r="AN23" s="214"/>
      <c r="AO23" s="127">
        <v>15</v>
      </c>
      <c r="AP23" s="127" t="str">
        <v>李仕詮</v>
      </c>
      <c r="AQ23" s="127" t="str" cm="1">
        <f t="array" ref="AQ23">IFERROR(_xlfn.XLOOKUP(_xlfn.XLOOKUP($AQ$3,輪休基準表!$C$6:$C$36,_xlfn.XLOOKUP(AP23,輪休基準表!$E$5:$AF$5,輪休基準表!$E$6:$AF$36,""),""),班別參數!$A$4:$A$20,班別參數!$B$4:$B$20,""),"")</f>
        <v>上班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>已排</v>
      </c>
      <c r="AT23" s="180">
        <f t="shared" si="0"/>
        <v>6</v>
      </c>
      <c r="AU23" s="180">
        <f t="shared" si="1"/>
        <v>10</v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27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24</v>
      </c>
      <c r="D24" s="97"/>
      <c r="E24" s="97"/>
      <c r="F24" s="97"/>
      <c r="G24" s="121">
        <v>15</v>
      </c>
      <c r="H24" s="55"/>
      <c r="I24" s="94">
        <f>_xlfn.XLOOKUP(_xlfn.XLOOKUP($AS$6&amp;$B24,公表[班別+時段],公表[救護1],""),$AX$9:$AX$25,$AY$9:$AY$25,"")</f>
        <v>26</v>
      </c>
      <c r="J24" s="94">
        <f>_xlfn.XLOOKUP(_xlfn.XLOOKUP($AS$6&amp;$B24,公表[班別+時段],公表[救護2],""),$AX$9:$AX$25,$AY$9:$AY$25,"")</f>
        <v>8</v>
      </c>
      <c r="K24" s="90"/>
      <c r="L24" s="90" t="s">
        <v>212</v>
      </c>
      <c r="M24" s="312"/>
      <c r="N24" s="90">
        <f>_xlfn.XLOOKUP(_xlfn.XLOOKUP($AS$6&amp;$B24,公表[班別+時段],公表[備勤1],""),$AX$9:$AX$25,$AY$9:$AY$25,"")</f>
        <v>12</v>
      </c>
      <c r="O24" s="90">
        <f>_xlfn.XLOOKUP(_xlfn.XLOOKUP($AS$6&amp;$B24,公表[班別+時段],公表[備勤2],""),$AX$9:$AX$25,$AY$9:$AY$25,"")</f>
        <v>9</v>
      </c>
      <c r="P24" s="90"/>
      <c r="Q24" s="90">
        <f>_xlfn.XLOOKUP(_xlfn.XLOOKUP($AS$6&amp;$B24,公表[班別+時段],公表[備勤3],""),$AX$9:$AX$25,$AY$9:$AY$25,"")</f>
        <v>27</v>
      </c>
      <c r="R24" s="90"/>
      <c r="S24" s="90"/>
      <c r="T24" s="90">
        <f>_xlfn.XLOOKUP(_xlfn.XLOOKUP($AS$6&amp;$B24,公表[班別+時段],公表[備勤5],""),$AX$9:$AX$25,$AY$9:$AY$25,"")</f>
        <v>3</v>
      </c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90"/>
      <c r="AC24" s="90"/>
      <c r="AD24" s="90"/>
      <c r="AE24" s="91">
        <f>_xlfn.XLOOKUP(_xlfn.XLOOKUP($AS$6&amp;$B24,公表[班別+時段],公表[指揮官],""),$AX$9:$AX$25,$AY$9:$AY$25,"")</f>
        <v>1</v>
      </c>
      <c r="AF24" s="57" t="s">
        <v>17</v>
      </c>
      <c r="AG24" s="305" t="str" cm="1">
        <f t="array" ref="AG24">_xlfn.TEXTJOIN(".",1,_xlfn._xlws.FILTER($AO$9:$AO$40,$AQ$9:$AQ$40=$AF$24,""))</f>
        <v>7.13</v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/>
      </c>
      <c r="AL24" s="400"/>
      <c r="AM24" s="401"/>
      <c r="AN24" s="214"/>
      <c r="AO24" s="127">
        <v>16</v>
      </c>
      <c r="AP24" s="127" t="str">
        <v>楊弘宇</v>
      </c>
      <c r="AQ24" s="127" t="str" cm="1">
        <f t="array" ref="AQ24">IFERROR(_xlfn.XLOOKUP(_xlfn.XLOOKUP($AQ$3,輪休基準表!$C$6:$C$36,_xlfn.XLOOKUP(AP24,輪休基準表!$E$5:$AF$5,輪休基準表!$E$6:$AF$36,""),""),班別參數!$A$4:$A$20,班別參數!$B$4:$B$20,""),"")</f>
        <v>輪休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/>
      </c>
      <c r="AT24" s="180" t="str">
        <f t="shared" si="0"/>
        <v/>
      </c>
      <c r="AU24" s="180" t="str">
        <f t="shared" si="1"/>
        <v/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27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24</v>
      </c>
      <c r="D25" s="95"/>
      <c r="E25" s="95"/>
      <c r="F25" s="95"/>
      <c r="G25" s="122">
        <v>15</v>
      </c>
      <c r="H25" s="37"/>
      <c r="I25" s="92">
        <f>_xlfn.XLOOKUP(_xlfn.XLOOKUP($AS$6&amp;$B25,公表[班別+時段],公表[救護1],""),$AX$9:$AX$25,$AY$9:$AY$25,"")</f>
        <v>26</v>
      </c>
      <c r="J25" s="92">
        <f>_xlfn.XLOOKUP(_xlfn.XLOOKUP($AS$6&amp;$B25,公表[班別+時段],公表[救護2],""),$AX$9:$AX$25,$AY$9:$AY$25,"")</f>
        <v>8</v>
      </c>
      <c r="K25" s="87"/>
      <c r="L25" s="87" t="s">
        <v>212</v>
      </c>
      <c r="M25" s="312"/>
      <c r="N25" s="87">
        <f>_xlfn.XLOOKUP(_xlfn.XLOOKUP($AS$6&amp;$B25,公表[班別+時段],公表[備勤1],""),$AX$9:$AX$25,$AY$9:$AY$25,"")</f>
        <v>12</v>
      </c>
      <c r="O25" s="87">
        <f>_xlfn.XLOOKUP(_xlfn.XLOOKUP($AS$6&amp;$B25,公表[班別+時段],公表[備勤2],""),$AX$9:$AX$25,$AY$9:$AY$25,"")</f>
        <v>9</v>
      </c>
      <c r="P25" s="87"/>
      <c r="Q25" s="87">
        <f>_xlfn.XLOOKUP(_xlfn.XLOOKUP($AS$6&amp;$B25,公表[班別+時段],公表[備勤3],""),$AX$9:$AX$25,$AY$9:$AY$25,"")</f>
        <v>27</v>
      </c>
      <c r="R25" s="87"/>
      <c r="S25" s="87"/>
      <c r="T25" s="87">
        <f>_xlfn.XLOOKUP(_xlfn.XLOOKUP($AS$6&amp;$B25,公表[班別+時段],公表[備勤5],""),$AX$9:$AX$25,$AY$9:$AY$25,"")</f>
        <v>3</v>
      </c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87"/>
      <c r="AC25" s="87"/>
      <c r="AD25" s="87"/>
      <c r="AE25" s="88">
        <f>_xlfn.XLOOKUP(_xlfn.XLOOKUP($AS$6&amp;$B25,公表[班別+時段],公表[指揮官],""),$AX$9:$AX$25,$AY$9:$AY$25,"")</f>
        <v>1</v>
      </c>
      <c r="AF25" s="57" t="s">
        <v>28</v>
      </c>
      <c r="AG25" s="305" t="str" cm="1">
        <f t="array" ref="AG25">_xlfn.TEXTJOIN(".",1,_xlfn._xlws.FILTER($AO$9:$AO$40,$AQ$9:$AQ$40=$AF$25,""))</f>
        <v>11</v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>20.22</v>
      </c>
      <c r="AL25" s="309"/>
      <c r="AM25" s="310"/>
      <c r="AN25" s="214"/>
      <c r="AO25" s="127">
        <v>17</v>
      </c>
      <c r="AP25" s="127" t="str">
        <v>楊仲豪</v>
      </c>
      <c r="AQ25" s="127" t="str" cm="1">
        <f t="array" ref="AQ25">IFERROR(_xlfn.XLOOKUP(_xlfn.XLOOKUP($AQ$3,輪休基準表!$C$6:$C$36,_xlfn.XLOOKUP(AP25,輪休基準表!$E$5:$AF$5,輪休基準表!$E$6:$AF$36,""),""),班別參數!$A$4:$A$20,班別參數!$B$4:$B$20,""),"")</f>
        <v>輪休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/>
      </c>
      <c r="AT25" s="180" t="str">
        <f t="shared" si="0"/>
        <v/>
      </c>
      <c r="AU25" s="180" t="str">
        <f t="shared" si="1"/>
        <v/>
      </c>
      <c r="AW25" s="33"/>
      <c r="AX25" s="45"/>
      <c r="AY25" s="25"/>
      <c r="AZ25" s="28"/>
      <c r="BA25" s="33"/>
      <c r="BB25" s="25"/>
      <c r="BD25" s="127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24</v>
      </c>
      <c r="D26" s="95"/>
      <c r="E26" s="95"/>
      <c r="F26" s="95"/>
      <c r="G26" s="122">
        <v>3</v>
      </c>
      <c r="H26" s="37"/>
      <c r="I26" s="92">
        <f>_xlfn.XLOOKUP(_xlfn.XLOOKUP($AS$6&amp;$B26,公表[班別+時段],公表[救護1],""),$AX$9:$AX$25,$AY$9:$AY$25,"")</f>
        <v>27</v>
      </c>
      <c r="J26" s="92">
        <f>_xlfn.XLOOKUP(_xlfn.XLOOKUP($AS$6&amp;$B26,公表[班別+時段],公表[救護2],""),$AX$9:$AX$25,$AY$9:$AY$25,"")</f>
        <v>12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9</v>
      </c>
      <c r="O26" s="87">
        <f>_xlfn.XLOOKUP(_xlfn.XLOOKUP($AS$6&amp;$B26,公表[班別+時段],公表[備勤2],""),$AX$9:$AX$25,$AY$9:$AY$25,"")</f>
        <v>26</v>
      </c>
      <c r="P26" s="87"/>
      <c r="Q26" s="87">
        <f>_xlfn.XLOOKUP(_xlfn.XLOOKUP($AS$6&amp;$B26,公表[班別+時段],公表[備勤3],""),$AX$9:$AX$25,$AY$9:$AY$25,"")</f>
        <v>15</v>
      </c>
      <c r="R26" s="87">
        <f>_xlfn.XLOOKUP(_xlfn.XLOOKUP($AS$6&amp;$B26,公表[班別+時段],公表[備勤4],""),$AX$9:$AX$25,$AY$9:$AY$25,"")</f>
        <v>8</v>
      </c>
      <c r="S26" s="87"/>
      <c r="T26" s="87"/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87"/>
      <c r="AC26" s="87"/>
      <c r="AD26" s="87"/>
      <c r="AE26" s="88">
        <f>_xlfn.XLOOKUP(_xlfn.XLOOKUP($AS$6&amp;$B26,公表[班別+時段],公表[指揮官],""),$AX$9:$AX$25,$AY$9:$AY$25,"")</f>
        <v>1</v>
      </c>
      <c r="AF26" s="57" t="s">
        <v>289</v>
      </c>
      <c r="AG26" s="178" t="str" cm="1">
        <f t="array" ref="AG26">_xlfn.TEXTJOIN(".",1,_xlfn._xlws.FILTER($AO$9:$AO$40,$AQ$9:$AQ$40=$AF$26,""))</f>
        <v/>
      </c>
      <c r="AH26" s="168" t="s">
        <v>290</v>
      </c>
      <c r="AI26" s="179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/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27">
        <v>18</v>
      </c>
      <c r="AP26" s="127" t="str">
        <v>林志偉</v>
      </c>
      <c r="AQ26" s="127" t="str" cm="1">
        <f t="array" ref="AQ26">IFERROR(_xlfn.XLOOKUP(_xlfn.XLOOKUP($AQ$3,輪休基準表!$C$6:$C$36,_xlfn.XLOOKUP(AP26,輪休基準表!$E$5:$AF$5,輪休基準表!$E$6:$AF$36,""),""),班別參數!$A$4:$A$20,班別參數!$B$4:$B$20,""),"")</f>
        <v>輪休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/>
      </c>
      <c r="AT26" s="180" t="str">
        <f t="shared" si="0"/>
        <v/>
      </c>
      <c r="AU26" s="180" t="str">
        <f t="shared" si="1"/>
        <v/>
      </c>
      <c r="AV26" s="10"/>
      <c r="AW26" s="46"/>
      <c r="AX26" s="45"/>
      <c r="AY26" s="25"/>
      <c r="AZ26" s="28"/>
      <c r="BA26" s="33" t="s">
        <v>357</v>
      </c>
      <c r="BB26" s="25"/>
      <c r="BD26" s="127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24</v>
      </c>
      <c r="D27" s="95"/>
      <c r="E27" s="95"/>
      <c r="F27" s="95"/>
      <c r="G27" s="122">
        <v>3</v>
      </c>
      <c r="H27" s="37"/>
      <c r="I27" s="92">
        <f>_xlfn.XLOOKUP(_xlfn.XLOOKUP($AS$6&amp;$B27,公表[班別+時段],公表[救護1],""),$AX$9:$AX$25,$AY$9:$AY$25,"")</f>
        <v>27</v>
      </c>
      <c r="J27" s="92">
        <f>_xlfn.XLOOKUP(_xlfn.XLOOKUP($AS$6&amp;$B27,公表[班別+時段],公表[救護2],""),$AX$9:$AX$25,$AY$9:$AY$25,"")</f>
        <v>12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9</v>
      </c>
      <c r="O27" s="87">
        <f>_xlfn.XLOOKUP(_xlfn.XLOOKUP($AS$6&amp;$B27,公表[班別+時段],公表[備勤2],""),$AX$9:$AX$25,$AY$9:$AY$25,"")</f>
        <v>26</v>
      </c>
      <c r="P27" s="87"/>
      <c r="Q27" s="87">
        <f>_xlfn.XLOOKUP(_xlfn.XLOOKUP($AS$6&amp;$B27,公表[班別+時段],公表[備勤3],""),$AX$9:$AX$25,$AY$9:$AY$25,"")</f>
        <v>15</v>
      </c>
      <c r="R27" s="87">
        <f>_xlfn.XLOOKUP(_xlfn.XLOOKUP($AS$6&amp;$B27,公表[班別+時段],公表[備勤4],""),$AX$9:$AX$25,$AY$9:$AY$25,"")</f>
        <v>8</v>
      </c>
      <c r="S27" s="87"/>
      <c r="T27" s="87"/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87"/>
      <c r="AC27" s="87"/>
      <c r="AD27" s="87"/>
      <c r="AE27" s="88">
        <f>_xlfn.XLOOKUP(_xlfn.XLOOKUP($AS$6&amp;$B27,公表[班別+時段],公表[指揮官],""),$AX$9:$AX$25,$AY$9:$AY$25,"")</f>
        <v>1</v>
      </c>
      <c r="AF27" s="317" t="s">
        <v>215</v>
      </c>
      <c r="AG27" s="319"/>
      <c r="AH27" s="321"/>
      <c r="AI27" s="321"/>
      <c r="AJ27" s="321"/>
      <c r="AK27" s="321"/>
      <c r="AL27" s="321"/>
      <c r="AM27" s="322"/>
      <c r="AN27" s="214"/>
      <c r="AO27" s="127">
        <v>19</v>
      </c>
      <c r="AP27" s="127" t="str">
        <v>劉家誠</v>
      </c>
      <c r="AQ27" s="127" t="str" cm="1">
        <f t="array" ref="AQ27">IFERROR(_xlfn.XLOOKUP(_xlfn.XLOOKUP($AQ$3,輪休基準表!$C$6:$C$36,_xlfn.XLOOKUP(AP27,輪休基準表!$E$5:$AF$5,輪休基準表!$E$6:$AF$36,""),""),班別參數!$A$4:$A$20,班別參數!$B$4:$B$20,""),"")</f>
        <v>輪休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/>
      </c>
      <c r="AT27" s="180" t="str">
        <f t="shared" si="0"/>
        <v/>
      </c>
      <c r="AU27" s="180" t="str">
        <f t="shared" si="1"/>
        <v/>
      </c>
      <c r="AV27" s="10"/>
      <c r="AW27" s="46"/>
      <c r="AX27" s="45"/>
      <c r="AY27" s="25"/>
      <c r="AZ27" s="28"/>
      <c r="BA27" s="33"/>
      <c r="BB27" s="25"/>
      <c r="BD27" s="127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24</v>
      </c>
      <c r="D28" s="95"/>
      <c r="E28" s="95"/>
      <c r="F28" s="95"/>
      <c r="G28" s="122" t="str">
        <f>IF(BC18="","",BC18)</f>
        <v/>
      </c>
      <c r="H28" s="37"/>
      <c r="I28" s="92">
        <f>_xlfn.XLOOKUP(_xlfn.XLOOKUP($AS$6&amp;$B28,公表[班別+時段],公表[救護1],""),$AX$9:$AX$25,$AY$9:$AY$25,"")</f>
        <v>27</v>
      </c>
      <c r="J28" s="92">
        <f>_xlfn.XLOOKUP(_xlfn.XLOOKUP($AS$6&amp;$B28,公表[班別+時段],公表[救護2],""),$AX$9:$AX$25,$AY$9:$AY$25,"")</f>
        <v>12</v>
      </c>
      <c r="K28" s="87"/>
      <c r="L28" s="87" t="s">
        <v>212</v>
      </c>
      <c r="M28" s="312"/>
      <c r="N28" s="87">
        <f>_xlfn.XLOOKUP(_xlfn.XLOOKUP($AS$6&amp;$B28,公表[班別+時段],公表[備勤1],""),$AX$9:$AX$25,$AY$9:$AY$25,"")</f>
        <v>8</v>
      </c>
      <c r="O28" s="87">
        <f>_xlfn.XLOOKUP(_xlfn.XLOOKUP($AS$6&amp;$B28,公表[班別+時段],公表[備勤2],""),$AX$9:$AX$25,$AY$9:$AY$25,"")</f>
        <v>15</v>
      </c>
      <c r="P28" s="87"/>
      <c r="Q28" s="87">
        <f>_xlfn.XLOOKUP(_xlfn.XLOOKUP($AS$6&amp;$B28,公表[班別+時段],公表[備勤3],""),$AX$9:$AX$25,$AY$9:$AY$25,"")</f>
        <v>9</v>
      </c>
      <c r="R28" s="87">
        <f>_xlfn.XLOOKUP(_xlfn.XLOOKUP($AS$6&amp;$B28,公表[班別+時段],公表[備勤4],""),$AX$9:$AX$25,$AY$9:$AY$25,"")</f>
        <v>26</v>
      </c>
      <c r="S28" s="87"/>
      <c r="T28" s="87">
        <f>_xlfn.XLOOKUP(_xlfn.XLOOKUP($AS$6&amp;$B28,公表[班別+時段],公表[備勤5],""),$AX$9:$AX$25,$AY$9:$AY$25,"")</f>
        <v>3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87"/>
      <c r="AC28" s="87"/>
      <c r="AD28" s="87"/>
      <c r="AE28" s="88">
        <f>_xlfn.XLOOKUP(_xlfn.XLOOKUP($AS$6&amp;$B28,公表[班別+時段],公表[指揮官],""),$AX$9:$AX$25,$AY$9:$AY$25,"")</f>
        <v>1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27">
        <v>20</v>
      </c>
      <c r="AP28" s="127" t="str">
        <v>呂奇霈</v>
      </c>
      <c r="AQ28" s="127" t="str" cm="1">
        <f t="array" ref="AQ28">IFERROR(_xlfn.XLOOKUP(_xlfn.XLOOKUP($AQ$3,輪休基準表!$C$6:$C$36,_xlfn.XLOOKUP(AP28,輪休基準表!$E$5:$AF$5,輪休基準表!$E$6:$AF$36,""),""),班別參數!$A$4:$A$20,班別參數!$B$4:$B$20,""),"")</f>
        <v>公假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27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24</v>
      </c>
      <c r="D29" s="95"/>
      <c r="E29" s="95"/>
      <c r="F29" s="95"/>
      <c r="G29" s="122" t="str">
        <f>IF(BC18="","",BC18)</f>
        <v/>
      </c>
      <c r="H29" s="37"/>
      <c r="I29" s="92">
        <f>_xlfn.XLOOKUP(_xlfn.XLOOKUP($AS$6&amp;$B29,公表[班別+時段],公表[救護1],""),$AX$9:$AX$25,$AY$9:$AY$25,"")</f>
        <v>27</v>
      </c>
      <c r="J29" s="92">
        <f>_xlfn.XLOOKUP(_xlfn.XLOOKUP($AS$6&amp;$B29,公表[班別+時段],公表[救護2],""),$AX$9:$AX$25,$AY$9:$AY$25,"")</f>
        <v>12</v>
      </c>
      <c r="K29" s="87"/>
      <c r="L29" s="87" t="s">
        <v>212</v>
      </c>
      <c r="M29" s="312"/>
      <c r="N29" s="87">
        <f>_xlfn.XLOOKUP(_xlfn.XLOOKUP($AS$6&amp;$B29,公表[班別+時段],公表[備勤1],""),$AX$9:$AX$25,$AY$9:$AY$25,"")</f>
        <v>8</v>
      </c>
      <c r="O29" s="87">
        <f>_xlfn.XLOOKUP(_xlfn.XLOOKUP($AS$6&amp;$B29,公表[班別+時段],公表[備勤2],""),$AX$9:$AX$25,$AY$9:$AY$25,"")</f>
        <v>15</v>
      </c>
      <c r="P29" s="87"/>
      <c r="Q29" s="87">
        <f>_xlfn.XLOOKUP(_xlfn.XLOOKUP($AS$6&amp;$B29,公表[班別+時段],公表[備勤3],""),$AX$9:$AX$25,$AY$9:$AY$25,"")</f>
        <v>9</v>
      </c>
      <c r="R29" s="87">
        <f>_xlfn.XLOOKUP(_xlfn.XLOOKUP($AS$6&amp;$B29,公表[班別+時段],公表[備勤4],""),$AX$9:$AX$25,$AY$9:$AY$25,"")</f>
        <v>26</v>
      </c>
      <c r="S29" s="87"/>
      <c r="T29" s="87">
        <f>_xlfn.XLOOKUP(_xlfn.XLOOKUP($AS$6&amp;$B29,公表[班別+時段],公表[備勤5],""),$AX$9:$AX$25,$AY$9:$AY$25,"")</f>
        <v>3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87"/>
      <c r="AC29" s="87"/>
      <c r="AD29" s="87"/>
      <c r="AE29" s="88">
        <f>_xlfn.XLOOKUP(_xlfn.XLOOKUP($AS$6&amp;$B29,公表[班別+時段],公表[指揮官],""),$AX$9:$AX$25,$AY$9:$AY$25,"")</f>
        <v>1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27">
        <v>21</v>
      </c>
      <c r="AP29" s="127" t="str">
        <v>張家和</v>
      </c>
      <c r="AQ29" s="127" t="str" cm="1">
        <f t="array" ref="AQ29">IFERROR(_xlfn.XLOOKUP(_xlfn.XLOOKUP($AQ$3,輪休基準表!$C$6:$C$36,_xlfn.XLOOKUP(AP29,輪休基準表!$E$5:$AF$5,輪休基準表!$E$6:$AF$36,""),""),班別參數!$A$4:$A$20,班別參數!$B$4:$B$20,""),"")</f>
        <v>輪休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/>
      </c>
      <c r="AT29" s="180" t="str">
        <f t="shared" si="0"/>
        <v/>
      </c>
      <c r="AU29" s="180" t="str">
        <f t="shared" si="1"/>
        <v/>
      </c>
      <c r="AV29" s="10"/>
      <c r="AW29" s="47"/>
      <c r="AX29" s="45"/>
      <c r="AY29" s="25"/>
      <c r="AZ29" s="28"/>
      <c r="BA29" s="33"/>
      <c r="BB29" s="25"/>
      <c r="BD29" s="127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24</v>
      </c>
      <c r="D30" s="95"/>
      <c r="E30" s="95"/>
      <c r="F30" s="95"/>
      <c r="G30" s="122" t="str">
        <f>IF(BC19="","",BC19)</f>
        <v/>
      </c>
      <c r="H30" s="37"/>
      <c r="I30" s="92">
        <f>_xlfn.XLOOKUP(_xlfn.XLOOKUP($AS$6&amp;$B30,公表[班別+時段],公表[救護1],""),$AX$9:$AX$25,$AY$9:$AY$25,"")</f>
        <v>8</v>
      </c>
      <c r="J30" s="92">
        <f>_xlfn.XLOOKUP(_xlfn.XLOOKUP($AS$6&amp;$B30,公表[班別+時段],公表[救護2],""),$AX$9:$AX$25,$AY$9:$AY$25,"")</f>
        <v>15</v>
      </c>
      <c r="K30" s="87"/>
      <c r="L30" s="87" t="s">
        <v>212</v>
      </c>
      <c r="M30" s="312"/>
      <c r="N30" s="87">
        <f>_xlfn.XLOOKUP(_xlfn.XLOOKUP($AS$6&amp;$B30,公表[班別+時段],公表[備勤1],""),$AX$9:$AX$25,$AY$9:$AY$25,"")</f>
        <v>27</v>
      </c>
      <c r="O30" s="87">
        <f>_xlfn.XLOOKUP(_xlfn.XLOOKUP($AS$6&amp;$B30,公表[班別+時段],公表[備勤2],""),$AX$9:$AX$25,$AY$9:$AY$25,"")</f>
        <v>26</v>
      </c>
      <c r="P30" s="87"/>
      <c r="Q30" s="87">
        <f>_xlfn.XLOOKUP(_xlfn.XLOOKUP($AS$6&amp;$B30,公表[班別+時段],公表[備勤3],""),$AX$9:$AX$25,$AY$9:$AY$25,"")</f>
        <v>12</v>
      </c>
      <c r="R30" s="87">
        <f>_xlfn.XLOOKUP(_xlfn.XLOOKUP($AS$6&amp;$B30,公表[班別+時段],公表[備勤4],""),$AX$9:$AX$25,$AY$9:$AY$25,"")</f>
        <v>9</v>
      </c>
      <c r="S30" s="87"/>
      <c r="T30" s="87">
        <f>_xlfn.XLOOKUP(_xlfn.XLOOKUP($AS$6&amp;$B30,公表[班別+時段],公表[備勤5],""),$AX$9:$AX$25,$AY$9:$AY$25,"")</f>
        <v>3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87"/>
      <c r="AC30" s="87"/>
      <c r="AD30" s="87"/>
      <c r="AE30" s="88">
        <f>_xlfn.XLOOKUP(_xlfn.XLOOKUP($AS$6&amp;$B30,公表[班別+時段],公表[指揮官],""),$AX$9:$AX$25,$AY$9:$AY$25,"")</f>
        <v>1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27">
        <v>22</v>
      </c>
      <c r="AP30" s="127" t="str">
        <v>陳俊瑋</v>
      </c>
      <c r="AQ30" s="127" t="str" cm="1">
        <f t="array" ref="AQ30">IFERROR(_xlfn.XLOOKUP(_xlfn.XLOOKUP($AQ$3,輪休基準表!$C$6:$C$36,_xlfn.XLOOKUP(AP30,輪休基準表!$E$5:$AF$5,輪休基準表!$E$6:$AF$36,""),""),班別參數!$A$4:$A$20,班別參數!$B$4:$B$20,""),"")</f>
        <v>公假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27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24</v>
      </c>
      <c r="D31" s="106"/>
      <c r="E31" s="96"/>
      <c r="F31" s="96"/>
      <c r="G31" s="123" t="str">
        <f>IF(BC19="","",BC19)</f>
        <v/>
      </c>
      <c r="H31" s="109"/>
      <c r="I31" s="216">
        <f>_xlfn.XLOOKUP(_xlfn.XLOOKUP($AS$6&amp;$B31,公表[班別+時段],公表[救護1],""),$AX$9:$AX$25,$AY$9:$AY$25,"")</f>
        <v>8</v>
      </c>
      <c r="J31" s="216">
        <f>_xlfn.XLOOKUP(_xlfn.XLOOKUP($AS$6&amp;$B31,公表[班別+時段],公表[救護2],""),$AX$9:$AX$25,$AY$9:$AY$25,"")</f>
        <v>15</v>
      </c>
      <c r="K31" s="108"/>
      <c r="L31" s="93" t="s">
        <v>212</v>
      </c>
      <c r="M31" s="312"/>
      <c r="N31" s="89">
        <f>_xlfn.XLOOKUP(_xlfn.XLOOKUP($AS$6&amp;$B31,公表[班別+時段],公表[備勤1],""),$AX$9:$AX$25,$AY$9:$AY$25,"")</f>
        <v>27</v>
      </c>
      <c r="O31" s="89">
        <f>_xlfn.XLOOKUP(_xlfn.XLOOKUP($AS$6&amp;$B31,公表[班別+時段],公表[備勤2],""),$AX$9:$AX$25,$AY$9:$AY$25,"")</f>
        <v>26</v>
      </c>
      <c r="P31" s="89"/>
      <c r="Q31" s="89">
        <f>_xlfn.XLOOKUP(_xlfn.XLOOKUP($AS$6&amp;$B31,公表[班別+時段],公表[備勤3],""),$AX$9:$AX$25,$AY$9:$AY$25,"")</f>
        <v>12</v>
      </c>
      <c r="R31" s="89">
        <f>_xlfn.XLOOKUP(_xlfn.XLOOKUP($AS$6&amp;$B31,公表[班別+時段],公表[備勤4],""),$AX$9:$AX$25,$AY$9:$AY$25,"")</f>
        <v>9</v>
      </c>
      <c r="S31" s="89"/>
      <c r="T31" s="89">
        <f>_xlfn.XLOOKUP(_xlfn.XLOOKUP($AS$6&amp;$B31,公表[班別+時段],公表[備勤5],""),$AX$9:$AX$25,$AY$9:$AY$25,"")</f>
        <v>3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89"/>
      <c r="AC31" s="89"/>
      <c r="AD31" s="89"/>
      <c r="AE31" s="104">
        <f>_xlfn.XLOOKUP(_xlfn.XLOOKUP($AS$6&amp;$B31,公表[班別+時段],公表[指揮官],""),$AX$9:$AX$25,$AY$9:$AY$25,"")</f>
        <v>1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27">
        <v>23</v>
      </c>
      <c r="AP31" s="127" t="str">
        <v>陳俊翰</v>
      </c>
      <c r="AQ31" s="127" t="str" cm="1">
        <f t="array" ref="AQ31">IFERROR(_xlfn.XLOOKUP(_xlfn.XLOOKUP($AQ$3,輪休基準表!$C$6:$C$36,_xlfn.XLOOKUP(AP31,輪休基準表!$E$5:$AF$5,輪休基準表!$E$6:$AF$36,""),""),班別參數!$A$4:$A$20,班別參數!$B$4:$B$20,""),"")</f>
        <v>輪休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/>
      </c>
      <c r="AT31" s="180" t="str">
        <f t="shared" si="0"/>
        <v/>
      </c>
      <c r="AU31" s="180" t="str">
        <f t="shared" si="1"/>
        <v/>
      </c>
      <c r="AW31" s="47"/>
      <c r="AX31" s="45"/>
      <c r="AY31" s="25"/>
      <c r="AZ31" s="28"/>
      <c r="BA31" s="33"/>
      <c r="BB31" s="25"/>
      <c r="BD31" s="127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24</v>
      </c>
      <c r="D32" s="97"/>
      <c r="E32" s="97"/>
      <c r="F32" s="97"/>
      <c r="G32" s="121" t="s">
        <v>361</v>
      </c>
      <c r="H32" s="56"/>
      <c r="I32" s="94">
        <f>_xlfn.XLOOKUP(_xlfn.XLOOKUP($AS$6&amp;$B32,公表[班別+時段],公表[救護1],""),$AX$9:$AX$25,$AY$9:$AY$25,"")</f>
        <v>8</v>
      </c>
      <c r="J32" s="94">
        <f>_xlfn.XLOOKUP(_xlfn.XLOOKUP($AS$6&amp;$B32,公表[班別+時段],公表[救護2],""),$AX$9:$AX$25,$AY$9:$AY$25,"")</f>
        <v>15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26</v>
      </c>
      <c r="O32" s="90">
        <f>_xlfn.XLOOKUP(_xlfn.XLOOKUP($AS$6&amp;$B32,公表[班別+時段],公表[備勤2],""),$AX$9:$AX$25,$AY$9:$AY$25,"")</f>
        <v>12</v>
      </c>
      <c r="P32" s="90"/>
      <c r="Q32" s="90">
        <f>_xlfn.XLOOKUP(_xlfn.XLOOKUP($AS$6&amp;$B32,公表[班別+時段],公表[備勤3],""),$AX$9:$AX$25,$AY$9:$AY$25,"")</f>
        <v>27</v>
      </c>
      <c r="R32" s="90">
        <f>_xlfn.XLOOKUP(_xlfn.XLOOKUP($AS$6&amp;$B32,公表[班別+時段],公表[備勤4],""),$AX$9:$AX$25,$AY$9:$AY$25,"")</f>
        <v>0</v>
      </c>
      <c r="S32" s="90"/>
      <c r="T32" s="90">
        <f>_xlfn.XLOOKUP(_xlfn.XLOOKUP($AS$6&amp;$B32,公表[班別+時段],公表[備勤5],""),$AX$9:$AX$25,$AY$9:$AY$25,"")</f>
        <v>0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90"/>
      <c r="AC32" s="90"/>
      <c r="AD32" s="90"/>
      <c r="AE32" s="91">
        <v>3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27">
        <v>24</v>
      </c>
      <c r="AP32" s="127" t="str">
        <v>賴俊豪</v>
      </c>
      <c r="AQ32" s="127" t="str" cm="1">
        <f t="array" ref="AQ32">IFERROR(_xlfn.XLOOKUP(_xlfn.XLOOKUP($AQ$3,輪休基準表!$C$6:$C$36,_xlfn.XLOOKUP(AP32,輪休基準表!$E$5:$AF$5,輪休基準表!$E$6:$AF$36,""),""),班別參數!$A$4:$A$20,班別參數!$B$4:$B$20,""),"")</f>
        <v>上班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>已排</v>
      </c>
      <c r="AT32" s="180">
        <f t="shared" si="0"/>
        <v>6</v>
      </c>
      <c r="AU32" s="180">
        <f t="shared" si="1"/>
        <v>2</v>
      </c>
      <c r="AW32" s="47"/>
      <c r="AX32" s="45"/>
      <c r="AY32" s="25"/>
      <c r="AZ32" s="28"/>
      <c r="BA32" s="33"/>
      <c r="BB32" s="25"/>
      <c r="BD32" s="127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24</v>
      </c>
      <c r="D33" s="95"/>
      <c r="E33" s="95"/>
      <c r="F33" s="95"/>
      <c r="G33" s="122" t="s">
        <v>361</v>
      </c>
      <c r="H33" s="48"/>
      <c r="I33" s="92">
        <f>_xlfn.XLOOKUP(_xlfn.XLOOKUP($AS$6&amp;$B33,公表[班別+時段],公表[救護1],""),$AX$9:$AX$25,$AY$9:$AY$25,"")</f>
        <v>8</v>
      </c>
      <c r="J33" s="92">
        <f>_xlfn.XLOOKUP(_xlfn.XLOOKUP($AS$6&amp;$B33,公表[班別+時段],公表[救護2],""),$AX$9:$AX$25,$AY$9:$AY$25,"")</f>
        <v>15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26</v>
      </c>
      <c r="O33" s="87">
        <f>_xlfn.XLOOKUP(_xlfn.XLOOKUP($AS$6&amp;$B33,公表[班別+時段],公表[備勤2],""),$AX$9:$AX$25,$AY$9:$AY$25,"")</f>
        <v>12</v>
      </c>
      <c r="P33" s="87"/>
      <c r="Q33" s="87">
        <f>_xlfn.XLOOKUP(_xlfn.XLOOKUP($AS$6&amp;$B33,公表[班別+時段],公表[備勤3],""),$AX$9:$AX$25,$AY$9:$AY$25,"")</f>
        <v>27</v>
      </c>
      <c r="R33" s="87">
        <f>_xlfn.XLOOKUP(_xlfn.XLOOKUP($AS$6&amp;$B33,公表[班別+時段],公表[備勤4],""),$AX$9:$AX$25,$AY$9:$AY$25,"")</f>
        <v>0</v>
      </c>
      <c r="S33" s="87"/>
      <c r="T33" s="87">
        <f>_xlfn.XLOOKUP(_xlfn.XLOOKUP($AS$6&amp;$B33,公表[班別+時段],公表[備勤5],""),$AX$9:$AX$25,$AY$9:$AY$25,"")</f>
        <v>0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87"/>
      <c r="AC33" s="87"/>
      <c r="AD33" s="87"/>
      <c r="AE33" s="88">
        <v>3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27">
        <v>25</v>
      </c>
      <c r="AP33" s="127" t="str">
        <v>郭國偵</v>
      </c>
      <c r="AQ33" s="127" t="str" cm="1">
        <f t="array" ref="AQ33">IFERROR(_xlfn.XLOOKUP(_xlfn.XLOOKUP($AQ$3,輪休基準表!$C$6:$C$36,_xlfn.XLOOKUP(AP33,輪休基準表!$E$5:$AF$5,輪休基準表!$E$6:$AF$36,""),""),班別參數!$A$4:$A$20,班別參數!$B$4:$B$20,""),"")</f>
        <v>輪休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/>
      </c>
      <c r="AT33" s="180" t="str">
        <f t="shared" si="0"/>
        <v/>
      </c>
      <c r="AU33" s="180" t="str">
        <f t="shared" si="1"/>
        <v/>
      </c>
      <c r="AW33" s="47"/>
      <c r="AX33" s="45"/>
      <c r="AY33" s="25"/>
      <c r="AZ33" s="28"/>
      <c r="BA33" s="25"/>
      <c r="BB33" s="25"/>
      <c r="BD33" s="127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一、本日主管上班。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27">
        <v>26</v>
      </c>
      <c r="AP34" s="127" t="str">
        <v>楊紹文</v>
      </c>
      <c r="AQ34" s="127" t="str" cm="1">
        <f t="array" ref="AQ34">IFERROR(_xlfn.XLOOKUP(_xlfn.XLOOKUP($AQ$3,輪休基準表!$C$6:$C$36,_xlfn.XLOOKUP(AP34,輪休基準表!$E$5:$AF$5,輪休基準表!$E$6:$AF$36,""),""),班別參數!$A$4:$A$20,班別參數!$B$4:$B$20,""),"")</f>
        <v>上班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>已排</v>
      </c>
      <c r="AT34" s="180">
        <f t="shared" si="0"/>
        <v>8</v>
      </c>
      <c r="AU34" s="180">
        <f t="shared" si="1"/>
        <v>8</v>
      </c>
      <c r="AW34" s="47"/>
      <c r="AX34" s="45"/>
      <c r="AY34" s="25"/>
      <c r="AZ34" s="28"/>
      <c r="BA34" s="25"/>
      <c r="BB34" s="25"/>
      <c r="BD34" s="127"/>
    </row>
    <row r="35" spans="2:56" ht="30" customHeight="1">
      <c r="B35" s="349"/>
      <c r="C35" s="359" t="str">
        <f>CONCATENATE("二、在隊訓練:09-12時:",H11,";14-17時:",H16,";19-21時:",H21,"。")</f>
        <v>二、在隊訓練:09-12時:通風排煙訓練;14-17時:人命救助訓練;19-21時:火場控制及殘火處理。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27">
        <v>27</v>
      </c>
      <c r="AP35" s="127" t="str">
        <v>林宏為</v>
      </c>
      <c r="AQ35" s="127" t="str" cm="1">
        <f t="array" ref="AQ35">IFERROR(_xlfn.XLOOKUP(_xlfn.XLOOKUP($AQ$3,輪休基準表!$C$6:$C$36,_xlfn.XLOOKUP(AP35,輪休基準表!$E$5:$AF$5,輪休基準表!$E$6:$AF$36,""),""),班別參數!$A$4:$A$20,班別參數!$B$4:$B$20,""),"")</f>
        <v>上班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>已排</v>
      </c>
      <c r="AT35" s="180">
        <f t="shared" si="0"/>
        <v>6</v>
      </c>
      <c r="AU35" s="180">
        <f t="shared" si="1"/>
        <v>8</v>
      </c>
      <c r="AW35" s="47"/>
      <c r="AX35" s="45"/>
      <c r="AY35" s="25"/>
      <c r="AZ35" s="28"/>
      <c r="BA35" s="25"/>
      <c r="BB35" s="25"/>
      <c r="BD35" s="127"/>
    </row>
    <row r="36" spans="2:56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27">
        <v>28</v>
      </c>
      <c r="AP36" s="127" t="str">
        <v>林宸彥</v>
      </c>
      <c r="AQ36" s="127" t="str" cm="1">
        <f t="array" ref="AQ36">IFERROR(_xlfn.XLOOKUP(_xlfn.XLOOKUP($AQ$3,輪休基準表!$C$6:$C$36,_xlfn.XLOOKUP(AP36,輪休基準表!$E$5:$AF$5,輪休基準表!$E$6:$AF$36,""),""),班別參數!$A$4:$A$20,班別參數!$B$4:$B$20,""),"")</f>
        <v>輪休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/>
      </c>
      <c r="AT36" s="180" t="str">
        <f t="shared" si="0"/>
        <v/>
      </c>
      <c r="AU36" s="180" t="str">
        <f t="shared" si="1"/>
        <v/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27"/>
      <c r="AP37" s="127"/>
      <c r="AQ37" s="127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27"/>
      <c r="BD37" s="10"/>
    </row>
    <row r="38" spans="2:56" ht="15" customHeight="1">
      <c r="AQ38" s="127"/>
      <c r="AR38" s="118"/>
      <c r="AS38" s="119"/>
      <c r="AT38" s="119"/>
    </row>
    <row r="39" spans="2:56" ht="15" customHeight="1">
      <c r="AR39" s="118"/>
      <c r="AS39" s="119"/>
      <c r="AT39" s="119"/>
    </row>
    <row r="40" spans="2:56" ht="15" customHeight="1">
      <c r="AR40" s="118"/>
      <c r="AS40" s="119"/>
      <c r="AT40" s="119"/>
    </row>
  </sheetData>
  <mergeCells count="74">
    <mergeCell ref="AG22:AK22"/>
    <mergeCell ref="AG23:AM23"/>
    <mergeCell ref="AG24:AI24"/>
    <mergeCell ref="AK24:AM24"/>
    <mergeCell ref="AF33:AG33"/>
    <mergeCell ref="AH33:AI33"/>
    <mergeCell ref="AJ33:AK33"/>
    <mergeCell ref="AF31:AG31"/>
    <mergeCell ref="AH31:AI31"/>
    <mergeCell ref="AJ31:AK31"/>
    <mergeCell ref="AF32:AG32"/>
    <mergeCell ref="AH32:AI32"/>
    <mergeCell ref="AJ32:AK32"/>
    <mergeCell ref="AF27:AF28"/>
    <mergeCell ref="AG27:AM27"/>
    <mergeCell ref="AG28:AM28"/>
    <mergeCell ref="B34:B36"/>
    <mergeCell ref="C34:AE34"/>
    <mergeCell ref="AF34:AM34"/>
    <mergeCell ref="C35:AE35"/>
    <mergeCell ref="AF35:AM35"/>
    <mergeCell ref="C36:AE36"/>
    <mergeCell ref="AF36:AM36"/>
    <mergeCell ref="AF29:AM29"/>
    <mergeCell ref="AF30:AG30"/>
    <mergeCell ref="AH30:AI30"/>
    <mergeCell ref="AJ30:AK30"/>
    <mergeCell ref="AG25:AI25"/>
    <mergeCell ref="AK25:AM25"/>
    <mergeCell ref="C8:AE8"/>
    <mergeCell ref="C9:AE9"/>
    <mergeCell ref="M10:M33"/>
    <mergeCell ref="H11:H13"/>
    <mergeCell ref="H16:H18"/>
    <mergeCell ref="H21:H22"/>
    <mergeCell ref="E10:E14"/>
    <mergeCell ref="F16:F17"/>
    <mergeCell ref="D11:D13"/>
    <mergeCell ref="I6:J6"/>
    <mergeCell ref="K6:L6"/>
    <mergeCell ref="N6:P6"/>
    <mergeCell ref="Q6:S6"/>
    <mergeCell ref="T6:V6"/>
    <mergeCell ref="AF5:AM6"/>
    <mergeCell ref="AO5:AO6"/>
    <mergeCell ref="T7:V7"/>
    <mergeCell ref="AR5:AR6"/>
    <mergeCell ref="AS5:AT5"/>
    <mergeCell ref="W6:Y6"/>
    <mergeCell ref="AE6:AE7"/>
    <mergeCell ref="AS6:AT6"/>
    <mergeCell ref="AP5:AQ6"/>
    <mergeCell ref="G5:G7"/>
    <mergeCell ref="B3:AM3"/>
    <mergeCell ref="AW3:AX3"/>
    <mergeCell ref="AY3:BB3"/>
    <mergeCell ref="B4:AI4"/>
    <mergeCell ref="AJ4:AM4"/>
    <mergeCell ref="AW4:AX4"/>
    <mergeCell ref="AY4:BB4"/>
    <mergeCell ref="B5:B7"/>
    <mergeCell ref="C5:C7"/>
    <mergeCell ref="D5:D7"/>
    <mergeCell ref="E5:E7"/>
    <mergeCell ref="F5:F7"/>
    <mergeCell ref="H5:H7"/>
    <mergeCell ref="I5:L5"/>
    <mergeCell ref="M5:AE5"/>
    <mergeCell ref="AY2:BB2"/>
    <mergeCell ref="B1:AE1"/>
    <mergeCell ref="AP1:AQ1"/>
    <mergeCell ref="B2:AE2"/>
    <mergeCell ref="AG2:AM2"/>
    <mergeCell ref="AW2:AX2"/>
  </mergeCells>
  <phoneticPr fontId="9" type="noConversion"/>
  <conditionalFormatting sqref="AO9:AQ36 AO37:AP37 AQ37:AQ38">
    <cfRule type="expression" dxfId="146" priority="16">
      <formula>COUNTIF($AQ9,"上班")&gt;=1</formula>
    </cfRule>
  </conditionalFormatting>
  <conditionalFormatting sqref="AF8:AF13 AH8:AH21 AJ8:AJ21 AL8:AM21">
    <cfRule type="expression" dxfId="145" priority="11">
      <formula>OR(VLOOKUP(AF8,$AO$9:$AQ$40,3,0)="上班",VLOOKUP(AF8,$AO$9:$AQ$40,3,0)="外宿")</formula>
    </cfRule>
  </conditionalFormatting>
  <conditionalFormatting sqref="AL8">
    <cfRule type="expression" dxfId="144" priority="10">
      <formula>OR(VLOOKUP(AL8,$AO$9:$AQ$36,3,0)="上班",VLOOKUP(AL8,$AO$9:$AQ$36,3,0)="外宿")</formula>
    </cfRule>
  </conditionalFormatting>
  <conditionalFormatting sqref="AR9:AR36">
    <cfRule type="notContainsText" dxfId="143" priority="2" operator="notContains" text="已排">
      <formula>ISERROR(SEARCH("已排",AR9))</formula>
    </cfRule>
  </conditionalFormatting>
  <conditionalFormatting sqref="AS9:AS36">
    <cfRule type="notContainsText" dxfId="142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3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2404D-3416-43A2-BF52-E3974DFA0D68}">
  <sheetPr codeName="工作表10">
    <pageSetUpPr fitToPage="1"/>
  </sheetPr>
  <dimension ref="B1:BD40"/>
  <sheetViews>
    <sheetView showZeros="0" view="pageBreakPreview" zoomScale="55" zoomScaleNormal="55" zoomScaleSheetLayoutView="55" workbookViewId="0">
      <selection activeCell="Z24" sqref="Z24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5" width="5.375" style="126" customWidth="1"/>
    <col min="6" max="6" width="6.75" style="126" customWidth="1"/>
    <col min="7" max="8" width="8.625" style="126" customWidth="1"/>
    <col min="9" max="12" width="5.375" style="126" customWidth="1"/>
    <col min="13" max="13" width="6.625" style="126" customWidth="1"/>
    <col min="14" max="31" width="5.375" style="126" customWidth="1"/>
    <col min="32" max="32" width="7.625" style="126" customWidth="1"/>
    <col min="33" max="33" width="10.625" style="126" customWidth="1"/>
    <col min="34" max="34" width="7.625" style="126" customWidth="1"/>
    <col min="35" max="35" width="10.625" style="126" customWidth="1"/>
    <col min="36" max="36" width="7.625" style="126" customWidth="1"/>
    <col min="37" max="37" width="10.625" style="126" customWidth="1"/>
    <col min="38" max="38" width="7.625" style="126" customWidth="1"/>
    <col min="39" max="39" width="10.625" style="126" customWidth="1"/>
    <col min="40" max="40" width="4.125" style="213" customWidth="1"/>
    <col min="41" max="47" width="11.625" style="126" customWidth="1"/>
    <col min="48" max="48" width="4.125" style="126" customWidth="1"/>
    <col min="49" max="49" width="16" style="126" customWidth="1"/>
    <col min="50" max="51" width="8.25" style="126" customWidth="1"/>
    <col min="52" max="52" width="4.125" style="126" customWidth="1"/>
    <col min="53" max="53" width="16" style="126" customWidth="1"/>
    <col min="54" max="54" width="8.25" style="126" customWidth="1"/>
    <col min="55" max="55" width="10.875" style="126" customWidth="1"/>
    <col min="56" max="58" width="4.125" style="126" customWidth="1"/>
    <col min="59" max="16384" width="11.25" style="126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27"/>
      <c r="AP1" s="399"/>
      <c r="AQ1" s="399"/>
      <c r="AR1" s="127"/>
      <c r="AS1" s="127"/>
      <c r="AT1" s="127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3" t="s">
        <v>178</v>
      </c>
      <c r="AR2" s="146" t="s">
        <v>228</v>
      </c>
      <c r="AS2" s="142"/>
      <c r="AT2" s="140"/>
      <c r="AU2" s="127"/>
      <c r="AV2" s="127"/>
      <c r="AW2" s="362" t="s">
        <v>127</v>
      </c>
      <c r="AX2" s="287"/>
      <c r="AY2" s="367" t="str">
        <f>_xlfn.XLOOKUP($AR$3,訓練!$L$13:$L$19,訓練!$M$13:$M$19,"")</f>
        <v>個人防護裝備操作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115年5月6日星期三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6</v>
      </c>
      <c r="AR3" s="141" t="str">
        <f>RIGHT(TEXT(1911+$AO$3&amp;"/"&amp;$AP$3&amp;"/"&amp;$AQ$3,"aaaa"),1)</f>
        <v>三</v>
      </c>
      <c r="AS3" s="145"/>
      <c r="AT3" s="145"/>
      <c r="AU3" s="127"/>
      <c r="AV3" s="127"/>
      <c r="AW3" s="362" t="s">
        <v>128</v>
      </c>
      <c r="AX3" s="287"/>
      <c r="AY3" s="368" t="str">
        <f>_xlfn.XLOOKUP($AR$3,訓練!$L$13:$L$19,訓練!$N$13:$N$19,"")</f>
        <v>常訓體技能訓練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27"/>
      <c r="AU4" s="127"/>
      <c r="AV4" s="127"/>
      <c r="AW4" s="362" t="s">
        <v>129</v>
      </c>
      <c r="AX4" s="287"/>
      <c r="AY4" s="363" t="str">
        <f>_xlfn.XLOOKUP($AR$3,訓練!$L$13:$L$19,訓練!$O$13:$O$19,"")</f>
        <v>救護訓練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2" t="s">
        <v>341</v>
      </c>
      <c r="E5" s="340" t="s">
        <v>363</v>
      </c>
      <c r="F5" s="340" t="s">
        <v>364</v>
      </c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341"/>
      <c r="E6" s="341"/>
      <c r="F6" s="341"/>
      <c r="G6" s="312"/>
      <c r="H6" s="312"/>
      <c r="I6" s="334" t="s">
        <v>227</v>
      </c>
      <c r="J6" s="335"/>
      <c r="K6" s="334" t="s">
        <v>346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2+7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341"/>
      <c r="E7" s="341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192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27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27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27" cm="1">
        <f t="array" ref="AO9:AP36">TRANSPOSE(輪休基準表!E4:AF5)</f>
        <v>1</v>
      </c>
      <c r="AP9" s="127" t="str">
        <v>鄧力嘉</v>
      </c>
      <c r="AQ9" s="127" t="str" cm="1">
        <f t="array" ref="AQ9">IFERROR(_xlfn.XLOOKUP(_xlfn.XLOOKUP($AQ$3,輪休基準表!$C$6:$C$36,_xlfn.XLOOKUP(AP9,輪休基準表!$E$5:$AF$5,輪休基準表!$E$6:$AF$36,""),""),班別參數!$A$4:$A$20,班別參數!$B$4:$B$20,""),"")</f>
        <v>輪休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/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 t="array" ref="AX9">IFERROR(INDEX(班別參數!$D$4:$S$20,MATCH(AW9,班別參數!$D$4:$D$20,0),MATCH($AS$6,班別參數!$D$4:$S$4,0)),"")</f>
        <v>A</v>
      </c>
      <c r="AY9" s="35">
        <v>6</v>
      </c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H,K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10,2</v>
      </c>
      <c r="BD9" s="127"/>
    </row>
    <row r="10" spans="2:56" ht="30" customHeight="1">
      <c r="B10" s="81" t="s">
        <v>70</v>
      </c>
      <c r="C10" s="87">
        <f>_xlfn.XLOOKUP(_xlfn.XLOOKUP($AS$6&amp;$B10,公表[班別+時段],公表[值班],""),$AX$9:$AX$25,$AY$9:$AY$25,"")</f>
        <v>6</v>
      </c>
      <c r="D10" s="95"/>
      <c r="E10" s="95"/>
      <c r="F10" s="95"/>
      <c r="G10" s="122" t="str">
        <f>IF(BC9="","",BC9)</f>
        <v>10,2</v>
      </c>
      <c r="H10" s="37"/>
      <c r="I10" s="92">
        <f>_xlfn.XLOOKUP(_xlfn.XLOOKUP($AS$6&amp;$B10,公表[班別+時段],公表[救護1],""),$AX$9:$AX$25,$AY$9:$AY$25,"")</f>
        <v>25</v>
      </c>
      <c r="J10" s="92">
        <f>_xlfn.XLOOKUP(_xlfn.XLOOKUP($AS$6&amp;$B10,公表[班別+時段],公表[救護2],""),$AX$9:$AX$25,$AY$9:$AY$25,"")</f>
        <v>28</v>
      </c>
      <c r="K10" s="87"/>
      <c r="L10" s="87" t="s">
        <v>212</v>
      </c>
      <c r="M10" s="311"/>
      <c r="N10" s="87">
        <f>_xlfn.XLOOKUP(_xlfn.XLOOKUP($AS$6&amp;$B10,公表[班別+時段],公表[備勤1],""),$AX$9:$AX$25,$AY$9:$AY$25,"")</f>
        <v>26</v>
      </c>
      <c r="O10" s="87">
        <f>_xlfn.XLOOKUP(_xlfn.XLOOKUP($AS$6&amp;$B10,公表[班別+時段],公表[備勤2],""),$AX$9:$AX$25,$AY$9:$AY$25,"")</f>
        <v>21</v>
      </c>
      <c r="P10" s="87"/>
      <c r="Q10" s="87">
        <f>_xlfn.XLOOKUP(_xlfn.XLOOKUP($AS$6&amp;$B10,公表[班別+時段],公表[備勤3],""),$AX$9:$AX$25,$AY$9:$AY$25,"")</f>
        <v>17</v>
      </c>
      <c r="R10" s="87">
        <f>_xlfn.XLOOKUP(_xlfn.XLOOKUP($AS$6&amp;$B10,公表[班別+時段],公表[備勤4],""),$AX$9:$AX$25,$AY$9:$AY$25,"")</f>
        <v>0</v>
      </c>
      <c r="S10" s="87"/>
      <c r="T10" s="87">
        <f>_xlfn.XLOOKUP(_xlfn.XLOOKUP($AS$6&amp;$B10,公表[班別+時段],公表[備勤5],""),$AX$9:$AX$25,$AY$9:$AY$25,"")</f>
        <v>0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87"/>
      <c r="AB10" s="87"/>
      <c r="AC10" s="87"/>
      <c r="AD10" s="87"/>
      <c r="AE10" s="88">
        <f>_xlfn.XLOOKUP(_xlfn.XLOOKUP($AS$6&amp;$B10,公表[班別+時段],公表[指揮官],""),$AX$9:$AX$25,$AY$9:$AY$25,"")</f>
        <v>5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27">
        <v>2</v>
      </c>
      <c r="AP10" s="127" t="str">
        <v>莊勝斌</v>
      </c>
      <c r="AQ10" s="127" t="str" cm="1">
        <f t="array" ref="AQ10">IFERROR(_xlfn.XLOOKUP(_xlfn.XLOOKUP($AQ$3,輪休基準表!$C$6:$C$36,_xlfn.XLOOKUP(AP10,輪休基準表!$E$5:$AF$5,輪休基準表!$E$6:$AF$36,""),""),班別參數!$A$4:$A$20,班別參數!$B$4:$B$20,""),"")</f>
        <v>上班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>已排</v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>
        <v>17</v>
      </c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21</v>
      </c>
      <c r="BD10" s="127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6</v>
      </c>
      <c r="D11" s="95"/>
      <c r="E11" s="95"/>
      <c r="F11" s="268" t="s">
        <v>365</v>
      </c>
      <c r="G11" s="122" t="str">
        <f>IF(BC9="","",BC9)</f>
        <v>10,2</v>
      </c>
      <c r="H11" s="296" t="str">
        <f>AY2</f>
        <v>個人防護裝備操作</v>
      </c>
      <c r="I11" s="92">
        <f>_xlfn.XLOOKUP(_xlfn.XLOOKUP($AS$6&amp;$B11,公表[班別+時段],公表[救護1],""),$AX$9:$AX$25,$AY$9:$AY$25,"")</f>
        <v>25</v>
      </c>
      <c r="J11" s="92">
        <f>_xlfn.XLOOKUP(_xlfn.XLOOKUP($AS$6&amp;$B11,公表[班別+時段],公表[救護2],""),$AX$9:$AX$25,$AY$9:$AY$25,"")</f>
        <v>28</v>
      </c>
      <c r="K11" s="87"/>
      <c r="L11" s="87" t="s">
        <v>212</v>
      </c>
      <c r="M11" s="312"/>
      <c r="N11" s="87">
        <f>_xlfn.XLOOKUP(_xlfn.XLOOKUP($AS$6&amp;$B11,公表[班別+時段],公表[備勤1],""),$AX$9:$AX$25,$AY$9:$AY$25,"")</f>
        <v>26</v>
      </c>
      <c r="O11" s="87">
        <f>_xlfn.XLOOKUP(_xlfn.XLOOKUP($AS$6&amp;$B11,公表[班別+時段],公表[備勤2],""),$AX$9:$AX$25,$AY$9:$AY$25,"")</f>
        <v>21</v>
      </c>
      <c r="P11" s="87"/>
      <c r="Q11" s="87"/>
      <c r="R11" s="87">
        <f>_xlfn.XLOOKUP(_xlfn.XLOOKUP($AS$6&amp;$B11,公表[班別+時段],公表[備勤4],""),$AX$9:$AX$25,$AY$9:$AY$25,"")</f>
        <v>0</v>
      </c>
      <c r="S11" s="87"/>
      <c r="T11" s="87">
        <f>_xlfn.XLOOKUP(_xlfn.XLOOKUP($AS$6&amp;$B11,公表[班別+時段],公表[備勤5],""),$AX$9:$AX$25,$AY$9:$AY$25,"")</f>
        <v>0</v>
      </c>
      <c r="U11" s="87">
        <f>_xlfn.XLOOKUP(_xlfn.XLOOKUP($AS$6&amp;$B11,公表[班別+時段],公表[備勤6],""),$AX$9:$AX$25,$AY$9:$AY$25,"")</f>
        <v>0</v>
      </c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87"/>
      <c r="AB11" s="87"/>
      <c r="AC11" s="87"/>
      <c r="AD11" s="87"/>
      <c r="AE11" s="88">
        <f>_xlfn.XLOOKUP(_xlfn.XLOOKUP($AS$6&amp;$B11,公表[班別+時段],公表[指揮官],""),$AX$9:$AX$25,$AY$9:$AY$25,"")</f>
        <v>5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27">
        <v>3</v>
      </c>
      <c r="AP11" s="127" t="str">
        <v>孫子翔</v>
      </c>
      <c r="AQ11" s="127" t="str" cm="1">
        <f t="array" ref="AQ11">IFERROR(_xlfn.XLOOKUP(_xlfn.XLOOKUP($AQ$3,輪休基準表!$C$6:$C$36,_xlfn.XLOOKUP(AP11,輪休基準表!$E$5:$AF$5,輪休基準表!$E$6:$AF$36,""),""),班別參數!$A$4:$A$20,班別參數!$B$4:$B$20,""),"")</f>
        <v>輪休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/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>
        <v>28</v>
      </c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F</v>
      </c>
      <c r="BC11" s="39" t="str">
        <f t="shared" si="2"/>
        <v>25</v>
      </c>
      <c r="BD11" s="127"/>
    </row>
    <row r="12" spans="2:56" ht="30" customHeight="1">
      <c r="B12" s="81" t="s">
        <v>75</v>
      </c>
      <c r="C12" s="87">
        <f>_xlfn.XLOOKUP(_xlfn.XLOOKUP($AS$6&amp;$B12,公表[班別+時段],公表[值班],""),$AX$9:$AX$25,$AY$9:$AY$25,"")</f>
        <v>17</v>
      </c>
      <c r="D12" s="292">
        <v>25</v>
      </c>
      <c r="E12" s="292">
        <v>2</v>
      </c>
      <c r="F12" s="95"/>
      <c r="G12" s="122">
        <v>10</v>
      </c>
      <c r="H12" s="314"/>
      <c r="I12" s="92">
        <f>_xlfn.XLOOKUP(_xlfn.XLOOKUP($AS$6&amp;$B12,公表[班別+時段],公表[救護1],""),$AX$9:$AX$25,$AY$9:$AY$25,"")</f>
        <v>6</v>
      </c>
      <c r="J12" s="92">
        <f>_xlfn.XLOOKUP(_xlfn.XLOOKUP($AS$6&amp;$B12,公表[班別+時段],公表[救護2],""),$AX$9:$AX$25,$AY$9:$AY$25,"")</f>
        <v>26</v>
      </c>
      <c r="K12" s="92"/>
      <c r="L12" s="87" t="s">
        <v>212</v>
      </c>
      <c r="M12" s="312"/>
      <c r="N12" s="87">
        <v>21</v>
      </c>
      <c r="O12" s="87">
        <v>28</v>
      </c>
      <c r="P12" s="87"/>
      <c r="Q12" s="87"/>
      <c r="R12" s="87">
        <f>_xlfn.XLOOKUP(_xlfn.XLOOKUP($AS$6&amp;$B12,公表[班別+時段],公表[備勤4],""),$AX$9:$AX$25,$AY$9:$AY$25,"")</f>
        <v>0</v>
      </c>
      <c r="S12" s="87"/>
      <c r="T12" s="87"/>
      <c r="U12" s="87">
        <f>_xlfn.XLOOKUP(_xlfn.XLOOKUP($AS$6&amp;$B12,公表[班別+時段],公表[備勤6],""),$AX$9:$AX$25,$AY$9:$AY$25,"")</f>
        <v>0</v>
      </c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87"/>
      <c r="AC12" s="87"/>
      <c r="AD12" s="87"/>
      <c r="AE12" s="88">
        <v>5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27">
        <v>4</v>
      </c>
      <c r="AP12" s="127" t="str">
        <v>簡永豐</v>
      </c>
      <c r="AQ12" s="127" t="str" cm="1">
        <f t="array" ref="AQ12">IFERROR(_xlfn.XLOOKUP(_xlfn.XLOOKUP($AQ$3,輪休基準表!$C$6:$C$36,_xlfn.XLOOKUP(AP12,輪休基準表!$E$5:$AF$5,輪休基準表!$E$6:$AF$36,""),""),班別參數!$A$4:$A$20,班別參數!$B$4:$B$20,""),"")</f>
        <v>月補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/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>
        <v>26</v>
      </c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27"/>
    </row>
    <row r="13" spans="2:56" ht="30" customHeight="1" thickBot="1">
      <c r="B13" s="82" t="s">
        <v>76</v>
      </c>
      <c r="C13" s="89">
        <f>_xlfn.XLOOKUP(_xlfn.XLOOKUP($AS$6&amp;$B13,公表[班別+時段],公表[值班],""),$AX$9:$AX$25,$AY$9:$AY$25,"")</f>
        <v>17</v>
      </c>
      <c r="D13" s="293"/>
      <c r="E13" s="293"/>
      <c r="F13" s="96"/>
      <c r="G13" s="123">
        <v>10</v>
      </c>
      <c r="H13" s="315"/>
      <c r="I13" s="216">
        <f>_xlfn.XLOOKUP(_xlfn.XLOOKUP($AS$6&amp;$B13,公表[班別+時段],公表[救護1],""),$AX$9:$AX$25,$AY$9:$AY$25,"")</f>
        <v>6</v>
      </c>
      <c r="J13" s="216">
        <f>_xlfn.XLOOKUP(_xlfn.XLOOKUP($AS$6&amp;$B13,公表[班別+時段],公表[救護2],""),$AX$9:$AX$25,$AY$9:$AY$25,"")</f>
        <v>26</v>
      </c>
      <c r="K13" s="105"/>
      <c r="L13" s="93" t="s">
        <v>212</v>
      </c>
      <c r="M13" s="312"/>
      <c r="N13" s="89">
        <v>21</v>
      </c>
      <c r="O13" s="89">
        <v>28</v>
      </c>
      <c r="P13" s="89"/>
      <c r="Q13" s="89"/>
      <c r="R13" s="89">
        <f>_xlfn.XLOOKUP(_xlfn.XLOOKUP($AS$6&amp;$B13,公表[班別+時段],公表[備勤4],""),$AX$9:$AX$25,$AY$9:$AY$25,"")</f>
        <v>0</v>
      </c>
      <c r="S13" s="89"/>
      <c r="T13" s="89"/>
      <c r="U13" s="89">
        <f>_xlfn.XLOOKUP(_xlfn.XLOOKUP($AS$6&amp;$B13,公表[班別+時段],公表[備勤6],""),$AX$9:$AX$25,$AY$9:$AY$25,"")</f>
        <v>0</v>
      </c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89"/>
      <c r="AC13" s="89"/>
      <c r="AD13" s="89"/>
      <c r="AE13" s="104">
        <v>5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27">
        <v>5</v>
      </c>
      <c r="AP13" s="127" t="str">
        <v>張鴻志</v>
      </c>
      <c r="AQ13" s="127" t="str" cm="1">
        <f t="array" ref="AQ13">IFERROR(_xlfn.XLOOKUP(_xlfn.XLOOKUP($AQ$3,輪休基準表!$C$6:$C$36,_xlfn.XLOOKUP(AP13,輪休基準表!$E$5:$AF$5,輪休基準表!$E$6:$AF$36,""),""),班別參數!$A$4:$A$20,班別參數!$B$4:$B$20,""),"")</f>
        <v>上班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>已排</v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>
        <v>21</v>
      </c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>6</v>
      </c>
      <c r="BD13" s="127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28</v>
      </c>
      <c r="D14" s="234"/>
      <c r="E14" s="97"/>
      <c r="F14" s="97"/>
      <c r="G14" s="121" t="str">
        <f>IF(BC11="","",BC11)</f>
        <v>25</v>
      </c>
      <c r="H14" s="55"/>
      <c r="I14" s="94">
        <f>_xlfn.XLOOKUP(_xlfn.XLOOKUP($AS$6&amp;$B14,公表[班別+時段],公表[救護1],""),$AX$9:$AX$25,$AY$9:$AY$25,"")</f>
        <v>17</v>
      </c>
      <c r="J14" s="94">
        <f>_xlfn.XLOOKUP(_xlfn.XLOOKUP($AS$6&amp;$B14,公表[班別+時段],公表[救護2],""),$AX$9:$AX$25,$AY$9:$AY$25,"")</f>
        <v>10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6</v>
      </c>
      <c r="O14" s="90">
        <f>_xlfn.XLOOKUP(_xlfn.XLOOKUP($AS$6&amp;$B14,公表[班別+時段],公表[備勤2],""),$AX$9:$AX$25,$AY$9:$AY$25,"")</f>
        <v>21</v>
      </c>
      <c r="P14" s="90"/>
      <c r="Q14" s="90">
        <f>_xlfn.XLOOKUP(_xlfn.XLOOKUP($AS$6&amp;$B14,公表[班別+時段],公表[備勤3],""),$AX$9:$AX$25,$AY$9:$AY$25,"")</f>
        <v>26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5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90"/>
      <c r="AC14" s="90"/>
      <c r="AD14" s="90"/>
      <c r="AE14" s="91">
        <f>_xlfn.XLOOKUP(_xlfn.XLOOKUP($AS$6&amp;$B14,公表[班別+時段],公表[指揮官],""),$AX$9:$AX$25,$AY$9:$AY$25,"")</f>
        <v>2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27">
        <v>6</v>
      </c>
      <c r="AP14" s="127" t="str">
        <v>吳宗耕</v>
      </c>
      <c r="AQ14" s="127" t="str" cm="1">
        <f t="array" ref="AQ14">IFERROR(_xlfn.XLOOKUP(_xlfn.XLOOKUP($AQ$3,輪休基準表!$C$6:$C$36,_xlfn.XLOOKUP(AP14,輪休基準表!$E$5:$AF$5,輪休基準表!$E$6:$AF$36,""),""),班別參數!$A$4:$A$20,班別參數!$B$4:$B$20,""),"")</f>
        <v>上班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>已排</v>
      </c>
      <c r="AT14" s="180">
        <f t="shared" si="0"/>
        <v>6</v>
      </c>
      <c r="AU14" s="180">
        <f t="shared" si="1"/>
        <v>6</v>
      </c>
      <c r="AV14" s="25"/>
      <c r="AW14" s="33" t="str">
        <f t="array" ref="AW14">INDEX(班別參數!$D$4:$D$20,ROW()-7,MATCH($AW$8,班別參數!$D$4:$D$20,0))</f>
        <v>18-20</v>
      </c>
      <c r="AX14" s="34">
        <f t="array" ref="AX14">IFERROR(INDEX(班別參數!$D$4:$S$20,MATCH(AW14,班別參數!$D$4:$D$20,0),MATCH($AS$6,班別參數!$D$4:$S$4,0)),"")</f>
        <v>0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</v>
      </c>
      <c r="BC14" s="39" t="str">
        <f t="shared" si="2"/>
        <v>17</v>
      </c>
      <c r="BD14" s="127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28</v>
      </c>
      <c r="D15" s="266"/>
      <c r="E15" s="106"/>
      <c r="F15" s="96"/>
      <c r="G15" s="123" t="str">
        <f>IF(BC11="","",BC11)</f>
        <v>25</v>
      </c>
      <c r="H15" s="40"/>
      <c r="I15" s="216">
        <f>_xlfn.XLOOKUP(_xlfn.XLOOKUP($AS$6&amp;$B15,公表[班別+時段],公表[救護1],""),$AX$9:$AX$25,$AY$9:$AY$25,"")</f>
        <v>17</v>
      </c>
      <c r="J15" s="216">
        <f>_xlfn.XLOOKUP(_xlfn.XLOOKUP($AS$6&amp;$B15,公表[班別+時段],公表[救護2],""),$AX$9:$AX$25,$AY$9:$AY$25,"")</f>
        <v>10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6</v>
      </c>
      <c r="O15" s="89">
        <f>_xlfn.XLOOKUP(_xlfn.XLOOKUP($AS$6&amp;$B15,公表[班別+時段],公表[備勤2],""),$AX$9:$AX$25,$AY$9:$AY$25,"")</f>
        <v>21</v>
      </c>
      <c r="P15" s="89"/>
      <c r="Q15" s="89">
        <f>_xlfn.XLOOKUP(_xlfn.XLOOKUP($AS$6&amp;$B15,公表[班別+時段],公表[備勤3],""),$AX$9:$AX$25,$AY$9:$AY$25,"")</f>
        <v>26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5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89"/>
      <c r="AC15" s="89"/>
      <c r="AD15" s="89"/>
      <c r="AE15" s="104">
        <f>_xlfn.XLOOKUP(_xlfn.XLOOKUP($AS$6&amp;$B15,公表[班別+時段],公表[指揮官],""),$AX$9:$AX$25,$AY$9:$AY$25,"")</f>
        <v>2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27">
        <v>7</v>
      </c>
      <c r="AP15" s="127" t="str">
        <v>包華先</v>
      </c>
      <c r="AQ15" s="127" t="str" cm="1">
        <f t="array" ref="AQ15">IFERROR(_xlfn.XLOOKUP(_xlfn.XLOOKUP($AQ$3,輪休基準表!$C$6:$C$36,_xlfn.XLOOKUP(AP15,輪休基準表!$E$5:$AF$5,輪休基準表!$E$6:$AF$36,""),""),班別參數!$A$4:$A$20,班別參數!$B$4:$B$20,""),"")</f>
        <v>輪休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/>
      </c>
      <c r="AT15" s="180" t="str">
        <f t="shared" si="0"/>
        <v/>
      </c>
      <c r="AU15" s="180" t="str">
        <f t="shared" si="1"/>
        <v/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>
        <v>25</v>
      </c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>26</v>
      </c>
      <c r="BD15" s="127"/>
    </row>
    <row r="16" spans="2:56" ht="30" customHeight="1">
      <c r="B16" s="83" t="s">
        <v>79</v>
      </c>
      <c r="C16" s="91">
        <f>_xlfn.XLOOKUP(_xlfn.XLOOKUP($AS$6&amp;$B16,公表[班別+時段],公表[值班],""),$AX$9:$AX$25,$AY$9:$AY$25,"")</f>
        <v>26</v>
      </c>
      <c r="D16" s="267"/>
      <c r="E16" s="245"/>
      <c r="F16" s="98"/>
      <c r="G16" s="121" t="str">
        <f>IF(BC12="","",BC12)</f>
        <v/>
      </c>
      <c r="H16" s="316" t="str">
        <f>AY3</f>
        <v>常訓體技能訓練</v>
      </c>
      <c r="I16" s="94">
        <f>_xlfn.XLOOKUP(_xlfn.XLOOKUP($AS$6&amp;$B16,公表[班別+時段],公表[救護1],""),$AX$9:$AX$25,$AY$9:$AY$25,"")</f>
        <v>25</v>
      </c>
      <c r="J16" s="94">
        <f>_xlfn.XLOOKUP(_xlfn.XLOOKUP($AS$6&amp;$B16,公表[班別+時段],公表[救護2],""),$AX$9:$AX$25,$AY$9:$AY$25,"")</f>
        <v>10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17</v>
      </c>
      <c r="O16" s="90">
        <f>_xlfn.XLOOKUP(_xlfn.XLOOKUP($AS$6&amp;$B16,公表[班別+時段],公表[備勤2],""),$AX$9:$AX$25,$AY$9:$AY$25,"")</f>
        <v>28</v>
      </c>
      <c r="P16" s="90"/>
      <c r="Q16" s="90">
        <f>_xlfn.XLOOKUP(_xlfn.XLOOKUP($AS$6&amp;$B16,公表[班別+時段],公表[備勤3],""),$AX$9:$AX$25,$AY$9:$AY$25,"")</f>
        <v>6</v>
      </c>
      <c r="R16" s="90">
        <f>_xlfn.XLOOKUP(_xlfn.XLOOKUP($AS$6&amp;$B16,公表[班別+時段],公表[備勤4],""),$AX$9:$AX$25,$AY$9:$AY$25,"")</f>
        <v>21</v>
      </c>
      <c r="S16" s="90"/>
      <c r="T16" s="90">
        <f>_xlfn.XLOOKUP(_xlfn.XLOOKUP($AS$6&amp;$B16,公表[班別+時段],公表[備勤5],""),$AX$9:$AX$25,$AY$9:$AY$25,"")</f>
        <v>5</v>
      </c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90"/>
      <c r="AC16" s="90"/>
      <c r="AD16" s="90"/>
      <c r="AE16" s="91">
        <f>_xlfn.XLOOKUP(_xlfn.XLOOKUP($AS$6&amp;$B16,公表[班別+時段],公表[指揮官],""),$AX$9:$AX$25,$AY$9:$AY$25,"")</f>
        <v>2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27">
        <v>8</v>
      </c>
      <c r="AP16" s="127" t="str">
        <v>曾彥綸</v>
      </c>
      <c r="AQ16" s="127" t="str" cm="1">
        <f t="array" ref="AQ16">IFERROR(_xlfn.XLOOKUP(_xlfn.XLOOKUP($AQ$3,輪休基準表!$C$6:$C$36,_xlfn.XLOOKUP(AP16,輪休基準表!$E$5:$AF$5,輪休基準表!$E$6:$AF$36,""),""),班別參數!$A$4:$A$20,班別參數!$B$4:$B$20,""),"")</f>
        <v>輪休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/>
      </c>
      <c r="AT16" s="180" t="str">
        <f t="shared" si="0"/>
        <v/>
      </c>
      <c r="AU16" s="180" t="str">
        <f t="shared" si="1"/>
        <v/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>
        <v>10</v>
      </c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27"/>
    </row>
    <row r="17" spans="2:56" ht="30" customHeight="1">
      <c r="B17" s="81" t="s">
        <v>80</v>
      </c>
      <c r="C17" s="88">
        <f>_xlfn.XLOOKUP(_xlfn.XLOOKUP($AS$6&amp;$B17,公表[班別+時段],公表[值班],""),$AX$9:$AX$25,$AY$9:$AY$25,"")</f>
        <v>26</v>
      </c>
      <c r="D17" s="267"/>
      <c r="E17" s="243"/>
      <c r="F17" s="100"/>
      <c r="G17" s="122" t="str">
        <f>IF(BC12="","",BC12)</f>
        <v/>
      </c>
      <c r="H17" s="314"/>
      <c r="I17" s="92">
        <f>_xlfn.XLOOKUP(_xlfn.XLOOKUP($AS$6&amp;$B17,公表[班別+時段],公表[救護1],""),$AX$9:$AX$25,$AY$9:$AY$25,"")</f>
        <v>25</v>
      </c>
      <c r="J17" s="92">
        <f>_xlfn.XLOOKUP(_xlfn.XLOOKUP($AS$6&amp;$B17,公表[班別+時段],公表[救護2],""),$AX$9:$AX$25,$AY$9:$AY$25,"")</f>
        <v>10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17</v>
      </c>
      <c r="O17" s="87">
        <f>_xlfn.XLOOKUP(_xlfn.XLOOKUP($AS$6&amp;$B17,公表[班別+時段],公表[備勤2],""),$AX$9:$AX$25,$AY$9:$AY$25,"")</f>
        <v>28</v>
      </c>
      <c r="P17" s="87"/>
      <c r="Q17" s="87">
        <f>_xlfn.XLOOKUP(_xlfn.XLOOKUP($AS$6&amp;$B17,公表[班別+時段],公表[備勤3],""),$AX$9:$AX$25,$AY$9:$AY$25,"")</f>
        <v>6</v>
      </c>
      <c r="R17" s="87">
        <f>_xlfn.XLOOKUP(_xlfn.XLOOKUP($AS$6&amp;$B17,公表[班別+時段],公表[備勤4],""),$AX$9:$AX$25,$AY$9:$AY$25,"")</f>
        <v>21</v>
      </c>
      <c r="S17" s="87"/>
      <c r="T17" s="87">
        <f>_xlfn.XLOOKUP(_xlfn.XLOOKUP($AS$6&amp;$B17,公表[班別+時段],公表[備勤5],""),$AX$9:$AX$25,$AY$9:$AY$25,"")</f>
        <v>5</v>
      </c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87"/>
      <c r="AC17" s="87"/>
      <c r="AD17" s="87"/>
      <c r="AE17" s="88">
        <f>_xlfn.XLOOKUP(_xlfn.XLOOKUP($AS$6&amp;$B17,公表[班別+時段],公表[指揮官],""),$AX$9:$AX$25,$AY$9:$AY$25,"")</f>
        <v>2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27">
        <v>9</v>
      </c>
      <c r="AP17" s="127" t="str">
        <v>鍾佳諭</v>
      </c>
      <c r="AQ17" s="127" t="str" cm="1">
        <f t="array" ref="AQ17">IFERROR(_xlfn.XLOOKUP(_xlfn.XLOOKUP($AQ$3,輪休基準表!$C$6:$C$36,_xlfn.XLOOKUP(AP17,輪休基準表!$E$5:$AF$5,輪休基準表!$E$6:$AF$36,""),""),班別參數!$A$4:$A$20,班別參數!$B$4:$B$20,""),"")</f>
        <v>輪休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/>
      </c>
      <c r="AT17" s="180" t="str">
        <f t="shared" si="0"/>
        <v/>
      </c>
      <c r="AU17" s="180" t="str">
        <f t="shared" si="1"/>
        <v/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27"/>
    </row>
    <row r="18" spans="2:56" ht="30" customHeight="1">
      <c r="B18" s="81" t="s">
        <v>81</v>
      </c>
      <c r="C18" s="87">
        <f>_xlfn.XLOOKUP(_xlfn.XLOOKUP($AS$6&amp;$B18,公表[班別+時段],公表[值班],""),$AX$9:$AX$25,$AY$9:$AY$25,"")</f>
        <v>21</v>
      </c>
      <c r="D18" s="423">
        <v>6</v>
      </c>
      <c r="E18" s="95"/>
      <c r="F18" s="100"/>
      <c r="G18" s="122"/>
      <c r="H18" s="297"/>
      <c r="I18" s="92">
        <f>_xlfn.XLOOKUP(_xlfn.XLOOKUP($AS$6&amp;$B18,公表[班別+時段],公表[救護1],""),$AX$9:$AX$25,$AY$9:$AY$25,"")</f>
        <v>25</v>
      </c>
      <c r="J18" s="92">
        <f>_xlfn.XLOOKUP(_xlfn.XLOOKUP($AS$6&amp;$B18,公表[班別+時段],公表[救護2],""),$AX$9:$AX$25,$AY$9:$AY$25,"")</f>
        <v>28</v>
      </c>
      <c r="K18" s="92"/>
      <c r="L18" s="87" t="s">
        <v>212</v>
      </c>
      <c r="M18" s="312"/>
      <c r="N18" s="87">
        <f>_xlfn.XLOOKUP(_xlfn.XLOOKUP($AS$6&amp;$B18,公表[班別+時段],公表[備勤1],""),$AX$9:$AX$25,$AY$9:$AY$25,"")</f>
        <v>26</v>
      </c>
      <c r="O18" s="87">
        <f>_xlfn.XLOOKUP(_xlfn.XLOOKUP($AS$6&amp;$B18,公表[班別+時段],公表[備勤2],""),$AX$9:$AX$25,$AY$9:$AY$25,"")</f>
        <v>10</v>
      </c>
      <c r="P18" s="87"/>
      <c r="Q18" s="87">
        <f>_xlfn.XLOOKUP(_xlfn.XLOOKUP($AS$6&amp;$B18,公表[班別+時段],公表[備勤3],""),$AX$9:$AX$25,$AY$9:$AY$25,"")</f>
        <v>17</v>
      </c>
      <c r="R18" s="87">
        <f>_xlfn.XLOOKUP(_xlfn.XLOOKUP($AS$6&amp;$B18,公表[班別+時段],公表[備勤4],""),$AX$9:$AX$25,$AY$9:$AY$25,"")</f>
        <v>0</v>
      </c>
      <c r="S18" s="87"/>
      <c r="T18" s="87">
        <f>_xlfn.XLOOKUP(_xlfn.XLOOKUP($AS$6&amp;$B18,公表[班別+時段],公表[備勤5],""),$AX$9:$AX$25,$AY$9:$AY$25,"")</f>
        <v>5</v>
      </c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87"/>
      <c r="AC18" s="87"/>
      <c r="AD18" s="87"/>
      <c r="AE18" s="88">
        <f>_xlfn.XLOOKUP(_xlfn.XLOOKUP($AS$6&amp;$B18,公表[班別+時段],公表[指揮官],""),$AX$9:$AX$25,$AY$9:$AY$25,"")</f>
        <v>2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27">
        <v>10</v>
      </c>
      <c r="AP18" s="127" t="str">
        <v>林宏澤</v>
      </c>
      <c r="AQ18" s="127" t="str" cm="1">
        <f t="array" ref="AQ18">IFERROR(_xlfn.XLOOKUP(_xlfn.XLOOKUP($AQ$3,輪休基準表!$C$6:$C$36,_xlfn.XLOOKUP(AP18,輪休基準表!$E$5:$AF$5,輪休基準表!$E$6:$AF$36,""),""),班別參數!$A$4:$A$20,班別參數!$B$4:$B$20,""),"")</f>
        <v>上班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>已排</v>
      </c>
      <c r="AT18" s="180">
        <f t="shared" si="0"/>
        <v>6</v>
      </c>
      <c r="AU18" s="180">
        <f t="shared" si="1"/>
        <v>2</v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27"/>
    </row>
    <row r="19" spans="2:56" ht="30" customHeight="1" thickBot="1">
      <c r="B19" s="110" t="s">
        <v>82</v>
      </c>
      <c r="C19" s="89">
        <f>_xlfn.XLOOKUP(_xlfn.XLOOKUP($AS$6&amp;$B19,公表[班別+時段],公表[值班],""),$AX$9:$AX$25,$AY$9:$AY$25,"")</f>
        <v>21</v>
      </c>
      <c r="D19" s="295"/>
      <c r="E19" s="96"/>
      <c r="F19" s="236"/>
      <c r="G19" s="123"/>
      <c r="H19" s="107"/>
      <c r="I19" s="216">
        <f>_xlfn.XLOOKUP(_xlfn.XLOOKUP($AS$6&amp;$B19,公表[班別+時段],公表[救護1],""),$AX$9:$AX$25,$AY$9:$AY$25,"")</f>
        <v>25</v>
      </c>
      <c r="J19" s="216">
        <f>_xlfn.XLOOKUP(_xlfn.XLOOKUP($AS$6&amp;$B19,公表[班別+時段],公表[救護2],""),$AX$9:$AX$25,$AY$9:$AY$25,"")</f>
        <v>28</v>
      </c>
      <c r="K19" s="105"/>
      <c r="L19" s="93" t="s">
        <v>212</v>
      </c>
      <c r="M19" s="312"/>
      <c r="N19" s="89">
        <f>_xlfn.XLOOKUP(_xlfn.XLOOKUP($AS$6&amp;$B19,公表[班別+時段],公表[備勤1],""),$AX$9:$AX$25,$AY$9:$AY$25,"")</f>
        <v>26</v>
      </c>
      <c r="O19" s="89">
        <f>_xlfn.XLOOKUP(_xlfn.XLOOKUP($AS$6&amp;$B19,公表[班別+時段],公表[備勤2],""),$AX$9:$AX$25,$AY$9:$AY$25,"")</f>
        <v>10</v>
      </c>
      <c r="P19" s="89"/>
      <c r="Q19" s="89">
        <f>_xlfn.XLOOKUP(_xlfn.XLOOKUP($AS$6&amp;$B19,公表[班別+時段],公表[備勤3],""),$AX$9:$AX$25,$AY$9:$AY$25,"")</f>
        <v>17</v>
      </c>
      <c r="R19" s="89">
        <f>_xlfn.XLOOKUP(_xlfn.XLOOKUP($AS$6&amp;$B19,公表[班別+時段],公表[備勤4],""),$AX$9:$AX$25,$AY$9:$AY$25,"")</f>
        <v>0</v>
      </c>
      <c r="S19" s="89"/>
      <c r="T19" s="89">
        <f>_xlfn.XLOOKUP(_xlfn.XLOOKUP($AS$6&amp;$B19,公表[班別+時段],公表[備勤5],""),$AX$9:$AX$25,$AY$9:$AY$25,"")</f>
        <v>5</v>
      </c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89"/>
      <c r="AC19" s="89"/>
      <c r="AD19" s="89"/>
      <c r="AE19" s="104">
        <f>_xlfn.XLOOKUP(_xlfn.XLOOKUP($AS$6&amp;$B19,公表[班別+時段],公表[指揮官],""),$AX$9:$AX$25,$AY$9:$AY$25,"")</f>
        <v>2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27">
        <v>11</v>
      </c>
      <c r="AP19" s="127" t="str">
        <v>簡君諺</v>
      </c>
      <c r="AQ19" s="127" t="str" cm="1">
        <f t="array" ref="AQ19">IFERROR(_xlfn.XLOOKUP(_xlfn.XLOOKUP($AQ$3,輪休基準表!$C$6:$C$36,_xlfn.XLOOKUP(AP19,輪休基準表!$E$5:$AF$5,輪休基準表!$E$6:$AF$36,""),""),班別參數!$A$4:$A$20,班別參數!$B$4:$B$20,""),"")</f>
        <v>輪休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/>
      </c>
      <c r="AT19" s="180" t="str">
        <f t="shared" si="0"/>
        <v/>
      </c>
      <c r="AU19" s="180" t="str">
        <f t="shared" si="1"/>
        <v/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:AY20">IF(AX19="","",_xlfn._xlws.FILTER($AO$9:$AO$13,$AQ$9:$AQ$13="上班",""))</f>
        <v>2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27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5</v>
      </c>
      <c r="D20" s="97"/>
      <c r="E20" s="97"/>
      <c r="F20" s="97"/>
      <c r="G20" s="121" t="s">
        <v>365</v>
      </c>
      <c r="H20" s="55"/>
      <c r="I20" s="94">
        <f>_xlfn.XLOOKUP(_xlfn.XLOOKUP($AS$6&amp;$B20,公表[班別+時段],公表[救護1],""),$AX$9:$AX$25,$AY$9:$AY$25,"")</f>
        <v>21</v>
      </c>
      <c r="J20" s="94">
        <f>_xlfn.XLOOKUP(_xlfn.XLOOKUP($AS$6&amp;$B20,公表[班別+時段],公表[救護2],""),$AX$9:$AX$25,$AY$9:$AY$25,"")</f>
        <v>10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28</v>
      </c>
      <c r="O20" s="90">
        <v>25</v>
      </c>
      <c r="P20" s="90"/>
      <c r="Q20" s="90">
        <f>_xlfn.XLOOKUP(_xlfn.XLOOKUP($AS$6&amp;$B20,公表[班別+時段],公表[備勤3],""),$AX$9:$AX$25,$AY$9:$AY$25,"")</f>
        <v>26</v>
      </c>
      <c r="R20" s="90"/>
      <c r="S20" s="90"/>
      <c r="T20" s="90">
        <f>_xlfn.XLOOKUP(_xlfn.XLOOKUP($AS$6&amp;$B20,公表[班別+時段],公表[備勤5],""),$AX$9:$AX$25,$AY$9:$AY$25,"")</f>
        <v>0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90"/>
      <c r="AC20" s="90"/>
      <c r="AD20" s="90"/>
      <c r="AE20" s="91">
        <f>_xlfn.XLOOKUP(_xlfn.XLOOKUP($AS$6&amp;$B20,公表[班別+時段],公表[指揮官],""),$AX$9:$AX$25,$AY$9:$AY$25,"")</f>
        <v>2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27">
        <v>12</v>
      </c>
      <c r="AP20" s="127" t="str">
        <v>王昱勛</v>
      </c>
      <c r="AQ20" s="127" t="str" cm="1">
        <f t="array" ref="AQ20">IFERROR(_xlfn.XLOOKUP(_xlfn.XLOOKUP($AQ$3,輪休基準表!$C$6:$C$36,_xlfn.XLOOKUP(AP20,輪休基準表!$E$5:$AF$5,輪休基準表!$E$6:$AF$36,""),""),班別參數!$A$4:$A$20,班別參數!$B$4:$B$20,""),"")</f>
        <v>輪休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/>
      </c>
      <c r="AT20" s="180" t="str">
        <f t="shared" si="0"/>
        <v/>
      </c>
      <c r="AU20" s="180" t="str">
        <f t="shared" si="1"/>
        <v/>
      </c>
      <c r="AV20" s="25"/>
      <c r="AW20" s="33" t="str">
        <f t="array" ref="AW20">INDEX(班別參數!$D$4:$D$20,ROW()-7,MATCH($AW$8,班別參數!$D$4:$D$20,0))</f>
        <v>帶隊官</v>
      </c>
      <c r="AX20" s="34" t="str">
        <f t="array" ref="AX20">IFERROR(INDEX(班別參數!$D$4:$S$20,MATCH(AW20,班別參數!$D$4:$D$20,0),MATCH($AS$6,班別參數!$D$4:$S$4,0)),"")</f>
        <v>L</v>
      </c>
      <c r="AY20" s="38">
        <v>5</v>
      </c>
      <c r="AZ20" s="32"/>
      <c r="BA20" s="33" t="s">
        <v>67</v>
      </c>
      <c r="BB20" s="34" t="str">
        <f t="array" ref="BB20">IFERROR(INDEX(班別參數!$D$23:$S$35,MATCH(BA20,班別參數!$D$23:$D$35,0),MATCH($AS$6,班別參數!$D$23:$S$23,0)),"")</f>
        <v>G,L</v>
      </c>
      <c r="BC20" s="41" t="str">
        <f t="shared" si="2"/>
        <v>28,5</v>
      </c>
      <c r="BD20" s="127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5</v>
      </c>
      <c r="D21" s="95"/>
      <c r="E21" s="95"/>
      <c r="F21" s="95"/>
      <c r="G21" s="121" t="s">
        <v>365</v>
      </c>
      <c r="H21" s="296" t="str">
        <f>AY4</f>
        <v>救護訓練</v>
      </c>
      <c r="I21" s="92">
        <f>_xlfn.XLOOKUP(_xlfn.XLOOKUP($AS$6&amp;$B21,公表[班別+時段],公表[救護1],""),$AX$9:$AX$25,$AY$9:$AY$25,"")</f>
        <v>21</v>
      </c>
      <c r="J21" s="92">
        <f>_xlfn.XLOOKUP(_xlfn.XLOOKUP($AS$6&amp;$B21,公表[班別+時段],公表[救護2],""),$AX$9:$AX$25,$AY$9:$AY$25,"")</f>
        <v>10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28</v>
      </c>
      <c r="O21" s="87">
        <v>25</v>
      </c>
      <c r="P21" s="87"/>
      <c r="Q21" s="87">
        <f>_xlfn.XLOOKUP(_xlfn.XLOOKUP($AS$6&amp;$B21,公表[班別+時段],公表[備勤3],""),$AX$9:$AX$25,$AY$9:$AY$25,"")</f>
        <v>26</v>
      </c>
      <c r="R21" s="87"/>
      <c r="S21" s="87"/>
      <c r="T21" s="87">
        <f>_xlfn.XLOOKUP(_xlfn.XLOOKUP($AS$6&amp;$B21,公表[班別+時段],公表[備勤5],""),$AX$9:$AX$25,$AY$9:$AY$25,"")</f>
        <v>0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87"/>
      <c r="AC21" s="87"/>
      <c r="AD21" s="87"/>
      <c r="AE21" s="88">
        <f>_xlfn.XLOOKUP(_xlfn.XLOOKUP($AS$6&amp;$B21,公表[班別+時段],公表[指揮官],""),$AX$9:$AX$25,$AY$9:$AY$25,"")</f>
        <v>2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27">
        <v>13</v>
      </c>
      <c r="AP21" s="127" t="str">
        <v>葉宗哲</v>
      </c>
      <c r="AQ21" s="127" t="str" cm="1">
        <f t="array" ref="AQ21">IFERROR(_xlfn.XLOOKUP(_xlfn.XLOOKUP($AQ$3,輪休基準表!$C$6:$C$36,_xlfn.XLOOKUP(AP21,輪休基準表!$E$5:$AF$5,輪休基準表!$E$6:$AF$36,""),""),班別參數!$A$4:$A$20,班別參數!$B$4:$B$20,""),"")</f>
        <v>輪休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/>
      </c>
      <c r="AT21" s="180" t="str">
        <f t="shared" si="0"/>
        <v/>
      </c>
      <c r="AU21" s="180" t="str">
        <f t="shared" si="1"/>
        <v/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27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25</v>
      </c>
      <c r="D22" s="95"/>
      <c r="E22" s="95"/>
      <c r="F22" s="95"/>
      <c r="G22" s="122" t="str">
        <f>IF(BC15="","",BC15)</f>
        <v>26</v>
      </c>
      <c r="H22" s="297"/>
      <c r="I22" s="92">
        <f>_xlfn.XLOOKUP(_xlfn.XLOOKUP($AS$6&amp;$B22,公表[班別+時段],公表[救護1],""),$AX$9:$AX$25,$AY$9:$AY$25,"")</f>
        <v>17</v>
      </c>
      <c r="J22" s="92">
        <f>_xlfn.XLOOKUP(_xlfn.XLOOKUP($AS$6&amp;$B22,公表[班別+時段],公表[救護2],""),$AX$9:$AX$25,$AY$9:$AY$25,"")</f>
        <v>28</v>
      </c>
      <c r="K22" s="92"/>
      <c r="L22" s="87" t="s">
        <v>212</v>
      </c>
      <c r="M22" s="312"/>
      <c r="N22" s="87">
        <f>_xlfn.XLOOKUP(_xlfn.XLOOKUP($AS$6&amp;$B22,公表[班別+時段],公表[備勤1],""),$AX$9:$AX$25,$AY$9:$AY$25,"")</f>
        <v>6</v>
      </c>
      <c r="O22" s="87">
        <f>_xlfn.XLOOKUP(_xlfn.XLOOKUP($AS$6&amp;$B22,公表[班別+時段],公表[備勤2],""),$AX$9:$AX$25,$AY$9:$AY$25,"")</f>
        <v>21</v>
      </c>
      <c r="P22" s="87"/>
      <c r="Q22" s="87">
        <f>_xlfn.XLOOKUP(_xlfn.XLOOKUP($AS$6&amp;$B22,公表[班別+時段],公表[備勤3],""),$AX$9:$AX$25,$AY$9:$AY$25,"")</f>
        <v>10</v>
      </c>
      <c r="R22" s="87">
        <f>_xlfn.XLOOKUP(_xlfn.XLOOKUP($AS$6&amp;$B22,公表[班別+時段],公表[備勤4],""),$AX$9:$AX$25,$AY$9:$AY$25,"")</f>
        <v>0</v>
      </c>
      <c r="S22" s="87"/>
      <c r="T22" s="87">
        <f>_xlfn.XLOOKUP(_xlfn.XLOOKUP($AS$6&amp;$B22,公表[班別+時段],公表[備勤5],""),$AX$9:$AX$25,$AY$9:$AY$25,"")</f>
        <v>5</v>
      </c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87"/>
      <c r="AC22" s="87"/>
      <c r="AD22" s="87"/>
      <c r="AE22" s="88">
        <f>_xlfn.XLOOKUP(_xlfn.XLOOKUP($AS$6&amp;$B22,公表[班別+時段],公表[指揮官],""),$AX$9:$AX$25,$AY$9:$AY$25,"")</f>
        <v>2</v>
      </c>
      <c r="AF22" s="57" t="s">
        <v>213</v>
      </c>
      <c r="AG22" s="305" t="str" cm="1">
        <f t="array" ref="AG22">_xlfn.TEXTJOIN(".",1,_xlfn._xlws.FILTER($AO$9:$AO$40,$AQ$9:$AQ$40="上班",""))</f>
        <v>2.5.6.10.17.21.25.26.28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27">
        <v>14</v>
      </c>
      <c r="AP22" s="127" t="str">
        <v>王浩任</v>
      </c>
      <c r="AQ22" s="127" t="str" cm="1">
        <f t="array" ref="AQ22">IFERROR(_xlfn.XLOOKUP(_xlfn.XLOOKUP($AQ$3,輪休基準表!$C$6:$C$36,_xlfn.XLOOKUP(AP22,輪休基準表!$E$5:$AF$5,輪休基準表!$E$6:$AF$36,""),""),班別參數!$A$4:$A$20,班別參數!$B$4:$B$20,""),"")</f>
        <v>補休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/>
      </c>
      <c r="AT22" s="180" t="str">
        <f t="shared" si="0"/>
        <v/>
      </c>
      <c r="AU22" s="180" t="str">
        <f t="shared" si="1"/>
        <v/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27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25</v>
      </c>
      <c r="D23" s="106"/>
      <c r="E23" s="96"/>
      <c r="F23" s="96"/>
      <c r="G23" s="123" t="str">
        <f>IF(BC15="","",BC15)</f>
        <v>26</v>
      </c>
      <c r="H23" s="107"/>
      <c r="I23" s="216">
        <f>_xlfn.XLOOKUP(_xlfn.XLOOKUP($AS$6&amp;$B23,公表[班別+時段],公表[救護1],""),$AX$9:$AX$25,$AY$9:$AY$25,"")</f>
        <v>17</v>
      </c>
      <c r="J23" s="216">
        <f>_xlfn.XLOOKUP(_xlfn.XLOOKUP($AS$6&amp;$B23,公表[班別+時段],公表[救護2],""),$AX$9:$AX$25,$AY$9:$AY$25,"")</f>
        <v>28</v>
      </c>
      <c r="K23" s="105"/>
      <c r="L23" s="93" t="s">
        <v>212</v>
      </c>
      <c r="M23" s="312"/>
      <c r="N23" s="89">
        <f>_xlfn.XLOOKUP(_xlfn.XLOOKUP($AS$6&amp;$B23,公表[班別+時段],公表[備勤1],""),$AX$9:$AX$25,$AY$9:$AY$25,"")</f>
        <v>6</v>
      </c>
      <c r="O23" s="89">
        <f>_xlfn.XLOOKUP(_xlfn.XLOOKUP($AS$6&amp;$B23,公表[班別+時段],公表[備勤2],""),$AX$9:$AX$25,$AY$9:$AY$25,"")</f>
        <v>21</v>
      </c>
      <c r="P23" s="89"/>
      <c r="Q23" s="89">
        <f>_xlfn.XLOOKUP(_xlfn.XLOOKUP($AS$6&amp;$B23,公表[班別+時段],公表[備勤3],""),$AX$9:$AX$25,$AY$9:$AY$25,"")</f>
        <v>10</v>
      </c>
      <c r="R23" s="89">
        <f>_xlfn.XLOOKUP(_xlfn.XLOOKUP($AS$6&amp;$B23,公表[班別+時段],公表[備勤4],""),$AX$9:$AX$25,$AY$9:$AY$25,"")</f>
        <v>0</v>
      </c>
      <c r="S23" s="89"/>
      <c r="T23" s="89">
        <f>_xlfn.XLOOKUP(_xlfn.XLOOKUP($AS$6&amp;$B23,公表[班別+時段],公表[備勤5],""),$AX$9:$AX$25,$AY$9:$AY$25,"")</f>
        <v>5</v>
      </c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89"/>
      <c r="AC23" s="89"/>
      <c r="AD23" s="89"/>
      <c r="AE23" s="104">
        <f>_xlfn.XLOOKUP(_xlfn.XLOOKUP($AS$6&amp;$B23,公表[班別+時段],公表[指揮官],""),$AX$9:$AX$25,$AY$9:$AY$25,"")</f>
        <v>2</v>
      </c>
      <c r="AF23" s="57" t="s">
        <v>6</v>
      </c>
      <c r="AG23" s="305" t="str" cm="1">
        <f t="array" ref="AG23">_xlfn.TEXTJOIN(".",1,_xlfn._xlws.FILTER($AO$9:$AO$40,$AQ$9:$AQ$40=$AF$23,""))</f>
        <v>1.3.7.8.9.11.12.13.15.16.24.27</v>
      </c>
      <c r="AH23" s="400"/>
      <c r="AI23" s="400"/>
      <c r="AJ23" s="400"/>
      <c r="AK23" s="400"/>
      <c r="AL23" s="400"/>
      <c r="AM23" s="401"/>
      <c r="AN23" s="214"/>
      <c r="AO23" s="127">
        <v>15</v>
      </c>
      <c r="AP23" s="127" t="str">
        <v>李仕詮</v>
      </c>
      <c r="AQ23" s="127" t="str" cm="1">
        <f t="array" ref="AQ23">IFERROR(_xlfn.XLOOKUP(_xlfn.XLOOKUP($AQ$3,輪休基準表!$C$6:$C$36,_xlfn.XLOOKUP(AP23,輪休基準表!$E$5:$AF$5,輪休基準表!$E$6:$AF$36,""),""),班別參數!$A$4:$A$20,班別參數!$B$4:$B$20,""),"")</f>
        <v>輪休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/>
      </c>
      <c r="AT23" s="180" t="str">
        <f t="shared" si="0"/>
        <v/>
      </c>
      <c r="AU23" s="180" t="str">
        <f t="shared" si="1"/>
        <v/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27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10</v>
      </c>
      <c r="D24" s="97"/>
      <c r="E24" s="97"/>
      <c r="F24" s="97"/>
      <c r="G24" s="121">
        <v>21</v>
      </c>
      <c r="H24" s="55"/>
      <c r="I24" s="94">
        <f>_xlfn.XLOOKUP(_xlfn.XLOOKUP($AS$6&amp;$B24,公表[班別+時段],公表[救護1],""),$AX$9:$AX$25,$AY$9:$AY$25,"")</f>
        <v>25</v>
      </c>
      <c r="J24" s="94">
        <f>_xlfn.XLOOKUP(_xlfn.XLOOKUP($AS$6&amp;$B24,公表[班別+時段],公表[救護2],""),$AX$9:$AX$25,$AY$9:$AY$25,"")</f>
        <v>26</v>
      </c>
      <c r="K24" s="90"/>
      <c r="L24" s="90" t="s">
        <v>212</v>
      </c>
      <c r="M24" s="312"/>
      <c r="N24" s="90">
        <f>_xlfn.XLOOKUP(_xlfn.XLOOKUP($AS$6&amp;$B24,公表[班別+時段],公表[備勤1],""),$AX$9:$AX$25,$AY$9:$AY$25,"")</f>
        <v>17</v>
      </c>
      <c r="O24" s="90">
        <f>_xlfn.XLOOKUP(_xlfn.XLOOKUP($AS$6&amp;$B24,公表[班別+時段],公表[備勤2],""),$AX$9:$AX$25,$AY$9:$AY$25,"")</f>
        <v>28</v>
      </c>
      <c r="P24" s="90"/>
      <c r="Q24" s="90">
        <f>_xlfn.XLOOKUP(_xlfn.XLOOKUP($AS$6&amp;$B24,公表[班別+時段],公表[備勤3],""),$AX$9:$AX$25,$AY$9:$AY$25,"")</f>
        <v>6</v>
      </c>
      <c r="R24" s="90"/>
      <c r="S24" s="90"/>
      <c r="T24" s="90">
        <f>_xlfn.XLOOKUP(_xlfn.XLOOKUP($AS$6&amp;$B24,公表[班別+時段],公表[備勤5],""),$AX$9:$AX$25,$AY$9:$AY$25,"")</f>
        <v>5</v>
      </c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90"/>
      <c r="AC24" s="90"/>
      <c r="AD24" s="90"/>
      <c r="AE24" s="91">
        <f>_xlfn.XLOOKUP(_xlfn.XLOOKUP($AS$6&amp;$B24,公表[班別+時段],公表[指揮官],""),$AX$9:$AX$25,$AY$9:$AY$25,"")</f>
        <v>2</v>
      </c>
      <c r="AF24" s="57" t="s">
        <v>17</v>
      </c>
      <c r="AG24" s="305" t="str" cm="1">
        <f t="array" ref="AG24">_xlfn.TEXTJOIN(".",1,_xlfn._xlws.FILTER($AO$9:$AO$40,$AQ$9:$AQ$40=$AF$24,""))</f>
        <v>4.18.19.23</v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>14</v>
      </c>
      <c r="AL24" s="400"/>
      <c r="AM24" s="401"/>
      <c r="AN24" s="214"/>
      <c r="AO24" s="127">
        <v>16</v>
      </c>
      <c r="AP24" s="127" t="str">
        <v>楊弘宇</v>
      </c>
      <c r="AQ24" s="127" t="str" cm="1">
        <f t="array" ref="AQ24">IFERROR(_xlfn.XLOOKUP(_xlfn.XLOOKUP($AQ$3,輪休基準表!$C$6:$C$36,_xlfn.XLOOKUP(AP24,輪休基準表!$E$5:$AF$5,輪休基準表!$E$6:$AF$36,""),""),班別參數!$A$4:$A$20,班別參數!$B$4:$B$20,""),"")</f>
        <v>輪休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/>
      </c>
      <c r="AT24" s="180" t="str">
        <f t="shared" si="0"/>
        <v/>
      </c>
      <c r="AU24" s="180" t="str">
        <f t="shared" si="1"/>
        <v/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27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10</v>
      </c>
      <c r="D25" s="95"/>
      <c r="E25" s="95"/>
      <c r="F25" s="95"/>
      <c r="G25" s="122">
        <v>21</v>
      </c>
      <c r="H25" s="37"/>
      <c r="I25" s="92">
        <f>_xlfn.XLOOKUP(_xlfn.XLOOKUP($AS$6&amp;$B25,公表[班別+時段],公表[救護1],""),$AX$9:$AX$25,$AY$9:$AY$25,"")</f>
        <v>25</v>
      </c>
      <c r="J25" s="92">
        <f>_xlfn.XLOOKUP(_xlfn.XLOOKUP($AS$6&amp;$B25,公表[班別+時段],公表[救護2],""),$AX$9:$AX$25,$AY$9:$AY$25,"")</f>
        <v>26</v>
      </c>
      <c r="K25" s="87"/>
      <c r="L25" s="87" t="s">
        <v>212</v>
      </c>
      <c r="M25" s="312"/>
      <c r="N25" s="87">
        <f>_xlfn.XLOOKUP(_xlfn.XLOOKUP($AS$6&amp;$B25,公表[班別+時段],公表[備勤1],""),$AX$9:$AX$25,$AY$9:$AY$25,"")</f>
        <v>17</v>
      </c>
      <c r="O25" s="87">
        <f>_xlfn.XLOOKUP(_xlfn.XLOOKUP($AS$6&amp;$B25,公表[班別+時段],公表[備勤2],""),$AX$9:$AX$25,$AY$9:$AY$25,"")</f>
        <v>28</v>
      </c>
      <c r="P25" s="87"/>
      <c r="Q25" s="87">
        <f>_xlfn.XLOOKUP(_xlfn.XLOOKUP($AS$6&amp;$B25,公表[班別+時段],公表[備勤3],""),$AX$9:$AX$25,$AY$9:$AY$25,"")</f>
        <v>6</v>
      </c>
      <c r="R25" s="87"/>
      <c r="S25" s="87"/>
      <c r="T25" s="87">
        <f>_xlfn.XLOOKUP(_xlfn.XLOOKUP($AS$6&amp;$B25,公表[班別+時段],公表[備勤5],""),$AX$9:$AX$25,$AY$9:$AY$25,"")</f>
        <v>5</v>
      </c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87"/>
      <c r="AC25" s="87"/>
      <c r="AD25" s="87"/>
      <c r="AE25" s="88">
        <f>_xlfn.XLOOKUP(_xlfn.XLOOKUP($AS$6&amp;$B25,公表[班別+時段],公表[指揮官],""),$AX$9:$AX$25,$AY$9:$AY$25,"")</f>
        <v>2</v>
      </c>
      <c r="AF25" s="57" t="s">
        <v>28</v>
      </c>
      <c r="AG25" s="305" t="str" cm="1">
        <f t="array" ref="AG25">_xlfn.TEXTJOIN(".",1,_xlfn._xlws.FILTER($AO$9:$AO$40,$AQ$9:$AQ$40=$AF$25,""))</f>
        <v/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>20.22</v>
      </c>
      <c r="AL25" s="309"/>
      <c r="AM25" s="310"/>
      <c r="AN25" s="214"/>
      <c r="AO25" s="127">
        <v>17</v>
      </c>
      <c r="AP25" s="127" t="str">
        <v>楊仲豪</v>
      </c>
      <c r="AQ25" s="127" t="str" cm="1">
        <f t="array" ref="AQ25">IFERROR(_xlfn.XLOOKUP(_xlfn.XLOOKUP($AQ$3,輪休基準表!$C$6:$C$36,_xlfn.XLOOKUP(AP25,輪休基準表!$E$5:$AF$5,輪休基準表!$E$6:$AF$36,""),""),班別參數!$A$4:$A$20,班別參數!$B$4:$B$20,""),"")</f>
        <v>上班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>已排</v>
      </c>
      <c r="AT25" s="180">
        <f t="shared" si="0"/>
        <v>8</v>
      </c>
      <c r="AU25" s="180">
        <f t="shared" si="1"/>
        <v>6</v>
      </c>
      <c r="AW25" s="33"/>
      <c r="AX25" s="45"/>
      <c r="AY25" s="25"/>
      <c r="AZ25" s="28"/>
      <c r="BA25" s="33"/>
      <c r="BB25" s="25"/>
      <c r="BD25" s="127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10</v>
      </c>
      <c r="D26" s="95"/>
      <c r="E26" s="95"/>
      <c r="F26" s="95"/>
      <c r="G26" s="122"/>
      <c r="H26" s="37"/>
      <c r="I26" s="92">
        <f>_xlfn.XLOOKUP(_xlfn.XLOOKUP($AS$6&amp;$B26,公表[班別+時段],公表[救護1],""),$AX$9:$AX$25,$AY$9:$AY$25,"")</f>
        <v>6</v>
      </c>
      <c r="J26" s="92">
        <f>_xlfn.XLOOKUP(_xlfn.XLOOKUP($AS$6&amp;$B26,公表[班別+時段],公表[救護2],""),$AX$9:$AX$25,$AY$9:$AY$25,"")</f>
        <v>17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28</v>
      </c>
      <c r="O26" s="87">
        <f>_xlfn.XLOOKUP(_xlfn.XLOOKUP($AS$6&amp;$B26,公表[班別+時段],公表[備勤2],""),$AX$9:$AX$25,$AY$9:$AY$25,"")</f>
        <v>25</v>
      </c>
      <c r="P26" s="87"/>
      <c r="Q26" s="87">
        <v>21</v>
      </c>
      <c r="R26" s="87">
        <f>_xlfn.XLOOKUP(_xlfn.XLOOKUP($AS$6&amp;$B26,公表[班別+時段],公表[備勤4],""),$AX$9:$AX$25,$AY$9:$AY$25,"")</f>
        <v>26</v>
      </c>
      <c r="S26" s="87"/>
      <c r="T26" s="87">
        <f>_xlfn.XLOOKUP(_xlfn.XLOOKUP($AS$6&amp;$B26,公表[班別+時段],公表[備勤5],""),$AX$9:$AX$25,$AY$9:$AY$25,"")</f>
        <v>5</v>
      </c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87"/>
      <c r="AC26" s="87"/>
      <c r="AD26" s="87"/>
      <c r="AE26" s="88">
        <f>_xlfn.XLOOKUP(_xlfn.XLOOKUP($AS$6&amp;$B26,公表[班別+時段],公表[指揮官],""),$AX$9:$AX$25,$AY$9:$AY$25,"")</f>
        <v>2</v>
      </c>
      <c r="AF26" s="57" t="s">
        <v>289</v>
      </c>
      <c r="AG26" s="178" t="str" cm="1">
        <f t="array" ref="AG26">_xlfn.TEXTJOIN(".",1,_xlfn._xlws.FILTER($AO$9:$AO$40,$AQ$9:$AQ$40=$AF$26,""))</f>
        <v/>
      </c>
      <c r="AH26" s="168" t="s">
        <v>290</v>
      </c>
      <c r="AI26" s="179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/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27">
        <v>18</v>
      </c>
      <c r="AP26" s="127" t="str">
        <v>林志偉</v>
      </c>
      <c r="AQ26" s="127" t="str" cm="1">
        <f t="array" ref="AQ26">IFERROR(_xlfn.XLOOKUP(_xlfn.XLOOKUP($AQ$3,輪休基準表!$C$6:$C$36,_xlfn.XLOOKUP(AP26,輪休基準表!$E$5:$AF$5,輪休基準表!$E$6:$AF$36,""),""),班別參數!$A$4:$A$20,班別參數!$B$4:$B$20,""),"")</f>
        <v>月補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/>
      </c>
      <c r="AT26" s="180" t="str">
        <f t="shared" si="0"/>
        <v/>
      </c>
      <c r="AU26" s="180" t="str">
        <f t="shared" si="1"/>
        <v/>
      </c>
      <c r="AV26" s="10"/>
      <c r="AW26" s="46"/>
      <c r="AX26" s="45"/>
      <c r="AY26" s="25"/>
      <c r="AZ26" s="28"/>
      <c r="BA26" s="33"/>
      <c r="BB26" s="25"/>
      <c r="BD26" s="127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10</v>
      </c>
      <c r="D27" s="95"/>
      <c r="E27" s="95"/>
      <c r="F27" s="95"/>
      <c r="G27" s="122"/>
      <c r="H27" s="37"/>
      <c r="I27" s="92">
        <f>_xlfn.XLOOKUP(_xlfn.XLOOKUP($AS$6&amp;$B27,公表[班別+時段],公表[救護1],""),$AX$9:$AX$25,$AY$9:$AY$25,"")</f>
        <v>6</v>
      </c>
      <c r="J27" s="92">
        <f>_xlfn.XLOOKUP(_xlfn.XLOOKUP($AS$6&amp;$B27,公表[班別+時段],公表[救護2],""),$AX$9:$AX$25,$AY$9:$AY$25,"")</f>
        <v>17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28</v>
      </c>
      <c r="O27" s="87">
        <f>_xlfn.XLOOKUP(_xlfn.XLOOKUP($AS$6&amp;$B27,公表[班別+時段],公表[備勤2],""),$AX$9:$AX$25,$AY$9:$AY$25,"")</f>
        <v>25</v>
      </c>
      <c r="P27" s="87"/>
      <c r="Q27" s="87">
        <v>21</v>
      </c>
      <c r="R27" s="87">
        <f>_xlfn.XLOOKUP(_xlfn.XLOOKUP($AS$6&amp;$B27,公表[班別+時段],公表[備勤4],""),$AX$9:$AX$25,$AY$9:$AY$25,"")</f>
        <v>26</v>
      </c>
      <c r="S27" s="87"/>
      <c r="T27" s="87">
        <f>_xlfn.XLOOKUP(_xlfn.XLOOKUP($AS$6&amp;$B27,公表[班別+時段],公表[備勤5],""),$AX$9:$AX$25,$AY$9:$AY$25,"")</f>
        <v>5</v>
      </c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87"/>
      <c r="AC27" s="87"/>
      <c r="AD27" s="87"/>
      <c r="AE27" s="88">
        <f>_xlfn.XLOOKUP(_xlfn.XLOOKUP($AS$6&amp;$B27,公表[班別+時段],公表[指揮官],""),$AX$9:$AX$25,$AY$9:$AY$25,"")</f>
        <v>2</v>
      </c>
      <c r="AF27" s="317" t="s">
        <v>215</v>
      </c>
      <c r="AG27" s="319"/>
      <c r="AH27" s="321"/>
      <c r="AI27" s="321"/>
      <c r="AJ27" s="321"/>
      <c r="AK27" s="321"/>
      <c r="AL27" s="321"/>
      <c r="AM27" s="322"/>
      <c r="AN27" s="214"/>
      <c r="AO27" s="127">
        <v>19</v>
      </c>
      <c r="AP27" s="127" t="str">
        <v>劉家誠</v>
      </c>
      <c r="AQ27" s="127" t="str" cm="1">
        <f t="array" ref="AQ27">IFERROR(_xlfn.XLOOKUP(_xlfn.XLOOKUP($AQ$3,輪休基準表!$C$6:$C$36,_xlfn.XLOOKUP(AP27,輪休基準表!$E$5:$AF$5,輪休基準表!$E$6:$AF$36,""),""),班別參數!$A$4:$A$20,班別參數!$B$4:$B$20,""),"")</f>
        <v>月補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/>
      </c>
      <c r="AT27" s="180" t="str">
        <f t="shared" si="0"/>
        <v/>
      </c>
      <c r="AU27" s="180" t="str">
        <f t="shared" si="1"/>
        <v/>
      </c>
      <c r="AV27" s="10"/>
      <c r="AW27" s="46"/>
      <c r="AX27" s="45"/>
      <c r="AY27" s="25"/>
      <c r="AZ27" s="28"/>
      <c r="BA27" s="33"/>
      <c r="BB27" s="25"/>
      <c r="BD27" s="127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10</v>
      </c>
      <c r="D28" s="95"/>
      <c r="E28" s="95"/>
      <c r="F28" s="95"/>
      <c r="G28" s="122" t="str">
        <f>IF(BC18="","",BC18)</f>
        <v/>
      </c>
      <c r="H28" s="37"/>
      <c r="I28" s="92">
        <f>_xlfn.XLOOKUP(_xlfn.XLOOKUP($AS$6&amp;$B28,公表[班別+時段],公表[救護1],""),$AX$9:$AX$25,$AY$9:$AY$25,"")</f>
        <v>6</v>
      </c>
      <c r="J28" s="92">
        <f>_xlfn.XLOOKUP(_xlfn.XLOOKUP($AS$6&amp;$B28,公表[班別+時段],公表[救護2],""),$AX$9:$AX$25,$AY$9:$AY$25,"")</f>
        <v>17</v>
      </c>
      <c r="K28" s="87"/>
      <c r="L28" s="87" t="s">
        <v>212</v>
      </c>
      <c r="M28" s="312"/>
      <c r="N28" s="87">
        <f>_xlfn.XLOOKUP(_xlfn.XLOOKUP($AS$6&amp;$B28,公表[班別+時段],公表[備勤1],""),$AX$9:$AX$25,$AY$9:$AY$25,"")</f>
        <v>26</v>
      </c>
      <c r="O28" s="87">
        <f>_xlfn.XLOOKUP(_xlfn.XLOOKUP($AS$6&amp;$B28,公表[班別+時段],公表[備勤2],""),$AX$9:$AX$25,$AY$9:$AY$25,"")</f>
        <v>21</v>
      </c>
      <c r="P28" s="87"/>
      <c r="Q28" s="87">
        <f>_xlfn.XLOOKUP(_xlfn.XLOOKUP($AS$6&amp;$B28,公表[班別+時段],公表[備勤3],""),$AX$9:$AX$25,$AY$9:$AY$25,"")</f>
        <v>28</v>
      </c>
      <c r="R28" s="87">
        <f>_xlfn.XLOOKUP(_xlfn.XLOOKUP($AS$6&amp;$B28,公表[班別+時段],公表[備勤4],""),$AX$9:$AX$25,$AY$9:$AY$25,"")</f>
        <v>25</v>
      </c>
      <c r="S28" s="87"/>
      <c r="T28" s="87">
        <f>_xlfn.XLOOKUP(_xlfn.XLOOKUP($AS$6&amp;$B28,公表[班別+時段],公表[備勤5],""),$AX$9:$AX$25,$AY$9:$AY$25,"")</f>
        <v>5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87"/>
      <c r="AC28" s="87"/>
      <c r="AD28" s="87"/>
      <c r="AE28" s="88">
        <f>_xlfn.XLOOKUP(_xlfn.XLOOKUP($AS$6&amp;$B28,公表[班別+時段],公表[指揮官],""),$AX$9:$AX$25,$AY$9:$AY$25,"")</f>
        <v>2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27">
        <v>20</v>
      </c>
      <c r="AP28" s="127" t="str">
        <v>呂奇霈</v>
      </c>
      <c r="AQ28" s="127" t="str" cm="1">
        <f t="array" ref="AQ28">IFERROR(_xlfn.XLOOKUP(_xlfn.XLOOKUP($AQ$3,輪休基準表!$C$6:$C$36,_xlfn.XLOOKUP(AP28,輪休基準表!$E$5:$AF$5,輪休基準表!$E$6:$AF$36,""),""),班別參數!$A$4:$A$20,班別參數!$B$4:$B$20,""),"")</f>
        <v>公假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27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10</v>
      </c>
      <c r="D29" s="95"/>
      <c r="E29" s="95"/>
      <c r="F29" s="95"/>
      <c r="G29" s="122" t="str">
        <f>IF(BC18="","",BC18)</f>
        <v/>
      </c>
      <c r="H29" s="37"/>
      <c r="I29" s="92">
        <f>_xlfn.XLOOKUP(_xlfn.XLOOKUP($AS$6&amp;$B29,公表[班別+時段],公表[救護1],""),$AX$9:$AX$25,$AY$9:$AY$25,"")</f>
        <v>6</v>
      </c>
      <c r="J29" s="92">
        <f>_xlfn.XLOOKUP(_xlfn.XLOOKUP($AS$6&amp;$B29,公表[班別+時段],公表[救護2],""),$AX$9:$AX$25,$AY$9:$AY$25,"")</f>
        <v>17</v>
      </c>
      <c r="K29" s="87"/>
      <c r="L29" s="87" t="s">
        <v>212</v>
      </c>
      <c r="M29" s="312"/>
      <c r="N29" s="87">
        <f>_xlfn.XLOOKUP(_xlfn.XLOOKUP($AS$6&amp;$B29,公表[班別+時段],公表[備勤1],""),$AX$9:$AX$25,$AY$9:$AY$25,"")</f>
        <v>26</v>
      </c>
      <c r="O29" s="87">
        <f>_xlfn.XLOOKUP(_xlfn.XLOOKUP($AS$6&amp;$B29,公表[班別+時段],公表[備勤2],""),$AX$9:$AX$25,$AY$9:$AY$25,"")</f>
        <v>21</v>
      </c>
      <c r="P29" s="87"/>
      <c r="Q29" s="87">
        <f>_xlfn.XLOOKUP(_xlfn.XLOOKUP($AS$6&amp;$B29,公表[班別+時段],公表[備勤3],""),$AX$9:$AX$25,$AY$9:$AY$25,"")</f>
        <v>28</v>
      </c>
      <c r="R29" s="87">
        <f>_xlfn.XLOOKUP(_xlfn.XLOOKUP($AS$6&amp;$B29,公表[班別+時段],公表[備勤4],""),$AX$9:$AX$25,$AY$9:$AY$25,"")</f>
        <v>25</v>
      </c>
      <c r="S29" s="87"/>
      <c r="T29" s="87">
        <f>_xlfn.XLOOKUP(_xlfn.XLOOKUP($AS$6&amp;$B29,公表[班別+時段],公表[備勤5],""),$AX$9:$AX$25,$AY$9:$AY$25,"")</f>
        <v>5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87"/>
      <c r="AC29" s="87"/>
      <c r="AD29" s="87"/>
      <c r="AE29" s="88">
        <f>_xlfn.XLOOKUP(_xlfn.XLOOKUP($AS$6&amp;$B29,公表[班別+時段],公表[指揮官],""),$AX$9:$AX$25,$AY$9:$AY$25,"")</f>
        <v>2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27">
        <v>21</v>
      </c>
      <c r="AP29" s="127" t="str">
        <v>張家和</v>
      </c>
      <c r="AQ29" s="127" t="str" cm="1">
        <f t="array" ref="AQ29">IFERROR(_xlfn.XLOOKUP(_xlfn.XLOOKUP($AQ$3,輪休基準表!$C$6:$C$36,_xlfn.XLOOKUP(AP29,輪休基準表!$E$5:$AF$5,輪休基準表!$E$6:$AF$36,""),""),班別參數!$A$4:$A$20,班別參數!$B$4:$B$20,""),"")</f>
        <v>上班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>已排</v>
      </c>
      <c r="AT29" s="180">
        <f t="shared" si="0"/>
        <v>6</v>
      </c>
      <c r="AU29" s="180">
        <f t="shared" si="1"/>
        <v>10</v>
      </c>
      <c r="AV29" s="10"/>
      <c r="AW29" s="47"/>
      <c r="AX29" s="45"/>
      <c r="AY29" s="25"/>
      <c r="AZ29" s="28"/>
      <c r="BA29" s="33"/>
      <c r="BB29" s="25"/>
      <c r="BD29" s="127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10</v>
      </c>
      <c r="D30" s="95"/>
      <c r="E30" s="95"/>
      <c r="F30" s="95"/>
      <c r="G30" s="122" t="str">
        <f>IF(BC19="","",BC19)</f>
        <v/>
      </c>
      <c r="H30" s="37"/>
      <c r="I30" s="92">
        <f>_xlfn.XLOOKUP(_xlfn.XLOOKUP($AS$6&amp;$B30,公表[班別+時段],公表[救護1],""),$AX$9:$AX$25,$AY$9:$AY$25,"")</f>
        <v>26</v>
      </c>
      <c r="J30" s="92">
        <f>_xlfn.XLOOKUP(_xlfn.XLOOKUP($AS$6&amp;$B30,公表[班別+時段],公表[救護2],""),$AX$9:$AX$25,$AY$9:$AY$25,"")</f>
        <v>21</v>
      </c>
      <c r="K30" s="87"/>
      <c r="L30" s="87" t="s">
        <v>212</v>
      </c>
      <c r="M30" s="312"/>
      <c r="N30" s="87">
        <f>_xlfn.XLOOKUP(_xlfn.XLOOKUP($AS$6&amp;$B30,公表[班別+時段],公表[備勤1],""),$AX$9:$AX$25,$AY$9:$AY$25,"")</f>
        <v>6</v>
      </c>
      <c r="O30" s="87">
        <f>_xlfn.XLOOKUP(_xlfn.XLOOKUP($AS$6&amp;$B30,公表[班別+時段],公表[備勤2],""),$AX$9:$AX$25,$AY$9:$AY$25,"")</f>
        <v>25</v>
      </c>
      <c r="P30" s="87"/>
      <c r="Q30" s="87">
        <f>_xlfn.XLOOKUP(_xlfn.XLOOKUP($AS$6&amp;$B30,公表[班別+時段],公表[備勤3],""),$AX$9:$AX$25,$AY$9:$AY$25,"")</f>
        <v>17</v>
      </c>
      <c r="R30" s="87">
        <f>_xlfn.XLOOKUP(_xlfn.XLOOKUP($AS$6&amp;$B30,公表[班別+時段],公表[備勤4],""),$AX$9:$AX$25,$AY$9:$AY$25,"")</f>
        <v>28</v>
      </c>
      <c r="S30" s="87"/>
      <c r="T30" s="87">
        <f>_xlfn.XLOOKUP(_xlfn.XLOOKUP($AS$6&amp;$B30,公表[班別+時段],公表[備勤5],""),$AX$9:$AX$25,$AY$9:$AY$25,"")</f>
        <v>5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87"/>
      <c r="AC30" s="87"/>
      <c r="AD30" s="87"/>
      <c r="AE30" s="88">
        <f>_xlfn.XLOOKUP(_xlfn.XLOOKUP($AS$6&amp;$B30,公表[班別+時段],公表[指揮官],""),$AX$9:$AX$25,$AY$9:$AY$25,"")</f>
        <v>2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27">
        <v>22</v>
      </c>
      <c r="AP30" s="127" t="str">
        <v>陳俊瑋</v>
      </c>
      <c r="AQ30" s="127" t="str" cm="1">
        <f t="array" ref="AQ30">IFERROR(_xlfn.XLOOKUP(_xlfn.XLOOKUP($AQ$3,輪休基準表!$C$6:$C$36,_xlfn.XLOOKUP(AP30,輪休基準表!$E$5:$AF$5,輪休基準表!$E$6:$AF$36,""),""),班別參數!$A$4:$A$20,班別參數!$B$4:$B$20,""),"")</f>
        <v>公假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27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10</v>
      </c>
      <c r="D31" s="106"/>
      <c r="E31" s="96"/>
      <c r="F31" s="96"/>
      <c r="G31" s="123" t="str">
        <f>IF(BC19="","",BC19)</f>
        <v/>
      </c>
      <c r="H31" s="109"/>
      <c r="I31" s="216">
        <f>_xlfn.XLOOKUP(_xlfn.XLOOKUP($AS$6&amp;$B31,公表[班別+時段],公表[救護1],""),$AX$9:$AX$25,$AY$9:$AY$25,"")</f>
        <v>26</v>
      </c>
      <c r="J31" s="216">
        <f>_xlfn.XLOOKUP(_xlfn.XLOOKUP($AS$6&amp;$B31,公表[班別+時段],公表[救護2],""),$AX$9:$AX$25,$AY$9:$AY$25,"")</f>
        <v>21</v>
      </c>
      <c r="K31" s="108"/>
      <c r="L31" s="93" t="s">
        <v>212</v>
      </c>
      <c r="M31" s="312"/>
      <c r="N31" s="89">
        <f>_xlfn.XLOOKUP(_xlfn.XLOOKUP($AS$6&amp;$B31,公表[班別+時段],公表[備勤1],""),$AX$9:$AX$25,$AY$9:$AY$25,"")</f>
        <v>6</v>
      </c>
      <c r="O31" s="89">
        <f>_xlfn.XLOOKUP(_xlfn.XLOOKUP($AS$6&amp;$B31,公表[班別+時段],公表[備勤2],""),$AX$9:$AX$25,$AY$9:$AY$25,"")</f>
        <v>25</v>
      </c>
      <c r="P31" s="89"/>
      <c r="Q31" s="89">
        <f>_xlfn.XLOOKUP(_xlfn.XLOOKUP($AS$6&amp;$B31,公表[班別+時段],公表[備勤3],""),$AX$9:$AX$25,$AY$9:$AY$25,"")</f>
        <v>17</v>
      </c>
      <c r="R31" s="89">
        <f>_xlfn.XLOOKUP(_xlfn.XLOOKUP($AS$6&amp;$B31,公表[班別+時段],公表[備勤4],""),$AX$9:$AX$25,$AY$9:$AY$25,"")</f>
        <v>28</v>
      </c>
      <c r="S31" s="89"/>
      <c r="T31" s="89">
        <f>_xlfn.XLOOKUP(_xlfn.XLOOKUP($AS$6&amp;$B31,公表[班別+時段],公表[備勤5],""),$AX$9:$AX$25,$AY$9:$AY$25,"")</f>
        <v>5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89"/>
      <c r="AC31" s="89"/>
      <c r="AD31" s="89"/>
      <c r="AE31" s="104">
        <f>_xlfn.XLOOKUP(_xlfn.XLOOKUP($AS$6&amp;$B31,公表[班別+時段],公表[指揮官],""),$AX$9:$AX$25,$AY$9:$AY$25,"")</f>
        <v>2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27">
        <v>23</v>
      </c>
      <c r="AP31" s="127" t="str">
        <v>陳俊翰</v>
      </c>
      <c r="AQ31" s="127" t="str" cm="1">
        <f t="array" ref="AQ31">IFERROR(_xlfn.XLOOKUP(_xlfn.XLOOKUP($AQ$3,輪休基準表!$C$6:$C$36,_xlfn.XLOOKUP(AP31,輪休基準表!$E$5:$AF$5,輪休基準表!$E$6:$AF$36,""),""),班別參數!$A$4:$A$20,班別參數!$B$4:$B$20,""),"")</f>
        <v>月補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/>
      </c>
      <c r="AT31" s="180" t="str">
        <f t="shared" si="0"/>
        <v/>
      </c>
      <c r="AU31" s="180" t="str">
        <f t="shared" si="1"/>
        <v/>
      </c>
      <c r="AW31" s="47"/>
      <c r="AX31" s="45"/>
      <c r="AY31" s="25"/>
      <c r="AZ31" s="28"/>
      <c r="BA31" s="33"/>
      <c r="BB31" s="25"/>
      <c r="BD31" s="127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10</v>
      </c>
      <c r="D32" s="97"/>
      <c r="E32" s="97"/>
      <c r="F32" s="97"/>
      <c r="G32" s="121" t="str">
        <f>IF(BC20="","",BC20)</f>
        <v>28,5</v>
      </c>
      <c r="H32" s="56"/>
      <c r="I32" s="94">
        <f>_xlfn.XLOOKUP(_xlfn.XLOOKUP($AS$6&amp;$B32,公表[班別+時段],公表[救護1],""),$AX$9:$AX$25,$AY$9:$AY$25,"")</f>
        <v>26</v>
      </c>
      <c r="J32" s="94">
        <f>_xlfn.XLOOKUP(_xlfn.XLOOKUP($AS$6&amp;$B32,公表[班別+時段],公表[救護2],""),$AX$9:$AX$25,$AY$9:$AY$25,"")</f>
        <v>21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25</v>
      </c>
      <c r="O32" s="90">
        <f>_xlfn.XLOOKUP(_xlfn.XLOOKUP($AS$6&amp;$B32,公表[班別+時段],公表[備勤2],""),$AX$9:$AX$25,$AY$9:$AY$25,"")</f>
        <v>17</v>
      </c>
      <c r="P32" s="90"/>
      <c r="Q32" s="90">
        <f>_xlfn.XLOOKUP(_xlfn.XLOOKUP($AS$6&amp;$B32,公表[班別+時段],公表[備勤3],""),$AX$9:$AX$25,$AY$9:$AY$25,"")</f>
        <v>6</v>
      </c>
      <c r="R32" s="90">
        <f>_xlfn.XLOOKUP(_xlfn.XLOOKUP($AS$6&amp;$B32,公表[班別+時段],公表[備勤4],""),$AX$9:$AX$25,$AY$9:$AY$25,"")</f>
        <v>0</v>
      </c>
      <c r="S32" s="90"/>
      <c r="T32" s="90">
        <f>_xlfn.XLOOKUP(_xlfn.XLOOKUP($AS$6&amp;$B32,公表[班別+時段],公表[備勤5],""),$AX$9:$AX$25,$AY$9:$AY$25,"")</f>
        <v>0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90"/>
      <c r="AC32" s="90"/>
      <c r="AD32" s="90"/>
      <c r="AE32" s="91">
        <f>_xlfn.XLOOKUP(_xlfn.XLOOKUP($AS$6&amp;$B32,公表[班別+時段],公表[指揮官],""),$AX$9:$AX$25,$AY$9:$AY$25,"")</f>
        <v>2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27">
        <v>24</v>
      </c>
      <c r="AP32" s="127" t="str">
        <v>賴俊豪</v>
      </c>
      <c r="AQ32" s="127" t="str" cm="1">
        <f t="array" ref="AQ32">IFERROR(_xlfn.XLOOKUP(_xlfn.XLOOKUP($AQ$3,輪休基準表!$C$6:$C$36,_xlfn.XLOOKUP(AP32,輪休基準表!$E$5:$AF$5,輪休基準表!$E$6:$AF$36,""),""),班別參數!$A$4:$A$20,班別參數!$B$4:$B$20,""),"")</f>
        <v>輪休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/>
      </c>
      <c r="AT32" s="180" t="str">
        <f t="shared" si="0"/>
        <v/>
      </c>
      <c r="AU32" s="180" t="str">
        <f t="shared" si="1"/>
        <v/>
      </c>
      <c r="AW32" s="47"/>
      <c r="AX32" s="45"/>
      <c r="AY32" s="25"/>
      <c r="AZ32" s="28"/>
      <c r="BA32" s="33"/>
      <c r="BB32" s="25"/>
      <c r="BD32" s="127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10</v>
      </c>
      <c r="D33" s="95"/>
      <c r="E33" s="95"/>
      <c r="F33" s="95"/>
      <c r="G33" s="122" t="str">
        <f>IF(BC20="","",BC20)</f>
        <v>28,5</v>
      </c>
      <c r="H33" s="48"/>
      <c r="I33" s="92">
        <f>_xlfn.XLOOKUP(_xlfn.XLOOKUP($AS$6&amp;$B33,公表[班別+時段],公表[救護1],""),$AX$9:$AX$25,$AY$9:$AY$25,"")</f>
        <v>26</v>
      </c>
      <c r="J33" s="92">
        <f>_xlfn.XLOOKUP(_xlfn.XLOOKUP($AS$6&amp;$B33,公表[班別+時段],公表[救護2],""),$AX$9:$AX$25,$AY$9:$AY$25,"")</f>
        <v>21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25</v>
      </c>
      <c r="O33" s="87">
        <f>_xlfn.XLOOKUP(_xlfn.XLOOKUP($AS$6&amp;$B33,公表[班別+時段],公表[備勤2],""),$AX$9:$AX$25,$AY$9:$AY$25,"")</f>
        <v>17</v>
      </c>
      <c r="P33" s="87"/>
      <c r="Q33" s="87">
        <f>_xlfn.XLOOKUP(_xlfn.XLOOKUP($AS$6&amp;$B33,公表[班別+時段],公表[備勤3],""),$AX$9:$AX$25,$AY$9:$AY$25,"")</f>
        <v>6</v>
      </c>
      <c r="R33" s="87">
        <f>_xlfn.XLOOKUP(_xlfn.XLOOKUP($AS$6&amp;$B33,公表[班別+時段],公表[備勤4],""),$AX$9:$AX$25,$AY$9:$AY$25,"")</f>
        <v>0</v>
      </c>
      <c r="S33" s="87"/>
      <c r="T33" s="87">
        <f>_xlfn.XLOOKUP(_xlfn.XLOOKUP($AS$6&amp;$B33,公表[班別+時段],公表[備勤5],""),$AX$9:$AX$25,$AY$9:$AY$25,"")</f>
        <v>0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87"/>
      <c r="AC33" s="87"/>
      <c r="AD33" s="87"/>
      <c r="AE33" s="88">
        <f>_xlfn.XLOOKUP(_xlfn.XLOOKUP($AS$6&amp;$B33,公表[班別+時段],公表[指揮官],""),$AX$9:$AX$25,$AY$9:$AY$25,"")</f>
        <v>2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27">
        <v>25</v>
      </c>
      <c r="AP33" s="127" t="str">
        <v>郭國偵</v>
      </c>
      <c r="AQ33" s="127" t="str" cm="1">
        <f t="array" ref="AQ33">IFERROR(_xlfn.XLOOKUP(_xlfn.XLOOKUP($AQ$3,輪休基準表!$C$6:$C$36,_xlfn.XLOOKUP(AP33,輪休基準表!$E$5:$AF$5,輪休基準表!$E$6:$AF$36,""),""),班別參數!$A$4:$A$20,班別參數!$B$4:$B$20,""),"")</f>
        <v>上班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>已排</v>
      </c>
      <c r="AT33" s="180">
        <f t="shared" si="0"/>
        <v>8</v>
      </c>
      <c r="AU33" s="180">
        <f t="shared" si="1"/>
        <v>8</v>
      </c>
      <c r="AW33" s="47"/>
      <c r="AX33" s="45"/>
      <c r="AY33" s="25"/>
      <c r="AZ33" s="28"/>
      <c r="BA33" s="25"/>
      <c r="BB33" s="25"/>
      <c r="BD33" s="127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一、本日主管輪休，職務由小隊長莊勝斌代理。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27">
        <v>26</v>
      </c>
      <c r="AP34" s="127" t="str">
        <v>楊紹文</v>
      </c>
      <c r="AQ34" s="127" t="str" cm="1">
        <f t="array" ref="AQ34">IFERROR(_xlfn.XLOOKUP(_xlfn.XLOOKUP($AQ$3,輪休基準表!$C$6:$C$36,_xlfn.XLOOKUP(AP34,輪休基準表!$E$5:$AF$5,輪休基準表!$E$6:$AF$36,""),""),班別參數!$A$4:$A$20,班別參數!$B$4:$B$20,""),"")</f>
        <v>上班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>已排</v>
      </c>
      <c r="AT34" s="180">
        <f t="shared" si="0"/>
        <v>8</v>
      </c>
      <c r="AU34" s="180">
        <f t="shared" si="1"/>
        <v>6</v>
      </c>
      <c r="AW34" s="47"/>
      <c r="AX34" s="45"/>
      <c r="AY34" s="25"/>
      <c r="AZ34" s="28"/>
      <c r="BA34" s="25"/>
      <c r="BB34" s="25"/>
      <c r="BD34" s="127"/>
    </row>
    <row r="35" spans="2:56" ht="30" customHeight="1">
      <c r="B35" s="349"/>
      <c r="C35" s="359" t="str">
        <f>CONCATENATE("二、在隊訓練:09-12時:",H11,";14-17時:",H16,";19-21時:",H21,"。")</f>
        <v>二、在隊訓練:09-12時:個人防護裝備操作;14-17時:常訓體技能訓練;19-21時:救護訓練。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27">
        <v>27</v>
      </c>
      <c r="AP35" s="127" t="str">
        <v>林宏為</v>
      </c>
      <c r="AQ35" s="127" t="str" cm="1">
        <f t="array" ref="AQ35">IFERROR(_xlfn.XLOOKUP(_xlfn.XLOOKUP($AQ$3,輪休基準表!$C$6:$C$36,_xlfn.XLOOKUP(AP35,輪休基準表!$E$5:$AF$5,輪休基準表!$E$6:$AF$36,""),""),班別參數!$A$4:$A$20,班別參數!$B$4:$B$20,""),"")</f>
        <v>輪休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/>
      </c>
      <c r="AT35" s="180" t="str">
        <f t="shared" si="0"/>
        <v/>
      </c>
      <c r="AU35" s="180" t="str">
        <f t="shared" si="1"/>
        <v/>
      </c>
      <c r="AW35" s="47"/>
      <c r="AX35" s="45"/>
      <c r="AY35" s="25"/>
      <c r="AZ35" s="28"/>
      <c r="BA35" s="25"/>
      <c r="BB35" s="25"/>
      <c r="BD35" s="127"/>
    </row>
    <row r="36" spans="2:56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27">
        <v>28</v>
      </c>
      <c r="AP36" s="127" t="str">
        <v>林宸彥</v>
      </c>
      <c r="AQ36" s="127" t="str" cm="1">
        <f t="array" ref="AQ36">IFERROR(_xlfn.XLOOKUP(_xlfn.XLOOKUP($AQ$3,輪休基準表!$C$6:$C$36,_xlfn.XLOOKUP(AP36,輪休基準表!$E$5:$AF$5,輪休基準表!$E$6:$AF$36,""),""),班別參數!$A$4:$A$20,班別參數!$B$4:$B$20,""),"")</f>
        <v>上班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>已排</v>
      </c>
      <c r="AT36" s="180">
        <f t="shared" si="0"/>
        <v>6</v>
      </c>
      <c r="AU36" s="180">
        <f t="shared" si="1"/>
        <v>10</v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27"/>
      <c r="AP37" s="127"/>
      <c r="AQ37" s="127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27"/>
      <c r="BD37" s="10"/>
    </row>
    <row r="38" spans="2:56" ht="15" customHeight="1">
      <c r="AQ38" s="127"/>
      <c r="AR38" s="118"/>
      <c r="AS38" s="119"/>
      <c r="AT38" s="119"/>
    </row>
    <row r="39" spans="2:56" ht="15" customHeight="1">
      <c r="AR39" s="118"/>
      <c r="AS39" s="119"/>
      <c r="AT39" s="119"/>
    </row>
    <row r="40" spans="2:56" ht="15" customHeight="1">
      <c r="AR40" s="118"/>
      <c r="AS40" s="119"/>
      <c r="AT40" s="119"/>
    </row>
  </sheetData>
  <mergeCells count="74">
    <mergeCell ref="AG22:AK22"/>
    <mergeCell ref="AG23:AM23"/>
    <mergeCell ref="AG24:AI24"/>
    <mergeCell ref="AK24:AM24"/>
    <mergeCell ref="AF33:AG33"/>
    <mergeCell ref="AH33:AI33"/>
    <mergeCell ref="AJ33:AK33"/>
    <mergeCell ref="AF31:AG31"/>
    <mergeCell ref="AH31:AI31"/>
    <mergeCell ref="AJ31:AK31"/>
    <mergeCell ref="AF32:AG32"/>
    <mergeCell ref="AH32:AI32"/>
    <mergeCell ref="AJ32:AK32"/>
    <mergeCell ref="AF27:AF28"/>
    <mergeCell ref="AG27:AM27"/>
    <mergeCell ref="AG28:AM28"/>
    <mergeCell ref="B34:B36"/>
    <mergeCell ref="C34:AE34"/>
    <mergeCell ref="AF34:AM34"/>
    <mergeCell ref="C35:AE35"/>
    <mergeCell ref="AF35:AM35"/>
    <mergeCell ref="C36:AE36"/>
    <mergeCell ref="AF36:AM36"/>
    <mergeCell ref="AF29:AM29"/>
    <mergeCell ref="AF30:AG30"/>
    <mergeCell ref="AH30:AI30"/>
    <mergeCell ref="AJ30:AK30"/>
    <mergeCell ref="AG25:AI25"/>
    <mergeCell ref="AK25:AM25"/>
    <mergeCell ref="C8:AE8"/>
    <mergeCell ref="C9:AE9"/>
    <mergeCell ref="M10:M33"/>
    <mergeCell ref="H11:H13"/>
    <mergeCell ref="H16:H18"/>
    <mergeCell ref="H21:H22"/>
    <mergeCell ref="D12:D13"/>
    <mergeCell ref="E12:E13"/>
    <mergeCell ref="D18:D19"/>
    <mergeCell ref="I6:J6"/>
    <mergeCell ref="K6:L6"/>
    <mergeCell ref="N6:P6"/>
    <mergeCell ref="Q6:S6"/>
    <mergeCell ref="T6:V6"/>
    <mergeCell ref="AF5:AM6"/>
    <mergeCell ref="AO5:AO6"/>
    <mergeCell ref="T7:V7"/>
    <mergeCell ref="AR5:AR6"/>
    <mergeCell ref="AS5:AT5"/>
    <mergeCell ref="W6:Y6"/>
    <mergeCell ref="AE6:AE7"/>
    <mergeCell ref="AS6:AT6"/>
    <mergeCell ref="AP5:AQ6"/>
    <mergeCell ref="G5:G7"/>
    <mergeCell ref="B3:AM3"/>
    <mergeCell ref="AW3:AX3"/>
    <mergeCell ref="AY3:BB3"/>
    <mergeCell ref="B4:AI4"/>
    <mergeCell ref="AJ4:AM4"/>
    <mergeCell ref="AW4:AX4"/>
    <mergeCell ref="AY4:BB4"/>
    <mergeCell ref="B5:B7"/>
    <mergeCell ref="C5:C7"/>
    <mergeCell ref="D5:D7"/>
    <mergeCell ref="E5:E7"/>
    <mergeCell ref="F5:F7"/>
    <mergeCell ref="H5:H7"/>
    <mergeCell ref="I5:L5"/>
    <mergeCell ref="M5:AE5"/>
    <mergeCell ref="AY2:BB2"/>
    <mergeCell ref="B1:AE1"/>
    <mergeCell ref="AP1:AQ1"/>
    <mergeCell ref="B2:AE2"/>
    <mergeCell ref="AG2:AM2"/>
    <mergeCell ref="AW2:AX2"/>
  </mergeCells>
  <phoneticPr fontId="9" type="noConversion"/>
  <conditionalFormatting sqref="AO9:AQ36 AO37:AP37 AQ37:AQ38">
    <cfRule type="expression" dxfId="141" priority="16">
      <formula>COUNTIF($AQ9,"上班")&gt;=1</formula>
    </cfRule>
  </conditionalFormatting>
  <conditionalFormatting sqref="AF8:AF13 AH8:AH21 AJ8:AJ21 AL8:AM21">
    <cfRule type="expression" dxfId="140" priority="11">
      <formula>OR(VLOOKUP(AF8,$AO$9:$AQ$40,3,0)="上班",VLOOKUP(AF8,$AO$9:$AQ$40,3,0)="外宿")</formula>
    </cfRule>
  </conditionalFormatting>
  <conditionalFormatting sqref="AL8">
    <cfRule type="expression" dxfId="139" priority="10">
      <formula>OR(VLOOKUP(AL8,$AO$9:$AQ$36,3,0)="上班",VLOOKUP(AL8,$AO$9:$AQ$36,3,0)="外宿")</formula>
    </cfRule>
  </conditionalFormatting>
  <conditionalFormatting sqref="AR9:AR36">
    <cfRule type="notContainsText" dxfId="138" priority="2" operator="notContains" text="已排">
      <formula>ISERROR(SEARCH("已排",AR9))</formula>
    </cfRule>
  </conditionalFormatting>
  <conditionalFormatting sqref="AS9:AS36">
    <cfRule type="notContainsText" dxfId="137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EFD0-A3C5-40F8-AECE-FEA95918C764}">
  <sheetPr codeName="工作表11">
    <pageSetUpPr fitToPage="1"/>
  </sheetPr>
  <dimension ref="B1:BD40"/>
  <sheetViews>
    <sheetView showZeros="0" view="pageBreakPreview" zoomScale="55" zoomScaleNormal="55" zoomScaleSheetLayoutView="55" workbookViewId="0">
      <selection activeCell="D5" sqref="D5:D7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6" width="5.375" style="126" customWidth="1"/>
    <col min="7" max="8" width="8.625" style="126" customWidth="1"/>
    <col min="9" max="12" width="5.375" style="126" customWidth="1"/>
    <col min="13" max="13" width="6.625" style="126" customWidth="1"/>
    <col min="14" max="31" width="5.375" style="126" customWidth="1"/>
    <col min="32" max="32" width="7.625" style="126" customWidth="1"/>
    <col min="33" max="33" width="10.625" style="126" customWidth="1"/>
    <col min="34" max="34" width="7.625" style="126" customWidth="1"/>
    <col min="35" max="35" width="10.625" style="126" customWidth="1"/>
    <col min="36" max="36" width="7.625" style="126" customWidth="1"/>
    <col min="37" max="37" width="10.625" style="126" customWidth="1"/>
    <col min="38" max="38" width="7.625" style="126" customWidth="1"/>
    <col min="39" max="39" width="10.625" style="126" customWidth="1"/>
    <col min="40" max="40" width="4.125" style="213" customWidth="1"/>
    <col min="41" max="47" width="11.625" style="126" customWidth="1"/>
    <col min="48" max="48" width="4.125" style="126" customWidth="1"/>
    <col min="49" max="49" width="16" style="126" customWidth="1"/>
    <col min="50" max="51" width="8.25" style="126" customWidth="1"/>
    <col min="52" max="52" width="4.125" style="126" customWidth="1"/>
    <col min="53" max="53" width="16" style="126" customWidth="1"/>
    <col min="54" max="54" width="8.25" style="126" customWidth="1"/>
    <col min="55" max="55" width="10.875" style="126" customWidth="1"/>
    <col min="56" max="58" width="4.125" style="126" customWidth="1"/>
    <col min="59" max="16384" width="11.25" style="126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27"/>
      <c r="AP1" s="399"/>
      <c r="AQ1" s="399"/>
      <c r="AR1" s="127"/>
      <c r="AS1" s="127"/>
      <c r="AT1" s="127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3" t="s">
        <v>178</v>
      </c>
      <c r="AR2" s="146" t="s">
        <v>228</v>
      </c>
      <c r="AS2" s="142"/>
      <c r="AT2" s="140"/>
      <c r="AU2" s="127"/>
      <c r="AV2" s="127"/>
      <c r="AW2" s="362" t="s">
        <v>127</v>
      </c>
      <c r="AX2" s="287"/>
      <c r="AY2" s="367" t="str">
        <f>_xlfn.XLOOKUP($AR$3,訓練!$L$13:$L$19,訓練!$M$13:$M$19,"")</f>
        <v>車輛裝備基礎保養維護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115年5月7日星期四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7</v>
      </c>
      <c r="AR3" s="141" t="str">
        <f>RIGHT(TEXT(1911+$AO$3&amp;"/"&amp;$AP$3&amp;"/"&amp;$AQ$3,"aaaa"),1)</f>
        <v>四</v>
      </c>
      <c r="AS3" s="145"/>
      <c r="AT3" s="145"/>
      <c r="AU3" s="127"/>
      <c r="AV3" s="127"/>
      <c r="AW3" s="362" t="s">
        <v>128</v>
      </c>
      <c r="AX3" s="287"/>
      <c r="AY3" s="368" t="str">
        <f>_xlfn.XLOOKUP($AR$3,訓練!$L$13:$L$19,訓練!$N$13:$N$19,"")</f>
        <v>戰術體能訓練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27"/>
      <c r="AU4" s="127"/>
      <c r="AV4" s="127"/>
      <c r="AW4" s="362" t="s">
        <v>129</v>
      </c>
      <c r="AX4" s="287"/>
      <c r="AY4" s="363" t="str">
        <f>_xlfn.XLOOKUP($AR$3,訓練!$L$13:$L$19,訓練!$O$13:$O$19,"")</f>
        <v>救護訓練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2" t="s">
        <v>366</v>
      </c>
      <c r="E5" s="424" t="s">
        <v>382</v>
      </c>
      <c r="F5" s="340"/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341"/>
      <c r="E6" s="312"/>
      <c r="F6" s="341"/>
      <c r="G6" s="312"/>
      <c r="H6" s="312"/>
      <c r="I6" s="334" t="s">
        <v>227</v>
      </c>
      <c r="J6" s="335"/>
      <c r="K6" s="334" t="s">
        <v>346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2+7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341"/>
      <c r="E7" s="312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192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27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27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27" cm="1">
        <f t="array" ref="AO9:AP36">TRANSPOSE(輪休基準表!E4:AF5)</f>
        <v>1</v>
      </c>
      <c r="AP9" s="127" t="str">
        <v>鄧力嘉</v>
      </c>
      <c r="AQ9" s="127" t="str" cm="1">
        <f t="array" ref="AQ9">IFERROR(_xlfn.XLOOKUP(_xlfn.XLOOKUP($AQ$3,輪休基準表!$C$6:$C$36,_xlfn.XLOOKUP(AP9,輪休基準表!$E$5:$AF$5,輪休基準表!$E$6:$AF$36,""),""),班別參數!$A$4:$A$20,班別參數!$B$4:$B$20,""),"")</f>
        <v>上班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>已排</v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 t="array" ref="AX9">IFERROR(INDEX(班別參數!$D$4:$S$20,MATCH(AW9,班別參數!$D$4:$D$20,0),MATCH($AS$6,班別參數!$D$4:$S$4,0)),"")</f>
        <v>A</v>
      </c>
      <c r="AY9" s="35">
        <v>7</v>
      </c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H,K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13,1</v>
      </c>
      <c r="BD9" s="127"/>
    </row>
    <row r="10" spans="2:56" ht="30" customHeight="1">
      <c r="B10" s="81" t="s">
        <v>70</v>
      </c>
      <c r="C10" s="87">
        <f>_xlfn.XLOOKUP(_xlfn.XLOOKUP($AS$6&amp;$B10,公表[班別+時段],公表[值班],""),$AX$9:$AX$25,$AY$9:$AY$25,"")</f>
        <v>7</v>
      </c>
      <c r="D10" s="95"/>
      <c r="E10" s="95"/>
      <c r="F10" s="95"/>
      <c r="G10" s="122" t="str">
        <f>IF(BC9="","",BC9)</f>
        <v>13,1</v>
      </c>
      <c r="H10" s="37"/>
      <c r="I10" s="92">
        <f>_xlfn.XLOOKUP(_xlfn.XLOOKUP($AS$6&amp;$B10,公表[班別+時段],公表[救護1],""),$AX$9:$AX$25,$AY$9:$AY$25,"")</f>
        <v>12</v>
      </c>
      <c r="J10" s="92">
        <f>_xlfn.XLOOKUP(_xlfn.XLOOKUP($AS$6&amp;$B10,公表[班別+時段],公表[救護2],""),$AX$9:$AX$25,$AY$9:$AY$25,"")</f>
        <v>23</v>
      </c>
      <c r="K10" s="87"/>
      <c r="L10" s="87" t="s">
        <v>212</v>
      </c>
      <c r="M10" s="311"/>
      <c r="N10" s="87">
        <f>_xlfn.XLOOKUP(_xlfn.XLOOKUP($AS$6&amp;$B10,公表[班別+時段],公表[備勤1],""),$AX$9:$AX$25,$AY$9:$AY$25,"")</f>
        <v>14</v>
      </c>
      <c r="O10" s="87">
        <f>_xlfn.XLOOKUP(_xlfn.XLOOKUP($AS$6&amp;$B10,公表[班別+時段],公表[備勤2],""),$AX$9:$AX$25,$AY$9:$AY$25,"")</f>
        <v>11</v>
      </c>
      <c r="P10" s="87"/>
      <c r="Q10" s="87">
        <f>_xlfn.XLOOKUP(_xlfn.XLOOKUP($AS$6&amp;$B10,公表[班別+時段],公表[備勤3],""),$AX$9:$AX$25,$AY$9:$AY$25,"")</f>
        <v>15</v>
      </c>
      <c r="R10" s="87">
        <f>_xlfn.XLOOKUP(_xlfn.XLOOKUP($AS$6&amp;$B10,公表[班別+時段],公表[備勤4],""),$AX$9:$AX$25,$AY$9:$AY$25,"")</f>
        <v>0</v>
      </c>
      <c r="S10" s="87"/>
      <c r="T10" s="87">
        <f>_xlfn.XLOOKUP(_xlfn.XLOOKUP($AS$6&amp;$B10,公表[班別+時段],公表[備勤5],""),$AX$9:$AX$25,$AY$9:$AY$25,"")</f>
        <v>0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87"/>
      <c r="AB10" s="87"/>
      <c r="AC10" s="87"/>
      <c r="AD10" s="87"/>
      <c r="AE10" s="88">
        <f>_xlfn.XLOOKUP(_xlfn.XLOOKUP($AS$6&amp;$B10,公表[班別+時段],公表[指揮官],""),$AX$9:$AX$25,$AY$9:$AY$25,"")</f>
        <v>4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27">
        <v>2</v>
      </c>
      <c r="AP10" s="127" t="str">
        <v>莊勝斌</v>
      </c>
      <c r="AQ10" s="127" t="str" cm="1">
        <f t="array" ref="AQ10">IFERROR(_xlfn.XLOOKUP(_xlfn.XLOOKUP($AQ$3,輪休基準表!$C$6:$C$36,_xlfn.XLOOKUP(AP10,輪休基準表!$E$5:$AF$5,輪休基準表!$E$6:$AF$36,""),""),班別參數!$A$4:$A$20,班別參數!$B$4:$B$20,""),"")</f>
        <v>輪休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/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>
        <v>15</v>
      </c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11</v>
      </c>
      <c r="BD10" s="127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7</v>
      </c>
      <c r="D11" s="263"/>
      <c r="E11" s="95"/>
      <c r="F11" s="95"/>
      <c r="G11" s="122" t="str">
        <f>IF(BC9="","",BC9)</f>
        <v>13,1</v>
      </c>
      <c r="H11" s="296" t="str">
        <f>AY2</f>
        <v>車輛裝備基礎保養維護</v>
      </c>
      <c r="I11" s="92">
        <f>_xlfn.XLOOKUP(_xlfn.XLOOKUP($AS$6&amp;$B11,公表[班別+時段],公表[救護1],""),$AX$9:$AX$25,$AY$9:$AY$25,"")</f>
        <v>12</v>
      </c>
      <c r="J11" s="92">
        <f>_xlfn.XLOOKUP(_xlfn.XLOOKUP($AS$6&amp;$B11,公表[班別+時段],公表[救護2],""),$AX$9:$AX$25,$AY$9:$AY$25,"")</f>
        <v>23</v>
      </c>
      <c r="K11" s="87"/>
      <c r="L11" s="87" t="s">
        <v>212</v>
      </c>
      <c r="M11" s="312"/>
      <c r="N11" s="87">
        <f>_xlfn.XLOOKUP(_xlfn.XLOOKUP($AS$6&amp;$B11,公表[班別+時段],公表[備勤1],""),$AX$9:$AX$25,$AY$9:$AY$25,"")</f>
        <v>14</v>
      </c>
      <c r="O11" s="87">
        <f>_xlfn.XLOOKUP(_xlfn.XLOOKUP($AS$6&amp;$B11,公表[班別+時段],公表[備勤2],""),$AX$9:$AX$25,$AY$9:$AY$25,"")</f>
        <v>11</v>
      </c>
      <c r="P11" s="87"/>
      <c r="Q11" s="87">
        <f>_xlfn.XLOOKUP(_xlfn.XLOOKUP($AS$6&amp;$B11,公表[班別+時段],公表[備勤3],""),$AX$9:$AX$25,$AY$9:$AY$25,"")</f>
        <v>15</v>
      </c>
      <c r="R11" s="87">
        <f>_xlfn.XLOOKUP(_xlfn.XLOOKUP($AS$6&amp;$B11,公表[班別+時段],公表[備勤4],""),$AX$9:$AX$25,$AY$9:$AY$25,"")</f>
        <v>0</v>
      </c>
      <c r="S11" s="87"/>
      <c r="T11" s="87">
        <f>_xlfn.XLOOKUP(_xlfn.XLOOKUP($AS$6&amp;$B11,公表[班別+時段],公表[備勤5],""),$AX$9:$AX$25,$AY$9:$AY$25,"")</f>
        <v>0</v>
      </c>
      <c r="U11" s="87">
        <f>_xlfn.XLOOKUP(_xlfn.XLOOKUP($AS$6&amp;$B11,公表[班別+時段],公表[備勤6],""),$AX$9:$AX$25,$AY$9:$AY$25,"")</f>
        <v>0</v>
      </c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87"/>
      <c r="AB11" s="87"/>
      <c r="AC11" s="87"/>
      <c r="AD11" s="87"/>
      <c r="AE11" s="88">
        <f>_xlfn.XLOOKUP(_xlfn.XLOOKUP($AS$6&amp;$B11,公表[班別+時段],公表[指揮官],""),$AX$9:$AX$25,$AY$9:$AY$25,"")</f>
        <v>4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27">
        <v>3</v>
      </c>
      <c r="AP11" s="127" t="str">
        <v>孫子翔</v>
      </c>
      <c r="AQ11" s="127" t="str" cm="1">
        <f t="array" ref="AQ11">IFERROR(_xlfn.XLOOKUP(_xlfn.XLOOKUP($AQ$3,輪休基準表!$C$6:$C$36,_xlfn.XLOOKUP(AP11,輪休基準表!$E$5:$AF$5,輪休基準表!$E$6:$AF$36,""),""),班別參數!$A$4:$A$20,班別參數!$B$4:$B$20,""),"")</f>
        <v>月補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/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>
        <v>23</v>
      </c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F</v>
      </c>
      <c r="BC11" s="39" t="str">
        <f t="shared" si="2"/>
        <v>12</v>
      </c>
      <c r="BD11" s="127"/>
    </row>
    <row r="12" spans="2:56" ht="30" customHeight="1">
      <c r="B12" s="81" t="s">
        <v>75</v>
      </c>
      <c r="C12" s="88">
        <f>_xlfn.XLOOKUP(_xlfn.XLOOKUP($AS$6&amp;$B12,公表[班別+時段],公表[值班],""),$AX$9:$AX$25,$AY$9:$AY$25,"")</f>
        <v>15</v>
      </c>
      <c r="D12" s="95"/>
      <c r="E12" s="292">
        <v>4</v>
      </c>
      <c r="F12" s="95"/>
      <c r="G12" s="122">
        <v>13</v>
      </c>
      <c r="H12" s="314"/>
      <c r="I12" s="92">
        <f>_xlfn.XLOOKUP(_xlfn.XLOOKUP($AS$6&amp;$B12,公表[班別+時段],公表[救護1],""),$AX$9:$AX$25,$AY$9:$AY$25,"")</f>
        <v>7</v>
      </c>
      <c r="J12" s="92">
        <f>_xlfn.XLOOKUP(_xlfn.XLOOKUP($AS$6&amp;$B12,公表[班別+時段],公表[救護2],""),$AX$9:$AX$25,$AY$9:$AY$25,"")</f>
        <v>14</v>
      </c>
      <c r="K12" s="92"/>
      <c r="L12" s="87" t="s">
        <v>212</v>
      </c>
      <c r="M12" s="312"/>
      <c r="N12" s="87">
        <v>11</v>
      </c>
      <c r="O12" s="87">
        <f>_xlfn.XLOOKUP(_xlfn.XLOOKUP($AS$6&amp;$B12,公表[班別+時段],公表[備勤2],""),$AX$9:$AX$25,$AY$9:$AY$25,"")</f>
        <v>12</v>
      </c>
      <c r="P12" s="87"/>
      <c r="Q12" s="87">
        <v>23</v>
      </c>
      <c r="R12" s="87">
        <f>_xlfn.XLOOKUP(_xlfn.XLOOKUP($AS$6&amp;$B12,公表[班別+時段],公表[備勤4],""),$AX$9:$AX$25,$AY$9:$AY$25,"")</f>
        <v>0</v>
      </c>
      <c r="S12" s="87"/>
      <c r="T12" s="87"/>
      <c r="U12" s="87">
        <f>_xlfn.XLOOKUP(_xlfn.XLOOKUP($AS$6&amp;$B12,公表[班別+時段],公表[備勤6],""),$AX$9:$AX$25,$AY$9:$AY$25,"")</f>
        <v>0</v>
      </c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87"/>
      <c r="AC12" s="87"/>
      <c r="AD12" s="87"/>
      <c r="AE12" s="88">
        <f>_xlfn.XLOOKUP(_xlfn.XLOOKUP($AS$6&amp;$B12,公表[班別+時段],公表[指揮官],""),$AX$9:$AX$25,$AY$9:$AY$25,"")</f>
        <v>1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27">
        <v>4</v>
      </c>
      <c r="AP12" s="127" t="str">
        <v>簡永豐</v>
      </c>
      <c r="AQ12" s="127" t="str" cm="1">
        <f t="array" ref="AQ12">IFERROR(_xlfn.XLOOKUP(_xlfn.XLOOKUP($AQ$3,輪休基準表!$C$6:$C$36,_xlfn.XLOOKUP(AP12,輪休基準表!$E$5:$AF$5,輪休基準表!$E$6:$AF$36,""),""),班別參數!$A$4:$A$20,班別參數!$B$4:$B$20,""),"")</f>
        <v>上班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>已排</v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>
        <v>14</v>
      </c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27"/>
    </row>
    <row r="13" spans="2:56" ht="30" customHeight="1" thickBot="1">
      <c r="B13" s="82" t="s">
        <v>76</v>
      </c>
      <c r="C13" s="269">
        <f>_xlfn.XLOOKUP(_xlfn.XLOOKUP($AS$6&amp;$B13,公表[班別+時段],公表[值班],""),$AX$9:$AX$25,$AY$9:$AY$25,"")</f>
        <v>15</v>
      </c>
      <c r="D13" s="96"/>
      <c r="E13" s="293"/>
      <c r="F13" s="96"/>
      <c r="G13" s="123">
        <v>13</v>
      </c>
      <c r="H13" s="315"/>
      <c r="I13" s="216">
        <f>_xlfn.XLOOKUP(_xlfn.XLOOKUP($AS$6&amp;$B13,公表[班別+時段],公表[救護1],""),$AX$9:$AX$25,$AY$9:$AY$25,"")</f>
        <v>7</v>
      </c>
      <c r="J13" s="216">
        <f>_xlfn.XLOOKUP(_xlfn.XLOOKUP($AS$6&amp;$B13,公表[班別+時段],公表[救護2],""),$AX$9:$AX$25,$AY$9:$AY$25,"")</f>
        <v>14</v>
      </c>
      <c r="K13" s="105"/>
      <c r="L13" s="93" t="s">
        <v>212</v>
      </c>
      <c r="M13" s="312"/>
      <c r="N13" s="89">
        <v>11</v>
      </c>
      <c r="O13" s="89">
        <f>_xlfn.XLOOKUP(_xlfn.XLOOKUP($AS$6&amp;$B13,公表[班別+時段],公表[備勤2],""),$AX$9:$AX$25,$AY$9:$AY$25,"")</f>
        <v>12</v>
      </c>
      <c r="P13" s="89"/>
      <c r="Q13" s="89">
        <v>23</v>
      </c>
      <c r="R13" s="89">
        <f>_xlfn.XLOOKUP(_xlfn.XLOOKUP($AS$6&amp;$B13,公表[班別+時段],公表[備勤4],""),$AX$9:$AX$25,$AY$9:$AY$25,"")</f>
        <v>0</v>
      </c>
      <c r="S13" s="89"/>
      <c r="T13" s="89"/>
      <c r="U13" s="89">
        <f>_xlfn.XLOOKUP(_xlfn.XLOOKUP($AS$6&amp;$B13,公表[班別+時段],公表[備勤6],""),$AX$9:$AX$25,$AY$9:$AY$25,"")</f>
        <v>0</v>
      </c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89"/>
      <c r="AC13" s="89"/>
      <c r="AD13" s="89"/>
      <c r="AE13" s="104">
        <f>_xlfn.XLOOKUP(_xlfn.XLOOKUP($AS$6&amp;$B13,公表[班別+時段],公表[指揮官],""),$AX$9:$AX$25,$AY$9:$AY$25,"")</f>
        <v>1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27">
        <v>5</v>
      </c>
      <c r="AP13" s="127" t="str">
        <v>張鴻志</v>
      </c>
      <c r="AQ13" s="127" t="str" cm="1">
        <f t="array" ref="AQ13">IFERROR(_xlfn.XLOOKUP(_xlfn.XLOOKUP($AQ$3,輪休基準表!$C$6:$C$36,_xlfn.XLOOKUP(AP13,輪休基準表!$E$5:$AF$5,輪休基準表!$E$6:$AF$36,""),""),班別參數!$A$4:$A$20,班別參數!$B$4:$B$20,""),"")</f>
        <v>輪休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/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>
        <v>11</v>
      </c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>7</v>
      </c>
      <c r="BD13" s="127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23</v>
      </c>
      <c r="D14" s="234"/>
      <c r="E14" s="97"/>
      <c r="F14" s="97"/>
      <c r="G14" s="121" t="str">
        <f>IF(BC11="","",BC11)</f>
        <v>12</v>
      </c>
      <c r="H14" s="55"/>
      <c r="I14" s="94">
        <f>_xlfn.XLOOKUP(_xlfn.XLOOKUP($AS$6&amp;$B14,公表[班別+時段],公表[救護1],""),$AX$9:$AX$25,$AY$9:$AY$25,"")</f>
        <v>15</v>
      </c>
      <c r="J14" s="94">
        <f>_xlfn.XLOOKUP(_xlfn.XLOOKUP($AS$6&amp;$B14,公表[班別+時段],公表[救護2],""),$AX$9:$AX$25,$AY$9:$AY$25,"")</f>
        <v>13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7</v>
      </c>
      <c r="O14" s="90">
        <f>_xlfn.XLOOKUP(_xlfn.XLOOKUP($AS$6&amp;$B14,公表[班別+時段],公表[備勤2],""),$AX$9:$AX$25,$AY$9:$AY$25,"")</f>
        <v>11</v>
      </c>
      <c r="P14" s="90"/>
      <c r="Q14" s="90">
        <f>_xlfn.XLOOKUP(_xlfn.XLOOKUP($AS$6&amp;$B14,公表[班別+時段],公表[備勤3],""),$AX$9:$AX$25,$AY$9:$AY$25,"")</f>
        <v>14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4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90"/>
      <c r="AC14" s="90"/>
      <c r="AD14" s="90"/>
      <c r="AE14" s="91">
        <f>_xlfn.XLOOKUP(_xlfn.XLOOKUP($AS$6&amp;$B14,公表[班別+時段],公表[指揮官],""),$AX$9:$AX$25,$AY$9:$AY$25,"")</f>
        <v>1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27">
        <v>6</v>
      </c>
      <c r="AP14" s="127" t="str">
        <v>吳宗耕</v>
      </c>
      <c r="AQ14" s="127" t="str" cm="1">
        <f t="array" ref="AQ14">IFERROR(_xlfn.XLOOKUP(_xlfn.XLOOKUP($AQ$3,輪休基準表!$C$6:$C$36,_xlfn.XLOOKUP(AP14,輪休基準表!$E$5:$AF$5,輪休基準表!$E$6:$AF$36,""),""),班別參數!$A$4:$A$20,班別參數!$B$4:$B$20,""),"")</f>
        <v>月補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/>
      </c>
      <c r="AT14" s="180" t="str">
        <f t="shared" si="0"/>
        <v/>
      </c>
      <c r="AU14" s="180" t="str">
        <f t="shared" si="1"/>
        <v/>
      </c>
      <c r="AV14" s="25"/>
      <c r="AW14" s="33" t="str">
        <f t="array" ref="AW14">INDEX(班別參數!$D$4:$D$20,ROW()-7,MATCH($AW$8,班別參數!$D$4:$D$20,0))</f>
        <v>18-20</v>
      </c>
      <c r="AX14" s="34">
        <f t="array" ref="AX14">IFERROR(INDEX(班別參數!$D$4:$S$20,MATCH(AW14,班別參數!$D$4:$D$20,0),MATCH($AS$6,班別參數!$D$4:$S$4,0)),"")</f>
        <v>0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</v>
      </c>
      <c r="BC14" s="39" t="str">
        <f t="shared" si="2"/>
        <v>15</v>
      </c>
      <c r="BD14" s="127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23</v>
      </c>
      <c r="D15" s="235"/>
      <c r="E15" s="106"/>
      <c r="F15" s="96"/>
      <c r="G15" s="123" t="str">
        <f>IF(BC11="","",BC11)</f>
        <v>12</v>
      </c>
      <c r="H15" s="40"/>
      <c r="I15" s="216">
        <f>_xlfn.XLOOKUP(_xlfn.XLOOKUP($AS$6&amp;$B15,公表[班別+時段],公表[救護1],""),$AX$9:$AX$25,$AY$9:$AY$25,"")</f>
        <v>15</v>
      </c>
      <c r="J15" s="216">
        <f>_xlfn.XLOOKUP(_xlfn.XLOOKUP($AS$6&amp;$B15,公表[班別+時段],公表[救護2],""),$AX$9:$AX$25,$AY$9:$AY$25,"")</f>
        <v>13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7</v>
      </c>
      <c r="O15" s="89">
        <f>_xlfn.XLOOKUP(_xlfn.XLOOKUP($AS$6&amp;$B15,公表[班別+時段],公表[備勤2],""),$AX$9:$AX$25,$AY$9:$AY$25,"")</f>
        <v>11</v>
      </c>
      <c r="P15" s="89"/>
      <c r="Q15" s="89">
        <f>_xlfn.XLOOKUP(_xlfn.XLOOKUP($AS$6&amp;$B15,公表[班別+時段],公表[備勤3],""),$AX$9:$AX$25,$AY$9:$AY$25,"")</f>
        <v>14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4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89"/>
      <c r="AC15" s="89"/>
      <c r="AD15" s="89"/>
      <c r="AE15" s="104">
        <f>_xlfn.XLOOKUP(_xlfn.XLOOKUP($AS$6&amp;$B15,公表[班別+時段],公表[指揮官],""),$AX$9:$AX$25,$AY$9:$AY$25,"")</f>
        <v>1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27">
        <v>7</v>
      </c>
      <c r="AP15" s="127" t="str">
        <v>包華先</v>
      </c>
      <c r="AQ15" s="127" t="str" cm="1">
        <f t="array" ref="AQ15">IFERROR(_xlfn.XLOOKUP(_xlfn.XLOOKUP($AQ$3,輪休基準表!$C$6:$C$36,_xlfn.XLOOKUP(AP15,輪休基準表!$E$5:$AF$5,輪休基準表!$E$6:$AF$36,""),""),班別參數!$A$4:$A$20,班別參數!$B$4:$B$20,""),"")</f>
        <v>上班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>已排</v>
      </c>
      <c r="AT15" s="180">
        <f t="shared" si="0"/>
        <v>6</v>
      </c>
      <c r="AU15" s="180">
        <f t="shared" si="1"/>
        <v>8</v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>
        <v>12</v>
      </c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>14</v>
      </c>
      <c r="BD15" s="127"/>
    </row>
    <row r="16" spans="2:56" ht="30" customHeight="1">
      <c r="B16" s="83" t="s">
        <v>79</v>
      </c>
      <c r="C16" s="90">
        <f>_xlfn.XLOOKUP(_xlfn.XLOOKUP($AS$6&amp;$B16,公表[班別+時段],公表[值班],""),$AX$9:$AX$25,$AY$9:$AY$25,"")</f>
        <v>14</v>
      </c>
      <c r="D16" s="98"/>
      <c r="E16" s="99"/>
      <c r="F16" s="98"/>
      <c r="G16" s="121">
        <v>11</v>
      </c>
      <c r="H16" s="316" t="str">
        <f>AY3</f>
        <v>戰術體能訓練</v>
      </c>
      <c r="I16" s="94">
        <f>_xlfn.XLOOKUP(_xlfn.XLOOKUP($AS$6&amp;$B16,公表[班別+時段],公表[救護1],""),$AX$9:$AX$25,$AY$9:$AY$25,"")</f>
        <v>12</v>
      </c>
      <c r="J16" s="94">
        <f>_xlfn.XLOOKUP(_xlfn.XLOOKUP($AS$6&amp;$B16,公表[班別+時段],公表[救護2],""),$AX$9:$AX$25,$AY$9:$AY$25,"")</f>
        <v>13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15</v>
      </c>
      <c r="O16" s="90">
        <f>_xlfn.XLOOKUP(_xlfn.XLOOKUP($AS$6&amp;$B16,公表[班別+時段],公表[備勤2],""),$AX$9:$AX$25,$AY$9:$AY$25,"")</f>
        <v>23</v>
      </c>
      <c r="P16" s="90"/>
      <c r="Q16" s="90">
        <f>_xlfn.XLOOKUP(_xlfn.XLOOKUP($AS$6&amp;$B16,公表[班別+時段],公表[備勤3],""),$AX$9:$AX$25,$AY$9:$AY$25,"")</f>
        <v>7</v>
      </c>
      <c r="R16" s="90"/>
      <c r="S16" s="90"/>
      <c r="T16" s="90">
        <f>_xlfn.XLOOKUP(_xlfn.XLOOKUP($AS$6&amp;$B16,公表[班別+時段],公表[備勤5],""),$AX$9:$AX$25,$AY$9:$AY$25,"")</f>
        <v>4</v>
      </c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90"/>
      <c r="AC16" s="90"/>
      <c r="AD16" s="90"/>
      <c r="AE16" s="91">
        <f>_xlfn.XLOOKUP(_xlfn.XLOOKUP($AS$6&amp;$B16,公表[班別+時段],公表[指揮官],""),$AX$9:$AX$25,$AY$9:$AY$25,"")</f>
        <v>1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27">
        <v>8</v>
      </c>
      <c r="AP16" s="127" t="str">
        <v>曾彥綸</v>
      </c>
      <c r="AQ16" s="127" t="str" cm="1">
        <f t="array" ref="AQ16">IFERROR(_xlfn.XLOOKUP(_xlfn.XLOOKUP($AQ$3,輪休基準表!$C$6:$C$36,_xlfn.XLOOKUP(AP16,輪休基準表!$E$5:$AF$5,輪休基準表!$E$6:$AF$36,""),""),班別參數!$A$4:$A$20,班別參數!$B$4:$B$20,""),"")</f>
        <v>輪休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/>
      </c>
      <c r="AT16" s="180" t="str">
        <f t="shared" si="0"/>
        <v/>
      </c>
      <c r="AU16" s="180" t="str">
        <f t="shared" si="1"/>
        <v/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>
        <v>13</v>
      </c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27"/>
    </row>
    <row r="17" spans="2:56" ht="30" customHeight="1">
      <c r="B17" s="81" t="s">
        <v>80</v>
      </c>
      <c r="C17" s="87">
        <f>_xlfn.XLOOKUP(_xlfn.XLOOKUP($AS$6&amp;$B17,公表[班別+時段],公表[值班],""),$AX$9:$AX$25,$AY$9:$AY$25,"")</f>
        <v>14</v>
      </c>
      <c r="D17" s="95"/>
      <c r="E17" s="95"/>
      <c r="F17" s="100"/>
      <c r="G17" s="122">
        <v>11</v>
      </c>
      <c r="H17" s="314"/>
      <c r="I17" s="92">
        <f>_xlfn.XLOOKUP(_xlfn.XLOOKUP($AS$6&amp;$B17,公表[班別+時段],公表[救護1],""),$AX$9:$AX$25,$AY$9:$AY$25,"")</f>
        <v>12</v>
      </c>
      <c r="J17" s="92">
        <f>_xlfn.XLOOKUP(_xlfn.XLOOKUP($AS$6&amp;$B17,公表[班別+時段],公表[救護2],""),$AX$9:$AX$25,$AY$9:$AY$25,"")</f>
        <v>13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15</v>
      </c>
      <c r="O17" s="87">
        <f>_xlfn.XLOOKUP(_xlfn.XLOOKUP($AS$6&amp;$B17,公表[班別+時段],公表[備勤2],""),$AX$9:$AX$25,$AY$9:$AY$25,"")</f>
        <v>23</v>
      </c>
      <c r="P17" s="87"/>
      <c r="Q17" s="87">
        <f>_xlfn.XLOOKUP(_xlfn.XLOOKUP($AS$6&amp;$B17,公表[班別+時段],公表[備勤3],""),$AX$9:$AX$25,$AY$9:$AY$25,"")</f>
        <v>7</v>
      </c>
      <c r="R17" s="87"/>
      <c r="S17" s="87"/>
      <c r="T17" s="87">
        <f>_xlfn.XLOOKUP(_xlfn.XLOOKUP($AS$6&amp;$B17,公表[班別+時段],公表[備勤5],""),$AX$9:$AX$25,$AY$9:$AY$25,"")</f>
        <v>4</v>
      </c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87"/>
      <c r="AC17" s="87"/>
      <c r="AD17" s="87"/>
      <c r="AE17" s="88">
        <f>_xlfn.XLOOKUP(_xlfn.XLOOKUP($AS$6&amp;$B17,公表[班別+時段],公表[指揮官],""),$AX$9:$AX$25,$AY$9:$AY$25,"")</f>
        <v>1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27">
        <v>9</v>
      </c>
      <c r="AP17" s="127" t="str">
        <v>鍾佳諭</v>
      </c>
      <c r="AQ17" s="127" t="str" cm="1">
        <f t="array" ref="AQ17">IFERROR(_xlfn.XLOOKUP(_xlfn.XLOOKUP($AQ$3,輪休基準表!$C$6:$C$36,_xlfn.XLOOKUP(AP17,輪休基準表!$E$5:$AF$5,輪休基準表!$E$6:$AF$36,""),""),班別參數!$A$4:$A$20,班別參數!$B$4:$B$20,""),"")</f>
        <v>月補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/>
      </c>
      <c r="AT17" s="180" t="str">
        <f t="shared" si="0"/>
        <v/>
      </c>
      <c r="AU17" s="180" t="str">
        <f t="shared" si="1"/>
        <v/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27"/>
    </row>
    <row r="18" spans="2:56" ht="30" customHeight="1">
      <c r="B18" s="81" t="s">
        <v>81</v>
      </c>
      <c r="C18" s="87">
        <f>_xlfn.XLOOKUP(_xlfn.XLOOKUP($AS$6&amp;$B18,公表[班別+時段],公表[值班],""),$AX$9:$AX$25,$AY$9:$AY$25,"")</f>
        <v>11</v>
      </c>
      <c r="D18" s="294" t="s">
        <v>367</v>
      </c>
      <c r="E18" s="95"/>
      <c r="F18" s="100"/>
      <c r="G18" s="122"/>
      <c r="H18" s="297"/>
      <c r="I18" s="92">
        <f>_xlfn.XLOOKUP(_xlfn.XLOOKUP($AS$6&amp;$B18,公表[班別+時段],公表[救護1],""),$AX$9:$AX$25,$AY$9:$AY$25,"")</f>
        <v>12</v>
      </c>
      <c r="J18" s="92">
        <f>_xlfn.XLOOKUP(_xlfn.XLOOKUP($AS$6&amp;$B18,公表[班別+時段],公表[救護2],""),$AX$9:$AX$25,$AY$9:$AY$25,"")</f>
        <v>23</v>
      </c>
      <c r="K18" s="92"/>
      <c r="L18" s="87" t="s">
        <v>212</v>
      </c>
      <c r="M18" s="312"/>
      <c r="N18" s="87">
        <f>_xlfn.XLOOKUP(_xlfn.XLOOKUP($AS$6&amp;$B18,公表[班別+時段],公表[備勤1],""),$AX$9:$AX$25,$AY$9:$AY$25,"")</f>
        <v>14</v>
      </c>
      <c r="O18" s="87">
        <f>_xlfn.XLOOKUP(_xlfn.XLOOKUP($AS$6&amp;$B18,公表[班別+時段],公表[備勤2],""),$AX$9:$AX$25,$AY$9:$AY$25,"")</f>
        <v>13</v>
      </c>
      <c r="P18" s="87"/>
      <c r="Q18" s="87"/>
      <c r="R18" s="87">
        <f>_xlfn.XLOOKUP(_xlfn.XLOOKUP($AS$6&amp;$B18,公表[班別+時段],公表[備勤4],""),$AX$9:$AX$25,$AY$9:$AY$25,"")</f>
        <v>0</v>
      </c>
      <c r="S18" s="87"/>
      <c r="T18" s="87">
        <f>_xlfn.XLOOKUP(_xlfn.XLOOKUP($AS$6&amp;$B18,公表[班別+時段],公表[備勤5],""),$AX$9:$AX$25,$AY$9:$AY$25,"")</f>
        <v>4</v>
      </c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87"/>
      <c r="AC18" s="87"/>
      <c r="AD18" s="87"/>
      <c r="AE18" s="88">
        <f>_xlfn.XLOOKUP(_xlfn.XLOOKUP($AS$6&amp;$B18,公表[班別+時段],公表[指揮官],""),$AX$9:$AX$25,$AY$9:$AY$25,"")</f>
        <v>1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27">
        <v>10</v>
      </c>
      <c r="AP18" s="127" t="str">
        <v>林宏澤</v>
      </c>
      <c r="AQ18" s="127" t="str" cm="1">
        <f t="array" ref="AQ18">IFERROR(_xlfn.XLOOKUP(_xlfn.XLOOKUP($AQ$3,輪休基準表!$C$6:$C$36,_xlfn.XLOOKUP(AP18,輪休基準表!$E$5:$AF$5,輪休基準表!$E$6:$AF$36,""),""),班別參數!$A$4:$A$20,班別參數!$B$4:$B$20,""),"")</f>
        <v>輪休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/>
      </c>
      <c r="AT18" s="180" t="str">
        <f t="shared" si="0"/>
        <v/>
      </c>
      <c r="AU18" s="180" t="str">
        <f t="shared" si="1"/>
        <v/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27"/>
    </row>
    <row r="19" spans="2:56" ht="30" customHeight="1" thickBot="1">
      <c r="B19" s="110" t="s">
        <v>82</v>
      </c>
      <c r="C19" s="89">
        <f>_xlfn.XLOOKUP(_xlfn.XLOOKUP($AS$6&amp;$B19,公表[班別+時段],公表[值班],""),$AX$9:$AX$25,$AY$9:$AY$25,"")</f>
        <v>11</v>
      </c>
      <c r="D19" s="295"/>
      <c r="E19" s="96"/>
      <c r="F19" s="236"/>
      <c r="G19" s="123"/>
      <c r="H19" s="107"/>
      <c r="I19" s="216">
        <f>_xlfn.XLOOKUP(_xlfn.XLOOKUP($AS$6&amp;$B19,公表[班別+時段],公表[救護1],""),$AX$9:$AX$25,$AY$9:$AY$25,"")</f>
        <v>12</v>
      </c>
      <c r="J19" s="216">
        <f>_xlfn.XLOOKUP(_xlfn.XLOOKUP($AS$6&amp;$B19,公表[班別+時段],公表[救護2],""),$AX$9:$AX$25,$AY$9:$AY$25,"")</f>
        <v>23</v>
      </c>
      <c r="K19" s="105"/>
      <c r="L19" s="93" t="s">
        <v>212</v>
      </c>
      <c r="M19" s="312"/>
      <c r="N19" s="89">
        <f>_xlfn.XLOOKUP(_xlfn.XLOOKUP($AS$6&amp;$B19,公表[班別+時段],公表[備勤1],""),$AX$9:$AX$25,$AY$9:$AY$25,"")</f>
        <v>14</v>
      </c>
      <c r="O19" s="89">
        <f>_xlfn.XLOOKUP(_xlfn.XLOOKUP($AS$6&amp;$B19,公表[班別+時段],公表[備勤2],""),$AX$9:$AX$25,$AY$9:$AY$25,"")</f>
        <v>13</v>
      </c>
      <c r="P19" s="89"/>
      <c r="Q19" s="89"/>
      <c r="R19" s="89">
        <f>_xlfn.XLOOKUP(_xlfn.XLOOKUP($AS$6&amp;$B19,公表[班別+時段],公表[備勤4],""),$AX$9:$AX$25,$AY$9:$AY$25,"")</f>
        <v>0</v>
      </c>
      <c r="S19" s="89"/>
      <c r="T19" s="89">
        <f>_xlfn.XLOOKUP(_xlfn.XLOOKUP($AS$6&amp;$B19,公表[班別+時段],公表[備勤5],""),$AX$9:$AX$25,$AY$9:$AY$25,"")</f>
        <v>4</v>
      </c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89"/>
      <c r="AC19" s="89"/>
      <c r="AD19" s="89"/>
      <c r="AE19" s="104">
        <f>_xlfn.XLOOKUP(_xlfn.XLOOKUP($AS$6&amp;$B19,公表[班別+時段],公表[指揮官],""),$AX$9:$AX$25,$AY$9:$AY$25,"")</f>
        <v>1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27">
        <v>11</v>
      </c>
      <c r="AP19" s="127" t="str">
        <v>簡君諺</v>
      </c>
      <c r="AQ19" s="127" t="str" cm="1">
        <f t="array" ref="AQ19">IFERROR(_xlfn.XLOOKUP(_xlfn.XLOOKUP($AQ$3,輪休基準表!$C$6:$C$36,_xlfn.XLOOKUP(AP19,輪休基準表!$E$5:$AF$5,輪休基準表!$E$6:$AF$36,""),""),班別參數!$A$4:$A$20,班別參數!$B$4:$B$20,""),"")</f>
        <v>上班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>已排</v>
      </c>
      <c r="AT19" s="180">
        <f t="shared" si="0"/>
        <v>6</v>
      </c>
      <c r="AU19" s="180">
        <f t="shared" si="1"/>
        <v>10</v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:AY20">IF(AX19="","",_xlfn._xlws.FILTER($AO$9:$AO$13,$AQ$9:$AQ$13="上班",""))</f>
        <v>1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27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4</v>
      </c>
      <c r="D20" s="97"/>
      <c r="E20" s="97"/>
      <c r="F20" s="97"/>
      <c r="G20" s="121" t="str">
        <f>IF(BC14="","",BC14)</f>
        <v>15</v>
      </c>
      <c r="H20" s="55"/>
      <c r="I20" s="94">
        <f>_xlfn.XLOOKUP(_xlfn.XLOOKUP($AS$6&amp;$B20,公表[班別+時段],公表[救護1],""),$AX$9:$AX$25,$AY$9:$AY$25,"")</f>
        <v>11</v>
      </c>
      <c r="J20" s="94">
        <f>_xlfn.XLOOKUP(_xlfn.XLOOKUP($AS$6&amp;$B20,公表[班別+時段],公表[救護2],""),$AX$9:$AX$25,$AY$9:$AY$25,"")</f>
        <v>13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23</v>
      </c>
      <c r="O20" s="90">
        <f>_xlfn.XLOOKUP(_xlfn.XLOOKUP($AS$6&amp;$B20,公表[班別+時段],公表[備勤2],""),$AX$9:$AX$25,$AY$9:$AY$25,"")</f>
        <v>7</v>
      </c>
      <c r="P20" s="90"/>
      <c r="Q20" s="90">
        <f>_xlfn.XLOOKUP(_xlfn.XLOOKUP($AS$6&amp;$B20,公表[班別+時段],公表[備勤3],""),$AX$9:$AX$25,$AY$9:$AY$25,"")</f>
        <v>14</v>
      </c>
      <c r="R20" s="90">
        <f>_xlfn.XLOOKUP(_xlfn.XLOOKUP($AS$6&amp;$B20,公表[班別+時段],公表[備勤4],""),$AX$9:$AX$25,$AY$9:$AY$25,"")</f>
        <v>12</v>
      </c>
      <c r="S20" s="90"/>
      <c r="T20" s="90">
        <f>_xlfn.XLOOKUP(_xlfn.XLOOKUP($AS$6&amp;$B20,公表[班別+時段],公表[備勤5],""),$AX$9:$AX$25,$AY$9:$AY$25,"")</f>
        <v>0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90"/>
      <c r="AC20" s="90"/>
      <c r="AD20" s="90"/>
      <c r="AE20" s="91">
        <f>_xlfn.XLOOKUP(_xlfn.XLOOKUP($AS$6&amp;$B20,公表[班別+時段],公表[指揮官],""),$AX$9:$AX$25,$AY$9:$AY$25,"")</f>
        <v>1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27">
        <v>12</v>
      </c>
      <c r="AP20" s="127" t="str">
        <v>王昱勛</v>
      </c>
      <c r="AQ20" s="127" t="str" cm="1">
        <f t="array" ref="AQ20">IFERROR(_xlfn.XLOOKUP(_xlfn.XLOOKUP($AQ$3,輪休基準表!$C$6:$C$36,_xlfn.XLOOKUP(AP20,輪休基準表!$E$5:$AF$5,輪休基準表!$E$6:$AF$36,""),""),班別參數!$A$4:$A$20,班別參數!$B$4:$B$20,""),"")</f>
        <v>上班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>已排</v>
      </c>
      <c r="AT20" s="180">
        <f t="shared" si="0"/>
        <v>8</v>
      </c>
      <c r="AU20" s="180">
        <f t="shared" si="1"/>
        <v>8</v>
      </c>
      <c r="AV20" s="25"/>
      <c r="AW20" s="33" t="str">
        <f t="array" ref="AW20">INDEX(班別參數!$D$4:$D$20,ROW()-7,MATCH($AW$8,班別參數!$D$4:$D$20,0))</f>
        <v>帶隊官</v>
      </c>
      <c r="AX20" s="34" t="str">
        <f t="array" ref="AX20">IFERROR(INDEX(班別參數!$D$4:$S$20,MATCH(AW20,班別參數!$D$4:$D$20,0),MATCH($AS$6,班別參數!$D$4:$S$4,0)),"")</f>
        <v>L</v>
      </c>
      <c r="AY20" s="38">
        <v>4</v>
      </c>
      <c r="AZ20" s="32"/>
      <c r="BA20" s="33" t="s">
        <v>67</v>
      </c>
      <c r="BB20" s="34" t="str">
        <f t="array" ref="BB20">IFERROR(INDEX(班別參數!$D$23:$S$35,MATCH(BA20,班別參數!$D$23:$D$35,0),MATCH($AS$6,班別參數!$D$23:$S$23,0)),"")</f>
        <v>G,L</v>
      </c>
      <c r="BC20" s="41" t="str">
        <f t="shared" si="2"/>
        <v>23,4</v>
      </c>
      <c r="BD20" s="127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4</v>
      </c>
      <c r="D21" s="95"/>
      <c r="E21" s="95"/>
      <c r="F21" s="95"/>
      <c r="G21" s="122" t="str">
        <f>IF(BC14="","",BC14)</f>
        <v>15</v>
      </c>
      <c r="H21" s="296" t="str">
        <f>AY4</f>
        <v>救護訓練</v>
      </c>
      <c r="I21" s="92">
        <f>_xlfn.XLOOKUP(_xlfn.XLOOKUP($AS$6&amp;$B21,公表[班別+時段],公表[救護1],""),$AX$9:$AX$25,$AY$9:$AY$25,"")</f>
        <v>11</v>
      </c>
      <c r="J21" s="92">
        <f>_xlfn.XLOOKUP(_xlfn.XLOOKUP($AS$6&amp;$B21,公表[班別+時段],公表[救護2],""),$AX$9:$AX$25,$AY$9:$AY$25,"")</f>
        <v>13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23</v>
      </c>
      <c r="O21" s="87">
        <f>_xlfn.XLOOKUP(_xlfn.XLOOKUP($AS$6&amp;$B21,公表[班別+時段],公表[備勤2],""),$AX$9:$AX$25,$AY$9:$AY$25,"")</f>
        <v>7</v>
      </c>
      <c r="P21" s="87"/>
      <c r="Q21" s="87">
        <f>_xlfn.XLOOKUP(_xlfn.XLOOKUP($AS$6&amp;$B21,公表[班別+時段],公表[備勤3],""),$AX$9:$AX$25,$AY$9:$AY$25,"")</f>
        <v>14</v>
      </c>
      <c r="R21" s="87">
        <f>_xlfn.XLOOKUP(_xlfn.XLOOKUP($AS$6&amp;$B21,公表[班別+時段],公表[備勤4],""),$AX$9:$AX$25,$AY$9:$AY$25,"")</f>
        <v>12</v>
      </c>
      <c r="S21" s="87"/>
      <c r="T21" s="87">
        <f>_xlfn.XLOOKUP(_xlfn.XLOOKUP($AS$6&amp;$B21,公表[班別+時段],公表[備勤5],""),$AX$9:$AX$25,$AY$9:$AY$25,"")</f>
        <v>0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87"/>
      <c r="AC21" s="87"/>
      <c r="AD21" s="87"/>
      <c r="AE21" s="88">
        <f>_xlfn.XLOOKUP(_xlfn.XLOOKUP($AS$6&amp;$B21,公表[班別+時段],公表[指揮官],""),$AX$9:$AX$25,$AY$9:$AY$25,"")</f>
        <v>1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27">
        <v>13</v>
      </c>
      <c r="AP21" s="127" t="str">
        <v>葉宗哲</v>
      </c>
      <c r="AQ21" s="127" t="str" cm="1">
        <f t="array" ref="AQ21">IFERROR(_xlfn.XLOOKUP(_xlfn.XLOOKUP($AQ$3,輪休基準表!$C$6:$C$36,_xlfn.XLOOKUP(AP21,輪休基準表!$E$5:$AF$5,輪休基準表!$E$6:$AF$36,""),""),班別參數!$A$4:$A$20,班別參數!$B$4:$B$20,""),"")</f>
        <v>上班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>已排</v>
      </c>
      <c r="AT21" s="180">
        <f t="shared" si="0"/>
        <v>6</v>
      </c>
      <c r="AU21" s="180">
        <f t="shared" si="1"/>
        <v>2</v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27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12</v>
      </c>
      <c r="D22" s="95"/>
      <c r="E22" s="95"/>
      <c r="F22" s="95"/>
      <c r="G22" s="122" t="str">
        <f>IF(BC15="","",BC15)</f>
        <v>14</v>
      </c>
      <c r="H22" s="297"/>
      <c r="I22" s="92">
        <f>_xlfn.XLOOKUP(_xlfn.XLOOKUP($AS$6&amp;$B22,公表[班別+時段],公表[救護1],""),$AX$9:$AX$25,$AY$9:$AY$25,"")</f>
        <v>15</v>
      </c>
      <c r="J22" s="92">
        <f>_xlfn.XLOOKUP(_xlfn.XLOOKUP($AS$6&amp;$B22,公表[班別+時段],公表[救護2],""),$AX$9:$AX$25,$AY$9:$AY$25,"")</f>
        <v>23</v>
      </c>
      <c r="K22" s="92"/>
      <c r="L22" s="87" t="s">
        <v>212</v>
      </c>
      <c r="M22" s="312"/>
      <c r="N22" s="87">
        <f>_xlfn.XLOOKUP(_xlfn.XLOOKUP($AS$6&amp;$B22,公表[班別+時段],公表[備勤1],""),$AX$9:$AX$25,$AY$9:$AY$25,"")</f>
        <v>7</v>
      </c>
      <c r="O22" s="87">
        <f>_xlfn.XLOOKUP(_xlfn.XLOOKUP($AS$6&amp;$B22,公表[班別+時段],公表[備勤2],""),$AX$9:$AX$25,$AY$9:$AY$25,"")</f>
        <v>11</v>
      </c>
      <c r="P22" s="87"/>
      <c r="Q22" s="87">
        <f>_xlfn.XLOOKUP(_xlfn.XLOOKUP($AS$6&amp;$B22,公表[班別+時段],公表[備勤3],""),$AX$9:$AX$25,$AY$9:$AY$25,"")</f>
        <v>13</v>
      </c>
      <c r="R22" s="87">
        <f>_xlfn.XLOOKUP(_xlfn.XLOOKUP($AS$6&amp;$B22,公表[班別+時段],公表[備勤4],""),$AX$9:$AX$25,$AY$9:$AY$25,"")</f>
        <v>0</v>
      </c>
      <c r="S22" s="87"/>
      <c r="T22" s="87">
        <f>_xlfn.XLOOKUP(_xlfn.XLOOKUP($AS$6&amp;$B22,公表[班別+時段],公表[備勤5],""),$AX$9:$AX$25,$AY$9:$AY$25,"")</f>
        <v>4</v>
      </c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87"/>
      <c r="AC22" s="87"/>
      <c r="AD22" s="87"/>
      <c r="AE22" s="88">
        <f>_xlfn.XLOOKUP(_xlfn.XLOOKUP($AS$6&amp;$B22,公表[班別+時段],公表[指揮官],""),$AX$9:$AX$25,$AY$9:$AY$25,"")</f>
        <v>1</v>
      </c>
      <c r="AF22" s="57" t="s">
        <v>213</v>
      </c>
      <c r="AG22" s="305" t="str" cm="1">
        <f t="array" ref="AG22">_xlfn.TEXTJOIN(".",1,_xlfn._xlws.FILTER($AO$9:$AO$40,$AQ$9:$AQ$40="上班",""))</f>
        <v>1.4.7.11.12.13.14.15.23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27">
        <v>14</v>
      </c>
      <c r="AP22" s="127" t="str">
        <v>王浩任</v>
      </c>
      <c r="AQ22" s="127" t="str" cm="1">
        <f t="array" ref="AQ22">IFERROR(_xlfn.XLOOKUP(_xlfn.XLOOKUP($AQ$3,輪休基準表!$C$6:$C$36,_xlfn.XLOOKUP(AP22,輪休基準表!$E$5:$AF$5,輪休基準表!$E$6:$AF$36,""),""),班別參數!$A$4:$A$20,班別參數!$B$4:$B$20,""),"")</f>
        <v>上班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>已排</v>
      </c>
      <c r="AT22" s="180">
        <f t="shared" si="0"/>
        <v>8</v>
      </c>
      <c r="AU22" s="180">
        <f t="shared" si="1"/>
        <v>6</v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27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12</v>
      </c>
      <c r="D23" s="106"/>
      <c r="E23" s="96"/>
      <c r="F23" s="96"/>
      <c r="G23" s="123" t="str">
        <f>IF(BC15="","",BC15)</f>
        <v>14</v>
      </c>
      <c r="H23" s="107"/>
      <c r="I23" s="216">
        <f>_xlfn.XLOOKUP(_xlfn.XLOOKUP($AS$6&amp;$B23,公表[班別+時段],公表[救護1],""),$AX$9:$AX$25,$AY$9:$AY$25,"")</f>
        <v>15</v>
      </c>
      <c r="J23" s="216">
        <f>_xlfn.XLOOKUP(_xlfn.XLOOKUP($AS$6&amp;$B23,公表[班別+時段],公表[救護2],""),$AX$9:$AX$25,$AY$9:$AY$25,"")</f>
        <v>23</v>
      </c>
      <c r="K23" s="105"/>
      <c r="L23" s="93" t="s">
        <v>212</v>
      </c>
      <c r="M23" s="312"/>
      <c r="N23" s="89">
        <f>_xlfn.XLOOKUP(_xlfn.XLOOKUP($AS$6&amp;$B23,公表[班別+時段],公表[備勤1],""),$AX$9:$AX$25,$AY$9:$AY$25,"")</f>
        <v>7</v>
      </c>
      <c r="O23" s="89">
        <f>_xlfn.XLOOKUP(_xlfn.XLOOKUP($AS$6&amp;$B23,公表[班別+時段],公表[備勤2],""),$AX$9:$AX$25,$AY$9:$AY$25,"")</f>
        <v>11</v>
      </c>
      <c r="P23" s="89"/>
      <c r="Q23" s="89">
        <f>_xlfn.XLOOKUP(_xlfn.XLOOKUP($AS$6&amp;$B23,公表[班別+時段],公表[備勤3],""),$AX$9:$AX$25,$AY$9:$AY$25,"")</f>
        <v>13</v>
      </c>
      <c r="R23" s="89">
        <f>_xlfn.XLOOKUP(_xlfn.XLOOKUP($AS$6&amp;$B23,公表[班別+時段],公表[備勤4],""),$AX$9:$AX$25,$AY$9:$AY$25,"")</f>
        <v>0</v>
      </c>
      <c r="S23" s="89"/>
      <c r="T23" s="89">
        <f>_xlfn.XLOOKUP(_xlfn.XLOOKUP($AS$6&amp;$B23,公表[班別+時段],公表[備勤5],""),$AX$9:$AX$25,$AY$9:$AY$25,"")</f>
        <v>4</v>
      </c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89"/>
      <c r="AC23" s="89"/>
      <c r="AD23" s="89"/>
      <c r="AE23" s="104">
        <f>_xlfn.XLOOKUP(_xlfn.XLOOKUP($AS$6&amp;$B23,公表[班別+時段],公表[指揮官],""),$AX$9:$AX$25,$AY$9:$AY$25,"")</f>
        <v>1</v>
      </c>
      <c r="AF23" s="57" t="s">
        <v>6</v>
      </c>
      <c r="AG23" s="305" t="str" cm="1">
        <f t="array" ref="AG23">_xlfn.TEXTJOIN(".",1,_xlfn._xlws.FILTER($AO$9:$AO$40,$AQ$9:$AQ$40=$AF$23,""))</f>
        <v>2.5.8.10.17.18.19.21.24.25.26.27.28</v>
      </c>
      <c r="AH23" s="400"/>
      <c r="AI23" s="400"/>
      <c r="AJ23" s="400"/>
      <c r="AK23" s="400"/>
      <c r="AL23" s="400"/>
      <c r="AM23" s="401"/>
      <c r="AN23" s="214"/>
      <c r="AO23" s="127">
        <v>15</v>
      </c>
      <c r="AP23" s="127" t="str">
        <v>李仕詮</v>
      </c>
      <c r="AQ23" s="127" t="str" cm="1">
        <f t="array" ref="AQ23">IFERROR(_xlfn.XLOOKUP(_xlfn.XLOOKUP($AQ$3,輪休基準表!$C$6:$C$36,_xlfn.XLOOKUP(AP23,輪休基準表!$E$5:$AF$5,輪休基準表!$E$6:$AF$36,""),""),班別參數!$A$4:$A$20,班別參數!$B$4:$B$20,""),"")</f>
        <v>上班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>已排</v>
      </c>
      <c r="AT23" s="180">
        <f t="shared" si="0"/>
        <v>8</v>
      </c>
      <c r="AU23" s="180">
        <f t="shared" si="1"/>
        <v>6</v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27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13</v>
      </c>
      <c r="D24" s="97"/>
      <c r="E24" s="97"/>
      <c r="F24" s="97"/>
      <c r="G24" s="121">
        <v>7</v>
      </c>
      <c r="H24" s="55"/>
      <c r="I24" s="94">
        <f>_xlfn.XLOOKUP(_xlfn.XLOOKUP($AS$6&amp;$B24,公表[班別+時段],公表[救護1],""),$AX$9:$AX$25,$AY$9:$AY$25,"")</f>
        <v>12</v>
      </c>
      <c r="J24" s="94">
        <f>_xlfn.XLOOKUP(_xlfn.XLOOKUP($AS$6&amp;$B24,公表[班別+時段],公表[救護2],""),$AX$9:$AX$25,$AY$9:$AY$25,"")</f>
        <v>14</v>
      </c>
      <c r="K24" s="90"/>
      <c r="L24" s="90" t="s">
        <v>212</v>
      </c>
      <c r="M24" s="312"/>
      <c r="N24" s="90">
        <f>_xlfn.XLOOKUP(_xlfn.XLOOKUP($AS$6&amp;$B24,公表[班別+時段],公表[備勤1],""),$AX$9:$AX$25,$AY$9:$AY$25,"")</f>
        <v>15</v>
      </c>
      <c r="O24" s="90">
        <f>_xlfn.XLOOKUP(_xlfn.XLOOKUP($AS$6&amp;$B24,公表[班別+時段],公表[備勤2],""),$AX$9:$AX$25,$AY$9:$AY$25,"")</f>
        <v>23</v>
      </c>
      <c r="P24" s="90"/>
      <c r="Q24" s="90">
        <v>11</v>
      </c>
      <c r="R24" s="90"/>
      <c r="S24" s="90"/>
      <c r="T24" s="90">
        <f>_xlfn.XLOOKUP(_xlfn.XLOOKUP($AS$6&amp;$B24,公表[班別+時段],公表[備勤5],""),$AX$9:$AX$25,$AY$9:$AY$25,"")</f>
        <v>4</v>
      </c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90"/>
      <c r="AC24" s="90"/>
      <c r="AD24" s="90"/>
      <c r="AE24" s="91">
        <f>_xlfn.XLOOKUP(_xlfn.XLOOKUP($AS$6&amp;$B24,公表[班別+時段],公表[指揮官],""),$AX$9:$AX$25,$AY$9:$AY$25,"")</f>
        <v>1</v>
      </c>
      <c r="AF24" s="57" t="s">
        <v>17</v>
      </c>
      <c r="AG24" s="305" t="str" cm="1">
        <f t="array" ref="AG24">_xlfn.TEXTJOIN(".",1,_xlfn._xlws.FILTER($AO$9:$AO$40,$AQ$9:$AQ$40=$AF$24,""))</f>
        <v>3.6.9.16</v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/>
      </c>
      <c r="AL24" s="400"/>
      <c r="AM24" s="401"/>
      <c r="AN24" s="214"/>
      <c r="AO24" s="127">
        <v>16</v>
      </c>
      <c r="AP24" s="127" t="str">
        <v>楊弘宇</v>
      </c>
      <c r="AQ24" s="127" t="str" cm="1">
        <f t="array" ref="AQ24">IFERROR(_xlfn.XLOOKUP(_xlfn.XLOOKUP($AQ$3,輪休基準表!$C$6:$C$36,_xlfn.XLOOKUP(AP24,輪休基準表!$E$5:$AF$5,輪休基準表!$E$6:$AF$36,""),""),班別參數!$A$4:$A$20,班別參數!$B$4:$B$20,""),"")</f>
        <v>月補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/>
      </c>
      <c r="AT24" s="180" t="str">
        <f t="shared" si="0"/>
        <v/>
      </c>
      <c r="AU24" s="180" t="str">
        <f t="shared" si="1"/>
        <v/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27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13</v>
      </c>
      <c r="D25" s="95"/>
      <c r="E25" s="95"/>
      <c r="F25" s="95"/>
      <c r="G25" s="122">
        <v>7</v>
      </c>
      <c r="H25" s="37"/>
      <c r="I25" s="92">
        <f>_xlfn.XLOOKUP(_xlfn.XLOOKUP($AS$6&amp;$B25,公表[班別+時段],公表[救護1],""),$AX$9:$AX$25,$AY$9:$AY$25,"")</f>
        <v>12</v>
      </c>
      <c r="J25" s="92">
        <f>_xlfn.XLOOKUP(_xlfn.XLOOKUP($AS$6&amp;$B25,公表[班別+時段],公表[救護2],""),$AX$9:$AX$25,$AY$9:$AY$25,"")</f>
        <v>14</v>
      </c>
      <c r="K25" s="87"/>
      <c r="L25" s="87" t="s">
        <v>212</v>
      </c>
      <c r="M25" s="312"/>
      <c r="N25" s="87">
        <f>_xlfn.XLOOKUP(_xlfn.XLOOKUP($AS$6&amp;$B25,公表[班別+時段],公表[備勤1],""),$AX$9:$AX$25,$AY$9:$AY$25,"")</f>
        <v>15</v>
      </c>
      <c r="O25" s="87">
        <f>_xlfn.XLOOKUP(_xlfn.XLOOKUP($AS$6&amp;$B25,公表[班別+時段],公表[備勤2],""),$AX$9:$AX$25,$AY$9:$AY$25,"")</f>
        <v>23</v>
      </c>
      <c r="P25" s="87"/>
      <c r="Q25" s="87">
        <v>11</v>
      </c>
      <c r="R25" s="87"/>
      <c r="S25" s="87"/>
      <c r="T25" s="87">
        <f>_xlfn.XLOOKUP(_xlfn.XLOOKUP($AS$6&amp;$B25,公表[班別+時段],公表[備勤5],""),$AX$9:$AX$25,$AY$9:$AY$25,"")</f>
        <v>4</v>
      </c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87"/>
      <c r="AC25" s="87"/>
      <c r="AD25" s="87"/>
      <c r="AE25" s="88">
        <f>_xlfn.XLOOKUP(_xlfn.XLOOKUP($AS$6&amp;$B25,公表[班別+時段],公表[指揮官],""),$AX$9:$AX$25,$AY$9:$AY$25,"")</f>
        <v>1</v>
      </c>
      <c r="AF25" s="57" t="s">
        <v>28</v>
      </c>
      <c r="AG25" s="305" t="str" cm="1">
        <f t="array" ref="AG25">_xlfn.TEXTJOIN(".",1,_xlfn._xlws.FILTER($AO$9:$AO$40,$AQ$9:$AQ$40=$AF$25,""))</f>
        <v/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>20.22</v>
      </c>
      <c r="AL25" s="309"/>
      <c r="AM25" s="310"/>
      <c r="AN25" s="214"/>
      <c r="AO25" s="127">
        <v>17</v>
      </c>
      <c r="AP25" s="127" t="str">
        <v>楊仲豪</v>
      </c>
      <c r="AQ25" s="127" t="str" cm="1">
        <f t="array" ref="AQ25">IFERROR(_xlfn.XLOOKUP(_xlfn.XLOOKUP($AQ$3,輪休基準表!$C$6:$C$36,_xlfn.XLOOKUP(AP25,輪休基準表!$E$5:$AF$5,輪休基準表!$E$6:$AF$36,""),""),班別參數!$A$4:$A$20,班別參數!$B$4:$B$20,""),"")</f>
        <v>輪休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/>
      </c>
      <c r="AT25" s="180" t="str">
        <f t="shared" si="0"/>
        <v/>
      </c>
      <c r="AU25" s="180" t="str">
        <f t="shared" si="1"/>
        <v/>
      </c>
      <c r="AW25" s="33"/>
      <c r="AX25" s="45"/>
      <c r="AY25" s="25"/>
      <c r="AZ25" s="28"/>
      <c r="BA25" s="33"/>
      <c r="BB25" s="25"/>
      <c r="BD25" s="127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13</v>
      </c>
      <c r="D26" s="95"/>
      <c r="E26" s="95"/>
      <c r="F26" s="95"/>
      <c r="G26" s="122" t="str">
        <f>IF(BC17="","",BC17)</f>
        <v/>
      </c>
      <c r="H26" s="37"/>
      <c r="I26" s="92">
        <f>_xlfn.XLOOKUP(_xlfn.XLOOKUP($AS$6&amp;$B26,公表[班別+時段],公表[救護1],""),$AX$9:$AX$25,$AY$9:$AY$25,"")</f>
        <v>7</v>
      </c>
      <c r="J26" s="92">
        <f>_xlfn.XLOOKUP(_xlfn.XLOOKUP($AS$6&amp;$B26,公表[班別+時段],公表[救護2],""),$AX$9:$AX$25,$AY$9:$AY$25,"")</f>
        <v>15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23</v>
      </c>
      <c r="O26" s="87">
        <f>_xlfn.XLOOKUP(_xlfn.XLOOKUP($AS$6&amp;$B26,公表[班別+時段],公表[備勤2],""),$AX$9:$AX$25,$AY$9:$AY$25,"")</f>
        <v>12</v>
      </c>
      <c r="P26" s="87"/>
      <c r="Q26" s="87">
        <f>_xlfn.XLOOKUP(_xlfn.XLOOKUP($AS$6&amp;$B26,公表[班別+時段],公表[備勤3],""),$AX$9:$AX$25,$AY$9:$AY$25,"")</f>
        <v>11</v>
      </c>
      <c r="R26" s="87">
        <f>_xlfn.XLOOKUP(_xlfn.XLOOKUP($AS$6&amp;$B26,公表[班別+時段],公表[備勤4],""),$AX$9:$AX$25,$AY$9:$AY$25,"")</f>
        <v>14</v>
      </c>
      <c r="S26" s="87"/>
      <c r="T26" s="87">
        <f>_xlfn.XLOOKUP(_xlfn.XLOOKUP($AS$6&amp;$B26,公表[班別+時段],公表[備勤5],""),$AX$9:$AX$25,$AY$9:$AY$25,"")</f>
        <v>4</v>
      </c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87"/>
      <c r="AC26" s="87"/>
      <c r="AD26" s="87"/>
      <c r="AE26" s="88">
        <f>_xlfn.XLOOKUP(_xlfn.XLOOKUP($AS$6&amp;$B26,公表[班別+時段],公表[指揮官],""),$AX$9:$AX$25,$AY$9:$AY$25,"")</f>
        <v>1</v>
      </c>
      <c r="AF26" s="57" t="s">
        <v>289</v>
      </c>
      <c r="AG26" s="178" t="str" cm="1">
        <f t="array" ref="AG26">_xlfn.TEXTJOIN(".",1,_xlfn._xlws.FILTER($AO$9:$AO$40,$AQ$9:$AQ$40=$AF$26,""))</f>
        <v/>
      </c>
      <c r="AH26" s="168" t="s">
        <v>290</v>
      </c>
      <c r="AI26" s="179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/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27">
        <v>18</v>
      </c>
      <c r="AP26" s="127" t="str">
        <v>林志偉</v>
      </c>
      <c r="AQ26" s="127" t="str" cm="1">
        <f t="array" ref="AQ26">IFERROR(_xlfn.XLOOKUP(_xlfn.XLOOKUP($AQ$3,輪休基準表!$C$6:$C$36,_xlfn.XLOOKUP(AP26,輪休基準表!$E$5:$AF$5,輪休基準表!$E$6:$AF$36,""),""),班別參數!$A$4:$A$20,班別參數!$B$4:$B$20,""),"")</f>
        <v>輪休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/>
      </c>
      <c r="AT26" s="180" t="str">
        <f t="shared" si="0"/>
        <v/>
      </c>
      <c r="AU26" s="180" t="str">
        <f t="shared" si="1"/>
        <v/>
      </c>
      <c r="AV26" s="10"/>
      <c r="AW26" s="46"/>
      <c r="AX26" s="45"/>
      <c r="AY26" s="25"/>
      <c r="AZ26" s="28"/>
      <c r="BA26" s="33"/>
      <c r="BB26" s="25"/>
      <c r="BD26" s="127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13</v>
      </c>
      <c r="D27" s="95"/>
      <c r="E27" s="95"/>
      <c r="F27" s="95"/>
      <c r="G27" s="122" t="str">
        <f>IF(BC17="","",BC17)</f>
        <v/>
      </c>
      <c r="H27" s="37"/>
      <c r="I27" s="92">
        <f>_xlfn.XLOOKUP(_xlfn.XLOOKUP($AS$6&amp;$B27,公表[班別+時段],公表[救護1],""),$AX$9:$AX$25,$AY$9:$AY$25,"")</f>
        <v>7</v>
      </c>
      <c r="J27" s="92">
        <f>_xlfn.XLOOKUP(_xlfn.XLOOKUP($AS$6&amp;$B27,公表[班別+時段],公表[救護2],""),$AX$9:$AX$25,$AY$9:$AY$25,"")</f>
        <v>15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23</v>
      </c>
      <c r="O27" s="87">
        <f>_xlfn.XLOOKUP(_xlfn.XLOOKUP($AS$6&amp;$B27,公表[班別+時段],公表[備勤2],""),$AX$9:$AX$25,$AY$9:$AY$25,"")</f>
        <v>12</v>
      </c>
      <c r="P27" s="87"/>
      <c r="Q27" s="87">
        <f>_xlfn.XLOOKUP(_xlfn.XLOOKUP($AS$6&amp;$B27,公表[班別+時段],公表[備勤3],""),$AX$9:$AX$25,$AY$9:$AY$25,"")</f>
        <v>11</v>
      </c>
      <c r="R27" s="87">
        <f>_xlfn.XLOOKUP(_xlfn.XLOOKUP($AS$6&amp;$B27,公表[班別+時段],公表[備勤4],""),$AX$9:$AX$25,$AY$9:$AY$25,"")</f>
        <v>14</v>
      </c>
      <c r="S27" s="87"/>
      <c r="T27" s="87">
        <f>_xlfn.XLOOKUP(_xlfn.XLOOKUP($AS$6&amp;$B27,公表[班別+時段],公表[備勤5],""),$AX$9:$AX$25,$AY$9:$AY$25,"")</f>
        <v>4</v>
      </c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87"/>
      <c r="AC27" s="87"/>
      <c r="AD27" s="87"/>
      <c r="AE27" s="88">
        <f>_xlfn.XLOOKUP(_xlfn.XLOOKUP($AS$6&amp;$B27,公表[班別+時段],公表[指揮官],""),$AX$9:$AX$25,$AY$9:$AY$25,"")</f>
        <v>1</v>
      </c>
      <c r="AF27" s="317" t="s">
        <v>215</v>
      </c>
      <c r="AG27" s="319"/>
      <c r="AH27" s="321"/>
      <c r="AI27" s="321"/>
      <c r="AJ27" s="321"/>
      <c r="AK27" s="321"/>
      <c r="AL27" s="321"/>
      <c r="AM27" s="322"/>
      <c r="AN27" s="214"/>
      <c r="AO27" s="127">
        <v>19</v>
      </c>
      <c r="AP27" s="127" t="str">
        <v>劉家誠</v>
      </c>
      <c r="AQ27" s="127" t="str" cm="1">
        <f t="array" ref="AQ27">IFERROR(_xlfn.XLOOKUP(_xlfn.XLOOKUP($AQ$3,輪休基準表!$C$6:$C$36,_xlfn.XLOOKUP(AP27,輪休基準表!$E$5:$AF$5,輪休基準表!$E$6:$AF$36,""),""),班別參數!$A$4:$A$20,班別參數!$B$4:$B$20,""),"")</f>
        <v>輪休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/>
      </c>
      <c r="AT27" s="180" t="str">
        <f t="shared" si="0"/>
        <v/>
      </c>
      <c r="AU27" s="180" t="str">
        <f t="shared" si="1"/>
        <v/>
      </c>
      <c r="AV27" s="10"/>
      <c r="AW27" s="46"/>
      <c r="AX27" s="45"/>
      <c r="AY27" s="25"/>
      <c r="AZ27" s="28"/>
      <c r="BA27" s="33"/>
      <c r="BB27" s="25"/>
      <c r="BD27" s="127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13</v>
      </c>
      <c r="D28" s="95"/>
      <c r="E28" s="95"/>
      <c r="F28" s="95"/>
      <c r="G28" s="122" t="str">
        <f>IF(BC18="","",BC18)</f>
        <v/>
      </c>
      <c r="H28" s="37"/>
      <c r="I28" s="92">
        <f>_xlfn.XLOOKUP(_xlfn.XLOOKUP($AS$6&amp;$B28,公表[班別+時段],公表[救護1],""),$AX$9:$AX$25,$AY$9:$AY$25,"")</f>
        <v>7</v>
      </c>
      <c r="J28" s="92">
        <f>_xlfn.XLOOKUP(_xlfn.XLOOKUP($AS$6&amp;$B28,公表[班別+時段],公表[救護2],""),$AX$9:$AX$25,$AY$9:$AY$25,"")</f>
        <v>15</v>
      </c>
      <c r="K28" s="87"/>
      <c r="L28" s="87" t="s">
        <v>212</v>
      </c>
      <c r="M28" s="312"/>
      <c r="N28" s="87">
        <f>_xlfn.XLOOKUP(_xlfn.XLOOKUP($AS$6&amp;$B28,公表[班別+時段],公表[備勤1],""),$AX$9:$AX$25,$AY$9:$AY$25,"")</f>
        <v>14</v>
      </c>
      <c r="O28" s="87">
        <f>_xlfn.XLOOKUP(_xlfn.XLOOKUP($AS$6&amp;$B28,公表[班別+時段],公表[備勤2],""),$AX$9:$AX$25,$AY$9:$AY$25,"")</f>
        <v>11</v>
      </c>
      <c r="P28" s="87"/>
      <c r="Q28" s="87">
        <f>_xlfn.XLOOKUP(_xlfn.XLOOKUP($AS$6&amp;$B28,公表[班別+時段],公表[備勤3],""),$AX$9:$AX$25,$AY$9:$AY$25,"")</f>
        <v>23</v>
      </c>
      <c r="R28" s="87">
        <f>_xlfn.XLOOKUP(_xlfn.XLOOKUP($AS$6&amp;$B28,公表[班別+時段],公表[備勤4],""),$AX$9:$AX$25,$AY$9:$AY$25,"")</f>
        <v>12</v>
      </c>
      <c r="S28" s="87"/>
      <c r="T28" s="87">
        <f>_xlfn.XLOOKUP(_xlfn.XLOOKUP($AS$6&amp;$B28,公表[班別+時段],公表[備勤5],""),$AX$9:$AX$25,$AY$9:$AY$25,"")</f>
        <v>4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87"/>
      <c r="AC28" s="87"/>
      <c r="AD28" s="87"/>
      <c r="AE28" s="88">
        <f>_xlfn.XLOOKUP(_xlfn.XLOOKUP($AS$6&amp;$B28,公表[班別+時段],公表[指揮官],""),$AX$9:$AX$25,$AY$9:$AY$25,"")</f>
        <v>1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27">
        <v>20</v>
      </c>
      <c r="AP28" s="127" t="str">
        <v>呂奇霈</v>
      </c>
      <c r="AQ28" s="127" t="str" cm="1">
        <f t="array" ref="AQ28">IFERROR(_xlfn.XLOOKUP(_xlfn.XLOOKUP($AQ$3,輪休基準表!$C$6:$C$36,_xlfn.XLOOKUP(AP28,輪休基準表!$E$5:$AF$5,輪休基準表!$E$6:$AF$36,""),""),班別參數!$A$4:$A$20,班別參數!$B$4:$B$20,""),"")</f>
        <v>公假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27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13</v>
      </c>
      <c r="D29" s="95"/>
      <c r="E29" s="95"/>
      <c r="F29" s="95"/>
      <c r="G29" s="122" t="str">
        <f>IF(BC18="","",BC18)</f>
        <v/>
      </c>
      <c r="H29" s="37"/>
      <c r="I29" s="92">
        <f>_xlfn.XLOOKUP(_xlfn.XLOOKUP($AS$6&amp;$B29,公表[班別+時段],公表[救護1],""),$AX$9:$AX$25,$AY$9:$AY$25,"")</f>
        <v>7</v>
      </c>
      <c r="J29" s="92">
        <f>_xlfn.XLOOKUP(_xlfn.XLOOKUP($AS$6&amp;$B29,公表[班別+時段],公表[救護2],""),$AX$9:$AX$25,$AY$9:$AY$25,"")</f>
        <v>15</v>
      </c>
      <c r="K29" s="87"/>
      <c r="L29" s="87" t="s">
        <v>212</v>
      </c>
      <c r="M29" s="312"/>
      <c r="N29" s="87">
        <f>_xlfn.XLOOKUP(_xlfn.XLOOKUP($AS$6&amp;$B29,公表[班別+時段],公表[備勤1],""),$AX$9:$AX$25,$AY$9:$AY$25,"")</f>
        <v>14</v>
      </c>
      <c r="O29" s="87">
        <f>_xlfn.XLOOKUP(_xlfn.XLOOKUP($AS$6&amp;$B29,公表[班別+時段],公表[備勤2],""),$AX$9:$AX$25,$AY$9:$AY$25,"")</f>
        <v>11</v>
      </c>
      <c r="P29" s="87"/>
      <c r="Q29" s="87">
        <f>_xlfn.XLOOKUP(_xlfn.XLOOKUP($AS$6&amp;$B29,公表[班別+時段],公表[備勤3],""),$AX$9:$AX$25,$AY$9:$AY$25,"")</f>
        <v>23</v>
      </c>
      <c r="R29" s="87">
        <f>_xlfn.XLOOKUP(_xlfn.XLOOKUP($AS$6&amp;$B29,公表[班別+時段],公表[備勤4],""),$AX$9:$AX$25,$AY$9:$AY$25,"")</f>
        <v>12</v>
      </c>
      <c r="S29" s="87"/>
      <c r="T29" s="87">
        <f>_xlfn.XLOOKUP(_xlfn.XLOOKUP($AS$6&amp;$B29,公表[班別+時段],公表[備勤5],""),$AX$9:$AX$25,$AY$9:$AY$25,"")</f>
        <v>4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87"/>
      <c r="AC29" s="87"/>
      <c r="AD29" s="87"/>
      <c r="AE29" s="88">
        <f>_xlfn.XLOOKUP(_xlfn.XLOOKUP($AS$6&amp;$B29,公表[班別+時段],公表[指揮官],""),$AX$9:$AX$25,$AY$9:$AY$25,"")</f>
        <v>1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27">
        <v>21</v>
      </c>
      <c r="AP29" s="127" t="str">
        <v>張家和</v>
      </c>
      <c r="AQ29" s="127" t="str" cm="1">
        <f t="array" ref="AQ29">IFERROR(_xlfn.XLOOKUP(_xlfn.XLOOKUP($AQ$3,輪休基準表!$C$6:$C$36,_xlfn.XLOOKUP(AP29,輪休基準表!$E$5:$AF$5,輪休基準表!$E$6:$AF$36,""),""),班別參數!$A$4:$A$20,班別參數!$B$4:$B$20,""),"")</f>
        <v>輪休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/>
      </c>
      <c r="AT29" s="180" t="str">
        <f t="shared" si="0"/>
        <v/>
      </c>
      <c r="AU29" s="180" t="str">
        <f t="shared" si="1"/>
        <v/>
      </c>
      <c r="AV29" s="10"/>
      <c r="AW29" s="47"/>
      <c r="AX29" s="45"/>
      <c r="AY29" s="25"/>
      <c r="AZ29" s="28"/>
      <c r="BA29" s="33"/>
      <c r="BB29" s="25"/>
      <c r="BD29" s="127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13</v>
      </c>
      <c r="D30" s="95"/>
      <c r="E30" s="95"/>
      <c r="F30" s="95"/>
      <c r="G30" s="122" t="str">
        <f>IF(BC19="","",BC19)</f>
        <v/>
      </c>
      <c r="H30" s="37"/>
      <c r="I30" s="92">
        <f>_xlfn.XLOOKUP(_xlfn.XLOOKUP($AS$6&amp;$B30,公表[班別+時段],公表[救護1],""),$AX$9:$AX$25,$AY$9:$AY$25,"")</f>
        <v>14</v>
      </c>
      <c r="J30" s="92">
        <f>_xlfn.XLOOKUP(_xlfn.XLOOKUP($AS$6&amp;$B30,公表[班別+時段],公表[救護2],""),$AX$9:$AX$25,$AY$9:$AY$25,"")</f>
        <v>11</v>
      </c>
      <c r="K30" s="87"/>
      <c r="L30" s="87" t="s">
        <v>212</v>
      </c>
      <c r="M30" s="312"/>
      <c r="N30" s="87">
        <f>_xlfn.XLOOKUP(_xlfn.XLOOKUP($AS$6&amp;$B30,公表[班別+時段],公表[備勤1],""),$AX$9:$AX$25,$AY$9:$AY$25,"")</f>
        <v>7</v>
      </c>
      <c r="O30" s="87">
        <f>_xlfn.XLOOKUP(_xlfn.XLOOKUP($AS$6&amp;$B30,公表[班別+時段],公表[備勤2],""),$AX$9:$AX$25,$AY$9:$AY$25,"")</f>
        <v>12</v>
      </c>
      <c r="P30" s="87"/>
      <c r="Q30" s="87">
        <f>_xlfn.XLOOKUP(_xlfn.XLOOKUP($AS$6&amp;$B30,公表[班別+時段],公表[備勤3],""),$AX$9:$AX$25,$AY$9:$AY$25,"")</f>
        <v>15</v>
      </c>
      <c r="R30" s="87">
        <f>_xlfn.XLOOKUP(_xlfn.XLOOKUP($AS$6&amp;$B30,公表[班別+時段],公表[備勤4],""),$AX$9:$AX$25,$AY$9:$AY$25,"")</f>
        <v>23</v>
      </c>
      <c r="S30" s="87"/>
      <c r="T30" s="87">
        <f>_xlfn.XLOOKUP(_xlfn.XLOOKUP($AS$6&amp;$B30,公表[班別+時段],公表[備勤5],""),$AX$9:$AX$25,$AY$9:$AY$25,"")</f>
        <v>4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87"/>
      <c r="AC30" s="87"/>
      <c r="AD30" s="87"/>
      <c r="AE30" s="88">
        <f>_xlfn.XLOOKUP(_xlfn.XLOOKUP($AS$6&amp;$B30,公表[班別+時段],公表[指揮官],""),$AX$9:$AX$25,$AY$9:$AY$25,"")</f>
        <v>1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27">
        <v>22</v>
      </c>
      <c r="AP30" s="127" t="str">
        <v>陳俊瑋</v>
      </c>
      <c r="AQ30" s="127" t="str" cm="1">
        <f t="array" ref="AQ30">IFERROR(_xlfn.XLOOKUP(_xlfn.XLOOKUP($AQ$3,輪休基準表!$C$6:$C$36,_xlfn.XLOOKUP(AP30,輪休基準表!$E$5:$AF$5,輪休基準表!$E$6:$AF$36,""),""),班別參數!$A$4:$A$20,班別參數!$B$4:$B$20,""),"")</f>
        <v>公假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27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13</v>
      </c>
      <c r="D31" s="106"/>
      <c r="E31" s="96"/>
      <c r="F31" s="96"/>
      <c r="G31" s="123" t="str">
        <f>IF(BC19="","",BC19)</f>
        <v/>
      </c>
      <c r="H31" s="109"/>
      <c r="I31" s="216">
        <f>_xlfn.XLOOKUP(_xlfn.XLOOKUP($AS$6&amp;$B31,公表[班別+時段],公表[救護1],""),$AX$9:$AX$25,$AY$9:$AY$25,"")</f>
        <v>14</v>
      </c>
      <c r="J31" s="216">
        <f>_xlfn.XLOOKUP(_xlfn.XLOOKUP($AS$6&amp;$B31,公表[班別+時段],公表[救護2],""),$AX$9:$AX$25,$AY$9:$AY$25,"")</f>
        <v>11</v>
      </c>
      <c r="K31" s="108"/>
      <c r="L31" s="93" t="s">
        <v>212</v>
      </c>
      <c r="M31" s="312"/>
      <c r="N31" s="89">
        <f>_xlfn.XLOOKUP(_xlfn.XLOOKUP($AS$6&amp;$B31,公表[班別+時段],公表[備勤1],""),$AX$9:$AX$25,$AY$9:$AY$25,"")</f>
        <v>7</v>
      </c>
      <c r="O31" s="89">
        <f>_xlfn.XLOOKUP(_xlfn.XLOOKUP($AS$6&amp;$B31,公表[班別+時段],公表[備勤2],""),$AX$9:$AX$25,$AY$9:$AY$25,"")</f>
        <v>12</v>
      </c>
      <c r="P31" s="89"/>
      <c r="Q31" s="89">
        <f>_xlfn.XLOOKUP(_xlfn.XLOOKUP($AS$6&amp;$B31,公表[班別+時段],公表[備勤3],""),$AX$9:$AX$25,$AY$9:$AY$25,"")</f>
        <v>15</v>
      </c>
      <c r="R31" s="89">
        <f>_xlfn.XLOOKUP(_xlfn.XLOOKUP($AS$6&amp;$B31,公表[班別+時段],公表[備勤4],""),$AX$9:$AX$25,$AY$9:$AY$25,"")</f>
        <v>23</v>
      </c>
      <c r="S31" s="89"/>
      <c r="T31" s="89">
        <f>_xlfn.XLOOKUP(_xlfn.XLOOKUP($AS$6&amp;$B31,公表[班別+時段],公表[備勤5],""),$AX$9:$AX$25,$AY$9:$AY$25,"")</f>
        <v>4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89"/>
      <c r="AC31" s="89"/>
      <c r="AD31" s="89"/>
      <c r="AE31" s="104">
        <f>_xlfn.XLOOKUP(_xlfn.XLOOKUP($AS$6&amp;$B31,公表[班別+時段],公表[指揮官],""),$AX$9:$AX$25,$AY$9:$AY$25,"")</f>
        <v>1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27">
        <v>23</v>
      </c>
      <c r="AP31" s="127" t="str">
        <v>陳俊翰</v>
      </c>
      <c r="AQ31" s="127" t="str" cm="1">
        <f t="array" ref="AQ31">IFERROR(_xlfn.XLOOKUP(_xlfn.XLOOKUP($AQ$3,輪休基準表!$C$6:$C$36,_xlfn.XLOOKUP(AP31,輪休基準表!$E$5:$AF$5,輪休基準表!$E$6:$AF$36,""),""),班別參數!$A$4:$A$20,班別參數!$B$4:$B$20,""),"")</f>
        <v>上班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>已排</v>
      </c>
      <c r="AT31" s="180">
        <f t="shared" si="0"/>
        <v>6</v>
      </c>
      <c r="AU31" s="180">
        <f t="shared" si="1"/>
        <v>8</v>
      </c>
      <c r="AW31" s="47"/>
      <c r="AX31" s="45"/>
      <c r="AY31" s="25"/>
      <c r="AZ31" s="28"/>
      <c r="BA31" s="33"/>
      <c r="BB31" s="25"/>
      <c r="BD31" s="127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13</v>
      </c>
      <c r="D32" s="97"/>
      <c r="E32" s="97"/>
      <c r="F32" s="97"/>
      <c r="G32" s="121" t="str">
        <f>IF(BC20="","",BC20)</f>
        <v>23,4</v>
      </c>
      <c r="H32" s="56"/>
      <c r="I32" s="94">
        <f>_xlfn.XLOOKUP(_xlfn.XLOOKUP($AS$6&amp;$B32,公表[班別+時段],公表[救護1],""),$AX$9:$AX$25,$AY$9:$AY$25,"")</f>
        <v>14</v>
      </c>
      <c r="J32" s="94">
        <f>_xlfn.XLOOKUP(_xlfn.XLOOKUP($AS$6&amp;$B32,公表[班別+時段],公表[救護2],""),$AX$9:$AX$25,$AY$9:$AY$25,"")</f>
        <v>11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12</v>
      </c>
      <c r="O32" s="90">
        <f>_xlfn.XLOOKUP(_xlfn.XLOOKUP($AS$6&amp;$B32,公表[班別+時段],公表[備勤2],""),$AX$9:$AX$25,$AY$9:$AY$25,"")</f>
        <v>15</v>
      </c>
      <c r="P32" s="90"/>
      <c r="Q32" s="90">
        <f>_xlfn.XLOOKUP(_xlfn.XLOOKUP($AS$6&amp;$B32,公表[班別+時段],公表[備勤3],""),$AX$9:$AX$25,$AY$9:$AY$25,"")</f>
        <v>7</v>
      </c>
      <c r="R32" s="90">
        <f>_xlfn.XLOOKUP(_xlfn.XLOOKUP($AS$6&amp;$B32,公表[班別+時段],公表[備勤4],""),$AX$9:$AX$25,$AY$9:$AY$25,"")</f>
        <v>0</v>
      </c>
      <c r="S32" s="90"/>
      <c r="T32" s="90">
        <f>_xlfn.XLOOKUP(_xlfn.XLOOKUP($AS$6&amp;$B32,公表[班別+時段],公表[備勤5],""),$AX$9:$AX$25,$AY$9:$AY$25,"")</f>
        <v>0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90"/>
      <c r="AC32" s="90"/>
      <c r="AD32" s="90"/>
      <c r="AE32" s="91">
        <f>_xlfn.XLOOKUP(_xlfn.XLOOKUP($AS$6&amp;$B32,公表[班別+時段],公表[指揮官],""),$AX$9:$AX$25,$AY$9:$AY$25,"")</f>
        <v>1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27">
        <v>24</v>
      </c>
      <c r="AP32" s="127" t="str">
        <v>賴俊豪</v>
      </c>
      <c r="AQ32" s="127" t="str" cm="1">
        <f t="array" ref="AQ32">IFERROR(_xlfn.XLOOKUP(_xlfn.XLOOKUP($AQ$3,輪休基準表!$C$6:$C$36,_xlfn.XLOOKUP(AP32,輪休基準表!$E$5:$AF$5,輪休基準表!$E$6:$AF$36,""),""),班別參數!$A$4:$A$20,班別參數!$B$4:$B$20,""),"")</f>
        <v>輪休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/>
      </c>
      <c r="AT32" s="180" t="str">
        <f t="shared" si="0"/>
        <v/>
      </c>
      <c r="AU32" s="180" t="str">
        <f t="shared" si="1"/>
        <v/>
      </c>
      <c r="AW32" s="47"/>
      <c r="AX32" s="45"/>
      <c r="AY32" s="25"/>
      <c r="AZ32" s="28"/>
      <c r="BA32" s="33"/>
      <c r="BB32" s="25"/>
      <c r="BD32" s="127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13</v>
      </c>
      <c r="D33" s="95"/>
      <c r="E33" s="95"/>
      <c r="F33" s="95"/>
      <c r="G33" s="122" t="str">
        <f>IF(BC20="","",BC20)</f>
        <v>23,4</v>
      </c>
      <c r="H33" s="48"/>
      <c r="I33" s="92">
        <f>_xlfn.XLOOKUP(_xlfn.XLOOKUP($AS$6&amp;$B33,公表[班別+時段],公表[救護1],""),$AX$9:$AX$25,$AY$9:$AY$25,"")</f>
        <v>14</v>
      </c>
      <c r="J33" s="92">
        <f>_xlfn.XLOOKUP(_xlfn.XLOOKUP($AS$6&amp;$B33,公表[班別+時段],公表[救護2],""),$AX$9:$AX$25,$AY$9:$AY$25,"")</f>
        <v>11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12</v>
      </c>
      <c r="O33" s="87">
        <f>_xlfn.XLOOKUP(_xlfn.XLOOKUP($AS$6&amp;$B33,公表[班別+時段],公表[備勤2],""),$AX$9:$AX$25,$AY$9:$AY$25,"")</f>
        <v>15</v>
      </c>
      <c r="P33" s="87"/>
      <c r="Q33" s="87">
        <f>_xlfn.XLOOKUP(_xlfn.XLOOKUP($AS$6&amp;$B33,公表[班別+時段],公表[備勤3],""),$AX$9:$AX$25,$AY$9:$AY$25,"")</f>
        <v>7</v>
      </c>
      <c r="R33" s="87">
        <f>_xlfn.XLOOKUP(_xlfn.XLOOKUP($AS$6&amp;$B33,公表[班別+時段],公表[備勤4],""),$AX$9:$AX$25,$AY$9:$AY$25,"")</f>
        <v>0</v>
      </c>
      <c r="S33" s="87"/>
      <c r="T33" s="87">
        <f>_xlfn.XLOOKUP(_xlfn.XLOOKUP($AS$6&amp;$B33,公表[班別+時段],公表[備勤5],""),$AX$9:$AX$25,$AY$9:$AY$25,"")</f>
        <v>0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87"/>
      <c r="AC33" s="87"/>
      <c r="AD33" s="87"/>
      <c r="AE33" s="88">
        <f>_xlfn.XLOOKUP(_xlfn.XLOOKUP($AS$6&amp;$B33,公表[班別+時段],公表[指揮官],""),$AX$9:$AX$25,$AY$9:$AY$25,"")</f>
        <v>1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27">
        <v>25</v>
      </c>
      <c r="AP33" s="127" t="str">
        <v>郭國偵</v>
      </c>
      <c r="AQ33" s="127" t="str" cm="1">
        <f t="array" ref="AQ33">IFERROR(_xlfn.XLOOKUP(_xlfn.XLOOKUP($AQ$3,輪休基準表!$C$6:$C$36,_xlfn.XLOOKUP(AP33,輪休基準表!$E$5:$AF$5,輪休基準表!$E$6:$AF$36,""),""),班別參數!$A$4:$A$20,班別參數!$B$4:$B$20,""),"")</f>
        <v>輪休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/>
      </c>
      <c r="AT33" s="180" t="str">
        <f t="shared" si="0"/>
        <v/>
      </c>
      <c r="AU33" s="180" t="str">
        <f t="shared" si="1"/>
        <v/>
      </c>
      <c r="AW33" s="47"/>
      <c r="AX33" s="45"/>
      <c r="AY33" s="25"/>
      <c r="AZ33" s="28"/>
      <c r="BA33" s="25"/>
      <c r="BB33" s="25"/>
      <c r="BD33" s="127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一、本日主管上班。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27">
        <v>26</v>
      </c>
      <c r="AP34" s="127" t="str">
        <v>楊紹文</v>
      </c>
      <c r="AQ34" s="127" t="str" cm="1">
        <f t="array" ref="AQ34">IFERROR(_xlfn.XLOOKUP(_xlfn.XLOOKUP($AQ$3,輪休基準表!$C$6:$C$36,_xlfn.XLOOKUP(AP34,輪休基準表!$E$5:$AF$5,輪休基準表!$E$6:$AF$36,""),""),班別參數!$A$4:$A$20,班別參數!$B$4:$B$20,""),"")</f>
        <v>輪休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/>
      </c>
      <c r="AT34" s="180" t="str">
        <f t="shared" si="0"/>
        <v/>
      </c>
      <c r="AU34" s="180" t="str">
        <f t="shared" si="1"/>
        <v/>
      </c>
      <c r="AW34" s="47"/>
      <c r="AX34" s="45"/>
      <c r="AY34" s="25"/>
      <c r="AZ34" s="28"/>
      <c r="BA34" s="25"/>
      <c r="BB34" s="25"/>
      <c r="BD34" s="127"/>
    </row>
    <row r="35" spans="2:56" ht="30" customHeight="1">
      <c r="B35" s="349"/>
      <c r="C35" s="359" t="str">
        <f>CONCATENATE("二、在隊訓練:09-12時:",H11,";14-17時:",H16,";19-21時:",H21,"。")</f>
        <v>二、在隊訓練:09-12時:車輛裝備基礎保養維護;14-17時:戰術體能訓練;19-21時:救護訓練。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27">
        <v>27</v>
      </c>
      <c r="AP35" s="127" t="str">
        <v>林宏為</v>
      </c>
      <c r="AQ35" s="127" t="str" cm="1">
        <f t="array" ref="AQ35">IFERROR(_xlfn.XLOOKUP(_xlfn.XLOOKUP($AQ$3,輪休基準表!$C$6:$C$36,_xlfn.XLOOKUP(AP35,輪休基準表!$E$5:$AF$5,輪休基準表!$E$6:$AF$36,""),""),班別參數!$A$4:$A$20,班別參數!$B$4:$B$20,""),"")</f>
        <v>輪休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/>
      </c>
      <c r="AT35" s="180" t="str">
        <f t="shared" si="0"/>
        <v/>
      </c>
      <c r="AU35" s="180" t="str">
        <f t="shared" si="1"/>
        <v/>
      </c>
      <c r="AW35" s="47"/>
      <c r="AX35" s="45"/>
      <c r="AY35" s="25"/>
      <c r="AZ35" s="28"/>
      <c r="BA35" s="25"/>
      <c r="BB35" s="25"/>
      <c r="BD35" s="127"/>
    </row>
    <row r="36" spans="2:56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27">
        <v>28</v>
      </c>
      <c r="AP36" s="127" t="str">
        <v>林宸彥</v>
      </c>
      <c r="AQ36" s="127" t="str" cm="1">
        <f t="array" ref="AQ36">IFERROR(_xlfn.XLOOKUP(_xlfn.XLOOKUP($AQ$3,輪休基準表!$C$6:$C$36,_xlfn.XLOOKUP(AP36,輪休基準表!$E$5:$AF$5,輪休基準表!$E$6:$AF$36,""),""),班別參數!$A$4:$A$20,班別參數!$B$4:$B$20,""),"")</f>
        <v>輪休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/>
      </c>
      <c r="AT36" s="180" t="str">
        <f t="shared" si="0"/>
        <v/>
      </c>
      <c r="AU36" s="180" t="str">
        <f t="shared" si="1"/>
        <v/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27"/>
      <c r="AP37" s="127"/>
      <c r="AQ37" s="127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27"/>
      <c r="BD37" s="10"/>
    </row>
    <row r="38" spans="2:56" ht="15" customHeight="1">
      <c r="AQ38" s="127"/>
      <c r="AR38" s="118"/>
      <c r="AS38" s="119"/>
      <c r="AT38" s="119"/>
    </row>
    <row r="39" spans="2:56" ht="15" customHeight="1">
      <c r="AR39" s="118"/>
      <c r="AS39" s="119"/>
      <c r="AT39" s="119"/>
    </row>
    <row r="40" spans="2:56" ht="15" customHeight="1">
      <c r="AR40" s="118"/>
      <c r="AS40" s="119"/>
      <c r="AT40" s="119"/>
    </row>
  </sheetData>
  <mergeCells count="73">
    <mergeCell ref="AG22:AK22"/>
    <mergeCell ref="AG23:AM23"/>
    <mergeCell ref="AG24:AI24"/>
    <mergeCell ref="AK24:AM24"/>
    <mergeCell ref="AF33:AG33"/>
    <mergeCell ref="AH33:AI33"/>
    <mergeCell ref="AJ33:AK33"/>
    <mergeCell ref="AF31:AG31"/>
    <mergeCell ref="AH31:AI31"/>
    <mergeCell ref="AJ31:AK31"/>
    <mergeCell ref="AF32:AG32"/>
    <mergeCell ref="AH32:AI32"/>
    <mergeCell ref="AJ32:AK32"/>
    <mergeCell ref="AF27:AF28"/>
    <mergeCell ref="AG27:AM27"/>
    <mergeCell ref="AG28:AM28"/>
    <mergeCell ref="B34:B36"/>
    <mergeCell ref="C34:AE34"/>
    <mergeCell ref="AF34:AM34"/>
    <mergeCell ref="C35:AE35"/>
    <mergeCell ref="AF35:AM35"/>
    <mergeCell ref="C36:AE36"/>
    <mergeCell ref="AF36:AM36"/>
    <mergeCell ref="AF29:AM29"/>
    <mergeCell ref="AF30:AG30"/>
    <mergeCell ref="AH30:AI30"/>
    <mergeCell ref="AJ30:AK30"/>
    <mergeCell ref="AG25:AI25"/>
    <mergeCell ref="AK25:AM25"/>
    <mergeCell ref="C8:AE8"/>
    <mergeCell ref="C9:AE9"/>
    <mergeCell ref="M10:M33"/>
    <mergeCell ref="H11:H13"/>
    <mergeCell ref="H16:H18"/>
    <mergeCell ref="H21:H22"/>
    <mergeCell ref="D18:D19"/>
    <mergeCell ref="E12:E13"/>
    <mergeCell ref="I6:J6"/>
    <mergeCell ref="K6:L6"/>
    <mergeCell ref="N6:P6"/>
    <mergeCell ref="Q6:S6"/>
    <mergeCell ref="T6:V6"/>
    <mergeCell ref="AF5:AM6"/>
    <mergeCell ref="AO5:AO6"/>
    <mergeCell ref="T7:V7"/>
    <mergeCell ref="AR5:AR6"/>
    <mergeCell ref="AS5:AT5"/>
    <mergeCell ref="W6:Y6"/>
    <mergeCell ref="AE6:AE7"/>
    <mergeCell ref="AS6:AT6"/>
    <mergeCell ref="AP5:AQ6"/>
    <mergeCell ref="G5:G7"/>
    <mergeCell ref="B3:AM3"/>
    <mergeCell ref="AW3:AX3"/>
    <mergeCell ref="AY3:BB3"/>
    <mergeCell ref="B4:AI4"/>
    <mergeCell ref="AJ4:AM4"/>
    <mergeCell ref="AW4:AX4"/>
    <mergeCell ref="AY4:BB4"/>
    <mergeCell ref="B5:B7"/>
    <mergeCell ref="C5:C7"/>
    <mergeCell ref="D5:D7"/>
    <mergeCell ref="E5:E7"/>
    <mergeCell ref="F5:F7"/>
    <mergeCell ref="H5:H7"/>
    <mergeCell ref="I5:L5"/>
    <mergeCell ref="M5:AE5"/>
    <mergeCell ref="AY2:BB2"/>
    <mergeCell ref="B1:AE1"/>
    <mergeCell ref="AP1:AQ1"/>
    <mergeCell ref="B2:AE2"/>
    <mergeCell ref="AG2:AM2"/>
    <mergeCell ref="AW2:AX2"/>
  </mergeCells>
  <phoneticPr fontId="9" type="noConversion"/>
  <conditionalFormatting sqref="AO9:AQ36 AO37:AP37 AQ37:AQ38">
    <cfRule type="expression" dxfId="136" priority="16">
      <formula>COUNTIF($AQ9,"上班")&gt;=1</formula>
    </cfRule>
  </conditionalFormatting>
  <conditionalFormatting sqref="AF8:AF13 AH8:AH21 AJ8:AJ21 AL8:AM21">
    <cfRule type="expression" dxfId="135" priority="11">
      <formula>OR(VLOOKUP(AF8,$AO$9:$AQ$40,3,0)="上班",VLOOKUP(AF8,$AO$9:$AQ$40,3,0)="外宿")</formula>
    </cfRule>
  </conditionalFormatting>
  <conditionalFormatting sqref="AL8">
    <cfRule type="expression" dxfId="134" priority="10">
      <formula>OR(VLOOKUP(AL8,$AO$9:$AQ$36,3,0)="上班",VLOOKUP(AL8,$AO$9:$AQ$36,3,0)="外宿")</formula>
    </cfRule>
  </conditionalFormatting>
  <conditionalFormatting sqref="AR9:AR36">
    <cfRule type="notContainsText" dxfId="133" priority="2" operator="notContains" text="已排">
      <formula>ISERROR(SEARCH("已排",AR9))</formula>
    </cfRule>
  </conditionalFormatting>
  <conditionalFormatting sqref="AS9:AS36">
    <cfRule type="notContainsText" dxfId="132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1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A7440-0791-49BC-A01C-9AED22E9FF0D}">
  <sheetPr codeName="工作表12">
    <pageSetUpPr fitToPage="1"/>
  </sheetPr>
  <dimension ref="B1:BD40"/>
  <sheetViews>
    <sheetView showZeros="0" view="pageBreakPreview" topLeftCell="B1" zoomScale="55" zoomScaleNormal="55" zoomScaleSheetLayoutView="55" workbookViewId="0">
      <selection activeCell="X26" sqref="X26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6" width="5.375" style="126" customWidth="1"/>
    <col min="7" max="8" width="8.625" style="126" customWidth="1"/>
    <col min="9" max="12" width="5.375" style="126" customWidth="1"/>
    <col min="13" max="13" width="6.625" style="126" customWidth="1"/>
    <col min="14" max="31" width="5.375" style="126" customWidth="1"/>
    <col min="32" max="32" width="7.625" style="126" customWidth="1"/>
    <col min="33" max="33" width="10.625" style="126" customWidth="1"/>
    <col min="34" max="34" width="7.625" style="126" customWidth="1"/>
    <col min="35" max="35" width="10.625" style="126" customWidth="1"/>
    <col min="36" max="36" width="7.625" style="126" customWidth="1"/>
    <col min="37" max="37" width="10.625" style="126" customWidth="1"/>
    <col min="38" max="38" width="7.625" style="126" customWidth="1"/>
    <col min="39" max="39" width="10.625" style="126" customWidth="1"/>
    <col min="40" max="40" width="4.125" style="213" customWidth="1"/>
    <col min="41" max="47" width="11.625" style="126" customWidth="1"/>
    <col min="48" max="48" width="4.125" style="126" customWidth="1"/>
    <col min="49" max="49" width="16" style="126" customWidth="1"/>
    <col min="50" max="51" width="8.25" style="126" customWidth="1"/>
    <col min="52" max="52" width="4.125" style="126" customWidth="1"/>
    <col min="53" max="53" width="16" style="126" customWidth="1"/>
    <col min="54" max="54" width="8.25" style="126" customWidth="1"/>
    <col min="55" max="55" width="10.875" style="126" customWidth="1"/>
    <col min="56" max="58" width="4.125" style="126" customWidth="1"/>
    <col min="59" max="16384" width="11.25" style="126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27"/>
      <c r="AP1" s="399"/>
      <c r="AQ1" s="399"/>
      <c r="AR1" s="127"/>
      <c r="AS1" s="127"/>
      <c r="AT1" s="127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3" t="s">
        <v>178</v>
      </c>
      <c r="AR2" s="146" t="s">
        <v>228</v>
      </c>
      <c r="AS2" s="142"/>
      <c r="AT2" s="140"/>
      <c r="AU2" s="127"/>
      <c r="AV2" s="127"/>
      <c r="AW2" s="362" t="s">
        <v>127</v>
      </c>
      <c r="AX2" s="287"/>
      <c r="AY2" s="367" t="str">
        <f>_xlfn.XLOOKUP($AR$3,訓練!$L$13:$L$19,訓練!$M$13:$M$19,"")</f>
        <v>救生艇拆裝組合訓練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115年5月8日星期五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8</v>
      </c>
      <c r="AR3" s="141" t="str">
        <f>RIGHT(TEXT(1911+$AO$3&amp;"/"&amp;$AP$3&amp;"/"&amp;$AQ$3,"aaaa"),1)</f>
        <v>五</v>
      </c>
      <c r="AS3" s="145"/>
      <c r="AT3" s="145"/>
      <c r="AU3" s="127"/>
      <c r="AV3" s="127"/>
      <c r="AW3" s="362" t="s">
        <v>128</v>
      </c>
      <c r="AX3" s="287"/>
      <c r="AY3" s="368" t="str">
        <f>_xlfn.XLOOKUP($AR$3,訓練!$L$13:$L$19,訓練!$N$13:$N$19,"")</f>
        <v>船外機與橡皮艇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27"/>
      <c r="AU4" s="127"/>
      <c r="AV4" s="127"/>
      <c r="AW4" s="362" t="s">
        <v>129</v>
      </c>
      <c r="AX4" s="287"/>
      <c r="AY4" s="363" t="str">
        <f>_xlfn.XLOOKUP($AR$3,訓練!$L$13:$L$19,訓練!$O$13:$O$19,"")</f>
        <v>個人水域防護裝備介紹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2" t="s">
        <v>369</v>
      </c>
      <c r="E5" s="340" t="s">
        <v>368</v>
      </c>
      <c r="F5" s="340" t="s">
        <v>358</v>
      </c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341"/>
      <c r="E6" s="341"/>
      <c r="F6" s="341"/>
      <c r="G6" s="312"/>
      <c r="H6" s="312"/>
      <c r="I6" s="334" t="s">
        <v>227</v>
      </c>
      <c r="J6" s="335"/>
      <c r="K6" s="334" t="s">
        <v>346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2+7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341"/>
      <c r="E7" s="341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192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27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27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27" cm="1">
        <f t="array" ref="AO9:AP36">TRANSPOSE(輪休基準表!E4:AF5)</f>
        <v>1</v>
      </c>
      <c r="AP9" s="127" t="str">
        <v>鄧力嘉</v>
      </c>
      <c r="AQ9" s="127" t="str" cm="1">
        <f t="array" ref="AQ9">IFERROR(_xlfn.XLOOKUP(_xlfn.XLOOKUP($AQ$3,輪休基準表!$C$6:$C$36,_xlfn.XLOOKUP(AP9,輪休基準表!$E$5:$AF$5,輪休基準表!$E$6:$AF$36,""),""),班別參數!$A$4:$A$20,班別參數!$B$4:$B$20,""),"")</f>
        <v>上班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>已排</v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 t="array" ref="AX9">IFERROR(INDEX(班別參數!$D$4:$S$20,MATCH(AW9,班別參數!$D$4:$D$20,0),MATCH($AS$6,班別參數!$D$4:$S$4,0)),"")</f>
        <v>A</v>
      </c>
      <c r="AY9" s="35">
        <v>10</v>
      </c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H,K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8,1</v>
      </c>
      <c r="BD9" s="127"/>
    </row>
    <row r="10" spans="2:56" ht="30" customHeight="1">
      <c r="B10" s="81" t="s">
        <v>70</v>
      </c>
      <c r="C10" s="87">
        <f>_xlfn.XLOOKUP(_xlfn.XLOOKUP($AS$6&amp;$B10,公表[班別+時段],公表[值班],""),$AX$9:$AX$25,$AY$9:$AY$25,"")</f>
        <v>10</v>
      </c>
      <c r="D10" s="95"/>
      <c r="E10" s="95"/>
      <c r="F10" s="425" t="s">
        <v>359</v>
      </c>
      <c r="G10" s="122" t="s">
        <v>371</v>
      </c>
      <c r="H10" s="37"/>
      <c r="I10" s="92">
        <f>_xlfn.XLOOKUP(_xlfn.XLOOKUP($AS$6&amp;$B10,公表[班別+時段],公表[救護1],""),$AX$9:$AX$25,$AY$9:$AY$25,"")</f>
        <v>26</v>
      </c>
      <c r="J10" s="92">
        <f>_xlfn.XLOOKUP(_xlfn.XLOOKUP($AS$6&amp;$B10,公表[班別+時段],公表[救護2],""),$AX$9:$AX$25,$AY$9:$AY$25,"")</f>
        <v>27</v>
      </c>
      <c r="K10" s="87"/>
      <c r="L10" s="87" t="s">
        <v>212</v>
      </c>
      <c r="M10" s="311"/>
      <c r="N10" s="87">
        <f>_xlfn.XLOOKUP(_xlfn.XLOOKUP($AS$6&amp;$B10,公表[班別+時段],公表[備勤1],""),$AX$9:$AX$25,$AY$9:$AY$25,"")</f>
        <v>12</v>
      </c>
      <c r="O10" s="87">
        <f>_xlfn.XLOOKUP(_xlfn.XLOOKUP($AS$6&amp;$B10,公表[班別+時段],公表[備勤2],""),$AX$9:$AX$25,$AY$9:$AY$25,"")</f>
        <v>17</v>
      </c>
      <c r="P10" s="87"/>
      <c r="Q10" s="87">
        <f>_xlfn.XLOOKUP(_xlfn.XLOOKUP($AS$6&amp;$B10,公表[班別+時段],公表[備勤3],""),$AX$9:$AX$25,$AY$9:$AY$25,"")</f>
        <v>19</v>
      </c>
      <c r="R10" s="87">
        <f>_xlfn.XLOOKUP(_xlfn.XLOOKUP($AS$6&amp;$B10,公表[班別+時段],公表[備勤4],""),$AX$9:$AX$25,$AY$9:$AY$25,"")</f>
        <v>0</v>
      </c>
      <c r="S10" s="87"/>
      <c r="T10" s="87">
        <f>_xlfn.XLOOKUP(_xlfn.XLOOKUP($AS$6&amp;$B10,公表[班別+時段],公表[備勤5],""),$AX$9:$AX$25,$AY$9:$AY$25,"")</f>
        <v>0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87"/>
      <c r="AB10" s="87"/>
      <c r="AC10" s="87"/>
      <c r="AD10" s="87"/>
      <c r="AE10" s="88">
        <v>1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27">
        <v>2</v>
      </c>
      <c r="AP10" s="127" t="str">
        <v>莊勝斌</v>
      </c>
      <c r="AQ10" s="127" t="str" cm="1">
        <f t="array" ref="AQ10">IFERROR(_xlfn.XLOOKUP(_xlfn.XLOOKUP($AQ$3,輪休基準表!$C$6:$C$36,_xlfn.XLOOKUP(AP10,輪休基準表!$E$5:$AF$5,輪休基準表!$E$6:$AF$36,""),""),班別參數!$A$4:$A$20,班別參數!$B$4:$B$20,""),"")</f>
        <v>輪休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/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>
        <v>19</v>
      </c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17</v>
      </c>
      <c r="BD10" s="127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10</v>
      </c>
      <c r="D11" s="95"/>
      <c r="E11" s="95"/>
      <c r="F11" s="418"/>
      <c r="G11" s="122" t="s">
        <v>371</v>
      </c>
      <c r="H11" s="296" t="str">
        <f>AY2</f>
        <v>救生艇拆裝組合訓練</v>
      </c>
      <c r="I11" s="92">
        <f>_xlfn.XLOOKUP(_xlfn.XLOOKUP($AS$6&amp;$B11,公表[班別+時段],公表[救護1],""),$AX$9:$AX$25,$AY$9:$AY$25,"")</f>
        <v>26</v>
      </c>
      <c r="J11" s="92">
        <f>_xlfn.XLOOKUP(_xlfn.XLOOKUP($AS$6&amp;$B11,公表[班別+時段],公表[救護2],""),$AX$9:$AX$25,$AY$9:$AY$25,"")</f>
        <v>27</v>
      </c>
      <c r="K11" s="87"/>
      <c r="L11" s="87" t="s">
        <v>212</v>
      </c>
      <c r="M11" s="312"/>
      <c r="N11" s="87">
        <f>_xlfn.XLOOKUP(_xlfn.XLOOKUP($AS$6&amp;$B11,公表[班別+時段],公表[備勤1],""),$AX$9:$AX$25,$AY$9:$AY$25,"")</f>
        <v>12</v>
      </c>
      <c r="O11" s="87">
        <f>_xlfn.XLOOKUP(_xlfn.XLOOKUP($AS$6&amp;$B11,公表[班別+時段],公表[備勤2],""),$AX$9:$AX$25,$AY$9:$AY$25,"")</f>
        <v>17</v>
      </c>
      <c r="P11" s="87"/>
      <c r="Q11" s="87">
        <f>_xlfn.XLOOKUP(_xlfn.XLOOKUP($AS$6&amp;$B11,公表[班別+時段],公表[備勤3],""),$AX$9:$AX$25,$AY$9:$AY$25,"")</f>
        <v>19</v>
      </c>
      <c r="R11" s="87">
        <f>_xlfn.XLOOKUP(_xlfn.XLOOKUP($AS$6&amp;$B11,公表[班別+時段],公表[備勤4],""),$AX$9:$AX$25,$AY$9:$AY$25,"")</f>
        <v>0</v>
      </c>
      <c r="S11" s="87"/>
      <c r="T11" s="87">
        <f>_xlfn.XLOOKUP(_xlfn.XLOOKUP($AS$6&amp;$B11,公表[班別+時段],公表[備勤5],""),$AX$9:$AX$25,$AY$9:$AY$25,"")</f>
        <v>0</v>
      </c>
      <c r="U11" s="87">
        <f>_xlfn.XLOOKUP(_xlfn.XLOOKUP($AS$6&amp;$B11,公表[班別+時段],公表[備勤6],""),$AX$9:$AX$25,$AY$9:$AY$25,"")</f>
        <v>0</v>
      </c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87"/>
      <c r="AB11" s="87"/>
      <c r="AC11" s="87"/>
      <c r="AD11" s="87"/>
      <c r="AE11" s="88">
        <v>1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27">
        <v>3</v>
      </c>
      <c r="AP11" s="127" t="str">
        <v>孫子翔</v>
      </c>
      <c r="AQ11" s="127" t="str" cm="1">
        <f t="array" ref="AQ11">IFERROR(_xlfn.XLOOKUP(_xlfn.XLOOKUP($AQ$3,輪休基準表!$C$6:$C$36,_xlfn.XLOOKUP(AP11,輪休基準表!$E$5:$AF$5,輪休基準表!$E$6:$AF$36,""),""),班別參數!$A$4:$A$20,班別參數!$B$4:$B$20,""),"")</f>
        <v>輪休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/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>
        <v>27</v>
      </c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F</v>
      </c>
      <c r="BC11" s="39" t="str">
        <f t="shared" si="2"/>
        <v>26</v>
      </c>
      <c r="BD11" s="127"/>
    </row>
    <row r="12" spans="2:56" ht="30" customHeight="1">
      <c r="B12" s="81" t="s">
        <v>75</v>
      </c>
      <c r="C12" s="87">
        <f>_xlfn.XLOOKUP(_xlfn.XLOOKUP($AS$6&amp;$B12,公表[班別+時段],公表[值班],""),$AX$9:$AX$25,$AY$9:$AY$25,"")</f>
        <v>19</v>
      </c>
      <c r="D12" s="95"/>
      <c r="E12" s="292">
        <v>26</v>
      </c>
      <c r="F12" s="418"/>
      <c r="G12" s="122">
        <v>8</v>
      </c>
      <c r="H12" s="314"/>
      <c r="I12" s="92">
        <f>_xlfn.XLOOKUP(_xlfn.XLOOKUP($AS$6&amp;$B12,公表[班別+時段],公表[救護1],""),$AX$9:$AX$25,$AY$9:$AY$25,"")</f>
        <v>10</v>
      </c>
      <c r="J12" s="92">
        <f>_xlfn.XLOOKUP(_xlfn.XLOOKUP($AS$6&amp;$B12,公表[班別+時段],公表[救護2],""),$AX$9:$AX$25,$AY$9:$AY$25,"")</f>
        <v>12</v>
      </c>
      <c r="K12" s="92"/>
      <c r="L12" s="87" t="s">
        <v>212</v>
      </c>
      <c r="M12" s="312"/>
      <c r="N12" s="87">
        <v>17</v>
      </c>
      <c r="O12" s="87">
        <v>27</v>
      </c>
      <c r="P12" s="87"/>
      <c r="Q12" s="87">
        <v>5</v>
      </c>
      <c r="R12" s="87">
        <f>_xlfn.XLOOKUP(_xlfn.XLOOKUP($AS$6&amp;$B12,公表[班別+時段],公表[備勤4],""),$AX$9:$AX$25,$AY$9:$AY$25,"")</f>
        <v>0</v>
      </c>
      <c r="S12" s="87"/>
      <c r="T12" s="87"/>
      <c r="U12" s="87">
        <f>_xlfn.XLOOKUP(_xlfn.XLOOKUP($AS$6&amp;$B12,公表[班別+時段],公表[備勤6],""),$AX$9:$AX$25,$AY$9:$AY$25,"")</f>
        <v>0</v>
      </c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87"/>
      <c r="AC12" s="87"/>
      <c r="AD12" s="87"/>
      <c r="AE12" s="88">
        <f>_xlfn.XLOOKUP(_xlfn.XLOOKUP($AS$6&amp;$B12,公表[班別+時段],公表[指揮官],""),$AX$9:$AX$25,$AY$9:$AY$25,"")</f>
        <v>1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27">
        <v>4</v>
      </c>
      <c r="AP12" s="127" t="str">
        <v>簡永豐</v>
      </c>
      <c r="AQ12" s="127" t="str" cm="1">
        <f t="array" ref="AQ12">IFERROR(_xlfn.XLOOKUP(_xlfn.XLOOKUP($AQ$3,輪休基準表!$C$6:$C$36,_xlfn.XLOOKUP(AP12,輪休基準表!$E$5:$AF$5,輪休基準表!$E$6:$AF$36,""),""),班別參數!$A$4:$A$20,班別參數!$B$4:$B$20,""),"")</f>
        <v>輪休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/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>
        <v>12</v>
      </c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27"/>
    </row>
    <row r="13" spans="2:56" ht="30" customHeight="1" thickBot="1">
      <c r="B13" s="82" t="s">
        <v>76</v>
      </c>
      <c r="C13" s="89">
        <f>_xlfn.XLOOKUP(_xlfn.XLOOKUP($AS$6&amp;$B13,公表[班別+時段],公表[值班],""),$AX$9:$AX$25,$AY$9:$AY$25,"")</f>
        <v>19</v>
      </c>
      <c r="D13" s="233"/>
      <c r="E13" s="293"/>
      <c r="F13" s="418"/>
      <c r="G13" s="123">
        <v>8</v>
      </c>
      <c r="H13" s="315"/>
      <c r="I13" s="216">
        <f>_xlfn.XLOOKUP(_xlfn.XLOOKUP($AS$6&amp;$B13,公表[班別+時段],公表[救護1],""),$AX$9:$AX$25,$AY$9:$AY$25,"")</f>
        <v>10</v>
      </c>
      <c r="J13" s="216">
        <f>_xlfn.XLOOKUP(_xlfn.XLOOKUP($AS$6&amp;$B13,公表[班別+時段],公表[救護2],""),$AX$9:$AX$25,$AY$9:$AY$25,"")</f>
        <v>12</v>
      </c>
      <c r="K13" s="105"/>
      <c r="L13" s="93" t="s">
        <v>212</v>
      </c>
      <c r="M13" s="312"/>
      <c r="N13" s="89">
        <v>17</v>
      </c>
      <c r="O13" s="89">
        <v>27</v>
      </c>
      <c r="P13" s="89"/>
      <c r="Q13" s="89">
        <v>5</v>
      </c>
      <c r="R13" s="89">
        <f>_xlfn.XLOOKUP(_xlfn.XLOOKUP($AS$6&amp;$B13,公表[班別+時段],公表[備勤4],""),$AX$9:$AX$25,$AY$9:$AY$25,"")</f>
        <v>0</v>
      </c>
      <c r="S13" s="89"/>
      <c r="T13" s="89"/>
      <c r="U13" s="89">
        <f>_xlfn.XLOOKUP(_xlfn.XLOOKUP($AS$6&amp;$B13,公表[班別+時段],公表[備勤6],""),$AX$9:$AX$25,$AY$9:$AY$25,"")</f>
        <v>0</v>
      </c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89"/>
      <c r="AC13" s="89"/>
      <c r="AD13" s="89"/>
      <c r="AE13" s="104">
        <f>_xlfn.XLOOKUP(_xlfn.XLOOKUP($AS$6&amp;$B13,公表[班別+時段],公表[指揮官],""),$AX$9:$AX$25,$AY$9:$AY$25,"")</f>
        <v>1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27">
        <v>5</v>
      </c>
      <c r="AP13" s="127" t="str">
        <v>張鴻志</v>
      </c>
      <c r="AQ13" s="127" t="str" cm="1">
        <f t="array" ref="AQ13">IFERROR(_xlfn.XLOOKUP(_xlfn.XLOOKUP($AQ$3,輪休基準表!$C$6:$C$36,_xlfn.XLOOKUP(AP13,輪休基準表!$E$5:$AF$5,輪休基準表!$E$6:$AF$36,""),""),班別參數!$A$4:$A$20,班別參數!$B$4:$B$20,""),"")</f>
        <v>上班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>已排</v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>
        <v>17</v>
      </c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>10</v>
      </c>
      <c r="BD13" s="127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27</v>
      </c>
      <c r="D14" s="234"/>
      <c r="E14" s="97"/>
      <c r="F14" s="419"/>
      <c r="G14" s="121" t="str">
        <f>IF(BC11="","",BC11)</f>
        <v>26</v>
      </c>
      <c r="H14" s="55"/>
      <c r="I14" s="94">
        <f>_xlfn.XLOOKUP(_xlfn.XLOOKUP($AS$6&amp;$B14,公表[班別+時段],公表[救護1],""),$AX$9:$AX$25,$AY$9:$AY$25,"")</f>
        <v>19</v>
      </c>
      <c r="J14" s="94">
        <f>_xlfn.XLOOKUP(_xlfn.XLOOKUP($AS$6&amp;$B14,公表[班別+時段],公表[救護2],""),$AX$9:$AX$25,$AY$9:$AY$25,"")</f>
        <v>8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10</v>
      </c>
      <c r="O14" s="90">
        <f>_xlfn.XLOOKUP(_xlfn.XLOOKUP($AS$6&amp;$B14,公表[班別+時段],公表[備勤2],""),$AX$9:$AX$25,$AY$9:$AY$25,"")</f>
        <v>17</v>
      </c>
      <c r="P14" s="90"/>
      <c r="Q14" s="90">
        <f>_xlfn.XLOOKUP(_xlfn.XLOOKUP($AS$6&amp;$B14,公表[班別+時段],公表[備勤3],""),$AX$9:$AX$25,$AY$9:$AY$25,"")</f>
        <v>12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5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90"/>
      <c r="AC14" s="90"/>
      <c r="AD14" s="90"/>
      <c r="AE14" s="91">
        <f>_xlfn.XLOOKUP(_xlfn.XLOOKUP($AS$6&amp;$B14,公表[班別+時段],公表[指揮官],""),$AX$9:$AX$25,$AY$9:$AY$25,"")</f>
        <v>1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27">
        <v>6</v>
      </c>
      <c r="AP14" s="127" t="str">
        <v>吳宗耕</v>
      </c>
      <c r="AQ14" s="127" t="str" cm="1">
        <f t="array" ref="AQ14">IFERROR(_xlfn.XLOOKUP(_xlfn.XLOOKUP($AQ$3,輪休基準表!$C$6:$C$36,_xlfn.XLOOKUP(AP14,輪休基準表!$E$5:$AF$5,輪休基準表!$E$6:$AF$36,""),""),班別參數!$A$4:$A$20,班別參數!$B$4:$B$20,""),"")</f>
        <v>輪休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/>
      </c>
      <c r="AT14" s="180" t="str">
        <f t="shared" si="0"/>
        <v/>
      </c>
      <c r="AU14" s="180" t="str">
        <f t="shared" si="1"/>
        <v/>
      </c>
      <c r="AV14" s="25"/>
      <c r="AW14" s="33" t="str">
        <f t="array" ref="AW14">INDEX(班別參數!$D$4:$D$20,ROW()-7,MATCH($AW$8,班別參數!$D$4:$D$20,0))</f>
        <v>18-20</v>
      </c>
      <c r="AX14" s="34">
        <f t="array" ref="AX14">IFERROR(INDEX(班別參數!$D$4:$S$20,MATCH(AW14,班別參數!$D$4:$D$20,0),MATCH($AS$6,班別參數!$D$4:$S$4,0)),"")</f>
        <v>0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</v>
      </c>
      <c r="BC14" s="39" t="str">
        <f t="shared" si="2"/>
        <v>19</v>
      </c>
      <c r="BD14" s="127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27</v>
      </c>
      <c r="D15" s="235"/>
      <c r="E15" s="106"/>
      <c r="F15" s="96"/>
      <c r="G15" s="123" t="str">
        <f>IF(BC11="","",BC11)</f>
        <v>26</v>
      </c>
      <c r="H15" s="40"/>
      <c r="I15" s="216">
        <f>_xlfn.XLOOKUP(_xlfn.XLOOKUP($AS$6&amp;$B15,公表[班別+時段],公表[救護1],""),$AX$9:$AX$25,$AY$9:$AY$25,"")</f>
        <v>19</v>
      </c>
      <c r="J15" s="216">
        <f>_xlfn.XLOOKUP(_xlfn.XLOOKUP($AS$6&amp;$B15,公表[班別+時段],公表[救護2],""),$AX$9:$AX$25,$AY$9:$AY$25,"")</f>
        <v>8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10</v>
      </c>
      <c r="O15" s="89">
        <f>_xlfn.XLOOKUP(_xlfn.XLOOKUP($AS$6&amp;$B15,公表[班別+時段],公表[備勤2],""),$AX$9:$AX$25,$AY$9:$AY$25,"")</f>
        <v>17</v>
      </c>
      <c r="P15" s="89"/>
      <c r="Q15" s="89">
        <f>_xlfn.XLOOKUP(_xlfn.XLOOKUP($AS$6&amp;$B15,公表[班別+時段],公表[備勤3],""),$AX$9:$AX$25,$AY$9:$AY$25,"")</f>
        <v>12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5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89"/>
      <c r="AC15" s="89"/>
      <c r="AD15" s="89"/>
      <c r="AE15" s="104">
        <f>_xlfn.XLOOKUP(_xlfn.XLOOKUP($AS$6&amp;$B15,公表[班別+時段],公表[指揮官],""),$AX$9:$AX$25,$AY$9:$AY$25,"")</f>
        <v>1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27">
        <v>7</v>
      </c>
      <c r="AP15" s="127" t="str">
        <v>包華先</v>
      </c>
      <c r="AQ15" s="127" t="str" cm="1">
        <f t="array" ref="AQ15">IFERROR(_xlfn.XLOOKUP(_xlfn.XLOOKUP($AQ$3,輪休基準表!$C$6:$C$36,_xlfn.XLOOKUP(AP15,輪休基準表!$E$5:$AF$5,輪休基準表!$E$6:$AF$36,""),""),班別參數!$A$4:$A$20,班別參數!$B$4:$B$20,""),"")</f>
        <v>輪休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/>
      </c>
      <c r="AT15" s="180" t="str">
        <f t="shared" si="0"/>
        <v/>
      </c>
      <c r="AU15" s="180" t="str">
        <f t="shared" si="1"/>
        <v/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>
        <v>26</v>
      </c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>12</v>
      </c>
      <c r="BD15" s="127"/>
    </row>
    <row r="16" spans="2:56" ht="30" customHeight="1">
      <c r="B16" s="83" t="s">
        <v>79</v>
      </c>
      <c r="C16" s="90">
        <f>_xlfn.XLOOKUP(_xlfn.XLOOKUP($AS$6&amp;$B16,公表[班別+時段],公表[值班],""),$AX$9:$AX$25,$AY$9:$AY$25,"")</f>
        <v>12</v>
      </c>
      <c r="D16" s="98"/>
      <c r="E16" s="99"/>
      <c r="F16" s="98"/>
      <c r="G16" s="121" t="str">
        <f>IF(BC12="","",BC12)</f>
        <v/>
      </c>
      <c r="H16" s="316" t="str">
        <f>AY3</f>
        <v>船外機與橡皮艇</v>
      </c>
      <c r="I16" s="94">
        <f>_xlfn.XLOOKUP(_xlfn.XLOOKUP($AS$6&amp;$B16,公表[班別+時段],公表[救護1],""),$AX$9:$AX$25,$AY$9:$AY$25,"")</f>
        <v>26</v>
      </c>
      <c r="J16" s="94">
        <f>_xlfn.XLOOKUP(_xlfn.XLOOKUP($AS$6&amp;$B16,公表[班別+時段],公表[救護2],""),$AX$9:$AX$25,$AY$9:$AY$25,"")</f>
        <v>8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19</v>
      </c>
      <c r="O16" s="90">
        <f>_xlfn.XLOOKUP(_xlfn.XLOOKUP($AS$6&amp;$B16,公表[班別+時段],公表[備勤2],""),$AX$9:$AX$25,$AY$9:$AY$25,"")</f>
        <v>27</v>
      </c>
      <c r="P16" s="90"/>
      <c r="Q16" s="90">
        <f>_xlfn.XLOOKUP(_xlfn.XLOOKUP($AS$6&amp;$B16,公表[班別+時段],公表[備勤3],""),$AX$9:$AX$25,$AY$9:$AY$25,"")</f>
        <v>10</v>
      </c>
      <c r="R16" s="90">
        <f>_xlfn.XLOOKUP(_xlfn.XLOOKUP($AS$6&amp;$B16,公表[班別+時段],公表[備勤4],""),$AX$9:$AX$25,$AY$9:$AY$25,"")</f>
        <v>17</v>
      </c>
      <c r="S16" s="90"/>
      <c r="T16" s="90">
        <f>_xlfn.XLOOKUP(_xlfn.XLOOKUP($AS$6&amp;$B16,公表[班別+時段],公表[備勤5],""),$AX$9:$AX$25,$AY$9:$AY$25,"")</f>
        <v>5</v>
      </c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90"/>
      <c r="AC16" s="90"/>
      <c r="AD16" s="90"/>
      <c r="AE16" s="91">
        <f>_xlfn.XLOOKUP(_xlfn.XLOOKUP($AS$6&amp;$B16,公表[班別+時段],公表[指揮官],""),$AX$9:$AX$25,$AY$9:$AY$25,"")</f>
        <v>1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27">
        <v>8</v>
      </c>
      <c r="AP16" s="127" t="str">
        <v>曾彥綸</v>
      </c>
      <c r="AQ16" s="127" t="str" cm="1">
        <f t="array" ref="AQ16">IFERROR(_xlfn.XLOOKUP(_xlfn.XLOOKUP($AQ$3,輪休基準表!$C$6:$C$36,_xlfn.XLOOKUP(AP16,輪休基準表!$E$5:$AF$5,輪休基準表!$E$6:$AF$36,""),""),班別參數!$A$4:$A$20,班別參數!$B$4:$B$20,""),"")</f>
        <v>上班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>已排</v>
      </c>
      <c r="AT16" s="180">
        <f t="shared" si="0"/>
        <v>6</v>
      </c>
      <c r="AU16" s="180">
        <f t="shared" si="1"/>
        <v>2</v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>
        <v>8</v>
      </c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27"/>
    </row>
    <row r="17" spans="2:56" ht="30" customHeight="1">
      <c r="B17" s="81" t="s">
        <v>80</v>
      </c>
      <c r="C17" s="87">
        <f>_xlfn.XLOOKUP(_xlfn.XLOOKUP($AS$6&amp;$B17,公表[班別+時段],公表[值班],""),$AX$9:$AX$25,$AY$9:$AY$25,"")</f>
        <v>12</v>
      </c>
      <c r="D17" s="95"/>
      <c r="E17" s="95"/>
      <c r="F17" s="100"/>
      <c r="G17" s="122" t="str">
        <f>IF(BC12="","",BC12)</f>
        <v/>
      </c>
      <c r="H17" s="314"/>
      <c r="I17" s="92">
        <f>_xlfn.XLOOKUP(_xlfn.XLOOKUP($AS$6&amp;$B17,公表[班別+時段],公表[救護1],""),$AX$9:$AX$25,$AY$9:$AY$25,"")</f>
        <v>26</v>
      </c>
      <c r="J17" s="92">
        <f>_xlfn.XLOOKUP(_xlfn.XLOOKUP($AS$6&amp;$B17,公表[班別+時段],公表[救護2],""),$AX$9:$AX$25,$AY$9:$AY$25,"")</f>
        <v>8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19</v>
      </c>
      <c r="O17" s="87">
        <f>_xlfn.XLOOKUP(_xlfn.XLOOKUP($AS$6&amp;$B17,公表[班別+時段],公表[備勤2],""),$AX$9:$AX$25,$AY$9:$AY$25,"")</f>
        <v>27</v>
      </c>
      <c r="P17" s="87"/>
      <c r="Q17" s="87">
        <f>_xlfn.XLOOKUP(_xlfn.XLOOKUP($AS$6&amp;$B17,公表[班別+時段],公表[備勤3],""),$AX$9:$AX$25,$AY$9:$AY$25,"")</f>
        <v>10</v>
      </c>
      <c r="R17" s="87">
        <f>_xlfn.XLOOKUP(_xlfn.XLOOKUP($AS$6&amp;$B17,公表[班別+時段],公表[備勤4],""),$AX$9:$AX$25,$AY$9:$AY$25,"")</f>
        <v>17</v>
      </c>
      <c r="S17" s="87"/>
      <c r="T17" s="87">
        <f>_xlfn.XLOOKUP(_xlfn.XLOOKUP($AS$6&amp;$B17,公表[班別+時段],公表[備勤5],""),$AX$9:$AX$25,$AY$9:$AY$25,"")</f>
        <v>5</v>
      </c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87"/>
      <c r="AC17" s="87"/>
      <c r="AD17" s="87"/>
      <c r="AE17" s="88">
        <f>_xlfn.XLOOKUP(_xlfn.XLOOKUP($AS$6&amp;$B17,公表[班別+時段],公表[指揮官],""),$AX$9:$AX$25,$AY$9:$AY$25,"")</f>
        <v>1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27">
        <v>9</v>
      </c>
      <c r="AP17" s="127" t="str">
        <v>鍾佳諭</v>
      </c>
      <c r="AQ17" s="127" t="str" cm="1">
        <f t="array" ref="AQ17">IFERROR(_xlfn.XLOOKUP(_xlfn.XLOOKUP($AQ$3,輪休基準表!$C$6:$C$36,_xlfn.XLOOKUP(AP17,輪休基準表!$E$5:$AF$5,輪休基準表!$E$6:$AF$36,""),""),班別參數!$A$4:$A$20,班別參數!$B$4:$B$20,""),"")</f>
        <v>輪休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/>
      </c>
      <c r="AT17" s="180" t="str">
        <f t="shared" si="0"/>
        <v/>
      </c>
      <c r="AU17" s="180" t="str">
        <f t="shared" si="1"/>
        <v/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27"/>
    </row>
    <row r="18" spans="2:56" ht="30" customHeight="1">
      <c r="B18" s="81" t="s">
        <v>81</v>
      </c>
      <c r="C18" s="87">
        <f>_xlfn.XLOOKUP(_xlfn.XLOOKUP($AS$6&amp;$B18,公表[班別+時段],公表[值班],""),$AX$9:$AX$25,$AY$9:$AY$25,"")</f>
        <v>17</v>
      </c>
      <c r="D18" s="294">
        <v>19</v>
      </c>
      <c r="E18" s="95"/>
      <c r="F18" s="100"/>
      <c r="G18" s="122">
        <v>10</v>
      </c>
      <c r="H18" s="297"/>
      <c r="I18" s="92">
        <f>_xlfn.XLOOKUP(_xlfn.XLOOKUP($AS$6&amp;$B18,公表[班別+時段],公表[救護1],""),$AX$9:$AX$25,$AY$9:$AY$25,"")</f>
        <v>26</v>
      </c>
      <c r="J18" s="92">
        <f>_xlfn.XLOOKUP(_xlfn.XLOOKUP($AS$6&amp;$B18,公表[班別+時段],公表[救護2],""),$AX$9:$AX$25,$AY$9:$AY$25,"")</f>
        <v>27</v>
      </c>
      <c r="K18" s="92"/>
      <c r="L18" s="87" t="s">
        <v>212</v>
      </c>
      <c r="M18" s="312"/>
      <c r="N18" s="87">
        <f>_xlfn.XLOOKUP(_xlfn.XLOOKUP($AS$6&amp;$B18,公表[班別+時段],公表[備勤1],""),$AX$9:$AX$25,$AY$9:$AY$25,"")</f>
        <v>12</v>
      </c>
      <c r="O18" s="87">
        <f>_xlfn.XLOOKUP(_xlfn.XLOOKUP($AS$6&amp;$B18,公表[班別+時段],公表[備勤2],""),$AX$9:$AX$25,$AY$9:$AY$25,"")</f>
        <v>8</v>
      </c>
      <c r="P18" s="87"/>
      <c r="Q18" s="87">
        <v>5</v>
      </c>
      <c r="R18" s="87">
        <f>_xlfn.XLOOKUP(_xlfn.XLOOKUP($AS$6&amp;$B18,公表[班別+時段],公表[備勤4],""),$AX$9:$AX$25,$AY$9:$AY$25,"")</f>
        <v>0</v>
      </c>
      <c r="S18" s="87"/>
      <c r="T18" s="87"/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87"/>
      <c r="AC18" s="87"/>
      <c r="AD18" s="87"/>
      <c r="AE18" s="88">
        <f>_xlfn.XLOOKUP(_xlfn.XLOOKUP($AS$6&amp;$B18,公表[班別+時段],公表[指揮官],""),$AX$9:$AX$25,$AY$9:$AY$25,"")</f>
        <v>1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27">
        <v>10</v>
      </c>
      <c r="AP18" s="127" t="str">
        <v>林宏澤</v>
      </c>
      <c r="AQ18" s="127" t="str" cm="1">
        <f t="array" ref="AQ18">IFERROR(_xlfn.XLOOKUP(_xlfn.XLOOKUP($AQ$3,輪休基準表!$C$6:$C$36,_xlfn.XLOOKUP(AP18,輪休基準表!$E$5:$AF$5,輪休基準表!$E$6:$AF$36,""),""),班別參數!$A$4:$A$20,班別參數!$B$4:$B$20,""),"")</f>
        <v>上班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>已排</v>
      </c>
      <c r="AT18" s="180">
        <f t="shared" si="0"/>
        <v>6</v>
      </c>
      <c r="AU18" s="180">
        <f t="shared" si="1"/>
        <v>8</v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27"/>
    </row>
    <row r="19" spans="2:56" ht="30" customHeight="1" thickBot="1">
      <c r="B19" s="110" t="s">
        <v>82</v>
      </c>
      <c r="C19" s="89">
        <f>_xlfn.XLOOKUP(_xlfn.XLOOKUP($AS$6&amp;$B19,公表[班別+時段],公表[值班],""),$AX$9:$AX$25,$AY$9:$AY$25,"")</f>
        <v>17</v>
      </c>
      <c r="D19" s="295"/>
      <c r="E19" s="96"/>
      <c r="F19" s="236"/>
      <c r="G19" s="123">
        <v>10</v>
      </c>
      <c r="H19" s="107"/>
      <c r="I19" s="216">
        <f>_xlfn.XLOOKUP(_xlfn.XLOOKUP($AS$6&amp;$B19,公表[班別+時段],公表[救護1],""),$AX$9:$AX$25,$AY$9:$AY$25,"")</f>
        <v>26</v>
      </c>
      <c r="J19" s="216">
        <f>_xlfn.XLOOKUP(_xlfn.XLOOKUP($AS$6&amp;$B19,公表[班別+時段],公表[救護2],""),$AX$9:$AX$25,$AY$9:$AY$25,"")</f>
        <v>27</v>
      </c>
      <c r="K19" s="105"/>
      <c r="L19" s="93" t="s">
        <v>212</v>
      </c>
      <c r="M19" s="312"/>
      <c r="N19" s="89">
        <f>_xlfn.XLOOKUP(_xlfn.XLOOKUP($AS$6&amp;$B19,公表[班別+時段],公表[備勤1],""),$AX$9:$AX$25,$AY$9:$AY$25,"")</f>
        <v>12</v>
      </c>
      <c r="O19" s="89">
        <f>_xlfn.XLOOKUP(_xlfn.XLOOKUP($AS$6&amp;$B19,公表[班別+時段],公表[備勤2],""),$AX$9:$AX$25,$AY$9:$AY$25,"")</f>
        <v>8</v>
      </c>
      <c r="P19" s="89"/>
      <c r="Q19" s="89">
        <v>5</v>
      </c>
      <c r="R19" s="89">
        <f>_xlfn.XLOOKUP(_xlfn.XLOOKUP($AS$6&amp;$B19,公表[班別+時段],公表[備勤4],""),$AX$9:$AX$25,$AY$9:$AY$25,"")</f>
        <v>0</v>
      </c>
      <c r="S19" s="89"/>
      <c r="T19" s="89"/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89"/>
      <c r="AC19" s="89"/>
      <c r="AD19" s="89"/>
      <c r="AE19" s="104">
        <f>_xlfn.XLOOKUP(_xlfn.XLOOKUP($AS$6&amp;$B19,公表[班別+時段],公表[指揮官],""),$AX$9:$AX$25,$AY$9:$AY$25,"")</f>
        <v>1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27">
        <v>11</v>
      </c>
      <c r="AP19" s="127" t="str">
        <v>簡君諺</v>
      </c>
      <c r="AQ19" s="127" t="str" cm="1">
        <f t="array" ref="AQ19">IFERROR(_xlfn.XLOOKUP(_xlfn.XLOOKUP($AQ$3,輪休基準表!$C$6:$C$36,_xlfn.XLOOKUP(AP19,輪休基準表!$E$5:$AF$5,輪休基準表!$E$6:$AF$36,""),""),班別參數!$A$4:$A$20,班別參數!$B$4:$B$20,""),"")</f>
        <v>輪休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/>
      </c>
      <c r="AT19" s="180" t="str">
        <f t="shared" si="0"/>
        <v/>
      </c>
      <c r="AU19" s="180" t="str">
        <f t="shared" si="1"/>
        <v/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:AY20">IF(AX19="","",_xlfn._xlws.FILTER($AO$9:$AO$13,$AQ$9:$AQ$13="上班",""))</f>
        <v>1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27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5</v>
      </c>
      <c r="D20" s="97"/>
      <c r="E20" s="97"/>
      <c r="F20" s="97"/>
      <c r="G20" s="121" t="str">
        <f>IF(BC14="","",BC14)</f>
        <v>19</v>
      </c>
      <c r="H20" s="55"/>
      <c r="I20" s="94">
        <f>_xlfn.XLOOKUP(_xlfn.XLOOKUP($AS$6&amp;$B20,公表[班別+時段],公表[救護1],""),$AX$9:$AX$25,$AY$9:$AY$25,"")</f>
        <v>17</v>
      </c>
      <c r="J20" s="94">
        <f>_xlfn.XLOOKUP(_xlfn.XLOOKUP($AS$6&amp;$B20,公表[班別+時段],公表[救護2],""),$AX$9:$AX$25,$AY$9:$AY$25,"")</f>
        <v>8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27</v>
      </c>
      <c r="O20" s="90">
        <f>_xlfn.XLOOKUP(_xlfn.XLOOKUP($AS$6&amp;$B20,公表[班別+時段],公表[備勤2],""),$AX$9:$AX$25,$AY$9:$AY$25,"")</f>
        <v>10</v>
      </c>
      <c r="P20" s="90"/>
      <c r="Q20" s="90">
        <f>_xlfn.XLOOKUP(_xlfn.XLOOKUP($AS$6&amp;$B20,公表[班別+時段],公表[備勤3],""),$AX$9:$AX$25,$AY$9:$AY$25,"")</f>
        <v>12</v>
      </c>
      <c r="R20" s="90">
        <f>_xlfn.XLOOKUP(_xlfn.XLOOKUP($AS$6&amp;$B20,公表[班別+時段],公表[備勤4],""),$AX$9:$AX$25,$AY$9:$AY$25,"")</f>
        <v>26</v>
      </c>
      <c r="S20" s="90"/>
      <c r="T20" s="90">
        <f>_xlfn.XLOOKUP(_xlfn.XLOOKUP($AS$6&amp;$B20,公表[班別+時段],公表[備勤5],""),$AX$9:$AX$25,$AY$9:$AY$25,"")</f>
        <v>0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90"/>
      <c r="AC20" s="90"/>
      <c r="AD20" s="90"/>
      <c r="AE20" s="91">
        <f>_xlfn.XLOOKUP(_xlfn.XLOOKUP($AS$6&amp;$B20,公表[班別+時段],公表[指揮官],""),$AX$9:$AX$25,$AY$9:$AY$25,"")</f>
        <v>1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27">
        <v>12</v>
      </c>
      <c r="AP20" s="127" t="str">
        <v>王昱勛</v>
      </c>
      <c r="AQ20" s="127" t="str" cm="1">
        <f t="array" ref="AQ20">IFERROR(_xlfn.XLOOKUP(_xlfn.XLOOKUP($AQ$3,輪休基準表!$C$6:$C$36,_xlfn.XLOOKUP(AP20,輪休基準表!$E$5:$AF$5,輪休基準表!$E$6:$AF$36,""),""),班別參數!$A$4:$A$20,班別參數!$B$4:$B$20,""),"")</f>
        <v>上班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>已排</v>
      </c>
      <c r="AT20" s="180">
        <f t="shared" si="0"/>
        <v>8</v>
      </c>
      <c r="AU20" s="180">
        <f t="shared" si="1"/>
        <v>6</v>
      </c>
      <c r="AV20" s="25"/>
      <c r="AW20" s="33" t="str">
        <f t="array" ref="AW20">INDEX(班別參數!$D$4:$D$20,ROW()-7,MATCH($AW$8,班別參數!$D$4:$D$20,0))</f>
        <v>帶隊官</v>
      </c>
      <c r="AX20" s="34" t="str">
        <f t="array" ref="AX20">IFERROR(INDEX(班別參數!$D$4:$S$20,MATCH(AW20,班別參數!$D$4:$D$20,0),MATCH($AS$6,班別參數!$D$4:$S$4,0)),"")</f>
        <v>L</v>
      </c>
      <c r="AY20" s="38">
        <v>5</v>
      </c>
      <c r="AZ20" s="32"/>
      <c r="BA20" s="33" t="s">
        <v>67</v>
      </c>
      <c r="BB20" s="34" t="str">
        <f t="array" ref="BB20">IFERROR(INDEX(班別參數!$D$23:$S$35,MATCH(BA20,班別參數!$D$23:$D$35,0),MATCH($AS$6,班別參數!$D$23:$S$23,0)),"")</f>
        <v>G,L</v>
      </c>
      <c r="BC20" s="41" t="str">
        <f t="shared" si="2"/>
        <v>27,5</v>
      </c>
      <c r="BD20" s="127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5</v>
      </c>
      <c r="D21" s="95"/>
      <c r="E21" s="95"/>
      <c r="F21" s="95"/>
      <c r="G21" s="122" t="str">
        <f>IF(BC14="","",BC14)</f>
        <v>19</v>
      </c>
      <c r="H21" s="296" t="str">
        <f>AY4</f>
        <v>個人水域防護裝備介紹</v>
      </c>
      <c r="I21" s="92">
        <f>_xlfn.XLOOKUP(_xlfn.XLOOKUP($AS$6&amp;$B21,公表[班別+時段],公表[救護1],""),$AX$9:$AX$25,$AY$9:$AY$25,"")</f>
        <v>17</v>
      </c>
      <c r="J21" s="92">
        <f>_xlfn.XLOOKUP(_xlfn.XLOOKUP($AS$6&amp;$B21,公表[班別+時段],公表[救護2],""),$AX$9:$AX$25,$AY$9:$AY$25,"")</f>
        <v>8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27</v>
      </c>
      <c r="O21" s="87">
        <f>_xlfn.XLOOKUP(_xlfn.XLOOKUP($AS$6&amp;$B21,公表[班別+時段],公表[備勤2],""),$AX$9:$AX$25,$AY$9:$AY$25,"")</f>
        <v>10</v>
      </c>
      <c r="P21" s="87"/>
      <c r="Q21" s="87">
        <f>_xlfn.XLOOKUP(_xlfn.XLOOKUP($AS$6&amp;$B21,公表[班別+時段],公表[備勤3],""),$AX$9:$AX$25,$AY$9:$AY$25,"")</f>
        <v>12</v>
      </c>
      <c r="R21" s="87">
        <f>_xlfn.XLOOKUP(_xlfn.XLOOKUP($AS$6&amp;$B21,公表[班別+時段],公表[備勤4],""),$AX$9:$AX$25,$AY$9:$AY$25,"")</f>
        <v>26</v>
      </c>
      <c r="S21" s="87"/>
      <c r="T21" s="87">
        <f>_xlfn.XLOOKUP(_xlfn.XLOOKUP($AS$6&amp;$B21,公表[班別+時段],公表[備勤5],""),$AX$9:$AX$25,$AY$9:$AY$25,"")</f>
        <v>0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87"/>
      <c r="AC21" s="87"/>
      <c r="AD21" s="87"/>
      <c r="AE21" s="88">
        <f>_xlfn.XLOOKUP(_xlfn.XLOOKUP($AS$6&amp;$B21,公表[班別+時段],公表[指揮官],""),$AX$9:$AX$25,$AY$9:$AY$25,"")</f>
        <v>1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27">
        <v>13</v>
      </c>
      <c r="AP21" s="127" t="str">
        <v>葉宗哲</v>
      </c>
      <c r="AQ21" s="127" t="str" cm="1">
        <f t="array" ref="AQ21">IFERROR(_xlfn.XLOOKUP(_xlfn.XLOOKUP($AQ$3,輪休基準表!$C$6:$C$36,_xlfn.XLOOKUP(AP21,輪休基準表!$E$5:$AF$5,輪休基準表!$E$6:$AF$36,""),""),班別參數!$A$4:$A$20,班別參數!$B$4:$B$20,""),"")</f>
        <v>輪休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/>
      </c>
      <c r="AT21" s="180" t="str">
        <f t="shared" si="0"/>
        <v/>
      </c>
      <c r="AU21" s="180" t="str">
        <f t="shared" si="1"/>
        <v/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27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26</v>
      </c>
      <c r="D22" s="95"/>
      <c r="E22" s="95"/>
      <c r="F22" s="95"/>
      <c r="G22" s="122" t="str">
        <f>IF(BC15="","",BC15)</f>
        <v>12</v>
      </c>
      <c r="H22" s="297"/>
      <c r="I22" s="92">
        <f>_xlfn.XLOOKUP(_xlfn.XLOOKUP($AS$6&amp;$B22,公表[班別+時段],公表[救護1],""),$AX$9:$AX$25,$AY$9:$AY$25,"")</f>
        <v>19</v>
      </c>
      <c r="J22" s="92">
        <f>_xlfn.XLOOKUP(_xlfn.XLOOKUP($AS$6&amp;$B22,公表[班別+時段],公表[救護2],""),$AX$9:$AX$25,$AY$9:$AY$25,"")</f>
        <v>27</v>
      </c>
      <c r="K22" s="92"/>
      <c r="L22" s="87" t="s">
        <v>212</v>
      </c>
      <c r="M22" s="312"/>
      <c r="N22" s="87">
        <f>_xlfn.XLOOKUP(_xlfn.XLOOKUP($AS$6&amp;$B22,公表[班別+時段],公表[備勤1],""),$AX$9:$AX$25,$AY$9:$AY$25,"")</f>
        <v>10</v>
      </c>
      <c r="O22" s="87">
        <f>_xlfn.XLOOKUP(_xlfn.XLOOKUP($AS$6&amp;$B22,公表[班別+時段],公表[備勤2],""),$AX$9:$AX$25,$AY$9:$AY$25,"")</f>
        <v>17</v>
      </c>
      <c r="P22" s="87"/>
      <c r="Q22" s="87">
        <f>_xlfn.XLOOKUP(_xlfn.XLOOKUP($AS$6&amp;$B22,公表[班別+時段],公表[備勤3],""),$AX$9:$AX$25,$AY$9:$AY$25,"")</f>
        <v>8</v>
      </c>
      <c r="R22" s="87">
        <f>_xlfn.XLOOKUP(_xlfn.XLOOKUP($AS$6&amp;$B22,公表[班別+時段],公表[備勤4],""),$AX$9:$AX$25,$AY$9:$AY$25,"")</f>
        <v>0</v>
      </c>
      <c r="S22" s="87"/>
      <c r="T22" s="87">
        <f>_xlfn.XLOOKUP(_xlfn.XLOOKUP($AS$6&amp;$B22,公表[班別+時段],公表[備勤5],""),$AX$9:$AX$25,$AY$9:$AY$25,"")</f>
        <v>5</v>
      </c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87"/>
      <c r="AC22" s="87"/>
      <c r="AD22" s="87"/>
      <c r="AE22" s="88">
        <f>_xlfn.XLOOKUP(_xlfn.XLOOKUP($AS$6&amp;$B22,公表[班別+時段],公表[指揮官],""),$AX$9:$AX$25,$AY$9:$AY$25,"")</f>
        <v>1</v>
      </c>
      <c r="AF22" s="57" t="s">
        <v>213</v>
      </c>
      <c r="AG22" s="305" t="str" cm="1">
        <f t="array" ref="AG22">_xlfn.TEXTJOIN(".",1,_xlfn._xlws.FILTER($AO$9:$AO$40,$AQ$9:$AQ$40="上班",""))</f>
        <v>1.5.8.10.12.17.19.26.27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27">
        <v>14</v>
      </c>
      <c r="AP22" s="127" t="str">
        <v>王浩任</v>
      </c>
      <c r="AQ22" s="127" t="str" cm="1">
        <f t="array" ref="AQ22">IFERROR(_xlfn.XLOOKUP(_xlfn.XLOOKUP($AQ$3,輪休基準表!$C$6:$C$36,_xlfn.XLOOKUP(AP22,輪休基準表!$E$5:$AF$5,輪休基準表!$E$6:$AF$36,""),""),班別參數!$A$4:$A$20,班別參數!$B$4:$B$20,""),"")</f>
        <v>輪休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/>
      </c>
      <c r="AT22" s="180" t="str">
        <f t="shared" si="0"/>
        <v/>
      </c>
      <c r="AU22" s="180" t="str">
        <f t="shared" si="1"/>
        <v/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27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26</v>
      </c>
      <c r="D23" s="106"/>
      <c r="E23" s="96"/>
      <c r="F23" s="96"/>
      <c r="G23" s="123" t="str">
        <f>IF(BC15="","",BC15)</f>
        <v>12</v>
      </c>
      <c r="H23" s="107"/>
      <c r="I23" s="216">
        <f>_xlfn.XLOOKUP(_xlfn.XLOOKUP($AS$6&amp;$B23,公表[班別+時段],公表[救護1],""),$AX$9:$AX$25,$AY$9:$AY$25,"")</f>
        <v>19</v>
      </c>
      <c r="J23" s="216">
        <f>_xlfn.XLOOKUP(_xlfn.XLOOKUP($AS$6&amp;$B23,公表[班別+時段],公表[救護2],""),$AX$9:$AX$25,$AY$9:$AY$25,"")</f>
        <v>27</v>
      </c>
      <c r="K23" s="105"/>
      <c r="L23" s="93" t="s">
        <v>212</v>
      </c>
      <c r="M23" s="312"/>
      <c r="N23" s="89">
        <f>_xlfn.XLOOKUP(_xlfn.XLOOKUP($AS$6&amp;$B23,公表[班別+時段],公表[備勤1],""),$AX$9:$AX$25,$AY$9:$AY$25,"")</f>
        <v>10</v>
      </c>
      <c r="O23" s="89">
        <f>_xlfn.XLOOKUP(_xlfn.XLOOKUP($AS$6&amp;$B23,公表[班別+時段],公表[備勤2],""),$AX$9:$AX$25,$AY$9:$AY$25,"")</f>
        <v>17</v>
      </c>
      <c r="P23" s="89"/>
      <c r="Q23" s="89">
        <f>_xlfn.XLOOKUP(_xlfn.XLOOKUP($AS$6&amp;$B23,公表[班別+時段],公表[備勤3],""),$AX$9:$AX$25,$AY$9:$AY$25,"")</f>
        <v>8</v>
      </c>
      <c r="R23" s="89">
        <f>_xlfn.XLOOKUP(_xlfn.XLOOKUP($AS$6&amp;$B23,公表[班別+時段],公表[備勤4],""),$AX$9:$AX$25,$AY$9:$AY$25,"")</f>
        <v>0</v>
      </c>
      <c r="S23" s="89"/>
      <c r="T23" s="89">
        <f>_xlfn.XLOOKUP(_xlfn.XLOOKUP($AS$6&amp;$B23,公表[班別+時段],公表[備勤5],""),$AX$9:$AX$25,$AY$9:$AY$25,"")</f>
        <v>5</v>
      </c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89"/>
      <c r="AC23" s="89"/>
      <c r="AD23" s="89"/>
      <c r="AE23" s="104">
        <f>_xlfn.XLOOKUP(_xlfn.XLOOKUP($AS$6&amp;$B23,公表[班別+時段],公表[指揮官],""),$AX$9:$AX$25,$AY$9:$AY$25,"")</f>
        <v>1</v>
      </c>
      <c r="AF23" s="57" t="s">
        <v>6</v>
      </c>
      <c r="AG23" s="305" t="str" cm="1">
        <f t="array" ref="AG23">_xlfn.TEXTJOIN(".",1,_xlfn._xlws.FILTER($AO$9:$AO$40,$AQ$9:$AQ$40=$AF$23,""))</f>
        <v>2.3.4.6.7.9.11.13.14.15.16.21.23</v>
      </c>
      <c r="AH23" s="400"/>
      <c r="AI23" s="400"/>
      <c r="AJ23" s="400"/>
      <c r="AK23" s="400"/>
      <c r="AL23" s="400"/>
      <c r="AM23" s="401"/>
      <c r="AN23" s="214"/>
      <c r="AO23" s="127">
        <v>15</v>
      </c>
      <c r="AP23" s="127" t="str">
        <v>李仕詮</v>
      </c>
      <c r="AQ23" s="127" t="str" cm="1">
        <f t="array" ref="AQ23">IFERROR(_xlfn.XLOOKUP(_xlfn.XLOOKUP($AQ$3,輪休基準表!$C$6:$C$36,_xlfn.XLOOKUP(AP23,輪休基準表!$E$5:$AF$5,輪休基準表!$E$6:$AF$36,""),""),班別參數!$A$4:$A$20,班別參數!$B$4:$B$20,""),"")</f>
        <v>輪休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/>
      </c>
      <c r="AT23" s="180" t="str">
        <f t="shared" si="0"/>
        <v/>
      </c>
      <c r="AU23" s="180" t="str">
        <f t="shared" si="1"/>
        <v/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27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8</v>
      </c>
      <c r="D24" s="97"/>
      <c r="E24" s="97"/>
      <c r="F24" s="97"/>
      <c r="G24" s="121">
        <v>17</v>
      </c>
      <c r="H24" s="55"/>
      <c r="I24" s="94">
        <f>_xlfn.XLOOKUP(_xlfn.XLOOKUP($AS$6&amp;$B24,公表[班別+時段],公表[救護1],""),$AX$9:$AX$25,$AY$9:$AY$25,"")</f>
        <v>26</v>
      </c>
      <c r="J24" s="94">
        <f>_xlfn.XLOOKUP(_xlfn.XLOOKUP($AS$6&amp;$B24,公表[班別+時段],公表[救護2],""),$AX$9:$AX$25,$AY$9:$AY$25,"")</f>
        <v>12</v>
      </c>
      <c r="K24" s="90"/>
      <c r="L24" s="90" t="s">
        <v>212</v>
      </c>
      <c r="M24" s="312"/>
      <c r="N24" s="90">
        <f>_xlfn.XLOOKUP(_xlfn.XLOOKUP($AS$6&amp;$B24,公表[班別+時段],公表[備勤1],""),$AX$9:$AX$25,$AY$9:$AY$25,"")</f>
        <v>19</v>
      </c>
      <c r="O24" s="90">
        <f>_xlfn.XLOOKUP(_xlfn.XLOOKUP($AS$6&amp;$B24,公表[班別+時段],公表[備勤2],""),$AX$9:$AX$25,$AY$9:$AY$25,"")</f>
        <v>27</v>
      </c>
      <c r="P24" s="90"/>
      <c r="Q24" s="90">
        <v>10</v>
      </c>
      <c r="R24" s="90"/>
      <c r="S24" s="90"/>
      <c r="T24" s="90">
        <f>_xlfn.XLOOKUP(_xlfn.XLOOKUP($AS$6&amp;$B24,公表[班別+時段],公表[備勤5],""),$AX$9:$AX$25,$AY$9:$AY$25,"")</f>
        <v>5</v>
      </c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90"/>
      <c r="AC24" s="90"/>
      <c r="AD24" s="90"/>
      <c r="AE24" s="91">
        <f>_xlfn.XLOOKUP(_xlfn.XLOOKUP($AS$6&amp;$B24,公表[班別+時段],公表[指揮官],""),$AX$9:$AX$25,$AY$9:$AY$25,"")</f>
        <v>1</v>
      </c>
      <c r="AF24" s="57" t="s">
        <v>17</v>
      </c>
      <c r="AG24" s="305" t="str" cm="1">
        <f t="array" ref="AG24">_xlfn.TEXTJOIN(".",1,_xlfn._xlws.FILTER($AO$9:$AO$40,$AQ$9:$AQ$40=$AF$24,""))</f>
        <v>18.25.28</v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>24</v>
      </c>
      <c r="AL24" s="400"/>
      <c r="AM24" s="401"/>
      <c r="AN24" s="214"/>
      <c r="AO24" s="127">
        <v>16</v>
      </c>
      <c r="AP24" s="127" t="str">
        <v>楊弘宇</v>
      </c>
      <c r="AQ24" s="127" t="str" cm="1">
        <f t="array" ref="AQ24">IFERROR(_xlfn.XLOOKUP(_xlfn.XLOOKUP($AQ$3,輪休基準表!$C$6:$C$36,_xlfn.XLOOKUP(AP24,輪休基準表!$E$5:$AF$5,輪休基準表!$E$6:$AF$36,""),""),班別參數!$A$4:$A$20,班別參數!$B$4:$B$20,""),"")</f>
        <v>輪休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/>
      </c>
      <c r="AT24" s="180" t="str">
        <f t="shared" si="0"/>
        <v/>
      </c>
      <c r="AU24" s="180" t="str">
        <f t="shared" si="1"/>
        <v/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27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8</v>
      </c>
      <c r="D25" s="95"/>
      <c r="E25" s="95"/>
      <c r="F25" s="95"/>
      <c r="G25" s="122">
        <v>17</v>
      </c>
      <c r="H25" s="37"/>
      <c r="I25" s="92">
        <f>_xlfn.XLOOKUP(_xlfn.XLOOKUP($AS$6&amp;$B25,公表[班別+時段],公表[救護1],""),$AX$9:$AX$25,$AY$9:$AY$25,"")</f>
        <v>26</v>
      </c>
      <c r="J25" s="92">
        <f>_xlfn.XLOOKUP(_xlfn.XLOOKUP($AS$6&amp;$B25,公表[班別+時段],公表[救護2],""),$AX$9:$AX$25,$AY$9:$AY$25,"")</f>
        <v>12</v>
      </c>
      <c r="K25" s="87"/>
      <c r="L25" s="87" t="s">
        <v>212</v>
      </c>
      <c r="M25" s="312"/>
      <c r="N25" s="87">
        <f>_xlfn.XLOOKUP(_xlfn.XLOOKUP($AS$6&amp;$B25,公表[班別+時段],公表[備勤1],""),$AX$9:$AX$25,$AY$9:$AY$25,"")</f>
        <v>19</v>
      </c>
      <c r="O25" s="87">
        <f>_xlfn.XLOOKUP(_xlfn.XLOOKUP($AS$6&amp;$B25,公表[班別+時段],公表[備勤2],""),$AX$9:$AX$25,$AY$9:$AY$25,"")</f>
        <v>27</v>
      </c>
      <c r="P25" s="87"/>
      <c r="Q25" s="87">
        <v>10</v>
      </c>
      <c r="R25" s="87"/>
      <c r="S25" s="87"/>
      <c r="T25" s="87">
        <f>_xlfn.XLOOKUP(_xlfn.XLOOKUP($AS$6&amp;$B25,公表[班別+時段],公表[備勤5],""),$AX$9:$AX$25,$AY$9:$AY$25,"")</f>
        <v>5</v>
      </c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87"/>
      <c r="AC25" s="87"/>
      <c r="AD25" s="87"/>
      <c r="AE25" s="88">
        <f>_xlfn.XLOOKUP(_xlfn.XLOOKUP($AS$6&amp;$B25,公表[班別+時段],公表[指揮官],""),$AX$9:$AX$25,$AY$9:$AY$25,"")</f>
        <v>1</v>
      </c>
      <c r="AF25" s="57" t="s">
        <v>28</v>
      </c>
      <c r="AG25" s="305" t="str" cm="1">
        <f t="array" ref="AG25">_xlfn.TEXTJOIN(".",1,_xlfn._xlws.FILTER($AO$9:$AO$40,$AQ$9:$AQ$40=$AF$25,""))</f>
        <v/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>20.22</v>
      </c>
      <c r="AL25" s="309"/>
      <c r="AM25" s="310"/>
      <c r="AN25" s="214"/>
      <c r="AO25" s="127">
        <v>17</v>
      </c>
      <c r="AP25" s="127" t="str">
        <v>楊仲豪</v>
      </c>
      <c r="AQ25" s="127" t="str" cm="1">
        <f t="array" ref="AQ25">IFERROR(_xlfn.XLOOKUP(_xlfn.XLOOKUP($AQ$3,輪休基準表!$C$6:$C$36,_xlfn.XLOOKUP(AP25,輪休基準表!$E$5:$AF$5,輪休基準表!$E$6:$AF$36,""),""),班別參數!$A$4:$A$20,班別參數!$B$4:$B$20,""),"")</f>
        <v>上班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>已排</v>
      </c>
      <c r="AT25" s="180">
        <f t="shared" si="0"/>
        <v>6</v>
      </c>
      <c r="AU25" s="180">
        <f t="shared" si="1"/>
        <v>10</v>
      </c>
      <c r="AW25" s="33"/>
      <c r="AX25" s="45"/>
      <c r="AY25" s="25"/>
      <c r="AZ25" s="28"/>
      <c r="BA25" s="33"/>
      <c r="BB25" s="25"/>
      <c r="BD25" s="127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8</v>
      </c>
      <c r="D26" s="95"/>
      <c r="E26" s="95"/>
      <c r="F26" s="95"/>
      <c r="G26" s="122" t="str">
        <f>IF(BC17="","",BC17)</f>
        <v/>
      </c>
      <c r="H26" s="37"/>
      <c r="I26" s="92">
        <f>_xlfn.XLOOKUP(_xlfn.XLOOKUP($AS$6&amp;$B26,公表[班別+時段],公表[救護1],""),$AX$9:$AX$25,$AY$9:$AY$25,"")</f>
        <v>10</v>
      </c>
      <c r="J26" s="92">
        <f>_xlfn.XLOOKUP(_xlfn.XLOOKUP($AS$6&amp;$B26,公表[班別+時段],公表[救護2],""),$AX$9:$AX$25,$AY$9:$AY$25,"")</f>
        <v>19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27</v>
      </c>
      <c r="O26" s="87">
        <f>_xlfn.XLOOKUP(_xlfn.XLOOKUP($AS$6&amp;$B26,公表[班別+時段],公表[備勤2],""),$AX$9:$AX$25,$AY$9:$AY$25,"")</f>
        <v>26</v>
      </c>
      <c r="P26" s="87"/>
      <c r="Q26" s="87">
        <f>_xlfn.XLOOKUP(_xlfn.XLOOKUP($AS$6&amp;$B26,公表[班別+時段],公表[備勤3],""),$AX$9:$AX$25,$AY$9:$AY$25,"")</f>
        <v>17</v>
      </c>
      <c r="R26" s="87">
        <f>_xlfn.XLOOKUP(_xlfn.XLOOKUP($AS$6&amp;$B26,公表[班別+時段],公表[備勤4],""),$AX$9:$AX$25,$AY$9:$AY$25,"")</f>
        <v>12</v>
      </c>
      <c r="S26" s="87"/>
      <c r="T26" s="87">
        <f>_xlfn.XLOOKUP(_xlfn.XLOOKUP($AS$6&amp;$B26,公表[班別+時段],公表[備勤5],""),$AX$9:$AX$25,$AY$9:$AY$25,"")</f>
        <v>5</v>
      </c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87"/>
      <c r="AC26" s="87"/>
      <c r="AD26" s="87"/>
      <c r="AE26" s="88">
        <f>_xlfn.XLOOKUP(_xlfn.XLOOKUP($AS$6&amp;$B26,公表[班別+時段],公表[指揮官],""),$AX$9:$AX$25,$AY$9:$AY$25,"")</f>
        <v>1</v>
      </c>
      <c r="AF26" s="57" t="s">
        <v>289</v>
      </c>
      <c r="AG26" s="178" t="str" cm="1">
        <f t="array" ref="AG26">_xlfn.TEXTJOIN(".",1,_xlfn._xlws.FILTER($AO$9:$AO$40,$AQ$9:$AQ$40=$AF$26,""))</f>
        <v/>
      </c>
      <c r="AH26" s="168" t="s">
        <v>290</v>
      </c>
      <c r="AI26" s="179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/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27">
        <v>18</v>
      </c>
      <c r="AP26" s="127" t="str">
        <v>林志偉</v>
      </c>
      <c r="AQ26" s="127" t="str" cm="1">
        <f t="array" ref="AQ26">IFERROR(_xlfn.XLOOKUP(_xlfn.XLOOKUP($AQ$3,輪休基準表!$C$6:$C$36,_xlfn.XLOOKUP(AP26,輪休基準表!$E$5:$AF$5,輪休基準表!$E$6:$AF$36,""),""),班別參數!$A$4:$A$20,班別參數!$B$4:$B$20,""),"")</f>
        <v>月補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/>
      </c>
      <c r="AT26" s="180" t="str">
        <f t="shared" si="0"/>
        <v/>
      </c>
      <c r="AU26" s="180" t="str">
        <f t="shared" si="1"/>
        <v/>
      </c>
      <c r="AV26" s="10"/>
      <c r="AW26" s="46"/>
      <c r="AX26" s="45"/>
      <c r="AY26" s="25"/>
      <c r="AZ26" s="28"/>
      <c r="BA26" s="33"/>
      <c r="BB26" s="25"/>
      <c r="BD26" s="127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8</v>
      </c>
      <c r="D27" s="95"/>
      <c r="E27" s="95"/>
      <c r="F27" s="95"/>
      <c r="G27" s="122" t="str">
        <f>IF(BC17="","",BC17)</f>
        <v/>
      </c>
      <c r="H27" s="37"/>
      <c r="I27" s="92">
        <f>_xlfn.XLOOKUP(_xlfn.XLOOKUP($AS$6&amp;$B27,公表[班別+時段],公表[救護1],""),$AX$9:$AX$25,$AY$9:$AY$25,"")</f>
        <v>10</v>
      </c>
      <c r="J27" s="92">
        <f>_xlfn.XLOOKUP(_xlfn.XLOOKUP($AS$6&amp;$B27,公表[班別+時段],公表[救護2],""),$AX$9:$AX$25,$AY$9:$AY$25,"")</f>
        <v>19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27</v>
      </c>
      <c r="O27" s="87">
        <f>_xlfn.XLOOKUP(_xlfn.XLOOKUP($AS$6&amp;$B27,公表[班別+時段],公表[備勤2],""),$AX$9:$AX$25,$AY$9:$AY$25,"")</f>
        <v>26</v>
      </c>
      <c r="P27" s="87"/>
      <c r="Q27" s="87">
        <f>_xlfn.XLOOKUP(_xlfn.XLOOKUP($AS$6&amp;$B27,公表[班別+時段],公表[備勤3],""),$AX$9:$AX$25,$AY$9:$AY$25,"")</f>
        <v>17</v>
      </c>
      <c r="R27" s="87">
        <f>_xlfn.XLOOKUP(_xlfn.XLOOKUP($AS$6&amp;$B27,公表[班別+時段],公表[備勤4],""),$AX$9:$AX$25,$AY$9:$AY$25,"")</f>
        <v>12</v>
      </c>
      <c r="S27" s="87"/>
      <c r="T27" s="87">
        <f>_xlfn.XLOOKUP(_xlfn.XLOOKUP($AS$6&amp;$B27,公表[班別+時段],公表[備勤5],""),$AX$9:$AX$25,$AY$9:$AY$25,"")</f>
        <v>5</v>
      </c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87"/>
      <c r="AC27" s="87"/>
      <c r="AD27" s="87"/>
      <c r="AE27" s="88">
        <f>_xlfn.XLOOKUP(_xlfn.XLOOKUP($AS$6&amp;$B27,公表[班別+時段],公表[指揮官],""),$AX$9:$AX$25,$AY$9:$AY$25,"")</f>
        <v>1</v>
      </c>
      <c r="AF27" s="317" t="s">
        <v>215</v>
      </c>
      <c r="AG27" s="319"/>
      <c r="AH27" s="321"/>
      <c r="AI27" s="321"/>
      <c r="AJ27" s="321"/>
      <c r="AK27" s="321"/>
      <c r="AL27" s="321"/>
      <c r="AM27" s="322"/>
      <c r="AN27" s="214"/>
      <c r="AO27" s="127">
        <v>19</v>
      </c>
      <c r="AP27" s="127" t="str">
        <v>劉家誠</v>
      </c>
      <c r="AQ27" s="127" t="str" cm="1">
        <f t="array" ref="AQ27">IFERROR(_xlfn.XLOOKUP(_xlfn.XLOOKUP($AQ$3,輪休基準表!$C$6:$C$36,_xlfn.XLOOKUP(AP27,輪休基準表!$E$5:$AF$5,輪休基準表!$E$6:$AF$36,""),""),班別參數!$A$4:$A$20,班別參數!$B$4:$B$20,""),"")</f>
        <v>上班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>已排</v>
      </c>
      <c r="AT27" s="180">
        <f t="shared" si="0"/>
        <v>8</v>
      </c>
      <c r="AU27" s="180">
        <f t="shared" si="1"/>
        <v>6</v>
      </c>
      <c r="AV27" s="10"/>
      <c r="AW27" s="46"/>
      <c r="AX27" s="45"/>
      <c r="AY27" s="25"/>
      <c r="AZ27" s="28"/>
      <c r="BA27" s="33"/>
      <c r="BB27" s="25"/>
      <c r="BD27" s="127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8</v>
      </c>
      <c r="D28" s="95"/>
      <c r="E28" s="95"/>
      <c r="F28" s="95"/>
      <c r="G28" s="122" t="str">
        <f>IF(BC18="","",BC18)</f>
        <v/>
      </c>
      <c r="H28" s="37"/>
      <c r="I28" s="92">
        <f>_xlfn.XLOOKUP(_xlfn.XLOOKUP($AS$6&amp;$B28,公表[班別+時段],公表[救護1],""),$AX$9:$AX$25,$AY$9:$AY$25,"")</f>
        <v>10</v>
      </c>
      <c r="J28" s="92">
        <f>_xlfn.XLOOKUP(_xlfn.XLOOKUP($AS$6&amp;$B28,公表[班別+時段],公表[救護2],""),$AX$9:$AX$25,$AY$9:$AY$25,"")</f>
        <v>19</v>
      </c>
      <c r="K28" s="87"/>
      <c r="L28" s="87" t="s">
        <v>212</v>
      </c>
      <c r="M28" s="312"/>
      <c r="N28" s="87">
        <f>_xlfn.XLOOKUP(_xlfn.XLOOKUP($AS$6&amp;$B28,公表[班別+時段],公表[備勤1],""),$AX$9:$AX$25,$AY$9:$AY$25,"")</f>
        <v>12</v>
      </c>
      <c r="O28" s="87">
        <f>_xlfn.XLOOKUP(_xlfn.XLOOKUP($AS$6&amp;$B28,公表[班別+時段],公表[備勤2],""),$AX$9:$AX$25,$AY$9:$AY$25,"")</f>
        <v>17</v>
      </c>
      <c r="P28" s="87"/>
      <c r="Q28" s="87">
        <f>_xlfn.XLOOKUP(_xlfn.XLOOKUP($AS$6&amp;$B28,公表[班別+時段],公表[備勤3],""),$AX$9:$AX$25,$AY$9:$AY$25,"")</f>
        <v>27</v>
      </c>
      <c r="R28" s="87">
        <f>_xlfn.XLOOKUP(_xlfn.XLOOKUP($AS$6&amp;$B28,公表[班別+時段],公表[備勤4],""),$AX$9:$AX$25,$AY$9:$AY$25,"")</f>
        <v>26</v>
      </c>
      <c r="S28" s="87"/>
      <c r="T28" s="87">
        <f>_xlfn.XLOOKUP(_xlfn.XLOOKUP($AS$6&amp;$B28,公表[班別+時段],公表[備勤5],""),$AX$9:$AX$25,$AY$9:$AY$25,"")</f>
        <v>5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87"/>
      <c r="AC28" s="87"/>
      <c r="AD28" s="87"/>
      <c r="AE28" s="88">
        <f>_xlfn.XLOOKUP(_xlfn.XLOOKUP($AS$6&amp;$B28,公表[班別+時段],公表[指揮官],""),$AX$9:$AX$25,$AY$9:$AY$25,"")</f>
        <v>1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27">
        <v>20</v>
      </c>
      <c r="AP28" s="127" t="str">
        <v>呂奇霈</v>
      </c>
      <c r="AQ28" s="127" t="str" cm="1">
        <f t="array" ref="AQ28">IFERROR(_xlfn.XLOOKUP(_xlfn.XLOOKUP($AQ$3,輪休基準表!$C$6:$C$36,_xlfn.XLOOKUP(AP28,輪休基準表!$E$5:$AF$5,輪休基準表!$E$6:$AF$36,""),""),班別參數!$A$4:$A$20,班別參數!$B$4:$B$20,""),"")</f>
        <v>公假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27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8</v>
      </c>
      <c r="D29" s="95"/>
      <c r="E29" s="95"/>
      <c r="F29" s="95"/>
      <c r="G29" s="122" t="str">
        <f>IF(BC18="","",BC18)</f>
        <v/>
      </c>
      <c r="H29" s="37"/>
      <c r="I29" s="92">
        <f>_xlfn.XLOOKUP(_xlfn.XLOOKUP($AS$6&amp;$B29,公表[班別+時段],公表[救護1],""),$AX$9:$AX$25,$AY$9:$AY$25,"")</f>
        <v>10</v>
      </c>
      <c r="J29" s="92">
        <f>_xlfn.XLOOKUP(_xlfn.XLOOKUP($AS$6&amp;$B29,公表[班別+時段],公表[救護2],""),$AX$9:$AX$25,$AY$9:$AY$25,"")</f>
        <v>19</v>
      </c>
      <c r="K29" s="87"/>
      <c r="L29" s="87" t="s">
        <v>212</v>
      </c>
      <c r="M29" s="312"/>
      <c r="N29" s="87">
        <f>_xlfn.XLOOKUP(_xlfn.XLOOKUP($AS$6&amp;$B29,公表[班別+時段],公表[備勤1],""),$AX$9:$AX$25,$AY$9:$AY$25,"")</f>
        <v>12</v>
      </c>
      <c r="O29" s="87">
        <f>_xlfn.XLOOKUP(_xlfn.XLOOKUP($AS$6&amp;$B29,公表[班別+時段],公表[備勤2],""),$AX$9:$AX$25,$AY$9:$AY$25,"")</f>
        <v>17</v>
      </c>
      <c r="P29" s="87"/>
      <c r="Q29" s="87">
        <f>_xlfn.XLOOKUP(_xlfn.XLOOKUP($AS$6&amp;$B29,公表[班別+時段],公表[備勤3],""),$AX$9:$AX$25,$AY$9:$AY$25,"")</f>
        <v>27</v>
      </c>
      <c r="R29" s="87">
        <f>_xlfn.XLOOKUP(_xlfn.XLOOKUP($AS$6&amp;$B29,公表[班別+時段],公表[備勤4],""),$AX$9:$AX$25,$AY$9:$AY$25,"")</f>
        <v>26</v>
      </c>
      <c r="S29" s="87"/>
      <c r="T29" s="87">
        <f>_xlfn.XLOOKUP(_xlfn.XLOOKUP($AS$6&amp;$B29,公表[班別+時段],公表[備勤5],""),$AX$9:$AX$25,$AY$9:$AY$25,"")</f>
        <v>5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87"/>
      <c r="AC29" s="87"/>
      <c r="AD29" s="87"/>
      <c r="AE29" s="88">
        <f>_xlfn.XLOOKUP(_xlfn.XLOOKUP($AS$6&amp;$B29,公表[班別+時段],公表[指揮官],""),$AX$9:$AX$25,$AY$9:$AY$25,"")</f>
        <v>1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27">
        <v>21</v>
      </c>
      <c r="AP29" s="127" t="str">
        <v>張家和</v>
      </c>
      <c r="AQ29" s="127" t="str" cm="1">
        <f t="array" ref="AQ29">IFERROR(_xlfn.XLOOKUP(_xlfn.XLOOKUP($AQ$3,輪休基準表!$C$6:$C$36,_xlfn.XLOOKUP(AP29,輪休基準表!$E$5:$AF$5,輪休基準表!$E$6:$AF$36,""),""),班別參數!$A$4:$A$20,班別參數!$B$4:$B$20,""),"")</f>
        <v>輪休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/>
      </c>
      <c r="AT29" s="180" t="str">
        <f t="shared" si="0"/>
        <v/>
      </c>
      <c r="AU29" s="180" t="str">
        <f t="shared" si="1"/>
        <v/>
      </c>
      <c r="AV29" s="10"/>
      <c r="AW29" s="47"/>
      <c r="AX29" s="45"/>
      <c r="AY29" s="25"/>
      <c r="AZ29" s="28"/>
      <c r="BA29" s="33"/>
      <c r="BB29" s="25"/>
      <c r="BD29" s="127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8</v>
      </c>
      <c r="D30" s="95"/>
      <c r="E30" s="95"/>
      <c r="F30" s="95"/>
      <c r="G30" s="122" t="str">
        <f>IF(BC19="","",BC19)</f>
        <v/>
      </c>
      <c r="H30" s="37"/>
      <c r="I30" s="92">
        <f>_xlfn.XLOOKUP(_xlfn.XLOOKUP($AS$6&amp;$B30,公表[班別+時段],公表[救護1],""),$AX$9:$AX$25,$AY$9:$AY$25,"")</f>
        <v>12</v>
      </c>
      <c r="J30" s="92">
        <f>_xlfn.XLOOKUP(_xlfn.XLOOKUP($AS$6&amp;$B30,公表[班別+時段],公表[救護2],""),$AX$9:$AX$25,$AY$9:$AY$25,"")</f>
        <v>17</v>
      </c>
      <c r="K30" s="87"/>
      <c r="L30" s="87" t="s">
        <v>212</v>
      </c>
      <c r="M30" s="312"/>
      <c r="N30" s="87">
        <f>_xlfn.XLOOKUP(_xlfn.XLOOKUP($AS$6&amp;$B30,公表[班別+時段],公表[備勤1],""),$AX$9:$AX$25,$AY$9:$AY$25,"")</f>
        <v>10</v>
      </c>
      <c r="O30" s="87">
        <f>_xlfn.XLOOKUP(_xlfn.XLOOKUP($AS$6&amp;$B30,公表[班別+時段],公表[備勤2],""),$AX$9:$AX$25,$AY$9:$AY$25,"")</f>
        <v>26</v>
      </c>
      <c r="P30" s="87"/>
      <c r="Q30" s="87">
        <f>_xlfn.XLOOKUP(_xlfn.XLOOKUP($AS$6&amp;$B30,公表[班別+時段],公表[備勤3],""),$AX$9:$AX$25,$AY$9:$AY$25,"")</f>
        <v>19</v>
      </c>
      <c r="R30" s="87">
        <f>_xlfn.XLOOKUP(_xlfn.XLOOKUP($AS$6&amp;$B30,公表[班別+時段],公表[備勤4],""),$AX$9:$AX$25,$AY$9:$AY$25,"")</f>
        <v>27</v>
      </c>
      <c r="S30" s="87"/>
      <c r="T30" s="87">
        <f>_xlfn.XLOOKUP(_xlfn.XLOOKUP($AS$6&amp;$B30,公表[班別+時段],公表[備勤5],""),$AX$9:$AX$25,$AY$9:$AY$25,"")</f>
        <v>5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87"/>
      <c r="AC30" s="87"/>
      <c r="AD30" s="87"/>
      <c r="AE30" s="88">
        <f>_xlfn.XLOOKUP(_xlfn.XLOOKUP($AS$6&amp;$B30,公表[班別+時段],公表[指揮官],""),$AX$9:$AX$25,$AY$9:$AY$25,"")</f>
        <v>1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27">
        <v>22</v>
      </c>
      <c r="AP30" s="127" t="str">
        <v>陳俊瑋</v>
      </c>
      <c r="AQ30" s="127" t="str" cm="1">
        <f t="array" ref="AQ30">IFERROR(_xlfn.XLOOKUP(_xlfn.XLOOKUP($AQ$3,輪休基準表!$C$6:$C$36,_xlfn.XLOOKUP(AP30,輪休基準表!$E$5:$AF$5,輪休基準表!$E$6:$AF$36,""),""),班別參數!$A$4:$A$20,班別參數!$B$4:$B$20,""),"")</f>
        <v>公假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27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8</v>
      </c>
      <c r="D31" s="106"/>
      <c r="E31" s="96"/>
      <c r="F31" s="96"/>
      <c r="G31" s="123"/>
      <c r="H31" s="109"/>
      <c r="I31" s="216">
        <f>_xlfn.XLOOKUP(_xlfn.XLOOKUP($AS$6&amp;$B31,公表[班別+時段],公表[救護1],""),$AX$9:$AX$25,$AY$9:$AY$25,"")</f>
        <v>12</v>
      </c>
      <c r="J31" s="216">
        <f>_xlfn.XLOOKUP(_xlfn.XLOOKUP($AS$6&amp;$B31,公表[班別+時段],公表[救護2],""),$AX$9:$AX$25,$AY$9:$AY$25,"")</f>
        <v>17</v>
      </c>
      <c r="K31" s="108"/>
      <c r="L31" s="93" t="s">
        <v>212</v>
      </c>
      <c r="M31" s="312"/>
      <c r="N31" s="89">
        <f>_xlfn.XLOOKUP(_xlfn.XLOOKUP($AS$6&amp;$B31,公表[班別+時段],公表[備勤1],""),$AX$9:$AX$25,$AY$9:$AY$25,"")</f>
        <v>10</v>
      </c>
      <c r="O31" s="89">
        <f>_xlfn.XLOOKUP(_xlfn.XLOOKUP($AS$6&amp;$B31,公表[班別+時段],公表[備勤2],""),$AX$9:$AX$25,$AY$9:$AY$25,"")</f>
        <v>26</v>
      </c>
      <c r="P31" s="89"/>
      <c r="Q31" s="89">
        <f>_xlfn.XLOOKUP(_xlfn.XLOOKUP($AS$6&amp;$B31,公表[班別+時段],公表[備勤3],""),$AX$9:$AX$25,$AY$9:$AY$25,"")</f>
        <v>19</v>
      </c>
      <c r="R31" s="89">
        <f>_xlfn.XLOOKUP(_xlfn.XLOOKUP($AS$6&amp;$B31,公表[班別+時段],公表[備勤4],""),$AX$9:$AX$25,$AY$9:$AY$25,"")</f>
        <v>27</v>
      </c>
      <c r="S31" s="89"/>
      <c r="T31" s="89">
        <f>_xlfn.XLOOKUP(_xlfn.XLOOKUP($AS$6&amp;$B31,公表[班別+時段],公表[備勤5],""),$AX$9:$AX$25,$AY$9:$AY$25,"")</f>
        <v>5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89"/>
      <c r="AC31" s="89"/>
      <c r="AD31" s="89"/>
      <c r="AE31" s="104">
        <f>_xlfn.XLOOKUP(_xlfn.XLOOKUP($AS$6&amp;$B31,公表[班別+時段],公表[指揮官],""),$AX$9:$AX$25,$AY$9:$AY$25,"")</f>
        <v>1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27">
        <v>23</v>
      </c>
      <c r="AP31" s="127" t="str">
        <v>陳俊翰</v>
      </c>
      <c r="AQ31" s="127" t="str" cm="1">
        <f t="array" ref="AQ31">IFERROR(_xlfn.XLOOKUP(_xlfn.XLOOKUP($AQ$3,輪休基準表!$C$6:$C$36,_xlfn.XLOOKUP(AP31,輪休基準表!$E$5:$AF$5,輪休基準表!$E$6:$AF$36,""),""),班別參數!$A$4:$A$20,班別參數!$B$4:$B$20,""),"")</f>
        <v>輪休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/>
      </c>
      <c r="AT31" s="180" t="str">
        <f t="shared" si="0"/>
        <v/>
      </c>
      <c r="AU31" s="180" t="str">
        <f t="shared" si="1"/>
        <v/>
      </c>
      <c r="AW31" s="47"/>
      <c r="AX31" s="45"/>
      <c r="AY31" s="25"/>
      <c r="AZ31" s="28"/>
      <c r="BA31" s="33"/>
      <c r="BB31" s="25"/>
      <c r="BD31" s="127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8</v>
      </c>
      <c r="D32" s="97"/>
      <c r="E32" s="97"/>
      <c r="F32" s="97"/>
      <c r="G32" s="121" t="s">
        <v>370</v>
      </c>
      <c r="H32" s="56"/>
      <c r="I32" s="94">
        <f>_xlfn.XLOOKUP(_xlfn.XLOOKUP($AS$6&amp;$B32,公表[班別+時段],公表[救護1],""),$AX$9:$AX$25,$AY$9:$AY$25,"")</f>
        <v>12</v>
      </c>
      <c r="J32" s="94">
        <f>_xlfn.XLOOKUP(_xlfn.XLOOKUP($AS$6&amp;$B32,公表[班別+時段],公表[救護2],""),$AX$9:$AX$25,$AY$9:$AY$25,"")</f>
        <v>17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26</v>
      </c>
      <c r="O32" s="90">
        <f>_xlfn.XLOOKUP(_xlfn.XLOOKUP($AS$6&amp;$B32,公表[班別+時段],公表[備勤2],""),$AX$9:$AX$25,$AY$9:$AY$25,"")</f>
        <v>19</v>
      </c>
      <c r="P32" s="90"/>
      <c r="Q32" s="90">
        <f>_xlfn.XLOOKUP(_xlfn.XLOOKUP($AS$6&amp;$B32,公表[班別+時段],公表[備勤3],""),$AX$9:$AX$25,$AY$9:$AY$25,"")</f>
        <v>10</v>
      </c>
      <c r="R32" s="90">
        <f>_xlfn.XLOOKUP(_xlfn.XLOOKUP($AS$6&amp;$B32,公表[班別+時段],公表[備勤4],""),$AX$9:$AX$25,$AY$9:$AY$25,"")</f>
        <v>0</v>
      </c>
      <c r="S32" s="90"/>
      <c r="T32" s="90">
        <f>_xlfn.XLOOKUP(_xlfn.XLOOKUP($AS$6&amp;$B32,公表[班別+時段],公表[備勤5],""),$AX$9:$AX$25,$AY$9:$AY$25,"")</f>
        <v>0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90"/>
      <c r="AC32" s="90"/>
      <c r="AD32" s="90"/>
      <c r="AE32" s="91">
        <v>5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27">
        <v>24</v>
      </c>
      <c r="AP32" s="127" t="str">
        <v>賴俊豪</v>
      </c>
      <c r="AQ32" s="127" t="str" cm="1">
        <f t="array" ref="AQ32">IFERROR(_xlfn.XLOOKUP(_xlfn.XLOOKUP($AQ$3,輪休基準表!$C$6:$C$36,_xlfn.XLOOKUP(AP32,輪休基準表!$E$5:$AF$5,輪休基準表!$E$6:$AF$36,""),""),班別參數!$A$4:$A$20,班別參數!$B$4:$B$20,""),"")</f>
        <v>補休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/>
      </c>
      <c r="AT32" s="180" t="str">
        <f t="shared" si="0"/>
        <v/>
      </c>
      <c r="AU32" s="180" t="str">
        <f t="shared" si="1"/>
        <v/>
      </c>
      <c r="AW32" s="47"/>
      <c r="AX32" s="45"/>
      <c r="AY32" s="25"/>
      <c r="AZ32" s="28"/>
      <c r="BA32" s="33"/>
      <c r="BB32" s="25"/>
      <c r="BD32" s="127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8</v>
      </c>
      <c r="D33" s="95"/>
      <c r="E33" s="95"/>
      <c r="F33" s="95"/>
      <c r="G33" s="121" t="s">
        <v>370</v>
      </c>
      <c r="H33" s="48"/>
      <c r="I33" s="92">
        <f>_xlfn.XLOOKUP(_xlfn.XLOOKUP($AS$6&amp;$B33,公表[班別+時段],公表[救護1],""),$AX$9:$AX$25,$AY$9:$AY$25,"")</f>
        <v>12</v>
      </c>
      <c r="J33" s="92">
        <f>_xlfn.XLOOKUP(_xlfn.XLOOKUP($AS$6&amp;$B33,公表[班別+時段],公表[救護2],""),$AX$9:$AX$25,$AY$9:$AY$25,"")</f>
        <v>17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26</v>
      </c>
      <c r="O33" s="87">
        <f>_xlfn.XLOOKUP(_xlfn.XLOOKUP($AS$6&amp;$B33,公表[班別+時段],公表[備勤2],""),$AX$9:$AX$25,$AY$9:$AY$25,"")</f>
        <v>19</v>
      </c>
      <c r="P33" s="87"/>
      <c r="Q33" s="87">
        <f>_xlfn.XLOOKUP(_xlfn.XLOOKUP($AS$6&amp;$B33,公表[班別+時段],公表[備勤3],""),$AX$9:$AX$25,$AY$9:$AY$25,"")</f>
        <v>10</v>
      </c>
      <c r="R33" s="87">
        <f>_xlfn.XLOOKUP(_xlfn.XLOOKUP($AS$6&amp;$B33,公表[班別+時段],公表[備勤4],""),$AX$9:$AX$25,$AY$9:$AY$25,"")</f>
        <v>0</v>
      </c>
      <c r="S33" s="87"/>
      <c r="T33" s="87">
        <f>_xlfn.XLOOKUP(_xlfn.XLOOKUP($AS$6&amp;$B33,公表[班別+時段],公表[備勤5],""),$AX$9:$AX$25,$AY$9:$AY$25,"")</f>
        <v>0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87"/>
      <c r="AC33" s="87"/>
      <c r="AD33" s="87"/>
      <c r="AE33" s="88">
        <v>5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27">
        <v>25</v>
      </c>
      <c r="AP33" s="127" t="str">
        <v>郭國偵</v>
      </c>
      <c r="AQ33" s="127" t="str" cm="1">
        <f t="array" ref="AQ33">IFERROR(_xlfn.XLOOKUP(_xlfn.XLOOKUP($AQ$3,輪休基準表!$C$6:$C$36,_xlfn.XLOOKUP(AP33,輪休基準表!$E$5:$AF$5,輪休基準表!$E$6:$AF$36,""),""),班別參數!$A$4:$A$20,班別參數!$B$4:$B$20,""),"")</f>
        <v>月補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/>
      </c>
      <c r="AT33" s="180" t="str">
        <f t="shared" si="0"/>
        <v/>
      </c>
      <c r="AU33" s="180" t="str">
        <f t="shared" si="1"/>
        <v/>
      </c>
      <c r="AW33" s="47"/>
      <c r="AX33" s="45"/>
      <c r="AY33" s="25"/>
      <c r="AZ33" s="28"/>
      <c r="BA33" s="25"/>
      <c r="BB33" s="25"/>
      <c r="BD33" s="127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一、本日主管上班。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27">
        <v>26</v>
      </c>
      <c r="AP34" s="127" t="str">
        <v>楊紹文</v>
      </c>
      <c r="AQ34" s="127" t="str" cm="1">
        <f t="array" ref="AQ34">IFERROR(_xlfn.XLOOKUP(_xlfn.XLOOKUP($AQ$3,輪休基準表!$C$6:$C$36,_xlfn.XLOOKUP(AP34,輪休基準表!$E$5:$AF$5,輪休基準表!$E$6:$AF$36,""),""),班別參數!$A$4:$A$20,班別參數!$B$4:$B$20,""),"")</f>
        <v>上班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>已排</v>
      </c>
      <c r="AT34" s="180">
        <f t="shared" si="0"/>
        <v>8</v>
      </c>
      <c r="AU34" s="180">
        <f t="shared" si="1"/>
        <v>6</v>
      </c>
      <c r="AW34" s="47"/>
      <c r="AX34" s="45"/>
      <c r="AY34" s="25"/>
      <c r="AZ34" s="28"/>
      <c r="BA34" s="25"/>
      <c r="BB34" s="25"/>
      <c r="BD34" s="127"/>
    </row>
    <row r="35" spans="2:56" ht="30" customHeight="1">
      <c r="B35" s="349"/>
      <c r="C35" s="359" t="str">
        <f>CONCATENATE("二、在隊訓練:09-12時:",H11,";14-17時:",H16,";19-21時:",H21,"。")</f>
        <v>二、在隊訓練:09-12時:救生艇拆裝組合訓練;14-17時:船外機與橡皮艇;19-21時:個人水域防護裝備介紹。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27">
        <v>27</v>
      </c>
      <c r="AP35" s="127" t="str">
        <v>林宏為</v>
      </c>
      <c r="AQ35" s="127" t="str" cm="1">
        <f t="array" ref="AQ35">IFERROR(_xlfn.XLOOKUP(_xlfn.XLOOKUP($AQ$3,輪休基準表!$C$6:$C$36,_xlfn.XLOOKUP(AP35,輪休基準表!$E$5:$AF$5,輪休基準表!$E$6:$AF$36,""),""),班別參數!$A$4:$A$20,班別參數!$B$4:$B$20,""),"")</f>
        <v>上班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>已排</v>
      </c>
      <c r="AT35" s="180">
        <f t="shared" si="0"/>
        <v>6</v>
      </c>
      <c r="AU35" s="180">
        <f t="shared" si="1"/>
        <v>10</v>
      </c>
      <c r="AW35" s="47"/>
      <c r="AX35" s="45"/>
      <c r="AY35" s="25"/>
      <c r="AZ35" s="28"/>
      <c r="BA35" s="25"/>
      <c r="BB35" s="25"/>
      <c r="BD35" s="127"/>
    </row>
    <row r="36" spans="2:56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27">
        <v>28</v>
      </c>
      <c r="AP36" s="127" t="str">
        <v>林宸彥</v>
      </c>
      <c r="AQ36" s="127" t="str" cm="1">
        <f t="array" ref="AQ36">IFERROR(_xlfn.XLOOKUP(_xlfn.XLOOKUP($AQ$3,輪休基準表!$C$6:$C$36,_xlfn.XLOOKUP(AP36,輪休基準表!$E$5:$AF$5,輪休基準表!$E$6:$AF$36,""),""),班別參數!$A$4:$A$20,班別參數!$B$4:$B$20,""),"")</f>
        <v>月補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/>
      </c>
      <c r="AT36" s="180" t="str">
        <f t="shared" si="0"/>
        <v/>
      </c>
      <c r="AU36" s="180" t="str">
        <f t="shared" si="1"/>
        <v/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27"/>
      <c r="AP37" s="127"/>
      <c r="AQ37" s="127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27"/>
      <c r="BD37" s="10"/>
    </row>
    <row r="38" spans="2:56" ht="15" customHeight="1">
      <c r="AQ38" s="127"/>
      <c r="AR38" s="118"/>
      <c r="AS38" s="119"/>
      <c r="AT38" s="119"/>
    </row>
    <row r="39" spans="2:56" ht="15" customHeight="1">
      <c r="AR39" s="118"/>
      <c r="AS39" s="119"/>
      <c r="AT39" s="119"/>
    </row>
    <row r="40" spans="2:56" ht="15" customHeight="1">
      <c r="AR40" s="118"/>
      <c r="AS40" s="119"/>
      <c r="AT40" s="119"/>
    </row>
  </sheetData>
  <mergeCells count="74">
    <mergeCell ref="AG22:AK22"/>
    <mergeCell ref="AG23:AM23"/>
    <mergeCell ref="AG24:AI24"/>
    <mergeCell ref="AK24:AM24"/>
    <mergeCell ref="AF33:AG33"/>
    <mergeCell ref="AH33:AI33"/>
    <mergeCell ref="AJ33:AK33"/>
    <mergeCell ref="AF31:AG31"/>
    <mergeCell ref="AH31:AI31"/>
    <mergeCell ref="AJ31:AK31"/>
    <mergeCell ref="AF32:AG32"/>
    <mergeCell ref="AH32:AI32"/>
    <mergeCell ref="AJ32:AK32"/>
    <mergeCell ref="AF27:AF28"/>
    <mergeCell ref="AG27:AM27"/>
    <mergeCell ref="AG28:AM28"/>
    <mergeCell ref="B34:B36"/>
    <mergeCell ref="C34:AE34"/>
    <mergeCell ref="AF34:AM34"/>
    <mergeCell ref="C35:AE35"/>
    <mergeCell ref="AF35:AM35"/>
    <mergeCell ref="C36:AE36"/>
    <mergeCell ref="AF36:AM36"/>
    <mergeCell ref="AF29:AM29"/>
    <mergeCell ref="AF30:AG30"/>
    <mergeCell ref="AH30:AI30"/>
    <mergeCell ref="AJ30:AK30"/>
    <mergeCell ref="AG25:AI25"/>
    <mergeCell ref="AK25:AM25"/>
    <mergeCell ref="C8:AE8"/>
    <mergeCell ref="C9:AE9"/>
    <mergeCell ref="M10:M33"/>
    <mergeCell ref="H11:H13"/>
    <mergeCell ref="H16:H18"/>
    <mergeCell ref="H21:H22"/>
    <mergeCell ref="D18:D19"/>
    <mergeCell ref="E12:E13"/>
    <mergeCell ref="F10:F14"/>
    <mergeCell ref="I6:J6"/>
    <mergeCell ref="K6:L6"/>
    <mergeCell ref="N6:P6"/>
    <mergeCell ref="Q6:S6"/>
    <mergeCell ref="T6:V6"/>
    <mergeCell ref="AF5:AM6"/>
    <mergeCell ref="AO5:AO6"/>
    <mergeCell ref="T7:V7"/>
    <mergeCell ref="AR5:AR6"/>
    <mergeCell ref="AS5:AT5"/>
    <mergeCell ref="W6:Y6"/>
    <mergeCell ref="AE6:AE7"/>
    <mergeCell ref="AS6:AT6"/>
    <mergeCell ref="AP5:AQ6"/>
    <mergeCell ref="G5:G7"/>
    <mergeCell ref="B3:AM3"/>
    <mergeCell ref="AW3:AX3"/>
    <mergeCell ref="AY3:BB3"/>
    <mergeCell ref="B4:AI4"/>
    <mergeCell ref="AJ4:AM4"/>
    <mergeCell ref="AW4:AX4"/>
    <mergeCell ref="AY4:BB4"/>
    <mergeCell ref="B5:B7"/>
    <mergeCell ref="C5:C7"/>
    <mergeCell ref="D5:D7"/>
    <mergeCell ref="E5:E7"/>
    <mergeCell ref="F5:F7"/>
    <mergeCell ref="H5:H7"/>
    <mergeCell ref="I5:L5"/>
    <mergeCell ref="M5:AE5"/>
    <mergeCell ref="AY2:BB2"/>
    <mergeCell ref="B1:AE1"/>
    <mergeCell ref="AP1:AQ1"/>
    <mergeCell ref="B2:AE2"/>
    <mergeCell ref="AG2:AM2"/>
    <mergeCell ref="AW2:AX2"/>
  </mergeCells>
  <phoneticPr fontId="9" type="noConversion"/>
  <conditionalFormatting sqref="AO9:AQ36 AO37:AP37 AQ37:AQ38">
    <cfRule type="expression" dxfId="131" priority="16">
      <formula>COUNTIF($AQ9,"上班")&gt;=1</formula>
    </cfRule>
  </conditionalFormatting>
  <conditionalFormatting sqref="AF8:AF13 AH8:AH21 AJ8:AJ21 AL8:AM21">
    <cfRule type="expression" dxfId="130" priority="11">
      <formula>OR(VLOOKUP(AF8,$AO$9:$AQ$40,3,0)="上班",VLOOKUP(AF8,$AO$9:$AQ$40,3,0)="外宿")</formula>
    </cfRule>
  </conditionalFormatting>
  <conditionalFormatting sqref="AL8">
    <cfRule type="expression" dxfId="129" priority="10">
      <formula>OR(VLOOKUP(AL8,$AO$9:$AQ$36,3,0)="上班",VLOOKUP(AL8,$AO$9:$AQ$36,3,0)="外宿")</formula>
    </cfRule>
  </conditionalFormatting>
  <conditionalFormatting sqref="AR9:AR36">
    <cfRule type="notContainsText" dxfId="128" priority="2" operator="notContains" text="已排">
      <formula>ISERROR(SEARCH("已排",AR9))</formula>
    </cfRule>
  </conditionalFormatting>
  <conditionalFormatting sqref="AS9:AS36">
    <cfRule type="notContainsText" dxfId="127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D597E-57E7-4CD3-BA25-2A85393F2049}">
  <sheetPr codeName="工作表13">
    <pageSetUpPr fitToPage="1"/>
  </sheetPr>
  <dimension ref="B1:BD40"/>
  <sheetViews>
    <sheetView showZeros="0" view="pageBreakPreview" zoomScale="55" zoomScaleNormal="55" zoomScaleSheetLayoutView="55" workbookViewId="0">
      <selection activeCell="V23" sqref="V23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6" width="5.375" style="126" customWidth="1"/>
    <col min="7" max="8" width="8.625" style="126" customWidth="1"/>
    <col min="9" max="12" width="5.375" style="126" customWidth="1"/>
    <col min="13" max="13" width="6.625" style="126" customWidth="1"/>
    <col min="14" max="31" width="5.375" style="126" customWidth="1"/>
    <col min="32" max="32" width="7.625" style="126" customWidth="1"/>
    <col min="33" max="33" width="10.625" style="126" customWidth="1"/>
    <col min="34" max="34" width="7.625" style="126" customWidth="1"/>
    <col min="35" max="35" width="10.625" style="126" customWidth="1"/>
    <col min="36" max="36" width="7.625" style="126" customWidth="1"/>
    <col min="37" max="37" width="10.625" style="126" customWidth="1"/>
    <col min="38" max="38" width="7.625" style="126" customWidth="1"/>
    <col min="39" max="39" width="10.625" style="126" customWidth="1"/>
    <col min="40" max="40" width="4.125" style="213" customWidth="1"/>
    <col min="41" max="47" width="11.625" style="126" customWidth="1"/>
    <col min="48" max="48" width="4.125" style="126" customWidth="1"/>
    <col min="49" max="49" width="16" style="126" customWidth="1"/>
    <col min="50" max="51" width="8.25" style="126" customWidth="1"/>
    <col min="52" max="52" width="4.125" style="126" customWidth="1"/>
    <col min="53" max="53" width="16" style="126" customWidth="1"/>
    <col min="54" max="54" width="8.25" style="126" customWidth="1"/>
    <col min="55" max="55" width="10.875" style="126" customWidth="1"/>
    <col min="56" max="58" width="4.125" style="126" customWidth="1"/>
    <col min="59" max="16384" width="11.25" style="126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27"/>
      <c r="AP1" s="399"/>
      <c r="AQ1" s="399"/>
      <c r="AR1" s="127"/>
      <c r="AS1" s="127"/>
      <c r="AT1" s="127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3" t="s">
        <v>178</v>
      </c>
      <c r="AR2" s="146" t="s">
        <v>228</v>
      </c>
      <c r="AS2" s="142"/>
      <c r="AT2" s="140"/>
      <c r="AU2" s="127"/>
      <c r="AV2" s="127"/>
      <c r="AW2" s="362" t="s">
        <v>127</v>
      </c>
      <c r="AX2" s="287"/>
      <c r="AY2" s="367" t="str">
        <f>_xlfn.XLOOKUP($AR$3,訓練!$L$13:$L$19,訓練!$M$13:$M$19,"")</f>
        <v>破壞器材操作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115年5月9日星期六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9</v>
      </c>
      <c r="AR3" s="141" t="str">
        <f>RIGHT(TEXT(1911+$AO$3&amp;"/"&amp;$AP$3&amp;"/"&amp;$AQ$3,"aaaa"),1)</f>
        <v>六</v>
      </c>
      <c r="AS3" s="145"/>
      <c r="AT3" s="145"/>
      <c r="AU3" s="127"/>
      <c r="AV3" s="127"/>
      <c r="AW3" s="362" t="s">
        <v>128</v>
      </c>
      <c r="AX3" s="287"/>
      <c r="AY3" s="368" t="str">
        <f>_xlfn.XLOOKUP($AR$3,訓練!$L$13:$L$19,訓練!$N$13:$N$19,"")</f>
        <v>入室搜救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27"/>
      <c r="AU4" s="127"/>
      <c r="AV4" s="127"/>
      <c r="AW4" s="362" t="s">
        <v>129</v>
      </c>
      <c r="AX4" s="287"/>
      <c r="AY4" s="363" t="str">
        <f>_xlfn.XLOOKUP($AR$3,訓練!$L$13:$L$19,訓練!$O$13:$O$19,"")</f>
        <v>五用氣體檢知器及CO探測器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2" t="s">
        <v>378</v>
      </c>
      <c r="E5" s="340" t="s">
        <v>373</v>
      </c>
      <c r="F5" s="340" t="s">
        <v>341</v>
      </c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341"/>
      <c r="E6" s="341"/>
      <c r="F6" s="341"/>
      <c r="G6" s="312"/>
      <c r="H6" s="312"/>
      <c r="I6" s="334" t="s">
        <v>227</v>
      </c>
      <c r="J6" s="335"/>
      <c r="K6" s="334" t="s">
        <v>346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2+7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341"/>
      <c r="E7" s="341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192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27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27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27" cm="1">
        <f t="array" ref="AO9:AP36">TRANSPOSE(輪休基準表!E4:AF5)</f>
        <v>1</v>
      </c>
      <c r="AP9" s="127" t="str">
        <v>鄧力嘉</v>
      </c>
      <c r="AQ9" s="127" t="str" cm="1">
        <f t="array" ref="AQ9">IFERROR(_xlfn.XLOOKUP(_xlfn.XLOOKUP($AQ$3,輪休基準表!$C$6:$C$36,_xlfn.XLOOKUP(AP9,輪休基準表!$E$5:$AF$5,輪休基準表!$E$6:$AF$36,""),""),班別參數!$A$4:$A$20,班別參數!$B$4:$B$20,""),"")</f>
        <v>輪休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/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 t="array" ref="AX9">IFERROR(INDEX(班別參數!$D$4:$S$20,MATCH(AW9,班別參數!$D$4:$D$20,0),MATCH($AS$6,班別參數!$D$4:$S$4,0)),"")</f>
        <v>A</v>
      </c>
      <c r="AY9" s="35">
        <v>15</v>
      </c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H,K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16,2</v>
      </c>
      <c r="BD9" s="127"/>
    </row>
    <row r="10" spans="2:56" ht="30" customHeight="1">
      <c r="B10" s="81" t="s">
        <v>70</v>
      </c>
      <c r="C10" s="87">
        <f>_xlfn.XLOOKUP(_xlfn.XLOOKUP($AS$6&amp;$B10,公表[班別+時段],公表[值班],""),$AX$9:$AX$25,$AY$9:$AY$25,"")</f>
        <v>15</v>
      </c>
      <c r="D10" s="95"/>
      <c r="E10" s="95"/>
      <c r="F10" s="95"/>
      <c r="G10" s="122" t="s">
        <v>374</v>
      </c>
      <c r="H10" s="37"/>
      <c r="I10" s="92">
        <v>9</v>
      </c>
      <c r="J10" s="92">
        <f>_xlfn.XLOOKUP(_xlfn.XLOOKUP($AS$6&amp;$B10,公表[班別+時段],公表[救護2],""),$AX$9:$AX$25,$AY$9:$AY$25,"")</f>
        <v>14</v>
      </c>
      <c r="K10" s="87"/>
      <c r="L10" s="87" t="s">
        <v>212</v>
      </c>
      <c r="M10" s="311"/>
      <c r="N10" s="87">
        <v>21</v>
      </c>
      <c r="O10" s="87">
        <f>_xlfn.XLOOKUP(_xlfn.XLOOKUP($AS$6&amp;$B10,公表[班別+時段],公表[備勤2],""),$AX$9:$AX$25,$AY$9:$AY$25,"")</f>
        <v>26</v>
      </c>
      <c r="P10" s="87"/>
      <c r="Q10" s="87">
        <f>_xlfn.XLOOKUP(_xlfn.XLOOKUP($AS$6&amp;$B10,公表[班別+時段],公表[備勤3],""),$AX$9:$AX$25,$AY$9:$AY$25,"")</f>
        <v>7</v>
      </c>
      <c r="R10" s="87">
        <f>_xlfn.XLOOKUP(_xlfn.XLOOKUP($AS$6&amp;$B10,公表[班別+時段],公表[備勤4],""),$AX$9:$AX$25,$AY$9:$AY$25,"")</f>
        <v>0</v>
      </c>
      <c r="S10" s="87"/>
      <c r="T10" s="87">
        <f>_xlfn.XLOOKUP(_xlfn.XLOOKUP($AS$6&amp;$B10,公表[班別+時段],公表[備勤5],""),$AX$9:$AX$25,$AY$9:$AY$25,"")</f>
        <v>0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87"/>
      <c r="AB10" s="87"/>
      <c r="AC10" s="87"/>
      <c r="AD10" s="87"/>
      <c r="AE10" s="88">
        <v>2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27">
        <v>2</v>
      </c>
      <c r="AP10" s="127" t="str">
        <v>莊勝斌</v>
      </c>
      <c r="AQ10" s="127" t="str" cm="1">
        <f t="array" ref="AQ10">IFERROR(_xlfn.XLOOKUP(_xlfn.XLOOKUP($AQ$3,輪休基準表!$C$6:$C$36,_xlfn.XLOOKUP(AP10,輪休基準表!$E$5:$AF$5,輪休基準表!$E$6:$AF$36,""),""),班別參數!$A$4:$A$20,班別參數!$B$4:$B$20,""),"")</f>
        <v>上班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>已排</v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>
        <v>7</v>
      </c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26</v>
      </c>
      <c r="BD10" s="127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15</v>
      </c>
      <c r="D11" s="95"/>
      <c r="E11" s="95"/>
      <c r="F11" s="95"/>
      <c r="G11" s="122" t="s">
        <v>374</v>
      </c>
      <c r="H11" s="296" t="str">
        <f>AY2</f>
        <v>破壞器材操作</v>
      </c>
      <c r="I11" s="92">
        <v>9</v>
      </c>
      <c r="J11" s="92">
        <f>_xlfn.XLOOKUP(_xlfn.XLOOKUP($AS$6&amp;$B11,公表[班別+時段],公表[救護2],""),$AX$9:$AX$25,$AY$9:$AY$25,"")</f>
        <v>14</v>
      </c>
      <c r="K11" s="87"/>
      <c r="L11" s="87" t="s">
        <v>212</v>
      </c>
      <c r="M11" s="312"/>
      <c r="N11" s="87">
        <v>21</v>
      </c>
      <c r="O11" s="87">
        <f>_xlfn.XLOOKUP(_xlfn.XLOOKUP($AS$6&amp;$B11,公表[班別+時段],公表[備勤2],""),$AX$9:$AX$25,$AY$9:$AY$25,"")</f>
        <v>26</v>
      </c>
      <c r="P11" s="87"/>
      <c r="Q11" s="87">
        <f>_xlfn.XLOOKUP(_xlfn.XLOOKUP($AS$6&amp;$B11,公表[班別+時段],公表[備勤3],""),$AX$9:$AX$25,$AY$9:$AY$25,"")</f>
        <v>7</v>
      </c>
      <c r="R11" s="87">
        <f>_xlfn.XLOOKUP(_xlfn.XLOOKUP($AS$6&amp;$B11,公表[班別+時段],公表[備勤4],""),$AX$9:$AX$25,$AY$9:$AY$25,"")</f>
        <v>0</v>
      </c>
      <c r="S11" s="87"/>
      <c r="T11" s="87">
        <f>_xlfn.XLOOKUP(_xlfn.XLOOKUP($AS$6&amp;$B11,公表[班別+時段],公表[備勤5],""),$AX$9:$AX$25,$AY$9:$AY$25,"")</f>
        <v>0</v>
      </c>
      <c r="U11" s="87">
        <f>_xlfn.XLOOKUP(_xlfn.XLOOKUP($AS$6&amp;$B11,公表[班別+時段],公表[備勤6],""),$AX$9:$AX$25,$AY$9:$AY$25,"")</f>
        <v>0</v>
      </c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87"/>
      <c r="AB11" s="87"/>
      <c r="AC11" s="87"/>
      <c r="AD11" s="87"/>
      <c r="AE11" s="88">
        <v>2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27">
        <v>3</v>
      </c>
      <c r="AP11" s="127" t="str">
        <v>孫子翔</v>
      </c>
      <c r="AQ11" s="127" t="str" cm="1">
        <f t="array" ref="AQ11">IFERROR(_xlfn.XLOOKUP(_xlfn.XLOOKUP($AQ$3,輪休基準表!$C$6:$C$36,_xlfn.XLOOKUP(AP11,輪休基準表!$E$5:$AF$5,輪休基準表!$E$6:$AF$36,""),""),班別參數!$A$4:$A$20,班別參數!$B$4:$B$20,""),"")</f>
        <v>上班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>已排</v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>
        <v>14</v>
      </c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F</v>
      </c>
      <c r="BC11" s="39" t="str">
        <f t="shared" si="2"/>
        <v>21</v>
      </c>
      <c r="BD11" s="127"/>
    </row>
    <row r="12" spans="2:56" ht="30" customHeight="1">
      <c r="B12" s="81" t="s">
        <v>75</v>
      </c>
      <c r="C12" s="87">
        <f>_xlfn.XLOOKUP(_xlfn.XLOOKUP($AS$6&amp;$B12,公表[班別+時段],公表[值班],""),$AX$9:$AX$25,$AY$9:$AY$25,"")</f>
        <v>7</v>
      </c>
      <c r="D12" s="292" t="s">
        <v>375</v>
      </c>
      <c r="E12" s="95"/>
      <c r="F12" s="95"/>
      <c r="G12" s="122">
        <v>16</v>
      </c>
      <c r="H12" s="314"/>
      <c r="I12" s="92">
        <f>_xlfn.XLOOKUP(_xlfn.XLOOKUP($AS$6&amp;$B12,公表[班別+時段],公表[救護1],""),$AX$9:$AX$25,$AY$9:$AY$25,"")</f>
        <v>15</v>
      </c>
      <c r="J12" s="92">
        <v>21</v>
      </c>
      <c r="K12" s="92"/>
      <c r="L12" s="87" t="s">
        <v>212</v>
      </c>
      <c r="M12" s="312"/>
      <c r="N12" s="87">
        <v>26</v>
      </c>
      <c r="O12" s="87">
        <v>9</v>
      </c>
      <c r="P12" s="87"/>
      <c r="Q12" s="87"/>
      <c r="R12" s="87"/>
      <c r="S12" s="87"/>
      <c r="T12" s="87"/>
      <c r="U12" s="87">
        <f>_xlfn.XLOOKUP(_xlfn.XLOOKUP($AS$6&amp;$B12,公表[班別+時段],公表[備勤6],""),$AX$9:$AX$25,$AY$9:$AY$25,"")</f>
        <v>0</v>
      </c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87"/>
      <c r="AC12" s="87"/>
      <c r="AD12" s="87"/>
      <c r="AE12" s="88">
        <f>_xlfn.XLOOKUP(_xlfn.XLOOKUP($AS$6&amp;$B12,公表[班別+時段],公表[指揮官],""),$AX$9:$AX$25,$AY$9:$AY$25,"")</f>
        <v>2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27">
        <v>4</v>
      </c>
      <c r="AP12" s="127" t="str">
        <v>簡永豐</v>
      </c>
      <c r="AQ12" s="127" t="str" cm="1">
        <f t="array" ref="AQ12">IFERROR(_xlfn.XLOOKUP(_xlfn.XLOOKUP($AQ$3,輪休基準表!$C$6:$C$36,_xlfn.XLOOKUP(AP12,輪休基準表!$E$5:$AF$5,輪休基準表!$E$6:$AF$36,""),""),班別參數!$A$4:$A$20,班別參數!$B$4:$B$20,""),"")</f>
        <v>月補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/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>
        <v>9</v>
      </c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27"/>
    </row>
    <row r="13" spans="2:56" ht="30" customHeight="1" thickBot="1">
      <c r="B13" s="82" t="s">
        <v>76</v>
      </c>
      <c r="C13" s="89">
        <f>_xlfn.XLOOKUP(_xlfn.XLOOKUP($AS$6&amp;$B13,公表[班別+時段],公表[值班],""),$AX$9:$AX$25,$AY$9:$AY$25,"")</f>
        <v>7</v>
      </c>
      <c r="D13" s="293"/>
      <c r="E13" s="96"/>
      <c r="F13" s="96"/>
      <c r="G13" s="123">
        <v>16</v>
      </c>
      <c r="H13" s="315"/>
      <c r="I13" s="216">
        <f>_xlfn.XLOOKUP(_xlfn.XLOOKUP($AS$6&amp;$B13,公表[班別+時段],公表[救護1],""),$AX$9:$AX$25,$AY$9:$AY$25,"")</f>
        <v>15</v>
      </c>
      <c r="J13" s="216">
        <v>21</v>
      </c>
      <c r="K13" s="105"/>
      <c r="L13" s="93" t="s">
        <v>212</v>
      </c>
      <c r="M13" s="312"/>
      <c r="N13" s="89">
        <v>26</v>
      </c>
      <c r="O13" s="89">
        <v>9</v>
      </c>
      <c r="P13" s="89"/>
      <c r="Q13" s="89"/>
      <c r="R13" s="89"/>
      <c r="S13" s="89"/>
      <c r="T13" s="89"/>
      <c r="U13" s="89">
        <f>_xlfn.XLOOKUP(_xlfn.XLOOKUP($AS$6&amp;$B13,公表[班別+時段],公表[備勤6],""),$AX$9:$AX$25,$AY$9:$AY$25,"")</f>
        <v>0</v>
      </c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89"/>
      <c r="AC13" s="89"/>
      <c r="AD13" s="89"/>
      <c r="AE13" s="104">
        <f>_xlfn.XLOOKUP(_xlfn.XLOOKUP($AS$6&amp;$B13,公表[班別+時段],公表[指揮官],""),$AX$9:$AX$25,$AY$9:$AY$25,"")</f>
        <v>2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27">
        <v>5</v>
      </c>
      <c r="AP13" s="127" t="str">
        <v>張鴻志</v>
      </c>
      <c r="AQ13" s="127" t="str" cm="1">
        <f t="array" ref="AQ13">IFERROR(_xlfn.XLOOKUP(_xlfn.XLOOKUP($AQ$3,輪休基準表!$C$6:$C$36,_xlfn.XLOOKUP(AP13,輪休基準表!$E$5:$AF$5,輪休基準表!$E$6:$AF$36,""),""),班別參數!$A$4:$A$20,班別參數!$B$4:$B$20,""),"")</f>
        <v>輪休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/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>
        <v>26</v>
      </c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>15</v>
      </c>
      <c r="BD13" s="127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14</v>
      </c>
      <c r="D14" s="234"/>
      <c r="E14" s="97"/>
      <c r="F14" s="97"/>
      <c r="G14" s="121" t="str">
        <f>IF(BC11="","",BC11)</f>
        <v>21</v>
      </c>
      <c r="H14" s="55"/>
      <c r="I14" s="94">
        <f>_xlfn.XLOOKUP(_xlfn.XLOOKUP($AS$6&amp;$B14,公表[班別+時段],公表[救護1],""),$AX$9:$AX$25,$AY$9:$AY$25,"")</f>
        <v>7</v>
      </c>
      <c r="J14" s="94">
        <f>_xlfn.XLOOKUP(_xlfn.XLOOKUP($AS$6&amp;$B14,公表[班別+時段],公表[救護2],""),$AX$9:$AX$25,$AY$9:$AY$25,"")</f>
        <v>16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15</v>
      </c>
      <c r="O14" s="90">
        <f>_xlfn.XLOOKUP(_xlfn.XLOOKUP($AS$6&amp;$B14,公表[班別+時段],公表[備勤2],""),$AX$9:$AX$25,$AY$9:$AY$25,"")</f>
        <v>26</v>
      </c>
      <c r="P14" s="90"/>
      <c r="Q14" s="90">
        <f>_xlfn.XLOOKUP(_xlfn.XLOOKUP($AS$6&amp;$B14,公表[班別+時段],公表[備勤3],""),$AX$9:$AX$25,$AY$9:$AY$25,"")</f>
        <v>9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3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90"/>
      <c r="AC14" s="90"/>
      <c r="AD14" s="90"/>
      <c r="AE14" s="91">
        <f>_xlfn.XLOOKUP(_xlfn.XLOOKUP($AS$6&amp;$B14,公表[班別+時段],公表[指揮官],""),$AX$9:$AX$25,$AY$9:$AY$25,"")</f>
        <v>2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27">
        <v>6</v>
      </c>
      <c r="AP14" s="127" t="str">
        <v>吳宗耕</v>
      </c>
      <c r="AQ14" s="127" t="str" cm="1">
        <f t="array" ref="AQ14">IFERROR(_xlfn.XLOOKUP(_xlfn.XLOOKUP($AQ$3,輪休基準表!$C$6:$C$36,_xlfn.XLOOKUP(AP14,輪休基準表!$E$5:$AF$5,輪休基準表!$E$6:$AF$36,""),""),班別參數!$A$4:$A$20,班別參數!$B$4:$B$20,""),"")</f>
        <v>月補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/>
      </c>
      <c r="AT14" s="180" t="str">
        <f t="shared" si="0"/>
        <v/>
      </c>
      <c r="AU14" s="180" t="str">
        <f t="shared" si="1"/>
        <v/>
      </c>
      <c r="AV14" s="25"/>
      <c r="AW14" s="33" t="str">
        <f t="array" ref="AW14">INDEX(班別參數!$D$4:$D$20,ROW()-7,MATCH($AW$8,班別參數!$D$4:$D$20,0))</f>
        <v>18-20</v>
      </c>
      <c r="AX14" s="34">
        <f t="array" ref="AX14">IFERROR(INDEX(班別參數!$D$4:$S$20,MATCH(AW14,班別參數!$D$4:$D$20,0),MATCH($AS$6,班別參數!$D$4:$S$4,0)),"")</f>
        <v>0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</v>
      </c>
      <c r="BC14" s="39" t="str">
        <f t="shared" si="2"/>
        <v>7</v>
      </c>
      <c r="BD14" s="127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14</v>
      </c>
      <c r="D15" s="235"/>
      <c r="E15" s="106"/>
      <c r="F15" s="96"/>
      <c r="G15" s="123" t="str">
        <f>IF(BC11="","",BC11)</f>
        <v>21</v>
      </c>
      <c r="H15" s="40"/>
      <c r="I15" s="216">
        <f>_xlfn.XLOOKUP(_xlfn.XLOOKUP($AS$6&amp;$B15,公表[班別+時段],公表[救護1],""),$AX$9:$AX$25,$AY$9:$AY$25,"")</f>
        <v>7</v>
      </c>
      <c r="J15" s="216">
        <f>_xlfn.XLOOKUP(_xlfn.XLOOKUP($AS$6&amp;$B15,公表[班別+時段],公表[救護2],""),$AX$9:$AX$25,$AY$9:$AY$25,"")</f>
        <v>16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15</v>
      </c>
      <c r="O15" s="89">
        <f>_xlfn.XLOOKUP(_xlfn.XLOOKUP($AS$6&amp;$B15,公表[班別+時段],公表[備勤2],""),$AX$9:$AX$25,$AY$9:$AY$25,"")</f>
        <v>26</v>
      </c>
      <c r="P15" s="89"/>
      <c r="Q15" s="89">
        <f>_xlfn.XLOOKUP(_xlfn.XLOOKUP($AS$6&amp;$B15,公表[班別+時段],公表[備勤3],""),$AX$9:$AX$25,$AY$9:$AY$25,"")</f>
        <v>9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3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89"/>
      <c r="AC15" s="89"/>
      <c r="AD15" s="89"/>
      <c r="AE15" s="104">
        <f>_xlfn.XLOOKUP(_xlfn.XLOOKUP($AS$6&amp;$B15,公表[班別+時段],公表[指揮官],""),$AX$9:$AX$25,$AY$9:$AY$25,"")</f>
        <v>2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27">
        <v>7</v>
      </c>
      <c r="AP15" s="127" t="str">
        <v>包華先</v>
      </c>
      <c r="AQ15" s="127" t="str" cm="1">
        <f t="array" ref="AQ15">IFERROR(_xlfn.XLOOKUP(_xlfn.XLOOKUP($AQ$3,輪休基準表!$C$6:$C$36,_xlfn.XLOOKUP(AP15,輪休基準表!$E$5:$AF$5,輪休基準表!$E$6:$AF$36,""),""),班別參數!$A$4:$A$20,班別參數!$B$4:$B$20,""),"")</f>
        <v>上班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>已排</v>
      </c>
      <c r="AT15" s="180">
        <f t="shared" si="0"/>
        <v>8</v>
      </c>
      <c r="AU15" s="180">
        <f t="shared" si="1"/>
        <v>6</v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>
        <v>21</v>
      </c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>9</v>
      </c>
      <c r="BD15" s="127"/>
    </row>
    <row r="16" spans="2:56" ht="30" customHeight="1">
      <c r="B16" s="83" t="s">
        <v>79</v>
      </c>
      <c r="C16" s="90">
        <v>26</v>
      </c>
      <c r="D16" s="98"/>
      <c r="E16" s="99"/>
      <c r="F16" s="409">
        <v>9</v>
      </c>
      <c r="G16" s="121">
        <v>15</v>
      </c>
      <c r="H16" s="316" t="str">
        <f>AY3</f>
        <v>入室搜救</v>
      </c>
      <c r="I16" s="94">
        <f>_xlfn.XLOOKUP(_xlfn.XLOOKUP($AS$6&amp;$B16,公表[班別+時段],公表[救護1],""),$AX$9:$AX$25,$AY$9:$AY$25,"")</f>
        <v>21</v>
      </c>
      <c r="J16" s="94">
        <f>_xlfn.XLOOKUP(_xlfn.XLOOKUP($AS$6&amp;$B16,公表[班別+時段],公表[救護2],""),$AX$9:$AX$25,$AY$9:$AY$25,"")</f>
        <v>16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7</v>
      </c>
      <c r="O16" s="90">
        <f>_xlfn.XLOOKUP(_xlfn.XLOOKUP($AS$6&amp;$B16,公表[班別+時段],公表[備勤2],""),$AX$9:$AX$25,$AY$9:$AY$25,"")</f>
        <v>14</v>
      </c>
      <c r="P16" s="90"/>
      <c r="Q16" s="90">
        <v>3</v>
      </c>
      <c r="R16" s="90"/>
      <c r="S16" s="90"/>
      <c r="T16" s="90"/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90"/>
      <c r="AC16" s="90"/>
      <c r="AD16" s="90"/>
      <c r="AE16" s="91">
        <f>_xlfn.XLOOKUP(_xlfn.XLOOKUP($AS$6&amp;$B16,公表[班別+時段],公表[指揮官],""),$AX$9:$AX$25,$AY$9:$AY$25,"")</f>
        <v>2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27">
        <v>8</v>
      </c>
      <c r="AP16" s="127" t="str">
        <v>曾彥綸</v>
      </c>
      <c r="AQ16" s="127" t="str" cm="1">
        <f t="array" ref="AQ16">IFERROR(_xlfn.XLOOKUP(_xlfn.XLOOKUP($AQ$3,輪休基準表!$C$6:$C$36,_xlfn.XLOOKUP(AP16,輪休基準表!$E$5:$AF$5,輪休基準表!$E$6:$AF$36,""),""),班別參數!$A$4:$A$20,班別參數!$B$4:$B$20,""),"")</f>
        <v>輪休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/>
      </c>
      <c r="AT16" s="180" t="str">
        <f t="shared" si="0"/>
        <v/>
      </c>
      <c r="AU16" s="180" t="str">
        <f t="shared" si="1"/>
        <v/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>
        <v>16</v>
      </c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27"/>
    </row>
    <row r="17" spans="2:56" ht="30" customHeight="1">
      <c r="B17" s="81" t="s">
        <v>80</v>
      </c>
      <c r="C17" s="87">
        <v>26</v>
      </c>
      <c r="D17" s="95"/>
      <c r="E17" s="95"/>
      <c r="F17" s="410"/>
      <c r="G17" s="122">
        <v>15</v>
      </c>
      <c r="H17" s="314"/>
      <c r="I17" s="92">
        <f>_xlfn.XLOOKUP(_xlfn.XLOOKUP($AS$6&amp;$B17,公表[班別+時段],公表[救護1],""),$AX$9:$AX$25,$AY$9:$AY$25,"")</f>
        <v>21</v>
      </c>
      <c r="J17" s="92">
        <f>_xlfn.XLOOKUP(_xlfn.XLOOKUP($AS$6&amp;$B17,公表[班別+時段],公表[救護2],""),$AX$9:$AX$25,$AY$9:$AY$25,"")</f>
        <v>16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7</v>
      </c>
      <c r="O17" s="87">
        <f>_xlfn.XLOOKUP(_xlfn.XLOOKUP($AS$6&amp;$B17,公表[班別+時段],公表[備勤2],""),$AX$9:$AX$25,$AY$9:$AY$25,"")</f>
        <v>14</v>
      </c>
      <c r="P17" s="87"/>
      <c r="Q17" s="87">
        <v>3</v>
      </c>
      <c r="R17" s="87"/>
      <c r="S17" s="87"/>
      <c r="T17" s="87"/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87"/>
      <c r="AC17" s="87"/>
      <c r="AD17" s="87"/>
      <c r="AE17" s="88">
        <f>_xlfn.XLOOKUP(_xlfn.XLOOKUP($AS$6&amp;$B17,公表[班別+時段],公表[指揮官],""),$AX$9:$AX$25,$AY$9:$AY$25,"")</f>
        <v>2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27">
        <v>9</v>
      </c>
      <c r="AP17" s="127" t="str">
        <v>鍾佳諭</v>
      </c>
      <c r="AQ17" s="127" t="str" cm="1">
        <f t="array" ref="AQ17">IFERROR(_xlfn.XLOOKUP(_xlfn.XLOOKUP($AQ$3,輪休基準表!$C$6:$C$36,_xlfn.XLOOKUP(AP17,輪休基準表!$E$5:$AF$5,輪休基準表!$E$6:$AF$36,""),""),班別參數!$A$4:$A$20,班別參數!$B$4:$B$20,""),"")</f>
        <v>上班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>已排</v>
      </c>
      <c r="AT17" s="180">
        <f t="shared" si="0"/>
        <v>8</v>
      </c>
      <c r="AU17" s="180">
        <f t="shared" si="1"/>
        <v>4</v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27"/>
    </row>
    <row r="18" spans="2:56" ht="30" customHeight="1">
      <c r="B18" s="81" t="s">
        <v>81</v>
      </c>
      <c r="C18" s="87">
        <v>9</v>
      </c>
      <c r="D18" s="100"/>
      <c r="E18" s="292" t="s">
        <v>367</v>
      </c>
      <c r="F18" s="100"/>
      <c r="G18" s="122"/>
      <c r="H18" s="297"/>
      <c r="I18" s="92">
        <f>_xlfn.XLOOKUP(_xlfn.XLOOKUP($AS$6&amp;$B18,公表[班別+時段],公表[救護1],""),$AX$9:$AX$25,$AY$9:$AY$25,"")</f>
        <v>21</v>
      </c>
      <c r="J18" s="92">
        <f>_xlfn.XLOOKUP(_xlfn.XLOOKUP($AS$6&amp;$B18,公表[班別+時段],公表[救護2],""),$AX$9:$AX$25,$AY$9:$AY$25,"")</f>
        <v>14</v>
      </c>
      <c r="K18" s="92"/>
      <c r="L18" s="87" t="s">
        <v>212</v>
      </c>
      <c r="M18" s="312"/>
      <c r="N18" s="87">
        <v>26</v>
      </c>
      <c r="O18" s="87">
        <f>_xlfn.XLOOKUP(_xlfn.XLOOKUP($AS$6&amp;$B18,公表[班別+時段],公表[備勤2],""),$AX$9:$AX$25,$AY$9:$AY$25,"")</f>
        <v>16</v>
      </c>
      <c r="P18" s="87"/>
      <c r="Q18" s="87">
        <v>3</v>
      </c>
      <c r="R18" s="87">
        <f>_xlfn.XLOOKUP(_xlfn.XLOOKUP($AS$6&amp;$B18,公表[班別+時段],公表[備勤4],""),$AX$9:$AX$25,$AY$9:$AY$25,"")</f>
        <v>0</v>
      </c>
      <c r="S18" s="87"/>
      <c r="T18" s="87"/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87"/>
      <c r="AC18" s="87"/>
      <c r="AD18" s="87"/>
      <c r="AE18" s="88">
        <f>_xlfn.XLOOKUP(_xlfn.XLOOKUP($AS$6&amp;$B18,公表[班別+時段],公表[指揮官],""),$AX$9:$AX$25,$AY$9:$AY$25,"")</f>
        <v>2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27">
        <v>10</v>
      </c>
      <c r="AP18" s="127" t="str">
        <v>林宏澤</v>
      </c>
      <c r="AQ18" s="127" t="str" cm="1">
        <f t="array" ref="AQ18">IFERROR(_xlfn.XLOOKUP(_xlfn.XLOOKUP($AQ$3,輪休基準表!$C$6:$C$36,_xlfn.XLOOKUP(AP18,輪休基準表!$E$5:$AF$5,輪休基準表!$E$6:$AF$36,""),""),班別參數!$A$4:$A$20,班別參數!$B$4:$B$20,""),"")</f>
        <v>輪休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/>
      </c>
      <c r="AT18" s="180" t="str">
        <f t="shared" si="0"/>
        <v/>
      </c>
      <c r="AU18" s="180" t="str">
        <f t="shared" si="1"/>
        <v/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27"/>
    </row>
    <row r="19" spans="2:56" ht="30" customHeight="1" thickBot="1">
      <c r="B19" s="110" t="s">
        <v>82</v>
      </c>
      <c r="C19" s="89">
        <v>9</v>
      </c>
      <c r="D19" s="106"/>
      <c r="E19" s="293"/>
      <c r="F19" s="236"/>
      <c r="G19" s="123"/>
      <c r="H19" s="107"/>
      <c r="I19" s="216">
        <f>_xlfn.XLOOKUP(_xlfn.XLOOKUP($AS$6&amp;$B19,公表[班別+時段],公表[救護1],""),$AX$9:$AX$25,$AY$9:$AY$25,"")</f>
        <v>21</v>
      </c>
      <c r="J19" s="216">
        <f>_xlfn.XLOOKUP(_xlfn.XLOOKUP($AS$6&amp;$B19,公表[班別+時段],公表[救護2],""),$AX$9:$AX$25,$AY$9:$AY$25,"")</f>
        <v>14</v>
      </c>
      <c r="K19" s="105"/>
      <c r="L19" s="93" t="s">
        <v>212</v>
      </c>
      <c r="M19" s="312"/>
      <c r="N19" s="89">
        <v>26</v>
      </c>
      <c r="O19" s="89">
        <f>_xlfn.XLOOKUP(_xlfn.XLOOKUP($AS$6&amp;$B19,公表[班別+時段],公表[備勤2],""),$AX$9:$AX$25,$AY$9:$AY$25,"")</f>
        <v>16</v>
      </c>
      <c r="P19" s="89"/>
      <c r="Q19" s="89">
        <v>3</v>
      </c>
      <c r="R19" s="89">
        <f>_xlfn.XLOOKUP(_xlfn.XLOOKUP($AS$6&amp;$B19,公表[班別+時段],公表[備勤4],""),$AX$9:$AX$25,$AY$9:$AY$25,"")</f>
        <v>0</v>
      </c>
      <c r="S19" s="89"/>
      <c r="T19" s="89"/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89"/>
      <c r="AC19" s="89"/>
      <c r="AD19" s="89"/>
      <c r="AE19" s="104">
        <f>_xlfn.XLOOKUP(_xlfn.XLOOKUP($AS$6&amp;$B19,公表[班別+時段],公表[指揮官],""),$AX$9:$AX$25,$AY$9:$AY$25,"")</f>
        <v>2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27">
        <v>11</v>
      </c>
      <c r="AP19" s="127" t="str">
        <v>簡君諺</v>
      </c>
      <c r="AQ19" s="127" t="str" cm="1">
        <f t="array" ref="AQ19">IFERROR(_xlfn.XLOOKUP(_xlfn.XLOOKUP($AQ$3,輪休基準表!$C$6:$C$36,_xlfn.XLOOKUP(AP19,輪休基準表!$E$5:$AF$5,輪休基準表!$E$6:$AF$36,""),""),班別參數!$A$4:$A$20,班別參數!$B$4:$B$20,""),"")</f>
        <v>月補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/>
      </c>
      <c r="AT19" s="180" t="str">
        <f t="shared" si="0"/>
        <v/>
      </c>
      <c r="AU19" s="180" t="str">
        <f t="shared" si="1"/>
        <v/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:AY20">IF(AX19="","",_xlfn._xlws.FILTER($AO$9:$AO$13,$AQ$9:$AQ$13="上班",""))</f>
        <v>2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27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3</v>
      </c>
      <c r="D20" s="97"/>
      <c r="E20" s="97"/>
      <c r="F20" s="97"/>
      <c r="G20" s="121" t="str">
        <f>IF(BC14="","",BC14)</f>
        <v>7</v>
      </c>
      <c r="H20" s="55"/>
      <c r="I20" s="94">
        <f>_xlfn.XLOOKUP(_xlfn.XLOOKUP($AS$6&amp;$B20,公表[班別+時段],公表[救護1],""),$AX$9:$AX$25,$AY$9:$AY$25,"")</f>
        <v>26</v>
      </c>
      <c r="J20" s="94">
        <f>_xlfn.XLOOKUP(_xlfn.XLOOKUP($AS$6&amp;$B20,公表[班別+時段],公表[救護2],""),$AX$9:$AX$25,$AY$9:$AY$25,"")</f>
        <v>16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14</v>
      </c>
      <c r="O20" s="90">
        <f>_xlfn.XLOOKUP(_xlfn.XLOOKUP($AS$6&amp;$B20,公表[班別+時段],公表[備勤2],""),$AX$9:$AX$25,$AY$9:$AY$25,"")</f>
        <v>15</v>
      </c>
      <c r="P20" s="90"/>
      <c r="Q20" s="90">
        <f>_xlfn.XLOOKUP(_xlfn.XLOOKUP($AS$6&amp;$B20,公表[班別+時段],公表[備勤3],""),$AX$9:$AX$25,$AY$9:$AY$25,"")</f>
        <v>9</v>
      </c>
      <c r="R20" s="90">
        <f>_xlfn.XLOOKUP(_xlfn.XLOOKUP($AS$6&amp;$B20,公表[班別+時段],公表[備勤4],""),$AX$9:$AX$25,$AY$9:$AY$25,"")</f>
        <v>21</v>
      </c>
      <c r="S20" s="90"/>
      <c r="T20" s="90">
        <f>_xlfn.XLOOKUP(_xlfn.XLOOKUP($AS$6&amp;$B20,公表[班別+時段],公表[備勤5],""),$AX$9:$AX$25,$AY$9:$AY$25,"")</f>
        <v>0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90"/>
      <c r="AC20" s="90"/>
      <c r="AD20" s="90"/>
      <c r="AE20" s="91">
        <f>_xlfn.XLOOKUP(_xlfn.XLOOKUP($AS$6&amp;$B20,公表[班別+時段],公表[指揮官],""),$AX$9:$AX$25,$AY$9:$AY$25,"")</f>
        <v>2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27">
        <v>12</v>
      </c>
      <c r="AP20" s="127" t="str">
        <v>王昱勛</v>
      </c>
      <c r="AQ20" s="127" t="str" cm="1">
        <f t="array" ref="AQ20">IFERROR(_xlfn.XLOOKUP(_xlfn.XLOOKUP($AQ$3,輪休基準表!$C$6:$C$36,_xlfn.XLOOKUP(AP20,輪休基準表!$E$5:$AF$5,輪休基準表!$E$6:$AF$36,""),""),班別參數!$A$4:$A$20,班別參數!$B$4:$B$20,""),"")</f>
        <v>輪休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/>
      </c>
      <c r="AT20" s="180" t="str">
        <f t="shared" si="0"/>
        <v/>
      </c>
      <c r="AU20" s="180" t="str">
        <f t="shared" si="1"/>
        <v/>
      </c>
      <c r="AV20" s="25"/>
      <c r="AW20" s="33" t="str">
        <f t="array" ref="AW20">INDEX(班別參數!$D$4:$D$20,ROW()-7,MATCH($AW$8,班別參數!$D$4:$D$20,0))</f>
        <v>帶隊官</v>
      </c>
      <c r="AX20" s="34" t="str">
        <f t="array" ref="AX20">IFERROR(INDEX(班別參數!$D$4:$S$20,MATCH(AW20,班別參數!$D$4:$D$20,0),MATCH($AS$6,班別參數!$D$4:$S$4,0)),"")</f>
        <v>L</v>
      </c>
      <c r="AY20" s="38">
        <v>3</v>
      </c>
      <c r="AZ20" s="32"/>
      <c r="BA20" s="33" t="s">
        <v>67</v>
      </c>
      <c r="BB20" s="34" t="str">
        <f t="array" ref="BB20">IFERROR(INDEX(班別參數!$D$23:$S$35,MATCH(BA20,班別參數!$D$23:$D$35,0),MATCH($AS$6,班別參數!$D$23:$S$23,0)),"")</f>
        <v>G,L</v>
      </c>
      <c r="BC20" s="41" t="str">
        <f t="shared" si="2"/>
        <v>14,3</v>
      </c>
      <c r="BD20" s="127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3</v>
      </c>
      <c r="D21" s="95"/>
      <c r="E21" s="95"/>
      <c r="F21" s="95"/>
      <c r="G21" s="122" t="s">
        <v>377</v>
      </c>
      <c r="H21" s="296" t="str">
        <f>AY4</f>
        <v>五用氣體檢知器及CO探測器</v>
      </c>
      <c r="I21" s="92">
        <f>_xlfn.XLOOKUP(_xlfn.XLOOKUP($AS$6&amp;$B21,公表[班別+時段],公表[救護1],""),$AX$9:$AX$25,$AY$9:$AY$25,"")</f>
        <v>26</v>
      </c>
      <c r="J21" s="92">
        <f>_xlfn.XLOOKUP(_xlfn.XLOOKUP($AS$6&amp;$B21,公表[班別+時段],公表[救護2],""),$AX$9:$AX$25,$AY$9:$AY$25,"")</f>
        <v>16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14</v>
      </c>
      <c r="O21" s="87">
        <f>_xlfn.XLOOKUP(_xlfn.XLOOKUP($AS$6&amp;$B21,公表[班別+時段],公表[備勤2],""),$AX$9:$AX$25,$AY$9:$AY$25,"")</f>
        <v>15</v>
      </c>
      <c r="P21" s="87"/>
      <c r="Q21" s="87">
        <v>21</v>
      </c>
      <c r="R21" s="87"/>
      <c r="S21" s="87"/>
      <c r="T21" s="87">
        <f>_xlfn.XLOOKUP(_xlfn.XLOOKUP($AS$6&amp;$B21,公表[班別+時段],公表[備勤5],""),$AX$9:$AX$25,$AY$9:$AY$25,"")</f>
        <v>0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87"/>
      <c r="AC21" s="87"/>
      <c r="AD21" s="87"/>
      <c r="AE21" s="88">
        <f>_xlfn.XLOOKUP(_xlfn.XLOOKUP($AS$6&amp;$B21,公表[班別+時段],公表[指揮官],""),$AX$9:$AX$25,$AY$9:$AY$25,"")</f>
        <v>2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27">
        <v>13</v>
      </c>
      <c r="AP21" s="127" t="str">
        <v>葉宗哲</v>
      </c>
      <c r="AQ21" s="127" t="str" cm="1">
        <f t="array" ref="AQ21">IFERROR(_xlfn.XLOOKUP(_xlfn.XLOOKUP($AQ$3,輪休基準表!$C$6:$C$36,_xlfn.XLOOKUP(AP21,輪休基準表!$E$5:$AF$5,輪休基準表!$E$6:$AF$36,""),""),班別參數!$A$4:$A$20,班別參數!$B$4:$B$20,""),"")</f>
        <v>補休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/>
      </c>
      <c r="AT21" s="180" t="str">
        <f t="shared" si="0"/>
        <v/>
      </c>
      <c r="AU21" s="180" t="str">
        <f t="shared" si="1"/>
        <v/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27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21</v>
      </c>
      <c r="D22" s="95"/>
      <c r="E22" s="95"/>
      <c r="F22" s="95"/>
      <c r="G22" s="122" t="str">
        <f>IF(BC15="","",BC15)</f>
        <v>9</v>
      </c>
      <c r="H22" s="297"/>
      <c r="I22" s="92">
        <f>_xlfn.XLOOKUP(_xlfn.XLOOKUP($AS$6&amp;$B22,公表[班別+時段],公表[救護1],""),$AX$9:$AX$25,$AY$9:$AY$25,"")</f>
        <v>7</v>
      </c>
      <c r="J22" s="92">
        <f>_xlfn.XLOOKUP(_xlfn.XLOOKUP($AS$6&amp;$B22,公表[班別+時段],公表[救護2],""),$AX$9:$AX$25,$AY$9:$AY$25,"")</f>
        <v>14</v>
      </c>
      <c r="K22" s="92"/>
      <c r="L22" s="87" t="s">
        <v>212</v>
      </c>
      <c r="M22" s="312"/>
      <c r="N22" s="87">
        <f>_xlfn.XLOOKUP(_xlfn.XLOOKUP($AS$6&amp;$B22,公表[班別+時段],公表[備勤1],""),$AX$9:$AX$25,$AY$9:$AY$25,"")</f>
        <v>15</v>
      </c>
      <c r="O22" s="87">
        <f>_xlfn.XLOOKUP(_xlfn.XLOOKUP($AS$6&amp;$B22,公表[班別+時段],公表[備勤2],""),$AX$9:$AX$25,$AY$9:$AY$25,"")</f>
        <v>26</v>
      </c>
      <c r="P22" s="87"/>
      <c r="Q22" s="87">
        <f>_xlfn.XLOOKUP(_xlfn.XLOOKUP($AS$6&amp;$B22,公表[班別+時段],公表[備勤3],""),$AX$9:$AX$25,$AY$9:$AY$25,"")</f>
        <v>16</v>
      </c>
      <c r="R22" s="87">
        <f>_xlfn.XLOOKUP(_xlfn.XLOOKUP($AS$6&amp;$B22,公表[班別+時段],公表[備勤4],""),$AX$9:$AX$25,$AY$9:$AY$25,"")</f>
        <v>0</v>
      </c>
      <c r="S22" s="87"/>
      <c r="T22" s="87">
        <f>_xlfn.XLOOKUP(_xlfn.XLOOKUP($AS$6&amp;$B22,公表[班別+時段],公表[備勤5],""),$AX$9:$AX$25,$AY$9:$AY$25,"")</f>
        <v>3</v>
      </c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87"/>
      <c r="AC22" s="87"/>
      <c r="AD22" s="87"/>
      <c r="AE22" s="88">
        <f>_xlfn.XLOOKUP(_xlfn.XLOOKUP($AS$6&amp;$B22,公表[班別+時段],公表[指揮官],""),$AX$9:$AX$25,$AY$9:$AY$25,"")</f>
        <v>2</v>
      </c>
      <c r="AF22" s="57" t="s">
        <v>213</v>
      </c>
      <c r="AG22" s="305" t="str" cm="1">
        <f t="array" ref="AG22">_xlfn.TEXTJOIN(".",1,_xlfn._xlws.FILTER($AO$9:$AO$40,$AQ$9:$AQ$40="上班",""))</f>
        <v>2.3.7.9.14.15.16.21.26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27">
        <v>14</v>
      </c>
      <c r="AP22" s="127" t="str">
        <v>王浩任</v>
      </c>
      <c r="AQ22" s="127" t="str" cm="1">
        <f t="array" ref="AQ22">IFERROR(_xlfn.XLOOKUP(_xlfn.XLOOKUP($AQ$3,輪休基準表!$C$6:$C$36,_xlfn.XLOOKUP(AP22,輪休基準表!$E$5:$AF$5,輪休基準表!$E$6:$AF$36,""),""),班別參數!$A$4:$A$20,班別參數!$B$4:$B$20,""),"")</f>
        <v>上班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>已排</v>
      </c>
      <c r="AT22" s="180">
        <f t="shared" si="0"/>
        <v>6</v>
      </c>
      <c r="AU22" s="180">
        <f t="shared" si="1"/>
        <v>10</v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27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21</v>
      </c>
      <c r="D23" s="106"/>
      <c r="E23" s="96"/>
      <c r="F23" s="96"/>
      <c r="G23" s="123" t="str">
        <f>IF(BC15="","",BC15)</f>
        <v>9</v>
      </c>
      <c r="H23" s="107"/>
      <c r="I23" s="216">
        <f>_xlfn.XLOOKUP(_xlfn.XLOOKUP($AS$6&amp;$B23,公表[班別+時段],公表[救護1],""),$AX$9:$AX$25,$AY$9:$AY$25,"")</f>
        <v>7</v>
      </c>
      <c r="J23" s="216">
        <f>_xlfn.XLOOKUP(_xlfn.XLOOKUP($AS$6&amp;$B23,公表[班別+時段],公表[救護2],""),$AX$9:$AX$25,$AY$9:$AY$25,"")</f>
        <v>14</v>
      </c>
      <c r="K23" s="105"/>
      <c r="L23" s="93" t="s">
        <v>212</v>
      </c>
      <c r="M23" s="312"/>
      <c r="N23" s="89">
        <f>_xlfn.XLOOKUP(_xlfn.XLOOKUP($AS$6&amp;$B23,公表[班別+時段],公表[備勤1],""),$AX$9:$AX$25,$AY$9:$AY$25,"")</f>
        <v>15</v>
      </c>
      <c r="O23" s="89">
        <f>_xlfn.XLOOKUP(_xlfn.XLOOKUP($AS$6&amp;$B23,公表[班別+時段],公表[備勤2],""),$AX$9:$AX$25,$AY$9:$AY$25,"")</f>
        <v>26</v>
      </c>
      <c r="P23" s="89"/>
      <c r="Q23" s="89">
        <f>_xlfn.XLOOKUP(_xlfn.XLOOKUP($AS$6&amp;$B23,公表[班別+時段],公表[備勤3],""),$AX$9:$AX$25,$AY$9:$AY$25,"")</f>
        <v>16</v>
      </c>
      <c r="R23" s="89">
        <f>_xlfn.XLOOKUP(_xlfn.XLOOKUP($AS$6&amp;$B23,公表[班別+時段],公表[備勤4],""),$AX$9:$AX$25,$AY$9:$AY$25,"")</f>
        <v>0</v>
      </c>
      <c r="S23" s="89"/>
      <c r="T23" s="89">
        <f>_xlfn.XLOOKUP(_xlfn.XLOOKUP($AS$6&amp;$B23,公表[班別+時段],公表[備勤5],""),$AX$9:$AX$25,$AY$9:$AY$25,"")</f>
        <v>3</v>
      </c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89"/>
      <c r="AC23" s="89"/>
      <c r="AD23" s="89"/>
      <c r="AE23" s="104">
        <f>_xlfn.XLOOKUP(_xlfn.XLOOKUP($AS$6&amp;$B23,公表[班別+時段],公表[指揮官],""),$AX$9:$AX$25,$AY$9:$AY$25,"")</f>
        <v>2</v>
      </c>
      <c r="AF23" s="57" t="s">
        <v>6</v>
      </c>
      <c r="AG23" s="305" t="str" cm="1">
        <f t="array" ref="AG23">_xlfn.TEXTJOIN(".",1,_xlfn._xlws.FILTER($AO$9:$AO$40,$AQ$9:$AQ$40=$AF$23,""))</f>
        <v>1.5.8.10.12.17.18.19.20.22.23.24.25.27.28</v>
      </c>
      <c r="AH23" s="400"/>
      <c r="AI23" s="400"/>
      <c r="AJ23" s="400"/>
      <c r="AK23" s="400"/>
      <c r="AL23" s="400"/>
      <c r="AM23" s="401"/>
      <c r="AN23" s="214"/>
      <c r="AO23" s="127">
        <v>15</v>
      </c>
      <c r="AP23" s="127" t="str">
        <v>李仕詮</v>
      </c>
      <c r="AQ23" s="127" t="str" cm="1">
        <f t="array" ref="AQ23">IFERROR(_xlfn.XLOOKUP(_xlfn.XLOOKUP($AQ$3,輪休基準表!$C$6:$C$36,_xlfn.XLOOKUP(AP23,輪休基準表!$E$5:$AF$5,輪休基準表!$E$6:$AF$36,""),""),班別參數!$A$4:$A$20,班別參數!$B$4:$B$20,""),"")</f>
        <v>上班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>已排</v>
      </c>
      <c r="AT23" s="180">
        <f t="shared" si="0"/>
        <v>6</v>
      </c>
      <c r="AU23" s="180">
        <f t="shared" si="1"/>
        <v>8</v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27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16</v>
      </c>
      <c r="D24" s="97"/>
      <c r="E24" s="97"/>
      <c r="F24" s="97"/>
      <c r="G24" s="121">
        <v>26</v>
      </c>
      <c r="H24" s="55"/>
      <c r="I24" s="94">
        <f>_xlfn.XLOOKUP(_xlfn.XLOOKUP($AS$6&amp;$B24,公表[班別+時段],公表[救護1],""),$AX$9:$AX$25,$AY$9:$AY$25,"")</f>
        <v>21</v>
      </c>
      <c r="J24" s="94">
        <f>_xlfn.XLOOKUP(_xlfn.XLOOKUP($AS$6&amp;$B24,公表[班別+時段],公表[救護2],""),$AX$9:$AX$25,$AY$9:$AY$25,"")</f>
        <v>9</v>
      </c>
      <c r="K24" s="90"/>
      <c r="L24" s="90" t="s">
        <v>212</v>
      </c>
      <c r="M24" s="312"/>
      <c r="N24" s="90">
        <f>_xlfn.XLOOKUP(_xlfn.XLOOKUP($AS$6&amp;$B24,公表[班別+時段],公表[備勤1],""),$AX$9:$AX$25,$AY$9:$AY$25,"")</f>
        <v>7</v>
      </c>
      <c r="O24" s="90">
        <f>_xlfn.XLOOKUP(_xlfn.XLOOKUP($AS$6&amp;$B24,公表[班別+時段],公表[備勤2],""),$AX$9:$AX$25,$AY$9:$AY$25,"")</f>
        <v>14</v>
      </c>
      <c r="P24" s="90"/>
      <c r="Q24" s="90">
        <f>_xlfn.XLOOKUP(_xlfn.XLOOKUP($AS$6&amp;$B24,公表[班別+時段],公表[備勤3],""),$AX$9:$AX$25,$AY$9:$AY$25,"")</f>
        <v>15</v>
      </c>
      <c r="R24" s="90"/>
      <c r="S24" s="90"/>
      <c r="T24" s="90">
        <f>_xlfn.XLOOKUP(_xlfn.XLOOKUP($AS$6&amp;$B24,公表[班別+時段],公表[備勤5],""),$AX$9:$AX$25,$AY$9:$AY$25,"")</f>
        <v>3</v>
      </c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90"/>
      <c r="AC24" s="90"/>
      <c r="AD24" s="90"/>
      <c r="AE24" s="91">
        <f>_xlfn.XLOOKUP(_xlfn.XLOOKUP($AS$6&amp;$B24,公表[班別+時段],公表[指揮官],""),$AX$9:$AX$25,$AY$9:$AY$25,"")</f>
        <v>2</v>
      </c>
      <c r="AF24" s="57" t="s">
        <v>17</v>
      </c>
      <c r="AG24" s="305" t="str" cm="1">
        <f t="array" ref="AG24">_xlfn.TEXTJOIN(".",1,_xlfn._xlws.FILTER($AO$9:$AO$40,$AQ$9:$AQ$40=$AF$24,""))</f>
        <v>4.6.11</v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>13</v>
      </c>
      <c r="AL24" s="400"/>
      <c r="AM24" s="401"/>
      <c r="AN24" s="214"/>
      <c r="AO24" s="127">
        <v>16</v>
      </c>
      <c r="AP24" s="127" t="str">
        <v>楊弘宇</v>
      </c>
      <c r="AQ24" s="127" t="str" cm="1">
        <f t="array" ref="AQ24">IFERROR(_xlfn.XLOOKUP(_xlfn.XLOOKUP($AQ$3,輪休基準表!$C$6:$C$36,_xlfn.XLOOKUP(AP24,輪休基準表!$E$5:$AF$5,輪休基準表!$E$6:$AF$36,""),""),班別參數!$A$4:$A$20,班別參數!$B$4:$B$20,""),"")</f>
        <v>上班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>已排</v>
      </c>
      <c r="AT24" s="180">
        <f t="shared" si="0"/>
        <v>6</v>
      </c>
      <c r="AU24" s="180">
        <f t="shared" si="1"/>
        <v>2</v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27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16</v>
      </c>
      <c r="D25" s="95"/>
      <c r="E25" s="95"/>
      <c r="F25" s="95"/>
      <c r="G25" s="122">
        <v>26</v>
      </c>
      <c r="H25" s="37"/>
      <c r="I25" s="92">
        <f>_xlfn.XLOOKUP(_xlfn.XLOOKUP($AS$6&amp;$B25,公表[班別+時段],公表[救護1],""),$AX$9:$AX$25,$AY$9:$AY$25,"")</f>
        <v>21</v>
      </c>
      <c r="J25" s="92">
        <f>_xlfn.XLOOKUP(_xlfn.XLOOKUP($AS$6&amp;$B25,公表[班別+時段],公表[救護2],""),$AX$9:$AX$25,$AY$9:$AY$25,"")</f>
        <v>9</v>
      </c>
      <c r="K25" s="87"/>
      <c r="L25" s="87" t="s">
        <v>212</v>
      </c>
      <c r="M25" s="312"/>
      <c r="N25" s="87">
        <f>_xlfn.XLOOKUP(_xlfn.XLOOKUP($AS$6&amp;$B25,公表[班別+時段],公表[備勤1],""),$AX$9:$AX$25,$AY$9:$AY$25,"")</f>
        <v>7</v>
      </c>
      <c r="O25" s="87">
        <f>_xlfn.XLOOKUP(_xlfn.XLOOKUP($AS$6&amp;$B25,公表[班別+時段],公表[備勤2],""),$AX$9:$AX$25,$AY$9:$AY$25,"")</f>
        <v>14</v>
      </c>
      <c r="P25" s="87"/>
      <c r="Q25" s="87">
        <f>_xlfn.XLOOKUP(_xlfn.XLOOKUP($AS$6&amp;$B25,公表[班別+時段],公表[備勤3],""),$AX$9:$AX$25,$AY$9:$AY$25,"")</f>
        <v>15</v>
      </c>
      <c r="R25" s="87"/>
      <c r="S25" s="87"/>
      <c r="T25" s="87">
        <f>_xlfn.XLOOKUP(_xlfn.XLOOKUP($AS$6&amp;$B25,公表[班別+時段],公表[備勤5],""),$AX$9:$AX$25,$AY$9:$AY$25,"")</f>
        <v>3</v>
      </c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87"/>
      <c r="AC25" s="87"/>
      <c r="AD25" s="87"/>
      <c r="AE25" s="88">
        <f>_xlfn.XLOOKUP(_xlfn.XLOOKUP($AS$6&amp;$B25,公表[班別+時段],公表[指揮官],""),$AX$9:$AX$25,$AY$9:$AY$25,"")</f>
        <v>2</v>
      </c>
      <c r="AF25" s="57" t="s">
        <v>28</v>
      </c>
      <c r="AG25" s="305" t="str" cm="1">
        <f t="array" ref="AG25">_xlfn.TEXTJOIN(".",1,_xlfn._xlws.FILTER($AO$9:$AO$40,$AQ$9:$AQ$40=$AF$25,""))</f>
        <v/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/>
      </c>
      <c r="AL25" s="309"/>
      <c r="AM25" s="310"/>
      <c r="AN25" s="214"/>
      <c r="AO25" s="127">
        <v>17</v>
      </c>
      <c r="AP25" s="127" t="str">
        <v>楊仲豪</v>
      </c>
      <c r="AQ25" s="127" t="str" cm="1">
        <f t="array" ref="AQ25">IFERROR(_xlfn.XLOOKUP(_xlfn.XLOOKUP($AQ$3,輪休基準表!$C$6:$C$36,_xlfn.XLOOKUP(AP25,輪休基準表!$E$5:$AF$5,輪休基準表!$E$6:$AF$36,""),""),班別參數!$A$4:$A$20,班別參數!$B$4:$B$20,""),"")</f>
        <v>輪休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/>
      </c>
      <c r="AT25" s="180" t="str">
        <f t="shared" si="0"/>
        <v/>
      </c>
      <c r="AU25" s="180" t="str">
        <f t="shared" si="1"/>
        <v/>
      </c>
      <c r="AW25" s="33"/>
      <c r="AX25" s="45"/>
      <c r="AY25" s="25"/>
      <c r="AZ25" s="28"/>
      <c r="BA25" s="33"/>
      <c r="BB25" s="25"/>
      <c r="BD25" s="127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16</v>
      </c>
      <c r="D26" s="95"/>
      <c r="E26" s="95"/>
      <c r="F26" s="95"/>
      <c r="G26" s="122" t="str">
        <f>IF(BC17="","",BC17)</f>
        <v/>
      </c>
      <c r="H26" s="37"/>
      <c r="I26" s="92">
        <f>_xlfn.XLOOKUP(_xlfn.XLOOKUP($AS$6&amp;$B26,公表[班別+時段],公表[救護1],""),$AX$9:$AX$25,$AY$9:$AY$25,"")</f>
        <v>15</v>
      </c>
      <c r="J26" s="92">
        <f>_xlfn.XLOOKUP(_xlfn.XLOOKUP($AS$6&amp;$B26,公表[班別+時段],公表[救護2],""),$AX$9:$AX$25,$AY$9:$AY$25,"")</f>
        <v>7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14</v>
      </c>
      <c r="O26" s="87">
        <v>9</v>
      </c>
      <c r="P26" s="87"/>
      <c r="Q26" s="87">
        <f>_xlfn.XLOOKUP(_xlfn.XLOOKUP($AS$6&amp;$B26,公表[班別+時段],公表[備勤3],""),$AX$9:$AX$25,$AY$9:$AY$25,"")</f>
        <v>26</v>
      </c>
      <c r="R26" s="87">
        <v>21</v>
      </c>
      <c r="S26" s="87"/>
      <c r="T26" s="87">
        <f>_xlfn.XLOOKUP(_xlfn.XLOOKUP($AS$6&amp;$B26,公表[班別+時段],公表[備勤5],""),$AX$9:$AX$25,$AY$9:$AY$25,"")</f>
        <v>3</v>
      </c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87"/>
      <c r="AC26" s="87"/>
      <c r="AD26" s="87"/>
      <c r="AE26" s="88">
        <f>_xlfn.XLOOKUP(_xlfn.XLOOKUP($AS$6&amp;$B26,公表[班別+時段],公表[指揮官],""),$AX$9:$AX$25,$AY$9:$AY$25,"")</f>
        <v>2</v>
      </c>
      <c r="AF26" s="57" t="s">
        <v>289</v>
      </c>
      <c r="AG26" s="178" t="str" cm="1">
        <f t="array" ref="AG26">_xlfn.TEXTJOIN(".",1,_xlfn._xlws.FILTER($AO$9:$AO$40,$AQ$9:$AQ$40=$AF$26,""))</f>
        <v/>
      </c>
      <c r="AH26" s="168" t="s">
        <v>290</v>
      </c>
      <c r="AI26" s="179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/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27">
        <v>18</v>
      </c>
      <c r="AP26" s="127" t="str">
        <v>林志偉</v>
      </c>
      <c r="AQ26" s="127" t="str" cm="1">
        <f t="array" ref="AQ26">IFERROR(_xlfn.XLOOKUP(_xlfn.XLOOKUP($AQ$3,輪休基準表!$C$6:$C$36,_xlfn.XLOOKUP(AP26,輪休基準表!$E$5:$AF$5,輪休基準表!$E$6:$AF$36,""),""),班別參數!$A$4:$A$20,班別參數!$B$4:$B$20,""),"")</f>
        <v>輪休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/>
      </c>
      <c r="AT26" s="180" t="str">
        <f t="shared" si="0"/>
        <v/>
      </c>
      <c r="AU26" s="180" t="str">
        <f t="shared" si="1"/>
        <v/>
      </c>
      <c r="AV26" s="10"/>
      <c r="AW26" s="46"/>
      <c r="AX26" s="45"/>
      <c r="AY26" s="25"/>
      <c r="AZ26" s="28"/>
      <c r="BA26" s="33"/>
      <c r="BB26" s="25"/>
      <c r="BD26" s="127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16</v>
      </c>
      <c r="D27" s="95"/>
      <c r="E27" s="95"/>
      <c r="F27" s="95"/>
      <c r="G27" s="122" t="str">
        <f>IF(BC17="","",BC17)</f>
        <v/>
      </c>
      <c r="H27" s="37"/>
      <c r="I27" s="92">
        <f>_xlfn.XLOOKUP(_xlfn.XLOOKUP($AS$6&amp;$B27,公表[班別+時段],公表[救護1],""),$AX$9:$AX$25,$AY$9:$AY$25,"")</f>
        <v>15</v>
      </c>
      <c r="J27" s="92">
        <f>_xlfn.XLOOKUP(_xlfn.XLOOKUP($AS$6&amp;$B27,公表[班別+時段],公表[救護2],""),$AX$9:$AX$25,$AY$9:$AY$25,"")</f>
        <v>7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14</v>
      </c>
      <c r="O27" s="87">
        <v>9</v>
      </c>
      <c r="P27" s="87"/>
      <c r="Q27" s="87">
        <f>_xlfn.XLOOKUP(_xlfn.XLOOKUP($AS$6&amp;$B27,公表[班別+時段],公表[備勤3],""),$AX$9:$AX$25,$AY$9:$AY$25,"")</f>
        <v>26</v>
      </c>
      <c r="R27" s="87">
        <v>21</v>
      </c>
      <c r="S27" s="87"/>
      <c r="T27" s="87">
        <f>_xlfn.XLOOKUP(_xlfn.XLOOKUP($AS$6&amp;$B27,公表[班別+時段],公表[備勤5],""),$AX$9:$AX$25,$AY$9:$AY$25,"")</f>
        <v>3</v>
      </c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87"/>
      <c r="AC27" s="87"/>
      <c r="AD27" s="87"/>
      <c r="AE27" s="88">
        <f>_xlfn.XLOOKUP(_xlfn.XLOOKUP($AS$6&amp;$B27,公表[班別+時段],公表[指揮官],""),$AX$9:$AX$25,$AY$9:$AY$25,"")</f>
        <v>2</v>
      </c>
      <c r="AF27" s="317" t="s">
        <v>215</v>
      </c>
      <c r="AG27" s="319"/>
      <c r="AH27" s="321"/>
      <c r="AI27" s="321"/>
      <c r="AJ27" s="321"/>
      <c r="AK27" s="321"/>
      <c r="AL27" s="321"/>
      <c r="AM27" s="322"/>
      <c r="AN27" s="214"/>
      <c r="AO27" s="127">
        <v>19</v>
      </c>
      <c r="AP27" s="127" t="str">
        <v>劉家誠</v>
      </c>
      <c r="AQ27" s="127" t="str" cm="1">
        <f t="array" ref="AQ27">IFERROR(_xlfn.XLOOKUP(_xlfn.XLOOKUP($AQ$3,輪休基準表!$C$6:$C$36,_xlfn.XLOOKUP(AP27,輪休基準表!$E$5:$AF$5,輪休基準表!$E$6:$AF$36,""),""),班別參數!$A$4:$A$20,班別參數!$B$4:$B$20,""),"")</f>
        <v>輪休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/>
      </c>
      <c r="AT27" s="180" t="str">
        <f t="shared" si="0"/>
        <v/>
      </c>
      <c r="AU27" s="180" t="str">
        <f t="shared" si="1"/>
        <v/>
      </c>
      <c r="AV27" s="10"/>
      <c r="AW27" s="46"/>
      <c r="AX27" s="45"/>
      <c r="AY27" s="25"/>
      <c r="AZ27" s="28"/>
      <c r="BA27" s="33"/>
      <c r="BB27" s="25"/>
      <c r="BD27" s="127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16</v>
      </c>
      <c r="D28" s="95"/>
      <c r="E28" s="95"/>
      <c r="F28" s="95"/>
      <c r="G28" s="122" t="str">
        <f>IF(BC18="","",BC18)</f>
        <v/>
      </c>
      <c r="H28" s="37"/>
      <c r="I28" s="92">
        <f>_xlfn.XLOOKUP(_xlfn.XLOOKUP($AS$6&amp;$B28,公表[班別+時段],公表[救護1],""),$AX$9:$AX$25,$AY$9:$AY$25,"")</f>
        <v>15</v>
      </c>
      <c r="J28" s="92">
        <f>_xlfn.XLOOKUP(_xlfn.XLOOKUP($AS$6&amp;$B28,公表[班別+時段],公表[救護2],""),$AX$9:$AX$25,$AY$9:$AY$25,"")</f>
        <v>7</v>
      </c>
      <c r="K28" s="87"/>
      <c r="L28" s="87" t="s">
        <v>212</v>
      </c>
      <c r="M28" s="312"/>
      <c r="N28" s="87">
        <v>21</v>
      </c>
      <c r="O28" s="87">
        <v>14</v>
      </c>
      <c r="P28" s="87"/>
      <c r="Q28" s="87">
        <v>26</v>
      </c>
      <c r="R28" s="87">
        <v>9</v>
      </c>
      <c r="S28" s="87"/>
      <c r="T28" s="87">
        <f>_xlfn.XLOOKUP(_xlfn.XLOOKUP($AS$6&amp;$B28,公表[班別+時段],公表[備勤5],""),$AX$9:$AX$25,$AY$9:$AY$25,"")</f>
        <v>3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87"/>
      <c r="AC28" s="87"/>
      <c r="AD28" s="87"/>
      <c r="AE28" s="88">
        <f>_xlfn.XLOOKUP(_xlfn.XLOOKUP($AS$6&amp;$B28,公表[班別+時段],公表[指揮官],""),$AX$9:$AX$25,$AY$9:$AY$25,"")</f>
        <v>2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27">
        <v>20</v>
      </c>
      <c r="AP28" s="127" t="str">
        <v>呂奇霈</v>
      </c>
      <c r="AQ28" s="127" t="str" cm="1">
        <f t="array" ref="AQ28">IFERROR(_xlfn.XLOOKUP(_xlfn.XLOOKUP($AQ$3,輪休基準表!$C$6:$C$36,_xlfn.XLOOKUP(AP28,輪休基準表!$E$5:$AF$5,輪休基準表!$E$6:$AF$36,""),""),班別參數!$A$4:$A$20,班別參數!$B$4:$B$20,""),"")</f>
        <v>輪休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27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16</v>
      </c>
      <c r="D29" s="95"/>
      <c r="E29" s="95"/>
      <c r="F29" s="95"/>
      <c r="G29" s="122" t="str">
        <f>IF(BC18="","",BC18)</f>
        <v/>
      </c>
      <c r="H29" s="37"/>
      <c r="I29" s="92">
        <f>_xlfn.XLOOKUP(_xlfn.XLOOKUP($AS$6&amp;$B29,公表[班別+時段],公表[救護1],""),$AX$9:$AX$25,$AY$9:$AY$25,"")</f>
        <v>15</v>
      </c>
      <c r="J29" s="92">
        <f>_xlfn.XLOOKUP(_xlfn.XLOOKUP($AS$6&amp;$B29,公表[班別+時段],公表[救護2],""),$AX$9:$AX$25,$AY$9:$AY$25,"")</f>
        <v>7</v>
      </c>
      <c r="K29" s="87"/>
      <c r="L29" s="87" t="s">
        <v>212</v>
      </c>
      <c r="M29" s="312"/>
      <c r="N29" s="87">
        <v>21</v>
      </c>
      <c r="O29" s="87">
        <v>14</v>
      </c>
      <c r="P29" s="87"/>
      <c r="Q29" s="87">
        <v>26</v>
      </c>
      <c r="R29" s="87">
        <v>9</v>
      </c>
      <c r="S29" s="87"/>
      <c r="T29" s="87">
        <f>_xlfn.XLOOKUP(_xlfn.XLOOKUP($AS$6&amp;$B29,公表[班別+時段],公表[備勤5],""),$AX$9:$AX$25,$AY$9:$AY$25,"")</f>
        <v>3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87"/>
      <c r="AC29" s="87"/>
      <c r="AD29" s="87"/>
      <c r="AE29" s="88">
        <f>_xlfn.XLOOKUP(_xlfn.XLOOKUP($AS$6&amp;$B29,公表[班別+時段],公表[指揮官],""),$AX$9:$AX$25,$AY$9:$AY$25,"")</f>
        <v>2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27">
        <v>21</v>
      </c>
      <c r="AP29" s="127" t="str">
        <v>張家和</v>
      </c>
      <c r="AQ29" s="127" t="str" cm="1">
        <f t="array" ref="AQ29">IFERROR(_xlfn.XLOOKUP(_xlfn.XLOOKUP($AQ$3,輪休基準表!$C$6:$C$36,_xlfn.XLOOKUP(AP29,輪休基準表!$E$5:$AF$5,輪休基準表!$E$6:$AF$36,""),""),班別參數!$A$4:$A$20,班別參數!$B$4:$B$20,""),"")</f>
        <v>上班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>已排</v>
      </c>
      <c r="AT29" s="180">
        <f t="shared" si="0"/>
        <v>8</v>
      </c>
      <c r="AU29" s="180">
        <f t="shared" si="1"/>
        <v>8</v>
      </c>
      <c r="AV29" s="10"/>
      <c r="AW29" s="47"/>
      <c r="AX29" s="45"/>
      <c r="AY29" s="25"/>
      <c r="AZ29" s="28"/>
      <c r="BA29" s="33"/>
      <c r="BB29" s="25"/>
      <c r="BD29" s="127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16</v>
      </c>
      <c r="D30" s="95"/>
      <c r="E30" s="95"/>
      <c r="F30" s="95"/>
      <c r="G30" s="122" t="str">
        <f>IF(BC19="","",BC19)</f>
        <v/>
      </c>
      <c r="H30" s="37"/>
      <c r="I30" s="92">
        <f>_xlfn.XLOOKUP(_xlfn.XLOOKUP($AS$6&amp;$B30,公表[班別+時段],公表[救護1],""),$AX$9:$AX$25,$AY$9:$AY$25,"")</f>
        <v>9</v>
      </c>
      <c r="J30" s="92">
        <f>_xlfn.XLOOKUP(_xlfn.XLOOKUP($AS$6&amp;$B30,公表[班別+時段],公表[救護2],""),$AX$9:$AX$25,$AY$9:$AY$25,"")</f>
        <v>26</v>
      </c>
      <c r="K30" s="87"/>
      <c r="L30" s="87" t="s">
        <v>212</v>
      </c>
      <c r="M30" s="312"/>
      <c r="N30" s="87">
        <f>_xlfn.XLOOKUP(_xlfn.XLOOKUP($AS$6&amp;$B30,公表[班別+時段],公表[備勤1],""),$AX$9:$AX$25,$AY$9:$AY$25,"")</f>
        <v>15</v>
      </c>
      <c r="O30" s="87">
        <f>_xlfn.XLOOKUP(_xlfn.XLOOKUP($AS$6&amp;$B30,公表[班別+時段],公表[備勤2],""),$AX$9:$AX$25,$AY$9:$AY$25,"")</f>
        <v>21</v>
      </c>
      <c r="P30" s="87"/>
      <c r="Q30" s="87">
        <f>_xlfn.XLOOKUP(_xlfn.XLOOKUP($AS$6&amp;$B30,公表[班別+時段],公表[備勤3],""),$AX$9:$AX$25,$AY$9:$AY$25,"")</f>
        <v>7</v>
      </c>
      <c r="R30" s="87">
        <f>_xlfn.XLOOKUP(_xlfn.XLOOKUP($AS$6&amp;$B30,公表[班別+時段],公表[備勤4],""),$AX$9:$AX$25,$AY$9:$AY$25,"")</f>
        <v>14</v>
      </c>
      <c r="S30" s="87"/>
      <c r="T30" s="87">
        <f>_xlfn.XLOOKUP(_xlfn.XLOOKUP($AS$6&amp;$B30,公表[班別+時段],公表[備勤5],""),$AX$9:$AX$25,$AY$9:$AY$25,"")</f>
        <v>3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87"/>
      <c r="AC30" s="87"/>
      <c r="AD30" s="87"/>
      <c r="AE30" s="88">
        <f>_xlfn.XLOOKUP(_xlfn.XLOOKUP($AS$6&amp;$B30,公表[班別+時段],公表[指揮官],""),$AX$9:$AX$25,$AY$9:$AY$25,"")</f>
        <v>2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27">
        <v>22</v>
      </c>
      <c r="AP30" s="127" t="str">
        <v>陳俊瑋</v>
      </c>
      <c r="AQ30" s="127" t="str" cm="1">
        <f t="array" ref="AQ30">IFERROR(_xlfn.XLOOKUP(_xlfn.XLOOKUP($AQ$3,輪休基準表!$C$6:$C$36,_xlfn.XLOOKUP(AP30,輪休基準表!$E$5:$AF$5,輪休基準表!$E$6:$AF$36,""),""),班別參數!$A$4:$A$20,班別參數!$B$4:$B$20,""),"")</f>
        <v>輪休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27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16</v>
      </c>
      <c r="D31" s="106"/>
      <c r="E31" s="96"/>
      <c r="F31" s="96"/>
      <c r="G31" s="123" t="str">
        <f>IF(BC19="","",BC19)</f>
        <v/>
      </c>
      <c r="H31" s="109"/>
      <c r="I31" s="216">
        <f>_xlfn.XLOOKUP(_xlfn.XLOOKUP($AS$6&amp;$B31,公表[班別+時段],公表[救護1],""),$AX$9:$AX$25,$AY$9:$AY$25,"")</f>
        <v>9</v>
      </c>
      <c r="J31" s="216">
        <f>_xlfn.XLOOKUP(_xlfn.XLOOKUP($AS$6&amp;$B31,公表[班別+時段],公表[救護2],""),$AX$9:$AX$25,$AY$9:$AY$25,"")</f>
        <v>26</v>
      </c>
      <c r="K31" s="108"/>
      <c r="L31" s="93" t="s">
        <v>212</v>
      </c>
      <c r="M31" s="312"/>
      <c r="N31" s="89">
        <f>_xlfn.XLOOKUP(_xlfn.XLOOKUP($AS$6&amp;$B31,公表[班別+時段],公表[備勤1],""),$AX$9:$AX$25,$AY$9:$AY$25,"")</f>
        <v>15</v>
      </c>
      <c r="O31" s="89">
        <f>_xlfn.XLOOKUP(_xlfn.XLOOKUP($AS$6&amp;$B31,公表[班別+時段],公表[備勤2],""),$AX$9:$AX$25,$AY$9:$AY$25,"")</f>
        <v>21</v>
      </c>
      <c r="P31" s="89"/>
      <c r="Q31" s="89">
        <f>_xlfn.XLOOKUP(_xlfn.XLOOKUP($AS$6&amp;$B31,公表[班別+時段],公表[備勤3],""),$AX$9:$AX$25,$AY$9:$AY$25,"")</f>
        <v>7</v>
      </c>
      <c r="R31" s="89">
        <f>_xlfn.XLOOKUP(_xlfn.XLOOKUP($AS$6&amp;$B31,公表[班別+時段],公表[備勤4],""),$AX$9:$AX$25,$AY$9:$AY$25,"")</f>
        <v>14</v>
      </c>
      <c r="S31" s="89"/>
      <c r="T31" s="89">
        <f>_xlfn.XLOOKUP(_xlfn.XLOOKUP($AS$6&amp;$B31,公表[班別+時段],公表[備勤5],""),$AX$9:$AX$25,$AY$9:$AY$25,"")</f>
        <v>3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89"/>
      <c r="AC31" s="89"/>
      <c r="AD31" s="89"/>
      <c r="AE31" s="104">
        <f>_xlfn.XLOOKUP(_xlfn.XLOOKUP($AS$6&amp;$B31,公表[班別+時段],公表[指揮官],""),$AX$9:$AX$25,$AY$9:$AY$25,"")</f>
        <v>2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27">
        <v>23</v>
      </c>
      <c r="AP31" s="127" t="str">
        <v>陳俊翰</v>
      </c>
      <c r="AQ31" s="127" t="str" cm="1">
        <f t="array" ref="AQ31">IFERROR(_xlfn.XLOOKUP(_xlfn.XLOOKUP($AQ$3,輪休基準表!$C$6:$C$36,_xlfn.XLOOKUP(AP31,輪休基準表!$E$5:$AF$5,輪休基準表!$E$6:$AF$36,""),""),班別參數!$A$4:$A$20,班別參數!$B$4:$B$20,""),"")</f>
        <v>輪休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/>
      </c>
      <c r="AT31" s="180" t="str">
        <f t="shared" si="0"/>
        <v/>
      </c>
      <c r="AU31" s="180" t="str">
        <f t="shared" si="1"/>
        <v/>
      </c>
      <c r="AW31" s="47"/>
      <c r="AX31" s="45"/>
      <c r="AY31" s="25"/>
      <c r="AZ31" s="28"/>
      <c r="BA31" s="33"/>
      <c r="BB31" s="25"/>
      <c r="BD31" s="127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16</v>
      </c>
      <c r="D32" s="97"/>
      <c r="E32" s="97"/>
      <c r="F32" s="97"/>
      <c r="G32" s="121" t="s">
        <v>376</v>
      </c>
      <c r="H32" s="56"/>
      <c r="I32" s="94">
        <f>_xlfn.XLOOKUP(_xlfn.XLOOKUP($AS$6&amp;$B32,公表[班別+時段],公表[救護1],""),$AX$9:$AX$25,$AY$9:$AY$25,"")</f>
        <v>9</v>
      </c>
      <c r="J32" s="94">
        <f>_xlfn.XLOOKUP(_xlfn.XLOOKUP($AS$6&amp;$B32,公表[班別+時段],公表[救護2],""),$AX$9:$AX$25,$AY$9:$AY$25,"")</f>
        <v>26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21</v>
      </c>
      <c r="O32" s="90">
        <f>_xlfn.XLOOKUP(_xlfn.XLOOKUP($AS$6&amp;$B32,公表[班別+時段],公表[備勤2],""),$AX$9:$AX$25,$AY$9:$AY$25,"")</f>
        <v>7</v>
      </c>
      <c r="P32" s="90"/>
      <c r="Q32" s="90">
        <f>_xlfn.XLOOKUP(_xlfn.XLOOKUP($AS$6&amp;$B32,公表[班別+時段],公表[備勤3],""),$AX$9:$AX$25,$AY$9:$AY$25,"")</f>
        <v>15</v>
      </c>
      <c r="R32" s="90">
        <f>_xlfn.XLOOKUP(_xlfn.XLOOKUP($AS$6&amp;$B32,公表[班別+時段],公表[備勤4],""),$AX$9:$AX$25,$AY$9:$AY$25,"")</f>
        <v>0</v>
      </c>
      <c r="S32" s="90"/>
      <c r="T32" s="90">
        <f>_xlfn.XLOOKUP(_xlfn.XLOOKUP($AS$6&amp;$B32,公表[班別+時段],公表[備勤5],""),$AX$9:$AX$25,$AY$9:$AY$25,"")</f>
        <v>0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90"/>
      <c r="AC32" s="90"/>
      <c r="AD32" s="90"/>
      <c r="AE32" s="91">
        <v>3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27">
        <v>24</v>
      </c>
      <c r="AP32" s="127" t="str">
        <v>賴俊豪</v>
      </c>
      <c r="AQ32" s="127" t="str" cm="1">
        <f t="array" ref="AQ32">IFERROR(_xlfn.XLOOKUP(_xlfn.XLOOKUP($AQ$3,輪休基準表!$C$6:$C$36,_xlfn.XLOOKUP(AP32,輪休基準表!$E$5:$AF$5,輪休基準表!$E$6:$AF$36,""),""),班別參數!$A$4:$A$20,班別參數!$B$4:$B$20,""),"")</f>
        <v>輪休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/>
      </c>
      <c r="AT32" s="180" t="str">
        <f t="shared" si="0"/>
        <v/>
      </c>
      <c r="AU32" s="180" t="str">
        <f t="shared" si="1"/>
        <v/>
      </c>
      <c r="AW32" s="47"/>
      <c r="AX32" s="45"/>
      <c r="AY32" s="25"/>
      <c r="AZ32" s="28"/>
      <c r="BA32" s="33"/>
      <c r="BB32" s="25"/>
      <c r="BD32" s="127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16</v>
      </c>
      <c r="D33" s="95"/>
      <c r="E33" s="95"/>
      <c r="F33" s="95"/>
      <c r="G33" s="122" t="s">
        <v>376</v>
      </c>
      <c r="H33" s="48"/>
      <c r="I33" s="92">
        <f>_xlfn.XLOOKUP(_xlfn.XLOOKUP($AS$6&amp;$B33,公表[班別+時段],公表[救護1],""),$AX$9:$AX$25,$AY$9:$AY$25,"")</f>
        <v>9</v>
      </c>
      <c r="J33" s="92">
        <f>_xlfn.XLOOKUP(_xlfn.XLOOKUP($AS$6&amp;$B33,公表[班別+時段],公表[救護2],""),$AX$9:$AX$25,$AY$9:$AY$25,"")</f>
        <v>26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21</v>
      </c>
      <c r="O33" s="87">
        <f>_xlfn.XLOOKUP(_xlfn.XLOOKUP($AS$6&amp;$B33,公表[班別+時段],公表[備勤2],""),$AX$9:$AX$25,$AY$9:$AY$25,"")</f>
        <v>7</v>
      </c>
      <c r="P33" s="87"/>
      <c r="Q33" s="87">
        <f>_xlfn.XLOOKUP(_xlfn.XLOOKUP($AS$6&amp;$B33,公表[班別+時段],公表[備勤3],""),$AX$9:$AX$25,$AY$9:$AY$25,"")</f>
        <v>15</v>
      </c>
      <c r="R33" s="87">
        <f>_xlfn.XLOOKUP(_xlfn.XLOOKUP($AS$6&amp;$B33,公表[班別+時段],公表[備勤4],""),$AX$9:$AX$25,$AY$9:$AY$25,"")</f>
        <v>0</v>
      </c>
      <c r="S33" s="87"/>
      <c r="T33" s="87">
        <f>_xlfn.XLOOKUP(_xlfn.XLOOKUP($AS$6&amp;$B33,公表[班別+時段],公表[備勤5],""),$AX$9:$AX$25,$AY$9:$AY$25,"")</f>
        <v>0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87"/>
      <c r="AC33" s="87"/>
      <c r="AD33" s="87"/>
      <c r="AE33" s="88">
        <v>3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27">
        <v>25</v>
      </c>
      <c r="AP33" s="127" t="str">
        <v>郭國偵</v>
      </c>
      <c r="AQ33" s="127" t="str" cm="1">
        <f t="array" ref="AQ33">IFERROR(_xlfn.XLOOKUP(_xlfn.XLOOKUP($AQ$3,輪休基準表!$C$6:$C$36,_xlfn.XLOOKUP(AP33,輪休基準表!$E$5:$AF$5,輪休基準表!$E$6:$AF$36,""),""),班別參數!$A$4:$A$20,班別參數!$B$4:$B$20,""),"")</f>
        <v>輪休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/>
      </c>
      <c r="AT33" s="180" t="str">
        <f t="shared" si="0"/>
        <v/>
      </c>
      <c r="AU33" s="180" t="str">
        <f t="shared" si="1"/>
        <v/>
      </c>
      <c r="AW33" s="47"/>
      <c r="AX33" s="45"/>
      <c r="AY33" s="25"/>
      <c r="AZ33" s="28"/>
      <c r="BA33" s="25"/>
      <c r="BB33" s="25"/>
      <c r="BD33" s="127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一、本日主管輪休，職務由小隊長莊勝斌代理。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27">
        <v>26</v>
      </c>
      <c r="AP34" s="127" t="str">
        <v>楊紹文</v>
      </c>
      <c r="AQ34" s="127" t="str" cm="1">
        <f t="array" ref="AQ34">IFERROR(_xlfn.XLOOKUP(_xlfn.XLOOKUP($AQ$3,輪休基準表!$C$6:$C$36,_xlfn.XLOOKUP(AP34,輪休基準表!$E$5:$AF$5,輪休基準表!$E$6:$AF$36,""),""),班別參數!$A$4:$A$20,班別參數!$B$4:$B$20,""),"")</f>
        <v>上班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>已排</v>
      </c>
      <c r="AT34" s="180">
        <f t="shared" si="0"/>
        <v>6</v>
      </c>
      <c r="AU34" s="180">
        <f t="shared" si="1"/>
        <v>10</v>
      </c>
      <c r="AW34" s="47"/>
      <c r="AX34" s="45"/>
      <c r="AY34" s="25"/>
      <c r="AZ34" s="28"/>
      <c r="BA34" s="25"/>
      <c r="BB34" s="25"/>
      <c r="BD34" s="127"/>
    </row>
    <row r="35" spans="2:56" ht="30" customHeight="1">
      <c r="B35" s="349"/>
      <c r="C35" s="359" t="str">
        <f>CONCATENATE("二、在隊訓練:09-12時:",H11,";14-17時:",H16,";19-21時:",H21,"。")</f>
        <v>二、在隊訓練:09-12時:破壞器材操作;14-17時:入室搜救;19-21時:五用氣體檢知器及CO探測器。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27">
        <v>27</v>
      </c>
      <c r="AP35" s="127" t="str">
        <v>林宏為</v>
      </c>
      <c r="AQ35" s="127" t="str" cm="1">
        <f t="array" ref="AQ35">IFERROR(_xlfn.XLOOKUP(_xlfn.XLOOKUP($AQ$3,輪休基準表!$C$6:$C$36,_xlfn.XLOOKUP(AP35,輪休基準表!$E$5:$AF$5,輪休基準表!$E$6:$AF$36,""),""),班別參數!$A$4:$A$20,班別參數!$B$4:$B$20,""),"")</f>
        <v>輪休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/>
      </c>
      <c r="AT35" s="180" t="str">
        <f t="shared" si="0"/>
        <v/>
      </c>
      <c r="AU35" s="180" t="str">
        <f t="shared" si="1"/>
        <v/>
      </c>
      <c r="AW35" s="47"/>
      <c r="AX35" s="45"/>
      <c r="AY35" s="25"/>
      <c r="AZ35" s="28"/>
      <c r="BA35" s="25"/>
      <c r="BB35" s="25"/>
      <c r="BD35" s="127"/>
    </row>
    <row r="36" spans="2:56" ht="30" customHeight="1" thickBot="1">
      <c r="B36" s="350"/>
      <c r="C36" s="360" t="s">
        <v>372</v>
      </c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27">
        <v>28</v>
      </c>
      <c r="AP36" s="127" t="str">
        <v>林宸彥</v>
      </c>
      <c r="AQ36" s="127" t="str" cm="1">
        <f t="array" ref="AQ36">IFERROR(_xlfn.XLOOKUP(_xlfn.XLOOKUP($AQ$3,輪休基準表!$C$6:$C$36,_xlfn.XLOOKUP(AP36,輪休基準表!$E$5:$AF$5,輪休基準表!$E$6:$AF$36,""),""),班別參數!$A$4:$A$20,班別參數!$B$4:$B$20,""),"")</f>
        <v>輪休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/>
      </c>
      <c r="AT36" s="180" t="str">
        <f t="shared" si="0"/>
        <v/>
      </c>
      <c r="AU36" s="180" t="str">
        <f t="shared" si="1"/>
        <v/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27"/>
      <c r="AP37" s="127"/>
      <c r="AQ37" s="127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27"/>
      <c r="BD37" s="10"/>
    </row>
    <row r="38" spans="2:56" ht="15" customHeight="1">
      <c r="AQ38" s="127"/>
      <c r="AR38" s="118"/>
      <c r="AS38" s="119"/>
      <c r="AT38" s="119"/>
    </row>
    <row r="39" spans="2:56" ht="15" customHeight="1">
      <c r="AR39" s="118"/>
      <c r="AS39" s="119"/>
      <c r="AT39" s="119"/>
    </row>
    <row r="40" spans="2:56" ht="15" customHeight="1">
      <c r="AR40" s="118"/>
      <c r="AS40" s="119"/>
      <c r="AT40" s="119"/>
    </row>
  </sheetData>
  <mergeCells count="74">
    <mergeCell ref="AG22:AK22"/>
    <mergeCell ref="AG23:AM23"/>
    <mergeCell ref="AG24:AI24"/>
    <mergeCell ref="AK24:AM24"/>
    <mergeCell ref="AF33:AG33"/>
    <mergeCell ref="AH33:AI33"/>
    <mergeCell ref="AJ33:AK33"/>
    <mergeCell ref="AF31:AG31"/>
    <mergeCell ref="AH31:AI31"/>
    <mergeCell ref="AJ31:AK31"/>
    <mergeCell ref="AF32:AG32"/>
    <mergeCell ref="AH32:AI32"/>
    <mergeCell ref="AJ32:AK32"/>
    <mergeCell ref="AF27:AF28"/>
    <mergeCell ref="AG27:AM27"/>
    <mergeCell ref="AG28:AM28"/>
    <mergeCell ref="B34:B36"/>
    <mergeCell ref="C34:AE34"/>
    <mergeCell ref="AF34:AM34"/>
    <mergeCell ref="C35:AE35"/>
    <mergeCell ref="AF35:AM35"/>
    <mergeCell ref="C36:AE36"/>
    <mergeCell ref="AF36:AM36"/>
    <mergeCell ref="AF29:AM29"/>
    <mergeCell ref="AF30:AG30"/>
    <mergeCell ref="AH30:AI30"/>
    <mergeCell ref="AJ30:AK30"/>
    <mergeCell ref="AG25:AI25"/>
    <mergeCell ref="AK25:AM25"/>
    <mergeCell ref="C8:AE8"/>
    <mergeCell ref="C9:AE9"/>
    <mergeCell ref="M10:M33"/>
    <mergeCell ref="H11:H13"/>
    <mergeCell ref="H16:H18"/>
    <mergeCell ref="H21:H22"/>
    <mergeCell ref="E18:E19"/>
    <mergeCell ref="D12:D13"/>
    <mergeCell ref="F16:F17"/>
    <mergeCell ref="I6:J6"/>
    <mergeCell ref="K6:L6"/>
    <mergeCell ref="N6:P6"/>
    <mergeCell ref="Q6:S6"/>
    <mergeCell ref="T6:V6"/>
    <mergeCell ref="AF5:AM6"/>
    <mergeCell ref="AO5:AO6"/>
    <mergeCell ref="T7:V7"/>
    <mergeCell ref="AR5:AR6"/>
    <mergeCell ref="AS5:AT5"/>
    <mergeCell ref="W6:Y6"/>
    <mergeCell ref="AE6:AE7"/>
    <mergeCell ref="AS6:AT6"/>
    <mergeCell ref="AP5:AQ6"/>
    <mergeCell ref="G5:G7"/>
    <mergeCell ref="B3:AM3"/>
    <mergeCell ref="AW3:AX3"/>
    <mergeCell ref="AY3:BB3"/>
    <mergeCell ref="B4:AI4"/>
    <mergeCell ref="AJ4:AM4"/>
    <mergeCell ref="AW4:AX4"/>
    <mergeCell ref="AY4:BB4"/>
    <mergeCell ref="B5:B7"/>
    <mergeCell ref="C5:C7"/>
    <mergeCell ref="D5:D7"/>
    <mergeCell ref="E5:E7"/>
    <mergeCell ref="F5:F7"/>
    <mergeCell ref="H5:H7"/>
    <mergeCell ref="I5:L5"/>
    <mergeCell ref="M5:AE5"/>
    <mergeCell ref="AY2:BB2"/>
    <mergeCell ref="B1:AE1"/>
    <mergeCell ref="AP1:AQ1"/>
    <mergeCell ref="B2:AE2"/>
    <mergeCell ref="AG2:AM2"/>
    <mergeCell ref="AW2:AX2"/>
  </mergeCells>
  <phoneticPr fontId="9" type="noConversion"/>
  <conditionalFormatting sqref="AO9:AQ36 AO37:AP37 AQ37:AQ38">
    <cfRule type="expression" dxfId="126" priority="16">
      <formula>COUNTIF($AQ9,"上班")&gt;=1</formula>
    </cfRule>
  </conditionalFormatting>
  <conditionalFormatting sqref="AF8:AF13 AH8:AH21 AJ8:AJ21 AL8:AM21">
    <cfRule type="expression" dxfId="125" priority="11">
      <formula>OR(VLOOKUP(AF8,$AO$9:$AQ$40,3,0)="上班",VLOOKUP(AF8,$AO$9:$AQ$40,3,0)="外宿")</formula>
    </cfRule>
  </conditionalFormatting>
  <conditionalFormatting sqref="AL8">
    <cfRule type="expression" dxfId="124" priority="10">
      <formula>OR(VLOOKUP(AL8,$AO$9:$AQ$36,3,0)="上班",VLOOKUP(AL8,$AO$9:$AQ$36,3,0)="外宿")</formula>
    </cfRule>
  </conditionalFormatting>
  <conditionalFormatting sqref="AR9:AR36">
    <cfRule type="notContainsText" dxfId="123" priority="2" operator="notContains" text="已排">
      <formula>ISERROR(SEARCH("已排",AR9))</formula>
    </cfRule>
  </conditionalFormatting>
  <conditionalFormatting sqref="AS9:AS36">
    <cfRule type="notContainsText" dxfId="122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9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46662-09B5-4C93-A5BC-3BF9689F4AFD}">
  <sheetPr codeName="工作表14">
    <pageSetUpPr fitToPage="1"/>
  </sheetPr>
  <dimension ref="B1:BD40"/>
  <sheetViews>
    <sheetView showZeros="0" view="pageBreakPreview" topLeftCell="A4" zoomScale="55" zoomScaleNormal="55" zoomScaleSheetLayoutView="55" workbookViewId="0">
      <selection activeCell="J17" sqref="J17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6" width="5.375" style="126" customWidth="1"/>
    <col min="7" max="8" width="8.625" style="126" customWidth="1"/>
    <col min="9" max="12" width="5.375" style="126" customWidth="1"/>
    <col min="13" max="13" width="6.625" style="126" customWidth="1"/>
    <col min="14" max="31" width="5.375" style="126" customWidth="1"/>
    <col min="32" max="32" width="7.625" style="126" customWidth="1"/>
    <col min="33" max="33" width="10.625" style="126" customWidth="1"/>
    <col min="34" max="34" width="7.625" style="126" customWidth="1"/>
    <col min="35" max="35" width="10.625" style="126" customWidth="1"/>
    <col min="36" max="36" width="7.625" style="126" customWidth="1"/>
    <col min="37" max="37" width="10.625" style="126" customWidth="1"/>
    <col min="38" max="38" width="7.625" style="126" customWidth="1"/>
    <col min="39" max="39" width="10.625" style="126" customWidth="1"/>
    <col min="40" max="40" width="4.125" style="213" customWidth="1"/>
    <col min="41" max="47" width="11.625" style="126" customWidth="1"/>
    <col min="48" max="48" width="4.125" style="126" customWidth="1"/>
    <col min="49" max="49" width="16" style="126" customWidth="1"/>
    <col min="50" max="51" width="8.25" style="126" customWidth="1"/>
    <col min="52" max="52" width="4.125" style="126" customWidth="1"/>
    <col min="53" max="53" width="16" style="126" customWidth="1"/>
    <col min="54" max="54" width="8.25" style="126" customWidth="1"/>
    <col min="55" max="55" width="10.875" style="126" customWidth="1"/>
    <col min="56" max="58" width="4.125" style="126" customWidth="1"/>
    <col min="59" max="16384" width="11.25" style="126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27"/>
      <c r="AP1" s="399"/>
      <c r="AQ1" s="399"/>
      <c r="AR1" s="127"/>
      <c r="AS1" s="127"/>
      <c r="AT1" s="127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3" t="s">
        <v>178</v>
      </c>
      <c r="AR2" s="146" t="s">
        <v>228</v>
      </c>
      <c r="AS2" s="142"/>
      <c r="AT2" s="140"/>
      <c r="AU2" s="127"/>
      <c r="AV2" s="127"/>
      <c r="AW2" s="362" t="s">
        <v>127</v>
      </c>
      <c r="AX2" s="287"/>
      <c r="AY2" s="367" t="str">
        <f>_xlfn.XLOOKUP($AR$3,訓練!$L$13:$L$19,訓練!$M$13:$M$19,"")</f>
        <v>車輛駕訓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115年5月10日星期日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10</v>
      </c>
      <c r="AR3" s="141" t="str">
        <f>RIGHT(TEXT(1911+$AO$3&amp;"/"&amp;$AP$3&amp;"/"&amp;$AQ$3,"aaaa"),1)</f>
        <v>日</v>
      </c>
      <c r="AS3" s="145"/>
      <c r="AT3" s="145"/>
      <c r="AU3" s="127"/>
      <c r="AV3" s="127"/>
      <c r="AW3" s="362" t="s">
        <v>128</v>
      </c>
      <c r="AX3" s="287"/>
      <c r="AY3" s="368" t="str">
        <f>_xlfn.XLOOKUP($AR$3,訓練!$L$13:$L$19,訓練!$N$13:$N$19,"")</f>
        <v>環境整理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27"/>
      <c r="AU4" s="127"/>
      <c r="AV4" s="127"/>
      <c r="AW4" s="362" t="s">
        <v>129</v>
      </c>
      <c r="AX4" s="287"/>
      <c r="AY4" s="363" t="str">
        <f>_xlfn.XLOOKUP($AR$3,訓練!$L$13:$L$19,訓練!$O$13:$O$19,"")</f>
        <v>器材車、化學(處理)車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2" t="s">
        <v>341</v>
      </c>
      <c r="E5" s="340" t="s">
        <v>344</v>
      </c>
      <c r="F5" s="340"/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341"/>
      <c r="E6" s="341"/>
      <c r="F6" s="341"/>
      <c r="G6" s="312"/>
      <c r="H6" s="312"/>
      <c r="I6" s="334" t="s">
        <v>227</v>
      </c>
      <c r="J6" s="335"/>
      <c r="K6" s="334" t="s">
        <v>346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2+7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341"/>
      <c r="E7" s="341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192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27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27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27" cm="1">
        <f t="array" ref="AO9:AP36">TRANSPOSE(輪休基準表!E4:AF5)</f>
        <v>1</v>
      </c>
      <c r="AP9" s="127" t="str">
        <v>鄧力嘉</v>
      </c>
      <c r="AQ9" s="127" t="str" cm="1">
        <f t="array" ref="AQ9">IFERROR(_xlfn.XLOOKUP(_xlfn.XLOOKUP($AQ$3,輪休基準表!$C$6:$C$36,_xlfn.XLOOKUP(AP9,輪休基準表!$E$5:$AF$5,輪休基準表!$E$6:$AF$36,""),""),班別參數!$A$4:$A$20,班別參數!$B$4:$B$20,""),"")</f>
        <v>輪休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/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 t="array" ref="AX9">IFERROR(INDEX(班別參數!$D$4:$S$20,MATCH(AW9,班別參數!$D$4:$D$20,0),MATCH($AS$6,班別參數!$D$4:$S$4,0)),"")</f>
        <v>A</v>
      </c>
      <c r="AY9" s="35">
        <v>8</v>
      </c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H,K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28,2</v>
      </c>
      <c r="BD9" s="127"/>
    </row>
    <row r="10" spans="2:56" ht="30" customHeight="1">
      <c r="B10" s="81" t="s">
        <v>70</v>
      </c>
      <c r="C10" s="87">
        <f>_xlfn.XLOOKUP(_xlfn.XLOOKUP($AS$6&amp;$B10,公表[班別+時段],公表[值班],""),$AX$9:$AX$25,$AY$9:$AY$25,"")</f>
        <v>8</v>
      </c>
      <c r="D10" s="95"/>
      <c r="E10" s="95"/>
      <c r="F10" s="95"/>
      <c r="G10" s="122" t="s">
        <v>379</v>
      </c>
      <c r="H10" s="37"/>
      <c r="I10" s="92">
        <f>_xlfn.XLOOKUP(_xlfn.XLOOKUP($AS$6&amp;$B10,公表[班別+時段],公表[救護1],""),$AX$9:$AX$25,$AY$9:$AY$25,"")</f>
        <v>10</v>
      </c>
      <c r="J10" s="92">
        <f>_xlfn.XLOOKUP(_xlfn.XLOOKUP($AS$6&amp;$B10,公表[班別+時段],公表[救護2],""),$AX$9:$AX$25,$AY$9:$AY$25,"")</f>
        <v>19</v>
      </c>
      <c r="K10" s="87"/>
      <c r="L10" s="87" t="s">
        <v>212</v>
      </c>
      <c r="M10" s="311"/>
      <c r="N10" s="87">
        <f>_xlfn.XLOOKUP(_xlfn.XLOOKUP($AS$6&amp;$B10,公表[班別+時段],公表[備勤1],""),$AX$9:$AX$25,$AY$9:$AY$25,"")</f>
        <v>21</v>
      </c>
      <c r="O10" s="87">
        <f>_xlfn.XLOOKUP(_xlfn.XLOOKUP($AS$6&amp;$B10,公表[班別+時段],公表[備勤2],""),$AX$9:$AX$25,$AY$9:$AY$25,"")</f>
        <v>27</v>
      </c>
      <c r="P10" s="87"/>
      <c r="Q10" s="87">
        <f>_xlfn.XLOOKUP(_xlfn.XLOOKUP($AS$6&amp;$B10,公表[班別+時段],公表[備勤3],""),$AX$9:$AX$25,$AY$9:$AY$25,"")</f>
        <v>13</v>
      </c>
      <c r="R10" s="87">
        <f>_xlfn.XLOOKUP(_xlfn.XLOOKUP($AS$6&amp;$B10,公表[班別+時段],公表[備勤4],""),$AX$9:$AX$25,$AY$9:$AY$25,"")</f>
        <v>0</v>
      </c>
      <c r="S10" s="87"/>
      <c r="T10" s="87">
        <f>_xlfn.XLOOKUP(_xlfn.XLOOKUP($AS$6&amp;$B10,公表[班別+時段],公表[備勤5],""),$AX$9:$AX$25,$AY$9:$AY$25,"")</f>
        <v>0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87"/>
      <c r="AB10" s="87"/>
      <c r="AC10" s="87"/>
      <c r="AD10" s="87"/>
      <c r="AE10" s="88">
        <v>2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27">
        <v>2</v>
      </c>
      <c r="AP10" s="127" t="str">
        <v>莊勝斌</v>
      </c>
      <c r="AQ10" s="127" t="str" cm="1">
        <f t="array" ref="AQ10">IFERROR(_xlfn.XLOOKUP(_xlfn.XLOOKUP($AQ$3,輪休基準表!$C$6:$C$36,_xlfn.XLOOKUP(AP10,輪休基準表!$E$5:$AF$5,輪休基準表!$E$6:$AF$36,""),""),班別參數!$A$4:$A$20,班別參數!$B$4:$B$20,""),"")</f>
        <v>上班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>已排</v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>
        <v>13</v>
      </c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27</v>
      </c>
      <c r="BD10" s="127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8</v>
      </c>
      <c r="D11" s="95"/>
      <c r="E11" s="95"/>
      <c r="F11" s="95"/>
      <c r="G11" s="122" t="s">
        <v>379</v>
      </c>
      <c r="H11" s="296" t="str">
        <f>AY2</f>
        <v>車輛駕訓</v>
      </c>
      <c r="I11" s="92">
        <f>_xlfn.XLOOKUP(_xlfn.XLOOKUP($AS$6&amp;$B11,公表[班別+時段],公表[救護1],""),$AX$9:$AX$25,$AY$9:$AY$25,"")</f>
        <v>10</v>
      </c>
      <c r="J11" s="92">
        <f>_xlfn.XLOOKUP(_xlfn.XLOOKUP($AS$6&amp;$B11,公表[班別+時段],公表[救護2],""),$AX$9:$AX$25,$AY$9:$AY$25,"")</f>
        <v>19</v>
      </c>
      <c r="K11" s="87"/>
      <c r="L11" s="87" t="s">
        <v>212</v>
      </c>
      <c r="M11" s="312"/>
      <c r="N11" s="87">
        <f>_xlfn.XLOOKUP(_xlfn.XLOOKUP($AS$6&amp;$B11,公表[班別+時段],公表[備勤1],""),$AX$9:$AX$25,$AY$9:$AY$25,"")</f>
        <v>21</v>
      </c>
      <c r="O11" s="87">
        <f>_xlfn.XLOOKUP(_xlfn.XLOOKUP($AS$6&amp;$B11,公表[班別+時段],公表[備勤2],""),$AX$9:$AX$25,$AY$9:$AY$25,"")</f>
        <v>27</v>
      </c>
      <c r="P11" s="87"/>
      <c r="Q11" s="87">
        <f>_xlfn.XLOOKUP(_xlfn.XLOOKUP($AS$6&amp;$B11,公表[班別+時段],公表[備勤3],""),$AX$9:$AX$25,$AY$9:$AY$25,"")</f>
        <v>13</v>
      </c>
      <c r="R11" s="87">
        <f>_xlfn.XLOOKUP(_xlfn.XLOOKUP($AS$6&amp;$B11,公表[班別+時段],公表[備勤4],""),$AX$9:$AX$25,$AY$9:$AY$25,"")</f>
        <v>0</v>
      </c>
      <c r="S11" s="87"/>
      <c r="T11" s="87">
        <f>_xlfn.XLOOKUP(_xlfn.XLOOKUP($AS$6&amp;$B11,公表[班別+時段],公表[備勤5],""),$AX$9:$AX$25,$AY$9:$AY$25,"")</f>
        <v>0</v>
      </c>
      <c r="U11" s="87">
        <f>_xlfn.XLOOKUP(_xlfn.XLOOKUP($AS$6&amp;$B11,公表[班別+時段],公表[備勤6],""),$AX$9:$AX$25,$AY$9:$AY$25,"")</f>
        <v>0</v>
      </c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87"/>
      <c r="AB11" s="87"/>
      <c r="AC11" s="87"/>
      <c r="AD11" s="87"/>
      <c r="AE11" s="88">
        <v>2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27">
        <v>3</v>
      </c>
      <c r="AP11" s="127" t="str">
        <v>孫子翔</v>
      </c>
      <c r="AQ11" s="127" t="str" cm="1">
        <f t="array" ref="AQ11">IFERROR(_xlfn.XLOOKUP(_xlfn.XLOOKUP($AQ$3,輪休基準表!$C$6:$C$36,_xlfn.XLOOKUP(AP11,輪休基準表!$E$5:$AF$5,輪休基準表!$E$6:$AF$36,""),""),班別參數!$A$4:$A$20,班別參數!$B$4:$B$20,""),"")</f>
        <v>輪休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/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>
        <v>19</v>
      </c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F</v>
      </c>
      <c r="BC11" s="39" t="str">
        <f t="shared" si="2"/>
        <v>10</v>
      </c>
      <c r="BD11" s="127"/>
    </row>
    <row r="12" spans="2:56" ht="30" customHeight="1">
      <c r="B12" s="81" t="s">
        <v>75</v>
      </c>
      <c r="C12" s="87">
        <f>_xlfn.XLOOKUP(_xlfn.XLOOKUP($AS$6&amp;$B12,公表[班別+時段],公表[值班],""),$AX$9:$AX$25,$AY$9:$AY$25,"")</f>
        <v>13</v>
      </c>
      <c r="D12" s="292">
        <v>19</v>
      </c>
      <c r="E12" s="95"/>
      <c r="F12" s="95"/>
      <c r="G12" s="122">
        <v>28</v>
      </c>
      <c r="H12" s="314"/>
      <c r="I12" s="92">
        <f>_xlfn.XLOOKUP(_xlfn.XLOOKUP($AS$6&amp;$B12,公表[班別+時段],公表[救護1],""),$AX$9:$AX$25,$AY$9:$AY$25,"")</f>
        <v>8</v>
      </c>
      <c r="J12" s="92">
        <f>_xlfn.XLOOKUP(_xlfn.XLOOKUP($AS$6&amp;$B12,公表[班別+時段],公表[救護2],""),$AX$9:$AX$25,$AY$9:$AY$25,"")</f>
        <v>21</v>
      </c>
      <c r="K12" s="92"/>
      <c r="L12" s="87" t="s">
        <v>212</v>
      </c>
      <c r="M12" s="312"/>
      <c r="N12" s="87">
        <v>27</v>
      </c>
      <c r="O12" s="87">
        <f>_xlfn.XLOOKUP(_xlfn.XLOOKUP($AS$6&amp;$B12,公表[班別+時段],公表[備勤2],""),$AX$9:$AX$25,$AY$9:$AY$25,"")</f>
        <v>10</v>
      </c>
      <c r="P12" s="87"/>
      <c r="Q12" s="87"/>
      <c r="R12" s="87">
        <f>_xlfn.XLOOKUP(_xlfn.XLOOKUP($AS$6&amp;$B12,公表[班別+時段],公表[備勤4],""),$AX$9:$AX$25,$AY$9:$AY$25,"")</f>
        <v>0</v>
      </c>
      <c r="S12" s="87"/>
      <c r="T12" s="87">
        <f>_xlfn.XLOOKUP(_xlfn.XLOOKUP($AS$6&amp;$B12,公表[班別+時段],公表[備勤5],""),$AX$9:$AX$25,$AY$9:$AY$25,"")</f>
        <v>5</v>
      </c>
      <c r="U12" s="87">
        <f>_xlfn.XLOOKUP(_xlfn.XLOOKUP($AS$6&amp;$B12,公表[班別+時段],公表[備勤6],""),$AX$9:$AX$25,$AY$9:$AY$25,"")</f>
        <v>0</v>
      </c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87"/>
      <c r="AC12" s="87"/>
      <c r="AD12" s="87"/>
      <c r="AE12" s="88">
        <f>_xlfn.XLOOKUP(_xlfn.XLOOKUP($AS$6&amp;$B12,公表[班別+時段],公表[指揮官],""),$AX$9:$AX$25,$AY$9:$AY$25,"")</f>
        <v>2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27">
        <v>4</v>
      </c>
      <c r="AP12" s="127" t="str">
        <v>簡永豐</v>
      </c>
      <c r="AQ12" s="127" t="str" cm="1">
        <f t="array" ref="AQ12">IFERROR(_xlfn.XLOOKUP(_xlfn.XLOOKUP($AQ$3,輪休基準表!$C$6:$C$36,_xlfn.XLOOKUP(AP12,輪休基準表!$E$5:$AF$5,輪休基準表!$E$6:$AF$36,""),""),班別參數!$A$4:$A$20,班別參數!$B$4:$B$20,""),"")</f>
        <v>輪休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/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>
        <v>21</v>
      </c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27"/>
    </row>
    <row r="13" spans="2:56" ht="30" customHeight="1" thickBot="1">
      <c r="B13" s="82" t="s">
        <v>76</v>
      </c>
      <c r="C13" s="89">
        <f>_xlfn.XLOOKUP(_xlfn.XLOOKUP($AS$6&amp;$B13,公表[班別+時段],公表[值班],""),$AX$9:$AX$25,$AY$9:$AY$25,"")</f>
        <v>13</v>
      </c>
      <c r="D13" s="293"/>
      <c r="E13" s="96"/>
      <c r="F13" s="96"/>
      <c r="G13" s="123">
        <v>28</v>
      </c>
      <c r="H13" s="315"/>
      <c r="I13" s="216">
        <f>_xlfn.XLOOKUP(_xlfn.XLOOKUP($AS$6&amp;$B13,公表[班別+時段],公表[救護1],""),$AX$9:$AX$25,$AY$9:$AY$25,"")</f>
        <v>8</v>
      </c>
      <c r="J13" s="216">
        <f>_xlfn.XLOOKUP(_xlfn.XLOOKUP($AS$6&amp;$B13,公表[班別+時段],公表[救護2],""),$AX$9:$AX$25,$AY$9:$AY$25,"")</f>
        <v>21</v>
      </c>
      <c r="K13" s="105"/>
      <c r="L13" s="93" t="s">
        <v>212</v>
      </c>
      <c r="M13" s="312"/>
      <c r="N13" s="89">
        <v>27</v>
      </c>
      <c r="O13" s="89">
        <f>_xlfn.XLOOKUP(_xlfn.XLOOKUP($AS$6&amp;$B13,公表[班別+時段],公表[備勤2],""),$AX$9:$AX$25,$AY$9:$AY$25,"")</f>
        <v>10</v>
      </c>
      <c r="P13" s="89"/>
      <c r="Q13" s="89"/>
      <c r="R13" s="89">
        <f>_xlfn.XLOOKUP(_xlfn.XLOOKUP($AS$6&amp;$B13,公表[班別+時段],公表[備勤4],""),$AX$9:$AX$25,$AY$9:$AY$25,"")</f>
        <v>0</v>
      </c>
      <c r="S13" s="89"/>
      <c r="T13" s="89">
        <f>_xlfn.XLOOKUP(_xlfn.XLOOKUP($AS$6&amp;$B13,公表[班別+時段],公表[備勤5],""),$AX$9:$AX$25,$AY$9:$AY$25,"")</f>
        <v>5</v>
      </c>
      <c r="U13" s="89">
        <f>_xlfn.XLOOKUP(_xlfn.XLOOKUP($AS$6&amp;$B13,公表[班別+時段],公表[備勤6],""),$AX$9:$AX$25,$AY$9:$AY$25,"")</f>
        <v>0</v>
      </c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89"/>
      <c r="AC13" s="89"/>
      <c r="AD13" s="89"/>
      <c r="AE13" s="104">
        <f>_xlfn.XLOOKUP(_xlfn.XLOOKUP($AS$6&amp;$B13,公表[班別+時段],公表[指揮官],""),$AX$9:$AX$25,$AY$9:$AY$25,"")</f>
        <v>2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27">
        <v>5</v>
      </c>
      <c r="AP13" s="127" t="str">
        <v>張鴻志</v>
      </c>
      <c r="AQ13" s="127" t="str" cm="1">
        <f t="array" ref="AQ13">IFERROR(_xlfn.XLOOKUP(_xlfn.XLOOKUP($AQ$3,輪休基準表!$C$6:$C$36,_xlfn.XLOOKUP(AP13,輪休基準表!$E$5:$AF$5,輪休基準表!$E$6:$AF$36,""),""),班別參數!$A$4:$A$20,班別參數!$B$4:$B$20,""),"")</f>
        <v>上班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>已排</v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>
        <v>27</v>
      </c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>8</v>
      </c>
      <c r="BD13" s="127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19</v>
      </c>
      <c r="D14" s="234"/>
      <c r="E14" s="97"/>
      <c r="F14" s="97"/>
      <c r="G14" s="121" t="str">
        <f>IF(BC11="","",BC11)</f>
        <v>10</v>
      </c>
      <c r="H14" s="55"/>
      <c r="I14" s="94">
        <f>_xlfn.XLOOKUP(_xlfn.XLOOKUP($AS$6&amp;$B14,公表[班別+時段],公表[救護1],""),$AX$9:$AX$25,$AY$9:$AY$25,"")</f>
        <v>13</v>
      </c>
      <c r="J14" s="94">
        <f>_xlfn.XLOOKUP(_xlfn.XLOOKUP($AS$6&amp;$B14,公表[班別+時段],公表[救護2],""),$AX$9:$AX$25,$AY$9:$AY$25,"")</f>
        <v>28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8</v>
      </c>
      <c r="O14" s="90">
        <f>_xlfn.XLOOKUP(_xlfn.XLOOKUP($AS$6&amp;$B14,公表[班別+時段],公表[備勤2],""),$AX$9:$AX$25,$AY$9:$AY$25,"")</f>
        <v>27</v>
      </c>
      <c r="P14" s="90"/>
      <c r="Q14" s="90">
        <f>_xlfn.XLOOKUP(_xlfn.XLOOKUP($AS$6&amp;$B14,公表[班別+時段],公表[備勤3],""),$AX$9:$AX$25,$AY$9:$AY$25,"")</f>
        <v>21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5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90"/>
      <c r="AC14" s="90"/>
      <c r="AD14" s="90"/>
      <c r="AE14" s="91">
        <f>_xlfn.XLOOKUP(_xlfn.XLOOKUP($AS$6&amp;$B14,公表[班別+時段],公表[指揮官],""),$AX$9:$AX$25,$AY$9:$AY$25,"")</f>
        <v>2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27">
        <v>6</v>
      </c>
      <c r="AP14" s="127" t="str">
        <v>吳宗耕</v>
      </c>
      <c r="AQ14" s="127" t="str" cm="1">
        <f t="array" ref="AQ14">IFERROR(_xlfn.XLOOKUP(_xlfn.XLOOKUP($AQ$3,輪休基準表!$C$6:$C$36,_xlfn.XLOOKUP(AP14,輪休基準表!$E$5:$AF$5,輪休基準表!$E$6:$AF$36,""),""),班別參數!$A$4:$A$20,班別參數!$B$4:$B$20,""),"")</f>
        <v>輪休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/>
      </c>
      <c r="AT14" s="180" t="str">
        <f t="shared" si="0"/>
        <v/>
      </c>
      <c r="AU14" s="180" t="str">
        <f t="shared" si="1"/>
        <v/>
      </c>
      <c r="AV14" s="25"/>
      <c r="AW14" s="33" t="str">
        <f t="array" ref="AW14">INDEX(班別參數!$D$4:$D$20,ROW()-7,MATCH($AW$8,班別參數!$D$4:$D$20,0))</f>
        <v>18-20</v>
      </c>
      <c r="AX14" s="34">
        <f t="array" ref="AX14">IFERROR(INDEX(班別參數!$D$4:$S$20,MATCH(AW14,班別參數!$D$4:$D$20,0),MATCH($AS$6,班別參數!$D$4:$S$4,0)),"")</f>
        <v>0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</v>
      </c>
      <c r="BC14" s="39" t="str">
        <f t="shared" si="2"/>
        <v>13</v>
      </c>
      <c r="BD14" s="127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19</v>
      </c>
      <c r="D15" s="235"/>
      <c r="E15" s="106"/>
      <c r="F15" s="96"/>
      <c r="G15" s="123" t="str">
        <f>IF(BC11="","",BC11)</f>
        <v>10</v>
      </c>
      <c r="H15" s="40"/>
      <c r="I15" s="216">
        <f>_xlfn.XLOOKUP(_xlfn.XLOOKUP($AS$6&amp;$B15,公表[班別+時段],公表[救護1],""),$AX$9:$AX$25,$AY$9:$AY$25,"")</f>
        <v>13</v>
      </c>
      <c r="J15" s="216">
        <f>_xlfn.XLOOKUP(_xlfn.XLOOKUP($AS$6&amp;$B15,公表[班別+時段],公表[救護2],""),$AX$9:$AX$25,$AY$9:$AY$25,"")</f>
        <v>28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8</v>
      </c>
      <c r="O15" s="89">
        <f>_xlfn.XLOOKUP(_xlfn.XLOOKUP($AS$6&amp;$B15,公表[班別+時段],公表[備勤2],""),$AX$9:$AX$25,$AY$9:$AY$25,"")</f>
        <v>27</v>
      </c>
      <c r="P15" s="89"/>
      <c r="Q15" s="89">
        <f>_xlfn.XLOOKUP(_xlfn.XLOOKUP($AS$6&amp;$B15,公表[班別+時段],公表[備勤3],""),$AX$9:$AX$25,$AY$9:$AY$25,"")</f>
        <v>21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5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89"/>
      <c r="AC15" s="89"/>
      <c r="AD15" s="89"/>
      <c r="AE15" s="104">
        <f>_xlfn.XLOOKUP(_xlfn.XLOOKUP($AS$6&amp;$B15,公表[班別+時段],公表[指揮官],""),$AX$9:$AX$25,$AY$9:$AY$25,"")</f>
        <v>2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27">
        <v>7</v>
      </c>
      <c r="AP15" s="127" t="str">
        <v>包華先</v>
      </c>
      <c r="AQ15" s="127" t="str" cm="1">
        <f t="array" ref="AQ15">IFERROR(_xlfn.XLOOKUP(_xlfn.XLOOKUP($AQ$3,輪休基準表!$C$6:$C$36,_xlfn.XLOOKUP(AP15,輪休基準表!$E$5:$AF$5,輪休基準表!$E$6:$AF$36,""),""),班別參數!$A$4:$A$20,班別參數!$B$4:$B$20,""),"")</f>
        <v>輪休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/>
      </c>
      <c r="AT15" s="180" t="str">
        <f t="shared" si="0"/>
        <v/>
      </c>
      <c r="AU15" s="180" t="str">
        <f t="shared" si="1"/>
        <v/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>
        <v>10</v>
      </c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>21</v>
      </c>
      <c r="BD15" s="127"/>
    </row>
    <row r="16" spans="2:56" ht="30" customHeight="1">
      <c r="B16" s="83" t="s">
        <v>79</v>
      </c>
      <c r="C16" s="90">
        <f>_xlfn.XLOOKUP(_xlfn.XLOOKUP($AS$6&amp;$B16,公表[班別+時段],公表[值班],""),$AX$9:$AX$25,$AY$9:$AY$25,"")</f>
        <v>21</v>
      </c>
      <c r="D16" s="98"/>
      <c r="E16" s="99"/>
      <c r="F16" s="98"/>
      <c r="G16" s="121" t="str">
        <f>IF(BC12="","",BC12)</f>
        <v/>
      </c>
      <c r="H16" s="316" t="str">
        <f>AY3</f>
        <v>環境整理</v>
      </c>
      <c r="I16" s="94">
        <f>_xlfn.XLOOKUP(_xlfn.XLOOKUP($AS$6&amp;$B16,公表[班別+時段],公表[救護1],""),$AX$9:$AX$25,$AY$9:$AY$25,"")</f>
        <v>10</v>
      </c>
      <c r="J16" s="94">
        <f>_xlfn.XLOOKUP(_xlfn.XLOOKUP($AS$6&amp;$B16,公表[班別+時段],公表[救護2],""),$AX$9:$AX$25,$AY$9:$AY$25,"")</f>
        <v>28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13</v>
      </c>
      <c r="O16" s="90">
        <f>_xlfn.XLOOKUP(_xlfn.XLOOKUP($AS$6&amp;$B16,公表[班別+時段],公表[備勤2],""),$AX$9:$AX$25,$AY$9:$AY$25,"")</f>
        <v>19</v>
      </c>
      <c r="P16" s="90"/>
      <c r="Q16" s="90">
        <f>_xlfn.XLOOKUP(_xlfn.XLOOKUP($AS$6&amp;$B16,公表[班別+時段],公表[備勤3],""),$AX$9:$AX$25,$AY$9:$AY$25,"")</f>
        <v>8</v>
      </c>
      <c r="R16" s="90">
        <f>_xlfn.XLOOKUP(_xlfn.XLOOKUP($AS$6&amp;$B16,公表[班別+時段],公表[備勤4],""),$AX$9:$AX$25,$AY$9:$AY$25,"")</f>
        <v>27</v>
      </c>
      <c r="S16" s="90"/>
      <c r="T16" s="90">
        <f>_xlfn.XLOOKUP(_xlfn.XLOOKUP($AS$6&amp;$B16,公表[班別+時段],公表[備勤5],""),$AX$9:$AX$25,$AY$9:$AY$25,"")</f>
        <v>5</v>
      </c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90"/>
      <c r="AC16" s="90"/>
      <c r="AD16" s="90"/>
      <c r="AE16" s="91">
        <f>_xlfn.XLOOKUP(_xlfn.XLOOKUP($AS$6&amp;$B16,公表[班別+時段],公表[指揮官],""),$AX$9:$AX$25,$AY$9:$AY$25,"")</f>
        <v>2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27">
        <v>8</v>
      </c>
      <c r="AP16" s="127" t="str">
        <v>曾彥綸</v>
      </c>
      <c r="AQ16" s="127" t="str" cm="1">
        <f t="array" ref="AQ16">IFERROR(_xlfn.XLOOKUP(_xlfn.XLOOKUP($AQ$3,輪休基準表!$C$6:$C$36,_xlfn.XLOOKUP(AP16,輪休基準表!$E$5:$AF$5,輪休基準表!$E$6:$AF$36,""),""),班別參數!$A$4:$A$20,班別參數!$B$4:$B$20,""),"")</f>
        <v>上班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>已排</v>
      </c>
      <c r="AT16" s="180">
        <f t="shared" si="0"/>
        <v>6</v>
      </c>
      <c r="AU16" s="180">
        <f t="shared" si="1"/>
        <v>8</v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>
        <v>28</v>
      </c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27"/>
    </row>
    <row r="17" spans="2:56" ht="30" customHeight="1">
      <c r="B17" s="81" t="s">
        <v>80</v>
      </c>
      <c r="C17" s="87">
        <f>_xlfn.XLOOKUP(_xlfn.XLOOKUP($AS$6&amp;$B17,公表[班別+時段],公表[值班],""),$AX$9:$AX$25,$AY$9:$AY$25,"")</f>
        <v>21</v>
      </c>
      <c r="D17" s="95"/>
      <c r="E17" s="95"/>
      <c r="F17" s="100"/>
      <c r="G17" s="122" t="str">
        <f>IF(BC12="","",BC12)</f>
        <v/>
      </c>
      <c r="H17" s="314"/>
      <c r="I17" s="92">
        <f>_xlfn.XLOOKUP(_xlfn.XLOOKUP($AS$6&amp;$B17,公表[班別+時段],公表[救護1],""),$AX$9:$AX$25,$AY$9:$AY$25,"")</f>
        <v>10</v>
      </c>
      <c r="J17" s="92">
        <f>_xlfn.XLOOKUP(_xlfn.XLOOKUP($AS$6&amp;$B17,公表[班別+時段],公表[救護2],""),$AX$9:$AX$25,$AY$9:$AY$25,"")</f>
        <v>28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13</v>
      </c>
      <c r="O17" s="87">
        <f>_xlfn.XLOOKUP(_xlfn.XLOOKUP($AS$6&amp;$B17,公表[班別+時段],公表[備勤2],""),$AX$9:$AX$25,$AY$9:$AY$25,"")</f>
        <v>19</v>
      </c>
      <c r="P17" s="87"/>
      <c r="Q17" s="87">
        <f>_xlfn.XLOOKUP(_xlfn.XLOOKUP($AS$6&amp;$B17,公表[班別+時段],公表[備勤3],""),$AX$9:$AX$25,$AY$9:$AY$25,"")</f>
        <v>8</v>
      </c>
      <c r="R17" s="87">
        <f>_xlfn.XLOOKUP(_xlfn.XLOOKUP($AS$6&amp;$B17,公表[班別+時段],公表[備勤4],""),$AX$9:$AX$25,$AY$9:$AY$25,"")</f>
        <v>27</v>
      </c>
      <c r="S17" s="87"/>
      <c r="T17" s="87">
        <f>_xlfn.XLOOKUP(_xlfn.XLOOKUP($AS$6&amp;$B17,公表[班別+時段],公表[備勤5],""),$AX$9:$AX$25,$AY$9:$AY$25,"")</f>
        <v>5</v>
      </c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87"/>
      <c r="AC17" s="87"/>
      <c r="AD17" s="87"/>
      <c r="AE17" s="88">
        <f>_xlfn.XLOOKUP(_xlfn.XLOOKUP($AS$6&amp;$B17,公表[班別+時段],公表[指揮官],""),$AX$9:$AX$25,$AY$9:$AY$25,"")</f>
        <v>2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27">
        <v>9</v>
      </c>
      <c r="AP17" s="127" t="str">
        <v>鍾佳諭</v>
      </c>
      <c r="AQ17" s="127" t="str" cm="1">
        <f t="array" ref="AQ17">IFERROR(_xlfn.XLOOKUP(_xlfn.XLOOKUP($AQ$3,輪休基準表!$C$6:$C$36,_xlfn.XLOOKUP(AP17,輪休基準表!$E$5:$AF$5,輪休基準表!$E$6:$AF$36,""),""),班別參數!$A$4:$A$20,班別參數!$B$4:$B$20,""),"")</f>
        <v>輪休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/>
      </c>
      <c r="AT17" s="180" t="str">
        <f t="shared" si="0"/>
        <v/>
      </c>
      <c r="AU17" s="180" t="str">
        <f t="shared" si="1"/>
        <v/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27"/>
    </row>
    <row r="18" spans="2:56" ht="30" customHeight="1">
      <c r="B18" s="81" t="s">
        <v>81</v>
      </c>
      <c r="C18" s="87">
        <f>_xlfn.XLOOKUP(_xlfn.XLOOKUP($AS$6&amp;$B18,公表[班別+時段],公表[值班],""),$AX$9:$AX$25,$AY$9:$AY$25,"")</f>
        <v>27</v>
      </c>
      <c r="D18" s="100"/>
      <c r="E18" s="292" t="s">
        <v>381</v>
      </c>
      <c r="F18" s="100"/>
      <c r="G18" s="122" t="str">
        <f>IF(BC13="","",BC13)</f>
        <v>8</v>
      </c>
      <c r="H18" s="297"/>
      <c r="I18" s="92">
        <f>_xlfn.XLOOKUP(_xlfn.XLOOKUP($AS$6&amp;$B18,公表[班別+時段],公表[救護1],""),$AX$9:$AX$25,$AY$9:$AY$25,"")</f>
        <v>10</v>
      </c>
      <c r="J18" s="92">
        <f>_xlfn.XLOOKUP(_xlfn.XLOOKUP($AS$6&amp;$B18,公表[班別+時段],公表[救護2],""),$AX$9:$AX$25,$AY$9:$AY$25,"")</f>
        <v>19</v>
      </c>
      <c r="K18" s="92"/>
      <c r="L18" s="87" t="s">
        <v>212</v>
      </c>
      <c r="M18" s="312"/>
      <c r="N18" s="87">
        <f>_xlfn.XLOOKUP(_xlfn.XLOOKUP($AS$6&amp;$B18,公表[班別+時段],公表[備勤1],""),$AX$9:$AX$25,$AY$9:$AY$25,"")</f>
        <v>21</v>
      </c>
      <c r="O18" s="87">
        <v>13</v>
      </c>
      <c r="P18" s="87"/>
      <c r="Q18" s="87"/>
      <c r="R18" s="87"/>
      <c r="S18" s="87"/>
      <c r="T18" s="87"/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87"/>
      <c r="AC18" s="87"/>
      <c r="AD18" s="87"/>
      <c r="AE18" s="88">
        <v>5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27">
        <v>10</v>
      </c>
      <c r="AP18" s="127" t="str">
        <v>林宏澤</v>
      </c>
      <c r="AQ18" s="127" t="str" cm="1">
        <f t="array" ref="AQ18">IFERROR(_xlfn.XLOOKUP(_xlfn.XLOOKUP($AQ$3,輪休基準表!$C$6:$C$36,_xlfn.XLOOKUP(AP18,輪休基準表!$E$5:$AF$5,輪休基準表!$E$6:$AF$36,""),""),班別參數!$A$4:$A$20,班別參數!$B$4:$B$20,""),"")</f>
        <v>上班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>已排</v>
      </c>
      <c r="AT18" s="180">
        <f t="shared" si="0"/>
        <v>8</v>
      </c>
      <c r="AU18" s="180">
        <f t="shared" si="1"/>
        <v>8</v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27"/>
    </row>
    <row r="19" spans="2:56" ht="30" customHeight="1" thickBot="1">
      <c r="B19" s="110" t="s">
        <v>82</v>
      </c>
      <c r="C19" s="89">
        <f>_xlfn.XLOOKUP(_xlfn.XLOOKUP($AS$6&amp;$B19,公表[班別+時段],公表[值班],""),$AX$9:$AX$25,$AY$9:$AY$25,"")</f>
        <v>27</v>
      </c>
      <c r="D19" s="106"/>
      <c r="E19" s="293"/>
      <c r="F19" s="236"/>
      <c r="G19" s="123" t="str">
        <f>IF(BC13="","",BC13)</f>
        <v>8</v>
      </c>
      <c r="H19" s="107"/>
      <c r="I19" s="216">
        <f>_xlfn.XLOOKUP(_xlfn.XLOOKUP($AS$6&amp;$B19,公表[班別+時段],公表[救護1],""),$AX$9:$AX$25,$AY$9:$AY$25,"")</f>
        <v>10</v>
      </c>
      <c r="J19" s="216">
        <f>_xlfn.XLOOKUP(_xlfn.XLOOKUP($AS$6&amp;$B19,公表[班別+時段],公表[救護2],""),$AX$9:$AX$25,$AY$9:$AY$25,"")</f>
        <v>19</v>
      </c>
      <c r="K19" s="105"/>
      <c r="L19" s="93" t="s">
        <v>212</v>
      </c>
      <c r="M19" s="312"/>
      <c r="N19" s="89">
        <f>_xlfn.XLOOKUP(_xlfn.XLOOKUP($AS$6&amp;$B19,公表[班別+時段],公表[備勤1],""),$AX$9:$AX$25,$AY$9:$AY$25,"")</f>
        <v>21</v>
      </c>
      <c r="O19" s="89">
        <v>13</v>
      </c>
      <c r="P19" s="89"/>
      <c r="Q19" s="89"/>
      <c r="R19" s="89"/>
      <c r="S19" s="89"/>
      <c r="T19" s="89"/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89"/>
      <c r="AC19" s="89"/>
      <c r="AD19" s="89"/>
      <c r="AE19" s="104">
        <v>5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27">
        <v>11</v>
      </c>
      <c r="AP19" s="127" t="str">
        <v>簡君諺</v>
      </c>
      <c r="AQ19" s="127" t="str" cm="1">
        <f t="array" ref="AQ19">IFERROR(_xlfn.XLOOKUP(_xlfn.XLOOKUP($AQ$3,輪休基準表!$C$6:$C$36,_xlfn.XLOOKUP(AP19,輪休基準表!$E$5:$AF$5,輪休基準表!$E$6:$AF$36,""),""),班別參數!$A$4:$A$20,班別參數!$B$4:$B$20,""),"")</f>
        <v>輪休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/>
      </c>
      <c r="AT19" s="180" t="str">
        <f t="shared" si="0"/>
        <v/>
      </c>
      <c r="AU19" s="180" t="str">
        <f t="shared" si="1"/>
        <v/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:AY20">IF(AX19="","",_xlfn._xlws.FILTER($AO$9:$AO$13,$AQ$9:$AQ$13="上班",""))</f>
        <v>2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27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5</v>
      </c>
      <c r="D20" s="97"/>
      <c r="E20" s="97"/>
      <c r="F20" s="97"/>
      <c r="G20" s="121" t="str">
        <f>IF(BC14="","",BC14)</f>
        <v>13</v>
      </c>
      <c r="H20" s="55"/>
      <c r="I20" s="94">
        <f>_xlfn.XLOOKUP(_xlfn.XLOOKUP($AS$6&amp;$B20,公表[班別+時段],公表[救護1],""),$AX$9:$AX$25,$AY$9:$AY$25,"")</f>
        <v>27</v>
      </c>
      <c r="J20" s="94">
        <f>_xlfn.XLOOKUP(_xlfn.XLOOKUP($AS$6&amp;$B20,公表[班別+時段],公表[救護2],""),$AX$9:$AX$25,$AY$9:$AY$25,"")</f>
        <v>28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19</v>
      </c>
      <c r="O20" s="90">
        <f>_xlfn.XLOOKUP(_xlfn.XLOOKUP($AS$6&amp;$B20,公表[班別+時段],公表[備勤2],""),$AX$9:$AX$25,$AY$9:$AY$25,"")</f>
        <v>8</v>
      </c>
      <c r="P20" s="90"/>
      <c r="Q20" s="90">
        <f>_xlfn.XLOOKUP(_xlfn.XLOOKUP($AS$6&amp;$B20,公表[班別+時段],公表[備勤3],""),$AX$9:$AX$25,$AY$9:$AY$25,"")</f>
        <v>21</v>
      </c>
      <c r="R20" s="90">
        <f>_xlfn.XLOOKUP(_xlfn.XLOOKUP($AS$6&amp;$B20,公表[班別+時段],公表[備勤4],""),$AX$9:$AX$25,$AY$9:$AY$25,"")</f>
        <v>10</v>
      </c>
      <c r="S20" s="90"/>
      <c r="T20" s="90">
        <f>_xlfn.XLOOKUP(_xlfn.XLOOKUP($AS$6&amp;$B20,公表[班別+時段],公表[備勤5],""),$AX$9:$AX$25,$AY$9:$AY$25,"")</f>
        <v>0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90"/>
      <c r="AC20" s="90"/>
      <c r="AD20" s="90"/>
      <c r="AE20" s="91">
        <f>_xlfn.XLOOKUP(_xlfn.XLOOKUP($AS$6&amp;$B20,公表[班別+時段],公表[指揮官],""),$AX$9:$AX$25,$AY$9:$AY$25,"")</f>
        <v>2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27">
        <v>12</v>
      </c>
      <c r="AP20" s="127" t="str">
        <v>王昱勛</v>
      </c>
      <c r="AQ20" s="127" t="str" cm="1">
        <f t="array" ref="AQ20">IFERROR(_xlfn.XLOOKUP(_xlfn.XLOOKUP($AQ$3,輪休基準表!$C$6:$C$36,_xlfn.XLOOKUP(AP20,輪休基準表!$E$5:$AF$5,輪休基準表!$E$6:$AF$36,""),""),班別參數!$A$4:$A$20,班別參數!$B$4:$B$20,""),"")</f>
        <v>輪休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/>
      </c>
      <c r="AT20" s="180" t="str">
        <f t="shared" si="0"/>
        <v/>
      </c>
      <c r="AU20" s="180" t="str">
        <f t="shared" si="1"/>
        <v/>
      </c>
      <c r="AV20" s="25"/>
      <c r="AW20" s="33" t="str">
        <f t="array" ref="AW20">INDEX(班別參數!$D$4:$D$20,ROW()-7,MATCH($AW$8,班別參數!$D$4:$D$20,0))</f>
        <v>帶隊官</v>
      </c>
      <c r="AX20" s="34" t="str">
        <f t="array" ref="AX20">IFERROR(INDEX(班別參數!$D$4:$S$20,MATCH(AW20,班別參數!$D$4:$D$20,0),MATCH($AS$6,班別參數!$D$4:$S$4,0)),"")</f>
        <v>L</v>
      </c>
      <c r="AY20" s="38">
        <v>5</v>
      </c>
      <c r="AZ20" s="32"/>
      <c r="BA20" s="33" t="s">
        <v>67</v>
      </c>
      <c r="BB20" s="34" t="str">
        <f t="array" ref="BB20">IFERROR(INDEX(班別參數!$D$23:$S$35,MATCH(BA20,班別參數!$D$23:$D$35,0),MATCH($AS$6,班別參數!$D$23:$S$23,0)),"")</f>
        <v>G,L</v>
      </c>
      <c r="BC20" s="41" t="str">
        <f t="shared" si="2"/>
        <v>19,5</v>
      </c>
      <c r="BD20" s="127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5</v>
      </c>
      <c r="D21" s="95"/>
      <c r="E21" s="95"/>
      <c r="F21" s="95"/>
      <c r="G21" s="122" t="str">
        <f>IF(BC14="","",BC14)</f>
        <v>13</v>
      </c>
      <c r="H21" s="296" t="str">
        <f>AY4</f>
        <v>器材車、化學(處理)車</v>
      </c>
      <c r="I21" s="92">
        <f>_xlfn.XLOOKUP(_xlfn.XLOOKUP($AS$6&amp;$B21,公表[班別+時段],公表[救護1],""),$AX$9:$AX$25,$AY$9:$AY$25,"")</f>
        <v>27</v>
      </c>
      <c r="J21" s="92">
        <f>_xlfn.XLOOKUP(_xlfn.XLOOKUP($AS$6&amp;$B21,公表[班別+時段],公表[救護2],""),$AX$9:$AX$25,$AY$9:$AY$25,"")</f>
        <v>28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19</v>
      </c>
      <c r="O21" s="87">
        <f>_xlfn.XLOOKUP(_xlfn.XLOOKUP($AS$6&amp;$B21,公表[班別+時段],公表[備勤2],""),$AX$9:$AX$25,$AY$9:$AY$25,"")</f>
        <v>8</v>
      </c>
      <c r="P21" s="87"/>
      <c r="Q21" s="87">
        <f>_xlfn.XLOOKUP(_xlfn.XLOOKUP($AS$6&amp;$B21,公表[班別+時段],公表[備勤3],""),$AX$9:$AX$25,$AY$9:$AY$25,"")</f>
        <v>21</v>
      </c>
      <c r="R21" s="87">
        <f>_xlfn.XLOOKUP(_xlfn.XLOOKUP($AS$6&amp;$B21,公表[班別+時段],公表[備勤4],""),$AX$9:$AX$25,$AY$9:$AY$25,"")</f>
        <v>10</v>
      </c>
      <c r="S21" s="87"/>
      <c r="T21" s="87">
        <f>_xlfn.XLOOKUP(_xlfn.XLOOKUP($AS$6&amp;$B21,公表[班別+時段],公表[備勤5],""),$AX$9:$AX$25,$AY$9:$AY$25,"")</f>
        <v>0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87"/>
      <c r="AC21" s="87"/>
      <c r="AD21" s="87"/>
      <c r="AE21" s="88">
        <f>_xlfn.XLOOKUP(_xlfn.XLOOKUP($AS$6&amp;$B21,公表[班別+時段],公表[指揮官],""),$AX$9:$AX$25,$AY$9:$AY$25,"")</f>
        <v>2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27">
        <v>13</v>
      </c>
      <c r="AP21" s="127" t="str">
        <v>葉宗哲</v>
      </c>
      <c r="AQ21" s="127" t="str" cm="1">
        <f t="array" ref="AQ21">IFERROR(_xlfn.XLOOKUP(_xlfn.XLOOKUP($AQ$3,輪休基準表!$C$6:$C$36,_xlfn.XLOOKUP(AP21,輪休基準表!$E$5:$AF$5,輪休基準表!$E$6:$AF$36,""),""),班別參數!$A$4:$A$20,班別參數!$B$4:$B$20,""),"")</f>
        <v>上班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>已排</v>
      </c>
      <c r="AT21" s="180">
        <f t="shared" si="0"/>
        <v>8</v>
      </c>
      <c r="AU21" s="180">
        <f t="shared" si="1"/>
        <v>8</v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27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10</v>
      </c>
      <c r="D22" s="95"/>
      <c r="E22" s="95"/>
      <c r="F22" s="95"/>
      <c r="G22" s="122" t="str">
        <f>IF(BC15="","",BC15)</f>
        <v>21</v>
      </c>
      <c r="H22" s="297"/>
      <c r="I22" s="92">
        <f>_xlfn.XLOOKUP(_xlfn.XLOOKUP($AS$6&amp;$B22,公表[班別+時段],公表[救護1],""),$AX$9:$AX$25,$AY$9:$AY$25,"")</f>
        <v>13</v>
      </c>
      <c r="J22" s="92">
        <f>_xlfn.XLOOKUP(_xlfn.XLOOKUP($AS$6&amp;$B22,公表[班別+時段],公表[救護2],""),$AX$9:$AX$25,$AY$9:$AY$25,"")</f>
        <v>19</v>
      </c>
      <c r="K22" s="92"/>
      <c r="L22" s="87" t="s">
        <v>212</v>
      </c>
      <c r="M22" s="312"/>
      <c r="N22" s="87">
        <f>_xlfn.XLOOKUP(_xlfn.XLOOKUP($AS$6&amp;$B22,公表[班別+時段],公表[備勤1],""),$AX$9:$AX$25,$AY$9:$AY$25,"")</f>
        <v>8</v>
      </c>
      <c r="O22" s="87">
        <f>_xlfn.XLOOKUP(_xlfn.XLOOKUP($AS$6&amp;$B22,公表[班別+時段],公表[備勤2],""),$AX$9:$AX$25,$AY$9:$AY$25,"")</f>
        <v>27</v>
      </c>
      <c r="P22" s="87"/>
      <c r="Q22" s="87">
        <f>_xlfn.XLOOKUP(_xlfn.XLOOKUP($AS$6&amp;$B22,公表[班別+時段],公表[備勤3],""),$AX$9:$AX$25,$AY$9:$AY$25,"")</f>
        <v>28</v>
      </c>
      <c r="R22" s="87">
        <f>_xlfn.XLOOKUP(_xlfn.XLOOKUP($AS$6&amp;$B22,公表[班別+時段],公表[備勤4],""),$AX$9:$AX$25,$AY$9:$AY$25,"")</f>
        <v>0</v>
      </c>
      <c r="S22" s="87"/>
      <c r="T22" s="87">
        <f>_xlfn.XLOOKUP(_xlfn.XLOOKUP($AS$6&amp;$B22,公表[班別+時段],公表[備勤5],""),$AX$9:$AX$25,$AY$9:$AY$25,"")</f>
        <v>5</v>
      </c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87"/>
      <c r="AC22" s="87"/>
      <c r="AD22" s="87"/>
      <c r="AE22" s="88">
        <f>_xlfn.XLOOKUP(_xlfn.XLOOKUP($AS$6&amp;$B22,公表[班別+時段],公表[指揮官],""),$AX$9:$AX$25,$AY$9:$AY$25,"")</f>
        <v>2</v>
      </c>
      <c r="AF22" s="57" t="s">
        <v>213</v>
      </c>
      <c r="AG22" s="305" t="str" cm="1">
        <f t="array" ref="AG22">_xlfn.TEXTJOIN(".",1,_xlfn._xlws.FILTER($AO$9:$AO$40,$AQ$9:$AQ$40="上班",""))</f>
        <v>2.5.8.10.13.19.21.27.28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27">
        <v>14</v>
      </c>
      <c r="AP22" s="127" t="str">
        <v>王浩任</v>
      </c>
      <c r="AQ22" s="127" t="str" cm="1">
        <f t="array" ref="AQ22">IFERROR(_xlfn.XLOOKUP(_xlfn.XLOOKUP($AQ$3,輪休基準表!$C$6:$C$36,_xlfn.XLOOKUP(AP22,輪休基準表!$E$5:$AF$5,輪休基準表!$E$6:$AF$36,""),""),班別參數!$A$4:$A$20,班別參數!$B$4:$B$20,""),"")</f>
        <v>輪休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/>
      </c>
      <c r="AT22" s="180" t="str">
        <f t="shared" si="0"/>
        <v/>
      </c>
      <c r="AU22" s="180" t="str">
        <f t="shared" si="1"/>
        <v/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27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10</v>
      </c>
      <c r="D23" s="106"/>
      <c r="E23" s="96"/>
      <c r="F23" s="96"/>
      <c r="G23" s="123" t="str">
        <f>IF(BC15="","",BC15)</f>
        <v>21</v>
      </c>
      <c r="H23" s="107"/>
      <c r="I23" s="216">
        <f>_xlfn.XLOOKUP(_xlfn.XLOOKUP($AS$6&amp;$B23,公表[班別+時段],公表[救護1],""),$AX$9:$AX$25,$AY$9:$AY$25,"")</f>
        <v>13</v>
      </c>
      <c r="J23" s="216">
        <f>_xlfn.XLOOKUP(_xlfn.XLOOKUP($AS$6&amp;$B23,公表[班別+時段],公表[救護2],""),$AX$9:$AX$25,$AY$9:$AY$25,"")</f>
        <v>19</v>
      </c>
      <c r="K23" s="105"/>
      <c r="L23" s="93" t="s">
        <v>212</v>
      </c>
      <c r="M23" s="312"/>
      <c r="N23" s="89">
        <f>_xlfn.XLOOKUP(_xlfn.XLOOKUP($AS$6&amp;$B23,公表[班別+時段],公表[備勤1],""),$AX$9:$AX$25,$AY$9:$AY$25,"")</f>
        <v>8</v>
      </c>
      <c r="O23" s="89">
        <f>_xlfn.XLOOKUP(_xlfn.XLOOKUP($AS$6&amp;$B23,公表[班別+時段],公表[備勤2],""),$AX$9:$AX$25,$AY$9:$AY$25,"")</f>
        <v>27</v>
      </c>
      <c r="P23" s="89"/>
      <c r="Q23" s="89">
        <f>_xlfn.XLOOKUP(_xlfn.XLOOKUP($AS$6&amp;$B23,公表[班別+時段],公表[備勤3],""),$AX$9:$AX$25,$AY$9:$AY$25,"")</f>
        <v>28</v>
      </c>
      <c r="R23" s="89">
        <f>_xlfn.XLOOKUP(_xlfn.XLOOKUP($AS$6&amp;$B23,公表[班別+時段],公表[備勤4],""),$AX$9:$AX$25,$AY$9:$AY$25,"")</f>
        <v>0</v>
      </c>
      <c r="S23" s="89"/>
      <c r="T23" s="89">
        <f>_xlfn.XLOOKUP(_xlfn.XLOOKUP($AS$6&amp;$B23,公表[班別+時段],公表[備勤5],""),$AX$9:$AX$25,$AY$9:$AY$25,"")</f>
        <v>5</v>
      </c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89"/>
      <c r="AC23" s="89"/>
      <c r="AD23" s="89"/>
      <c r="AE23" s="104">
        <f>_xlfn.XLOOKUP(_xlfn.XLOOKUP($AS$6&amp;$B23,公表[班別+時段],公表[指揮官],""),$AX$9:$AX$25,$AY$9:$AY$25,"")</f>
        <v>2</v>
      </c>
      <c r="AF23" s="57" t="s">
        <v>6</v>
      </c>
      <c r="AG23" s="305" t="str" cm="1">
        <f t="array" ref="AG23">_xlfn.TEXTJOIN(".",1,_xlfn._xlws.FILTER($AO$9:$AO$40,$AQ$9:$AQ$40=$AF$23,""))</f>
        <v>1.3.4.6.7.9.11.12.14.15.16.20.22.24.25.26</v>
      </c>
      <c r="AH23" s="400"/>
      <c r="AI23" s="400"/>
      <c r="AJ23" s="400"/>
      <c r="AK23" s="400"/>
      <c r="AL23" s="400"/>
      <c r="AM23" s="401"/>
      <c r="AN23" s="214"/>
      <c r="AO23" s="127">
        <v>15</v>
      </c>
      <c r="AP23" s="127" t="str">
        <v>李仕詮</v>
      </c>
      <c r="AQ23" s="127" t="str" cm="1">
        <f t="array" ref="AQ23">IFERROR(_xlfn.XLOOKUP(_xlfn.XLOOKUP($AQ$3,輪休基準表!$C$6:$C$36,_xlfn.XLOOKUP(AP23,輪休基準表!$E$5:$AF$5,輪休基準表!$E$6:$AF$36,""),""),班別參數!$A$4:$A$20,班別參數!$B$4:$B$20,""),"")</f>
        <v>輪休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/>
      </c>
      <c r="AT23" s="180" t="str">
        <f t="shared" si="0"/>
        <v/>
      </c>
      <c r="AU23" s="180" t="str">
        <f t="shared" si="1"/>
        <v/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27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28</v>
      </c>
      <c r="D24" s="97"/>
      <c r="E24" s="97"/>
      <c r="F24" s="97"/>
      <c r="G24" s="121">
        <v>27</v>
      </c>
      <c r="H24" s="55"/>
      <c r="I24" s="94">
        <f>_xlfn.XLOOKUP(_xlfn.XLOOKUP($AS$6&amp;$B24,公表[班別+時段],公表[救護1],""),$AX$9:$AX$25,$AY$9:$AY$25,"")</f>
        <v>10</v>
      </c>
      <c r="J24" s="94">
        <f>_xlfn.XLOOKUP(_xlfn.XLOOKUP($AS$6&amp;$B24,公表[班別+時段],公表[救護2],""),$AX$9:$AX$25,$AY$9:$AY$25,"")</f>
        <v>21</v>
      </c>
      <c r="K24" s="90"/>
      <c r="L24" s="90" t="s">
        <v>212</v>
      </c>
      <c r="M24" s="312"/>
      <c r="N24" s="90">
        <f>_xlfn.XLOOKUP(_xlfn.XLOOKUP($AS$6&amp;$B24,公表[班別+時段],公表[備勤1],""),$AX$9:$AX$25,$AY$9:$AY$25,"")</f>
        <v>13</v>
      </c>
      <c r="O24" s="90">
        <f>_xlfn.XLOOKUP(_xlfn.XLOOKUP($AS$6&amp;$B24,公表[班別+時段],公表[備勤2],""),$AX$9:$AX$25,$AY$9:$AY$25,"")</f>
        <v>19</v>
      </c>
      <c r="P24" s="90"/>
      <c r="Q24" s="90">
        <f>_xlfn.XLOOKUP(_xlfn.XLOOKUP($AS$6&amp;$B24,公表[班別+時段],公表[備勤3],""),$AX$9:$AX$25,$AY$9:$AY$25,"")</f>
        <v>8</v>
      </c>
      <c r="R24" s="90"/>
      <c r="S24" s="90"/>
      <c r="T24" s="90">
        <f>_xlfn.XLOOKUP(_xlfn.XLOOKUP($AS$6&amp;$B24,公表[班別+時段],公表[備勤5],""),$AX$9:$AX$25,$AY$9:$AY$25,"")</f>
        <v>5</v>
      </c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90"/>
      <c r="AC24" s="90"/>
      <c r="AD24" s="90"/>
      <c r="AE24" s="91">
        <f>_xlfn.XLOOKUP(_xlfn.XLOOKUP($AS$6&amp;$B24,公表[班別+時段],公表[指揮官],""),$AX$9:$AX$25,$AY$9:$AY$25,"")</f>
        <v>2</v>
      </c>
      <c r="AF24" s="57" t="s">
        <v>17</v>
      </c>
      <c r="AG24" s="305" t="str" cm="1">
        <f t="array" ref="AG24">_xlfn.TEXTJOIN(".",1,_xlfn._xlws.FILTER($AO$9:$AO$40,$AQ$9:$AQ$40=$AF$24,""))</f>
        <v>23</v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>17</v>
      </c>
      <c r="AL24" s="400"/>
      <c r="AM24" s="401"/>
      <c r="AN24" s="214"/>
      <c r="AO24" s="127">
        <v>16</v>
      </c>
      <c r="AP24" s="127" t="str">
        <v>楊弘宇</v>
      </c>
      <c r="AQ24" s="127" t="str" cm="1">
        <f t="array" ref="AQ24">IFERROR(_xlfn.XLOOKUP(_xlfn.XLOOKUP($AQ$3,輪休基準表!$C$6:$C$36,_xlfn.XLOOKUP(AP24,輪休基準表!$E$5:$AF$5,輪休基準表!$E$6:$AF$36,""),""),班別參數!$A$4:$A$20,班別參數!$B$4:$B$20,""),"")</f>
        <v>輪休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/>
      </c>
      <c r="AT24" s="180" t="str">
        <f t="shared" si="0"/>
        <v/>
      </c>
      <c r="AU24" s="180" t="str">
        <f t="shared" si="1"/>
        <v/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27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28</v>
      </c>
      <c r="D25" s="95"/>
      <c r="E25" s="95"/>
      <c r="F25" s="95"/>
      <c r="G25" s="122">
        <v>27</v>
      </c>
      <c r="H25" s="37"/>
      <c r="I25" s="92">
        <f>_xlfn.XLOOKUP(_xlfn.XLOOKUP($AS$6&amp;$B25,公表[班別+時段],公表[救護1],""),$AX$9:$AX$25,$AY$9:$AY$25,"")</f>
        <v>10</v>
      </c>
      <c r="J25" s="92">
        <f>_xlfn.XLOOKUP(_xlfn.XLOOKUP($AS$6&amp;$B25,公表[班別+時段],公表[救護2],""),$AX$9:$AX$25,$AY$9:$AY$25,"")</f>
        <v>21</v>
      </c>
      <c r="K25" s="87"/>
      <c r="L25" s="87" t="s">
        <v>212</v>
      </c>
      <c r="M25" s="312"/>
      <c r="N25" s="87">
        <f>_xlfn.XLOOKUP(_xlfn.XLOOKUP($AS$6&amp;$B25,公表[班別+時段],公表[備勤1],""),$AX$9:$AX$25,$AY$9:$AY$25,"")</f>
        <v>13</v>
      </c>
      <c r="O25" s="87">
        <f>_xlfn.XLOOKUP(_xlfn.XLOOKUP($AS$6&amp;$B25,公表[班別+時段],公表[備勤2],""),$AX$9:$AX$25,$AY$9:$AY$25,"")</f>
        <v>19</v>
      </c>
      <c r="P25" s="87"/>
      <c r="Q25" s="87">
        <f>_xlfn.XLOOKUP(_xlfn.XLOOKUP($AS$6&amp;$B25,公表[班別+時段],公表[備勤3],""),$AX$9:$AX$25,$AY$9:$AY$25,"")</f>
        <v>8</v>
      </c>
      <c r="R25" s="87"/>
      <c r="S25" s="87"/>
      <c r="T25" s="87">
        <f>_xlfn.XLOOKUP(_xlfn.XLOOKUP($AS$6&amp;$B25,公表[班別+時段],公表[備勤5],""),$AX$9:$AX$25,$AY$9:$AY$25,"")</f>
        <v>5</v>
      </c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87"/>
      <c r="AC25" s="87"/>
      <c r="AD25" s="87"/>
      <c r="AE25" s="88">
        <f>_xlfn.XLOOKUP(_xlfn.XLOOKUP($AS$6&amp;$B25,公表[班別+時段],公表[指揮官],""),$AX$9:$AX$25,$AY$9:$AY$25,"")</f>
        <v>2</v>
      </c>
      <c r="AF25" s="57" t="s">
        <v>28</v>
      </c>
      <c r="AG25" s="305" t="str" cm="1">
        <f t="array" ref="AG25">_xlfn.TEXTJOIN(".",1,_xlfn._xlws.FILTER($AO$9:$AO$40,$AQ$9:$AQ$40=$AF$25,""))</f>
        <v>18</v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/>
      </c>
      <c r="AL25" s="309"/>
      <c r="AM25" s="310"/>
      <c r="AN25" s="214"/>
      <c r="AO25" s="127">
        <v>17</v>
      </c>
      <c r="AP25" s="127" t="str">
        <v>楊仲豪</v>
      </c>
      <c r="AQ25" s="127" t="str" cm="1">
        <f t="array" ref="AQ25">IFERROR(_xlfn.XLOOKUP(_xlfn.XLOOKUP($AQ$3,輪休基準表!$C$6:$C$36,_xlfn.XLOOKUP(AP25,輪休基準表!$E$5:$AF$5,輪休基準表!$E$6:$AF$36,""),""),班別參數!$A$4:$A$20,班別參數!$B$4:$B$20,""),"")</f>
        <v>補休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/>
      </c>
      <c r="AT25" s="180" t="str">
        <f t="shared" si="0"/>
        <v/>
      </c>
      <c r="AU25" s="180" t="str">
        <f t="shared" si="1"/>
        <v/>
      </c>
      <c r="AW25" s="33"/>
      <c r="AX25" s="45"/>
      <c r="AY25" s="25"/>
      <c r="AZ25" s="28"/>
      <c r="BA25" s="33"/>
      <c r="BB25" s="25"/>
      <c r="BD25" s="127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28</v>
      </c>
      <c r="D26" s="95"/>
      <c r="E26" s="95"/>
      <c r="F26" s="95"/>
      <c r="G26" s="122" t="str">
        <f>IF(BC17="","",BC17)</f>
        <v/>
      </c>
      <c r="H26" s="37"/>
      <c r="I26" s="92">
        <f>_xlfn.XLOOKUP(_xlfn.XLOOKUP($AS$6&amp;$B26,公表[班別+時段],公表[救護1],""),$AX$9:$AX$25,$AY$9:$AY$25,"")</f>
        <v>8</v>
      </c>
      <c r="J26" s="92">
        <f>_xlfn.XLOOKUP(_xlfn.XLOOKUP($AS$6&amp;$B26,公表[班別+時段],公表[救護2],""),$AX$9:$AX$25,$AY$9:$AY$25,"")</f>
        <v>13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19</v>
      </c>
      <c r="O26" s="87">
        <f>_xlfn.XLOOKUP(_xlfn.XLOOKUP($AS$6&amp;$B26,公表[班別+時段],公表[備勤2],""),$AX$9:$AX$25,$AY$9:$AY$25,"")</f>
        <v>10</v>
      </c>
      <c r="P26" s="87"/>
      <c r="Q26" s="87">
        <f>_xlfn.XLOOKUP(_xlfn.XLOOKUP($AS$6&amp;$B26,公表[班別+時段],公表[備勤3],""),$AX$9:$AX$25,$AY$9:$AY$25,"")</f>
        <v>27</v>
      </c>
      <c r="R26" s="87">
        <f>_xlfn.XLOOKUP(_xlfn.XLOOKUP($AS$6&amp;$B26,公表[班別+時段],公表[備勤4],""),$AX$9:$AX$25,$AY$9:$AY$25,"")</f>
        <v>21</v>
      </c>
      <c r="S26" s="87"/>
      <c r="T26" s="87">
        <f>_xlfn.XLOOKUP(_xlfn.XLOOKUP($AS$6&amp;$B26,公表[班別+時段],公表[備勤5],""),$AX$9:$AX$25,$AY$9:$AY$25,"")</f>
        <v>5</v>
      </c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87"/>
      <c r="AC26" s="87"/>
      <c r="AD26" s="87"/>
      <c r="AE26" s="88">
        <f>_xlfn.XLOOKUP(_xlfn.XLOOKUP($AS$6&amp;$B26,公表[班別+時段],公表[指揮官],""),$AX$9:$AX$25,$AY$9:$AY$25,"")</f>
        <v>2</v>
      </c>
      <c r="AF26" s="57" t="s">
        <v>289</v>
      </c>
      <c r="AG26" s="178" t="str" cm="1">
        <f t="array" ref="AG26">_xlfn.TEXTJOIN(".",1,_xlfn._xlws.FILTER($AO$9:$AO$40,$AQ$9:$AQ$40=$AF$26,""))</f>
        <v/>
      </c>
      <c r="AH26" s="168" t="s">
        <v>290</v>
      </c>
      <c r="AI26" s="179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/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27">
        <v>18</v>
      </c>
      <c r="AP26" s="127" t="str">
        <v>林志偉</v>
      </c>
      <c r="AQ26" s="127" t="str" cm="1">
        <f t="array" ref="AQ26">IFERROR(_xlfn.XLOOKUP(_xlfn.XLOOKUP($AQ$3,輪休基準表!$C$6:$C$36,_xlfn.XLOOKUP(AP26,輪休基準表!$E$5:$AF$5,輪休基準表!$E$6:$AF$36,""),""),班別參數!$A$4:$A$20,班別參數!$B$4:$B$20,""),"")</f>
        <v>請休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/>
      </c>
      <c r="AT26" s="180" t="str">
        <f t="shared" si="0"/>
        <v/>
      </c>
      <c r="AU26" s="180" t="str">
        <f t="shared" si="1"/>
        <v/>
      </c>
      <c r="AV26" s="10"/>
      <c r="AW26" s="46"/>
      <c r="AX26" s="45"/>
      <c r="AY26" s="25"/>
      <c r="AZ26" s="28"/>
      <c r="BA26" s="33"/>
      <c r="BB26" s="25"/>
      <c r="BD26" s="127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28</v>
      </c>
      <c r="D27" s="95"/>
      <c r="E27" s="95"/>
      <c r="F27" s="95"/>
      <c r="G27" s="122" t="str">
        <f>IF(BC17="","",BC17)</f>
        <v/>
      </c>
      <c r="H27" s="37"/>
      <c r="I27" s="92">
        <f>_xlfn.XLOOKUP(_xlfn.XLOOKUP($AS$6&amp;$B27,公表[班別+時段],公表[救護1],""),$AX$9:$AX$25,$AY$9:$AY$25,"")</f>
        <v>8</v>
      </c>
      <c r="J27" s="92">
        <f>_xlfn.XLOOKUP(_xlfn.XLOOKUP($AS$6&amp;$B27,公表[班別+時段],公表[救護2],""),$AX$9:$AX$25,$AY$9:$AY$25,"")</f>
        <v>13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19</v>
      </c>
      <c r="O27" s="87">
        <f>_xlfn.XLOOKUP(_xlfn.XLOOKUP($AS$6&amp;$B27,公表[班別+時段],公表[備勤2],""),$AX$9:$AX$25,$AY$9:$AY$25,"")</f>
        <v>10</v>
      </c>
      <c r="P27" s="87"/>
      <c r="Q27" s="87">
        <f>_xlfn.XLOOKUP(_xlfn.XLOOKUP($AS$6&amp;$B27,公表[班別+時段],公表[備勤3],""),$AX$9:$AX$25,$AY$9:$AY$25,"")</f>
        <v>27</v>
      </c>
      <c r="R27" s="87">
        <f>_xlfn.XLOOKUP(_xlfn.XLOOKUP($AS$6&amp;$B27,公表[班別+時段],公表[備勤4],""),$AX$9:$AX$25,$AY$9:$AY$25,"")</f>
        <v>21</v>
      </c>
      <c r="S27" s="87"/>
      <c r="T27" s="87">
        <f>_xlfn.XLOOKUP(_xlfn.XLOOKUP($AS$6&amp;$B27,公表[班別+時段],公表[備勤5],""),$AX$9:$AX$25,$AY$9:$AY$25,"")</f>
        <v>5</v>
      </c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87"/>
      <c r="AC27" s="87"/>
      <c r="AD27" s="87"/>
      <c r="AE27" s="88">
        <f>_xlfn.XLOOKUP(_xlfn.XLOOKUP($AS$6&amp;$B27,公表[班別+時段],公表[指揮官],""),$AX$9:$AX$25,$AY$9:$AY$25,"")</f>
        <v>2</v>
      </c>
      <c r="AF27" s="317" t="s">
        <v>215</v>
      </c>
      <c r="AG27" s="319"/>
      <c r="AH27" s="321"/>
      <c r="AI27" s="321"/>
      <c r="AJ27" s="321"/>
      <c r="AK27" s="321"/>
      <c r="AL27" s="321"/>
      <c r="AM27" s="322"/>
      <c r="AN27" s="214"/>
      <c r="AO27" s="127">
        <v>19</v>
      </c>
      <c r="AP27" s="127" t="str">
        <v>劉家誠</v>
      </c>
      <c r="AQ27" s="127" t="str" cm="1">
        <f t="array" ref="AQ27">IFERROR(_xlfn.XLOOKUP(_xlfn.XLOOKUP($AQ$3,輪休基準表!$C$6:$C$36,_xlfn.XLOOKUP(AP27,輪休基準表!$E$5:$AF$5,輪休基準表!$E$6:$AF$36,""),""),班別參數!$A$4:$A$20,班別參數!$B$4:$B$20,""),"")</f>
        <v>上班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>已排</v>
      </c>
      <c r="AT27" s="180">
        <f t="shared" si="0"/>
        <v>6</v>
      </c>
      <c r="AU27" s="180">
        <f t="shared" si="1"/>
        <v>8</v>
      </c>
      <c r="AV27" s="10"/>
      <c r="AW27" s="46"/>
      <c r="AX27" s="45"/>
      <c r="AY27" s="25"/>
      <c r="AZ27" s="28"/>
      <c r="BA27" s="33"/>
      <c r="BB27" s="25"/>
      <c r="BD27" s="127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28</v>
      </c>
      <c r="D28" s="95"/>
      <c r="E28" s="95"/>
      <c r="F28" s="95"/>
      <c r="G28" s="122" t="str">
        <f>IF(BC18="","",BC18)</f>
        <v/>
      </c>
      <c r="H28" s="37"/>
      <c r="I28" s="92">
        <f>_xlfn.XLOOKUP(_xlfn.XLOOKUP($AS$6&amp;$B28,公表[班別+時段],公表[救護1],""),$AX$9:$AX$25,$AY$9:$AY$25,"")</f>
        <v>8</v>
      </c>
      <c r="J28" s="92">
        <f>_xlfn.XLOOKUP(_xlfn.XLOOKUP($AS$6&amp;$B28,公表[班別+時段],公表[救護2],""),$AX$9:$AX$25,$AY$9:$AY$25,"")</f>
        <v>13</v>
      </c>
      <c r="K28" s="87"/>
      <c r="L28" s="87" t="s">
        <v>212</v>
      </c>
      <c r="M28" s="312"/>
      <c r="N28" s="87">
        <f>_xlfn.XLOOKUP(_xlfn.XLOOKUP($AS$6&amp;$B28,公表[班別+時段],公表[備勤1],""),$AX$9:$AX$25,$AY$9:$AY$25,"")</f>
        <v>21</v>
      </c>
      <c r="O28" s="87">
        <f>_xlfn.XLOOKUP(_xlfn.XLOOKUP($AS$6&amp;$B28,公表[班別+時段],公表[備勤2],""),$AX$9:$AX$25,$AY$9:$AY$25,"")</f>
        <v>27</v>
      </c>
      <c r="P28" s="87"/>
      <c r="Q28" s="87">
        <f>_xlfn.XLOOKUP(_xlfn.XLOOKUP($AS$6&amp;$B28,公表[班別+時段],公表[備勤3],""),$AX$9:$AX$25,$AY$9:$AY$25,"")</f>
        <v>19</v>
      </c>
      <c r="R28" s="87">
        <f>_xlfn.XLOOKUP(_xlfn.XLOOKUP($AS$6&amp;$B28,公表[班別+時段],公表[備勤4],""),$AX$9:$AX$25,$AY$9:$AY$25,"")</f>
        <v>10</v>
      </c>
      <c r="S28" s="87"/>
      <c r="T28" s="87">
        <f>_xlfn.XLOOKUP(_xlfn.XLOOKUP($AS$6&amp;$B28,公表[班別+時段],公表[備勤5],""),$AX$9:$AX$25,$AY$9:$AY$25,"")</f>
        <v>5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87"/>
      <c r="AC28" s="87"/>
      <c r="AD28" s="87"/>
      <c r="AE28" s="88">
        <f>_xlfn.XLOOKUP(_xlfn.XLOOKUP($AS$6&amp;$B28,公表[班別+時段],公表[指揮官],""),$AX$9:$AX$25,$AY$9:$AY$25,"")</f>
        <v>2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27">
        <v>20</v>
      </c>
      <c r="AP28" s="127" t="str">
        <v>呂奇霈</v>
      </c>
      <c r="AQ28" s="127" t="str" cm="1">
        <f t="array" ref="AQ28">IFERROR(_xlfn.XLOOKUP(_xlfn.XLOOKUP($AQ$3,輪休基準表!$C$6:$C$36,_xlfn.XLOOKUP(AP28,輪休基準表!$E$5:$AF$5,輪休基準表!$E$6:$AF$36,""),""),班別參數!$A$4:$A$20,班別參數!$B$4:$B$20,""),"")</f>
        <v>輪休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27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28</v>
      </c>
      <c r="D29" s="95"/>
      <c r="E29" s="95"/>
      <c r="F29" s="95"/>
      <c r="G29" s="122" t="str">
        <f>IF(BC18="","",BC18)</f>
        <v/>
      </c>
      <c r="H29" s="37"/>
      <c r="I29" s="92">
        <f>_xlfn.XLOOKUP(_xlfn.XLOOKUP($AS$6&amp;$B29,公表[班別+時段],公表[救護1],""),$AX$9:$AX$25,$AY$9:$AY$25,"")</f>
        <v>8</v>
      </c>
      <c r="J29" s="92">
        <f>_xlfn.XLOOKUP(_xlfn.XLOOKUP($AS$6&amp;$B29,公表[班別+時段],公表[救護2],""),$AX$9:$AX$25,$AY$9:$AY$25,"")</f>
        <v>13</v>
      </c>
      <c r="K29" s="87"/>
      <c r="L29" s="87" t="s">
        <v>212</v>
      </c>
      <c r="M29" s="312"/>
      <c r="N29" s="87">
        <f>_xlfn.XLOOKUP(_xlfn.XLOOKUP($AS$6&amp;$B29,公表[班別+時段],公表[備勤1],""),$AX$9:$AX$25,$AY$9:$AY$25,"")</f>
        <v>21</v>
      </c>
      <c r="O29" s="87">
        <f>_xlfn.XLOOKUP(_xlfn.XLOOKUP($AS$6&amp;$B29,公表[班別+時段],公表[備勤2],""),$AX$9:$AX$25,$AY$9:$AY$25,"")</f>
        <v>27</v>
      </c>
      <c r="P29" s="87"/>
      <c r="Q29" s="87">
        <f>_xlfn.XLOOKUP(_xlfn.XLOOKUP($AS$6&amp;$B29,公表[班別+時段],公表[備勤3],""),$AX$9:$AX$25,$AY$9:$AY$25,"")</f>
        <v>19</v>
      </c>
      <c r="R29" s="87">
        <f>_xlfn.XLOOKUP(_xlfn.XLOOKUP($AS$6&amp;$B29,公表[班別+時段],公表[備勤4],""),$AX$9:$AX$25,$AY$9:$AY$25,"")</f>
        <v>10</v>
      </c>
      <c r="S29" s="87"/>
      <c r="T29" s="87">
        <f>_xlfn.XLOOKUP(_xlfn.XLOOKUP($AS$6&amp;$B29,公表[班別+時段],公表[備勤5],""),$AX$9:$AX$25,$AY$9:$AY$25,"")</f>
        <v>5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87"/>
      <c r="AC29" s="87"/>
      <c r="AD29" s="87"/>
      <c r="AE29" s="88">
        <f>_xlfn.XLOOKUP(_xlfn.XLOOKUP($AS$6&amp;$B29,公表[班別+時段],公表[指揮官],""),$AX$9:$AX$25,$AY$9:$AY$25,"")</f>
        <v>2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27">
        <v>21</v>
      </c>
      <c r="AP29" s="127" t="str">
        <v>張家和</v>
      </c>
      <c r="AQ29" s="127" t="str" cm="1">
        <f t="array" ref="AQ29">IFERROR(_xlfn.XLOOKUP(_xlfn.XLOOKUP($AQ$3,輪休基準表!$C$6:$C$36,_xlfn.XLOOKUP(AP29,輪休基準表!$E$5:$AF$5,輪休基準表!$E$6:$AF$36,""),""),班別參數!$A$4:$A$20,班別參數!$B$4:$B$20,""),"")</f>
        <v>上班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>已排</v>
      </c>
      <c r="AT29" s="180">
        <f t="shared" si="0"/>
        <v>8</v>
      </c>
      <c r="AU29" s="180">
        <f t="shared" si="1"/>
        <v>6</v>
      </c>
      <c r="AV29" s="10"/>
      <c r="AW29" s="47"/>
      <c r="AX29" s="45"/>
      <c r="AY29" s="25"/>
      <c r="AZ29" s="28"/>
      <c r="BA29" s="33"/>
      <c r="BB29" s="25"/>
      <c r="BD29" s="127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28</v>
      </c>
      <c r="D30" s="95"/>
      <c r="E30" s="95"/>
      <c r="F30" s="95"/>
      <c r="G30" s="122" t="str">
        <f>IF(BC19="","",BC19)</f>
        <v/>
      </c>
      <c r="H30" s="37"/>
      <c r="I30" s="92">
        <f>_xlfn.XLOOKUP(_xlfn.XLOOKUP($AS$6&amp;$B30,公表[班別+時段],公表[救護1],""),$AX$9:$AX$25,$AY$9:$AY$25,"")</f>
        <v>21</v>
      </c>
      <c r="J30" s="92">
        <f>_xlfn.XLOOKUP(_xlfn.XLOOKUP($AS$6&amp;$B30,公表[班別+時段],公表[救護2],""),$AX$9:$AX$25,$AY$9:$AY$25,"")</f>
        <v>27</v>
      </c>
      <c r="K30" s="87"/>
      <c r="L30" s="87" t="s">
        <v>212</v>
      </c>
      <c r="M30" s="312"/>
      <c r="N30" s="87">
        <f>_xlfn.XLOOKUP(_xlfn.XLOOKUP($AS$6&amp;$B30,公表[班別+時段],公表[備勤1],""),$AX$9:$AX$25,$AY$9:$AY$25,"")</f>
        <v>8</v>
      </c>
      <c r="O30" s="87">
        <f>_xlfn.XLOOKUP(_xlfn.XLOOKUP($AS$6&amp;$B30,公表[班別+時段],公表[備勤2],""),$AX$9:$AX$25,$AY$9:$AY$25,"")</f>
        <v>10</v>
      </c>
      <c r="P30" s="87"/>
      <c r="Q30" s="87">
        <f>_xlfn.XLOOKUP(_xlfn.XLOOKUP($AS$6&amp;$B30,公表[班別+時段],公表[備勤3],""),$AX$9:$AX$25,$AY$9:$AY$25,"")</f>
        <v>13</v>
      </c>
      <c r="R30" s="87">
        <f>_xlfn.XLOOKUP(_xlfn.XLOOKUP($AS$6&amp;$B30,公表[班別+時段],公表[備勤4],""),$AX$9:$AX$25,$AY$9:$AY$25,"")</f>
        <v>19</v>
      </c>
      <c r="S30" s="87"/>
      <c r="T30" s="87">
        <f>_xlfn.XLOOKUP(_xlfn.XLOOKUP($AS$6&amp;$B30,公表[班別+時段],公表[備勤5],""),$AX$9:$AX$25,$AY$9:$AY$25,"")</f>
        <v>5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87"/>
      <c r="AC30" s="87"/>
      <c r="AD30" s="87"/>
      <c r="AE30" s="88">
        <f>_xlfn.XLOOKUP(_xlfn.XLOOKUP($AS$6&amp;$B30,公表[班別+時段],公表[指揮官],""),$AX$9:$AX$25,$AY$9:$AY$25,"")</f>
        <v>2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27">
        <v>22</v>
      </c>
      <c r="AP30" s="127" t="str">
        <v>陳俊瑋</v>
      </c>
      <c r="AQ30" s="127" t="str" cm="1">
        <f t="array" ref="AQ30">IFERROR(_xlfn.XLOOKUP(_xlfn.XLOOKUP($AQ$3,輪休基準表!$C$6:$C$36,_xlfn.XLOOKUP(AP30,輪休基準表!$E$5:$AF$5,輪休基準表!$E$6:$AF$36,""),""),班別參數!$A$4:$A$20,班別參數!$B$4:$B$20,""),"")</f>
        <v>輪休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27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28</v>
      </c>
      <c r="D31" s="106"/>
      <c r="E31" s="96"/>
      <c r="F31" s="96"/>
      <c r="G31" s="123" t="str">
        <f>IF(BC19="","",BC19)</f>
        <v/>
      </c>
      <c r="H31" s="109"/>
      <c r="I31" s="216">
        <f>_xlfn.XLOOKUP(_xlfn.XLOOKUP($AS$6&amp;$B31,公表[班別+時段],公表[救護1],""),$AX$9:$AX$25,$AY$9:$AY$25,"")</f>
        <v>21</v>
      </c>
      <c r="J31" s="216">
        <f>_xlfn.XLOOKUP(_xlfn.XLOOKUP($AS$6&amp;$B31,公表[班別+時段],公表[救護2],""),$AX$9:$AX$25,$AY$9:$AY$25,"")</f>
        <v>27</v>
      </c>
      <c r="K31" s="108"/>
      <c r="L31" s="93" t="s">
        <v>212</v>
      </c>
      <c r="M31" s="312"/>
      <c r="N31" s="89">
        <f>_xlfn.XLOOKUP(_xlfn.XLOOKUP($AS$6&amp;$B31,公表[班別+時段],公表[備勤1],""),$AX$9:$AX$25,$AY$9:$AY$25,"")</f>
        <v>8</v>
      </c>
      <c r="O31" s="89">
        <f>_xlfn.XLOOKUP(_xlfn.XLOOKUP($AS$6&amp;$B31,公表[班別+時段],公表[備勤2],""),$AX$9:$AX$25,$AY$9:$AY$25,"")</f>
        <v>10</v>
      </c>
      <c r="P31" s="89"/>
      <c r="Q31" s="89">
        <f>_xlfn.XLOOKUP(_xlfn.XLOOKUP($AS$6&amp;$B31,公表[班別+時段],公表[備勤3],""),$AX$9:$AX$25,$AY$9:$AY$25,"")</f>
        <v>13</v>
      </c>
      <c r="R31" s="89">
        <f>_xlfn.XLOOKUP(_xlfn.XLOOKUP($AS$6&amp;$B31,公表[班別+時段],公表[備勤4],""),$AX$9:$AX$25,$AY$9:$AY$25,"")</f>
        <v>19</v>
      </c>
      <c r="S31" s="89"/>
      <c r="T31" s="89">
        <f>_xlfn.XLOOKUP(_xlfn.XLOOKUP($AS$6&amp;$B31,公表[班別+時段],公表[備勤5],""),$AX$9:$AX$25,$AY$9:$AY$25,"")</f>
        <v>5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89"/>
      <c r="AC31" s="89"/>
      <c r="AD31" s="89"/>
      <c r="AE31" s="104">
        <f>_xlfn.XLOOKUP(_xlfn.XLOOKUP($AS$6&amp;$B31,公表[班別+時段],公表[指揮官],""),$AX$9:$AX$25,$AY$9:$AY$25,"")</f>
        <v>2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27">
        <v>23</v>
      </c>
      <c r="AP31" s="127" t="str">
        <v>陳俊翰</v>
      </c>
      <c r="AQ31" s="127" t="str" cm="1">
        <f t="array" ref="AQ31">IFERROR(_xlfn.XLOOKUP(_xlfn.XLOOKUP($AQ$3,輪休基準表!$C$6:$C$36,_xlfn.XLOOKUP(AP31,輪休基準表!$E$5:$AF$5,輪休基準表!$E$6:$AF$36,""),""),班別參數!$A$4:$A$20,班別參數!$B$4:$B$20,""),"")</f>
        <v>月補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/>
      </c>
      <c r="AT31" s="180" t="str">
        <f t="shared" si="0"/>
        <v/>
      </c>
      <c r="AU31" s="180" t="str">
        <f t="shared" si="1"/>
        <v/>
      </c>
      <c r="AW31" s="47"/>
      <c r="AX31" s="45"/>
      <c r="AY31" s="25"/>
      <c r="AZ31" s="28"/>
      <c r="BA31" s="33"/>
      <c r="BB31" s="25"/>
      <c r="BD31" s="127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28</v>
      </c>
      <c r="D32" s="97"/>
      <c r="E32" s="97"/>
      <c r="F32" s="97"/>
      <c r="G32" s="121" t="s">
        <v>380</v>
      </c>
      <c r="H32" s="56"/>
      <c r="I32" s="94">
        <f>_xlfn.XLOOKUP(_xlfn.XLOOKUP($AS$6&amp;$B32,公表[班別+時段],公表[救護1],""),$AX$9:$AX$25,$AY$9:$AY$25,"")</f>
        <v>21</v>
      </c>
      <c r="J32" s="94">
        <f>_xlfn.XLOOKUP(_xlfn.XLOOKUP($AS$6&amp;$B32,公表[班別+時段],公表[救護2],""),$AX$9:$AX$25,$AY$9:$AY$25,"")</f>
        <v>27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10</v>
      </c>
      <c r="O32" s="90">
        <f>_xlfn.XLOOKUP(_xlfn.XLOOKUP($AS$6&amp;$B32,公表[班別+時段],公表[備勤2],""),$AX$9:$AX$25,$AY$9:$AY$25,"")</f>
        <v>13</v>
      </c>
      <c r="P32" s="90"/>
      <c r="Q32" s="90">
        <f>_xlfn.XLOOKUP(_xlfn.XLOOKUP($AS$6&amp;$B32,公表[班別+時段],公表[備勤3],""),$AX$9:$AX$25,$AY$9:$AY$25,"")</f>
        <v>8</v>
      </c>
      <c r="R32" s="90">
        <f>_xlfn.XLOOKUP(_xlfn.XLOOKUP($AS$6&amp;$B32,公表[班別+時段],公表[備勤4],""),$AX$9:$AX$25,$AY$9:$AY$25,"")</f>
        <v>0</v>
      </c>
      <c r="S32" s="90"/>
      <c r="T32" s="90">
        <f>_xlfn.XLOOKUP(_xlfn.XLOOKUP($AS$6&amp;$B32,公表[班別+時段],公表[備勤5],""),$AX$9:$AX$25,$AY$9:$AY$25,"")</f>
        <v>0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90"/>
      <c r="AC32" s="90"/>
      <c r="AD32" s="90"/>
      <c r="AE32" s="91">
        <v>5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27">
        <v>24</v>
      </c>
      <c r="AP32" s="127" t="str">
        <v>賴俊豪</v>
      </c>
      <c r="AQ32" s="127" t="str" cm="1">
        <f t="array" ref="AQ32">IFERROR(_xlfn.XLOOKUP(_xlfn.XLOOKUP($AQ$3,輪休基準表!$C$6:$C$36,_xlfn.XLOOKUP(AP32,輪休基準表!$E$5:$AF$5,輪休基準表!$E$6:$AF$36,""),""),班別參數!$A$4:$A$20,班別參數!$B$4:$B$20,""),"")</f>
        <v>輪休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/>
      </c>
      <c r="AT32" s="180" t="str">
        <f t="shared" si="0"/>
        <v/>
      </c>
      <c r="AU32" s="180" t="str">
        <f t="shared" si="1"/>
        <v/>
      </c>
      <c r="AW32" s="47"/>
      <c r="AX32" s="45"/>
      <c r="AY32" s="25"/>
      <c r="AZ32" s="28"/>
      <c r="BA32" s="33"/>
      <c r="BB32" s="25"/>
      <c r="BD32" s="127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28</v>
      </c>
      <c r="D33" s="95"/>
      <c r="E33" s="95"/>
      <c r="F33" s="95"/>
      <c r="G33" s="122" t="s">
        <v>380</v>
      </c>
      <c r="H33" s="48"/>
      <c r="I33" s="92">
        <f>_xlfn.XLOOKUP(_xlfn.XLOOKUP($AS$6&amp;$B33,公表[班別+時段],公表[救護1],""),$AX$9:$AX$25,$AY$9:$AY$25,"")</f>
        <v>21</v>
      </c>
      <c r="J33" s="92">
        <f>_xlfn.XLOOKUP(_xlfn.XLOOKUP($AS$6&amp;$B33,公表[班別+時段],公表[救護2],""),$AX$9:$AX$25,$AY$9:$AY$25,"")</f>
        <v>27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10</v>
      </c>
      <c r="O33" s="87">
        <f>_xlfn.XLOOKUP(_xlfn.XLOOKUP($AS$6&amp;$B33,公表[班別+時段],公表[備勤2],""),$AX$9:$AX$25,$AY$9:$AY$25,"")</f>
        <v>13</v>
      </c>
      <c r="P33" s="87"/>
      <c r="Q33" s="87">
        <f>_xlfn.XLOOKUP(_xlfn.XLOOKUP($AS$6&amp;$B33,公表[班別+時段],公表[備勤3],""),$AX$9:$AX$25,$AY$9:$AY$25,"")</f>
        <v>8</v>
      </c>
      <c r="R33" s="87">
        <f>_xlfn.XLOOKUP(_xlfn.XLOOKUP($AS$6&amp;$B33,公表[班別+時段],公表[備勤4],""),$AX$9:$AX$25,$AY$9:$AY$25,"")</f>
        <v>0</v>
      </c>
      <c r="S33" s="87"/>
      <c r="T33" s="87">
        <f>_xlfn.XLOOKUP(_xlfn.XLOOKUP($AS$6&amp;$B33,公表[班別+時段],公表[備勤5],""),$AX$9:$AX$25,$AY$9:$AY$25,"")</f>
        <v>0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87"/>
      <c r="AC33" s="87"/>
      <c r="AD33" s="87"/>
      <c r="AE33" s="88">
        <v>5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27">
        <v>25</v>
      </c>
      <c r="AP33" s="127" t="str">
        <v>郭國偵</v>
      </c>
      <c r="AQ33" s="127" t="str" cm="1">
        <f t="array" ref="AQ33">IFERROR(_xlfn.XLOOKUP(_xlfn.XLOOKUP($AQ$3,輪休基準表!$C$6:$C$36,_xlfn.XLOOKUP(AP33,輪休基準表!$E$5:$AF$5,輪休基準表!$E$6:$AF$36,""),""),班別參數!$A$4:$A$20,班別參數!$B$4:$B$20,""),"")</f>
        <v>輪休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/>
      </c>
      <c r="AT33" s="180" t="str">
        <f t="shared" si="0"/>
        <v/>
      </c>
      <c r="AU33" s="180" t="str">
        <f t="shared" si="1"/>
        <v/>
      </c>
      <c r="AW33" s="47"/>
      <c r="AX33" s="45"/>
      <c r="AY33" s="25"/>
      <c r="AZ33" s="28"/>
      <c r="BA33" s="25"/>
      <c r="BB33" s="25"/>
      <c r="BD33" s="127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一、本日主管輪休，職務由小隊長莊勝斌代理。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27">
        <v>26</v>
      </c>
      <c r="AP34" s="127" t="str">
        <v>楊紹文</v>
      </c>
      <c r="AQ34" s="127" t="str" cm="1">
        <f t="array" ref="AQ34">IFERROR(_xlfn.XLOOKUP(_xlfn.XLOOKUP($AQ$3,輪休基準表!$C$6:$C$36,_xlfn.XLOOKUP(AP34,輪休基準表!$E$5:$AF$5,輪休基準表!$E$6:$AF$36,""),""),班別參數!$A$4:$A$20,班別參數!$B$4:$B$20,""),"")</f>
        <v>輪休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/>
      </c>
      <c r="AT34" s="180" t="str">
        <f t="shared" si="0"/>
        <v/>
      </c>
      <c r="AU34" s="180" t="str">
        <f t="shared" si="1"/>
        <v/>
      </c>
      <c r="AW34" s="47"/>
      <c r="AX34" s="45"/>
      <c r="AY34" s="25"/>
      <c r="AZ34" s="28"/>
      <c r="BA34" s="25"/>
      <c r="BB34" s="25"/>
      <c r="BD34" s="127"/>
    </row>
    <row r="35" spans="2:56" ht="30" customHeight="1">
      <c r="B35" s="349"/>
      <c r="C35" s="359" t="str">
        <f>CONCATENATE("二、在隊訓練:09-12時:",H11,";14-17時:",H16,";19-21時:",H21,"。")</f>
        <v>二、在隊訓練:09-12時:車輛駕訓;14-17時:環境整理;19-21時:器材車、化學(處理)車。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27">
        <v>27</v>
      </c>
      <c r="AP35" s="127" t="str">
        <v>林宏為</v>
      </c>
      <c r="AQ35" s="127" t="str" cm="1">
        <f t="array" ref="AQ35">IFERROR(_xlfn.XLOOKUP(_xlfn.XLOOKUP($AQ$3,輪休基準表!$C$6:$C$36,_xlfn.XLOOKUP(AP35,輪休基準表!$E$5:$AF$5,輪休基準表!$E$6:$AF$36,""),""),班別參數!$A$4:$A$20,班別參數!$B$4:$B$20,""),"")</f>
        <v>上班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>已排</v>
      </c>
      <c r="AT35" s="180">
        <f t="shared" si="0"/>
        <v>6</v>
      </c>
      <c r="AU35" s="180">
        <f t="shared" si="1"/>
        <v>10</v>
      </c>
      <c r="AW35" s="47"/>
      <c r="AX35" s="45"/>
      <c r="AY35" s="25"/>
      <c r="AZ35" s="28"/>
      <c r="BA35" s="25"/>
      <c r="BB35" s="25"/>
      <c r="BD35" s="127"/>
    </row>
    <row r="36" spans="2:56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27">
        <v>28</v>
      </c>
      <c r="AP36" s="127" t="str">
        <v>林宸彥</v>
      </c>
      <c r="AQ36" s="127" t="str" cm="1">
        <f t="array" ref="AQ36">IFERROR(_xlfn.XLOOKUP(_xlfn.XLOOKUP($AQ$3,輪休基準表!$C$6:$C$36,_xlfn.XLOOKUP(AP36,輪休基準表!$E$5:$AF$5,輪休基準表!$E$6:$AF$36,""),""),班別參數!$A$4:$A$20,班別參數!$B$4:$B$20,""),"")</f>
        <v>上班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>已排</v>
      </c>
      <c r="AT36" s="180">
        <f t="shared" si="0"/>
        <v>6</v>
      </c>
      <c r="AU36" s="180" t="str">
        <f t="shared" si="1"/>
        <v/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27"/>
      <c r="AP37" s="127"/>
      <c r="AQ37" s="127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27"/>
      <c r="BD37" s="10"/>
    </row>
    <row r="38" spans="2:56" ht="15" customHeight="1">
      <c r="AQ38" s="127"/>
      <c r="AR38" s="118"/>
      <c r="AS38" s="119"/>
      <c r="AT38" s="119"/>
    </row>
    <row r="39" spans="2:56" ht="15" customHeight="1">
      <c r="AR39" s="118"/>
      <c r="AS39" s="119"/>
      <c r="AT39" s="119"/>
    </row>
    <row r="40" spans="2:56" ht="15" customHeight="1">
      <c r="AR40" s="118"/>
      <c r="AS40" s="119"/>
      <c r="AT40" s="119"/>
    </row>
  </sheetData>
  <mergeCells count="73">
    <mergeCell ref="AG22:AK22"/>
    <mergeCell ref="AG23:AM23"/>
    <mergeCell ref="AG24:AI24"/>
    <mergeCell ref="AK24:AM24"/>
    <mergeCell ref="AF33:AG33"/>
    <mergeCell ref="AH33:AI33"/>
    <mergeCell ref="AJ33:AK33"/>
    <mergeCell ref="AF31:AG31"/>
    <mergeCell ref="AH31:AI31"/>
    <mergeCell ref="AJ31:AK31"/>
    <mergeCell ref="AF32:AG32"/>
    <mergeCell ref="AH32:AI32"/>
    <mergeCell ref="AJ32:AK32"/>
    <mergeCell ref="AF27:AF28"/>
    <mergeCell ref="AG27:AM27"/>
    <mergeCell ref="AG28:AM28"/>
    <mergeCell ref="B34:B36"/>
    <mergeCell ref="C34:AE34"/>
    <mergeCell ref="AF34:AM34"/>
    <mergeCell ref="C35:AE35"/>
    <mergeCell ref="AF35:AM35"/>
    <mergeCell ref="C36:AE36"/>
    <mergeCell ref="AF36:AM36"/>
    <mergeCell ref="AF29:AM29"/>
    <mergeCell ref="AF30:AG30"/>
    <mergeCell ref="AH30:AI30"/>
    <mergeCell ref="AJ30:AK30"/>
    <mergeCell ref="AG25:AI25"/>
    <mergeCell ref="AK25:AM25"/>
    <mergeCell ref="C8:AE8"/>
    <mergeCell ref="C9:AE9"/>
    <mergeCell ref="M10:M33"/>
    <mergeCell ref="H11:H13"/>
    <mergeCell ref="H16:H18"/>
    <mergeCell ref="H21:H22"/>
    <mergeCell ref="E18:E19"/>
    <mergeCell ref="D12:D13"/>
    <mergeCell ref="I6:J6"/>
    <mergeCell ref="K6:L6"/>
    <mergeCell ref="N6:P6"/>
    <mergeCell ref="Q6:S6"/>
    <mergeCell ref="T6:V6"/>
    <mergeCell ref="AF5:AM6"/>
    <mergeCell ref="AO5:AO6"/>
    <mergeCell ref="T7:V7"/>
    <mergeCell ref="AR5:AR6"/>
    <mergeCell ref="AS5:AT5"/>
    <mergeCell ref="W6:Y6"/>
    <mergeCell ref="AE6:AE7"/>
    <mergeCell ref="AS6:AT6"/>
    <mergeCell ref="AP5:AQ6"/>
    <mergeCell ref="G5:G7"/>
    <mergeCell ref="B3:AM3"/>
    <mergeCell ref="AW3:AX3"/>
    <mergeCell ref="AY3:BB3"/>
    <mergeCell ref="B4:AI4"/>
    <mergeCell ref="AJ4:AM4"/>
    <mergeCell ref="AW4:AX4"/>
    <mergeCell ref="AY4:BB4"/>
    <mergeCell ref="B5:B7"/>
    <mergeCell ref="C5:C7"/>
    <mergeCell ref="D5:D7"/>
    <mergeCell ref="E5:E7"/>
    <mergeCell ref="F5:F7"/>
    <mergeCell ref="H5:H7"/>
    <mergeCell ref="I5:L5"/>
    <mergeCell ref="M5:AE5"/>
    <mergeCell ref="AY2:BB2"/>
    <mergeCell ref="B1:AE1"/>
    <mergeCell ref="AP1:AQ1"/>
    <mergeCell ref="B2:AE2"/>
    <mergeCell ref="AG2:AM2"/>
    <mergeCell ref="AW2:AX2"/>
  </mergeCells>
  <phoneticPr fontId="9" type="noConversion"/>
  <conditionalFormatting sqref="AO9:AQ36 AO37:AP37 AQ37:AQ38">
    <cfRule type="expression" dxfId="121" priority="16">
      <formula>COUNTIF($AQ9,"上班")&gt;=1</formula>
    </cfRule>
  </conditionalFormatting>
  <conditionalFormatting sqref="AF8:AF13 AH8:AH21 AJ8:AJ21 AL8:AM21">
    <cfRule type="expression" dxfId="120" priority="11">
      <formula>OR(VLOOKUP(AF8,$AO$9:$AQ$40,3,0)="上班",VLOOKUP(AF8,$AO$9:$AQ$40,3,0)="外宿")</formula>
    </cfRule>
  </conditionalFormatting>
  <conditionalFormatting sqref="AL8">
    <cfRule type="expression" dxfId="119" priority="10">
      <formula>OR(VLOOKUP(AL8,$AO$9:$AQ$36,3,0)="上班",VLOOKUP(AL8,$AO$9:$AQ$36,3,0)="外宿")</formula>
    </cfRule>
  </conditionalFormatting>
  <conditionalFormatting sqref="AR9:AR36">
    <cfRule type="notContainsText" dxfId="118" priority="2" operator="notContains" text="已排">
      <formula>ISERROR(SEARCH("已排",AR9))</formula>
    </cfRule>
  </conditionalFormatting>
  <conditionalFormatting sqref="AS9:AS36">
    <cfRule type="notContainsText" dxfId="117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3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76741-11F1-4F47-B608-926EC279F2D9}">
  <sheetPr codeName="工作表15">
    <pageSetUpPr fitToPage="1"/>
  </sheetPr>
  <dimension ref="B1:BD40"/>
  <sheetViews>
    <sheetView showZeros="0" view="pageBreakPreview" topLeftCell="A14" zoomScale="50" zoomScaleNormal="55" zoomScaleSheetLayoutView="50" workbookViewId="0">
      <selection activeCell="AA18" sqref="AA18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6" width="5.375" style="126" customWidth="1"/>
    <col min="7" max="8" width="8.625" style="126" customWidth="1"/>
    <col min="9" max="12" width="5.375" style="126" customWidth="1"/>
    <col min="13" max="13" width="6.625" style="126" customWidth="1"/>
    <col min="14" max="31" width="5.375" style="126" customWidth="1"/>
    <col min="32" max="32" width="7.625" style="126" customWidth="1"/>
    <col min="33" max="33" width="10.625" style="126" customWidth="1"/>
    <col min="34" max="34" width="7.625" style="126" customWidth="1"/>
    <col min="35" max="35" width="10.625" style="126" customWidth="1"/>
    <col min="36" max="36" width="7.625" style="126" customWidth="1"/>
    <col min="37" max="37" width="10.625" style="126" customWidth="1"/>
    <col min="38" max="38" width="7.625" style="126" customWidth="1"/>
    <col min="39" max="39" width="10.625" style="126" customWidth="1"/>
    <col min="40" max="40" width="4.125" style="213" customWidth="1"/>
    <col min="41" max="47" width="11.625" style="126" customWidth="1"/>
    <col min="48" max="48" width="4.125" style="126" customWidth="1"/>
    <col min="49" max="49" width="16" style="126" customWidth="1"/>
    <col min="50" max="51" width="8.25" style="126" customWidth="1"/>
    <col min="52" max="52" width="4.125" style="126" customWidth="1"/>
    <col min="53" max="53" width="16" style="126" customWidth="1"/>
    <col min="54" max="54" width="8.25" style="126" customWidth="1"/>
    <col min="55" max="55" width="10.875" style="126" customWidth="1"/>
    <col min="56" max="58" width="4.125" style="126" customWidth="1"/>
    <col min="59" max="16384" width="11.25" style="126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27"/>
      <c r="AP1" s="399"/>
      <c r="AQ1" s="399"/>
      <c r="AR1" s="127"/>
      <c r="AS1" s="127"/>
      <c r="AT1" s="127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3" t="s">
        <v>178</v>
      </c>
      <c r="AR2" s="146" t="s">
        <v>228</v>
      </c>
      <c r="AS2" s="142"/>
      <c r="AT2" s="140"/>
      <c r="AU2" s="127"/>
      <c r="AV2" s="127"/>
      <c r="AW2" s="362" t="s">
        <v>127</v>
      </c>
      <c r="AX2" s="287"/>
      <c r="AY2" s="367" t="str">
        <f>_xlfn.XLOOKUP($AR$3,訓練!$L$13:$L$19,訓練!$M$13:$M$19,"")</f>
        <v>河川抽水及水源運用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115年5月11日星期一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11</v>
      </c>
      <c r="AR3" s="141" t="str">
        <f>RIGHT(TEXT(1911+$AO$3&amp;"/"&amp;$AP$3&amp;"/"&amp;$AQ$3,"aaaa"),1)</f>
        <v>一</v>
      </c>
      <c r="AS3" s="145"/>
      <c r="AT3" s="145"/>
      <c r="AU3" s="127"/>
      <c r="AV3" s="127"/>
      <c r="AW3" s="362" t="s">
        <v>128</v>
      </c>
      <c r="AX3" s="287"/>
      <c r="AY3" s="368" t="str">
        <f>_xlfn.XLOOKUP($AR$3,訓練!$L$13:$L$19,訓練!$N$13:$N$19,"")</f>
        <v>SCBA訓練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27"/>
      <c r="AU4" s="127"/>
      <c r="AV4" s="127"/>
      <c r="AW4" s="362" t="s">
        <v>129</v>
      </c>
      <c r="AX4" s="287"/>
      <c r="AY4" s="363" t="str">
        <f>_xlfn.XLOOKUP($AR$3,訓練!$L$13:$L$19,訓練!$O$13:$O$19,"")</f>
        <v>火災特性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2" t="s">
        <v>352</v>
      </c>
      <c r="E5" s="340" t="s">
        <v>386</v>
      </c>
      <c r="F5" s="340"/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341"/>
      <c r="E6" s="341"/>
      <c r="F6" s="341"/>
      <c r="G6" s="312"/>
      <c r="H6" s="312"/>
      <c r="I6" s="334" t="s">
        <v>227</v>
      </c>
      <c r="J6" s="335"/>
      <c r="K6" s="334" t="s">
        <v>346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2+7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341"/>
      <c r="E7" s="341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192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27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27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27" cm="1">
        <f t="array" ref="AO9:AP36">TRANSPOSE(輪休基準表!E4:AF5)</f>
        <v>1</v>
      </c>
      <c r="AP9" s="127" t="str">
        <v>鄧力嘉</v>
      </c>
      <c r="AQ9" s="127" t="str" cm="1">
        <f t="array" ref="AQ9">IFERROR(_xlfn.XLOOKUP(_xlfn.XLOOKUP($AQ$3,輪休基準表!$C$6:$C$36,_xlfn.XLOOKUP(AP9,輪休基準表!$E$5:$AF$5,輪休基準表!$E$6:$AF$36,""),""),班別參數!$A$4:$A$20,班別參數!$B$4:$B$20,""),"")</f>
        <v>請休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/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 t="array" ref="AX9">IFERROR(INDEX(班別參數!$D$4:$S$20,MATCH(AW9,班別參數!$D$4:$D$20,0),MATCH($AS$6,班別參數!$D$4:$S$4,0)),"")</f>
        <v>A</v>
      </c>
      <c r="AY9" s="35">
        <v>9</v>
      </c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H,K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14,3</v>
      </c>
      <c r="BD9" s="127"/>
    </row>
    <row r="10" spans="2:56" ht="30" customHeight="1">
      <c r="B10" s="81" t="s">
        <v>70</v>
      </c>
      <c r="C10" s="87">
        <f>_xlfn.XLOOKUP(_xlfn.XLOOKUP($AS$6&amp;$B10,公表[班別+時段],公表[值班],""),$AX$9:$AX$25,$AY$9:$AY$25,"")</f>
        <v>9</v>
      </c>
      <c r="D10" s="95"/>
      <c r="E10" s="95"/>
      <c r="F10" s="95"/>
      <c r="G10" s="122" t="s">
        <v>384</v>
      </c>
      <c r="H10" s="37"/>
      <c r="I10" s="92">
        <f>_xlfn.XLOOKUP(_xlfn.XLOOKUP($AS$6&amp;$B10,公表[班別+時段],公表[救護1],""),$AX$9:$AX$25,$AY$9:$AY$25,"")</f>
        <v>7</v>
      </c>
      <c r="J10" s="92">
        <f>_xlfn.XLOOKUP(_xlfn.XLOOKUP($AS$6&amp;$B10,公表[班別+時段],公表[救護2],""),$AX$9:$AX$25,$AY$9:$AY$25,"")</f>
        <v>11</v>
      </c>
      <c r="K10" s="87"/>
      <c r="L10" s="87" t="s">
        <v>212</v>
      </c>
      <c r="M10" s="311"/>
      <c r="N10" s="87">
        <f>_xlfn.XLOOKUP(_xlfn.XLOOKUP($AS$6&amp;$B10,公表[班別+時段],公表[備勤1],""),$AX$9:$AX$25,$AY$9:$AY$25,"")</f>
        <v>6</v>
      </c>
      <c r="O10" s="87">
        <f>_xlfn.XLOOKUP(_xlfn.XLOOKUP($AS$6&amp;$B10,公表[班別+時段],公表[備勤2],""),$AX$9:$AX$25,$AY$9:$AY$25,"")</f>
        <v>10</v>
      </c>
      <c r="P10" s="87"/>
      <c r="Q10" s="87">
        <f>_xlfn.XLOOKUP(_xlfn.XLOOKUP($AS$6&amp;$B10,公表[班別+時段],公表[備勤3],""),$AX$9:$AX$25,$AY$9:$AY$25,"")</f>
        <v>25</v>
      </c>
      <c r="R10" s="87">
        <f>_xlfn.XLOOKUP(_xlfn.XLOOKUP($AS$6&amp;$B10,公表[班別+時段],公表[備勤4],""),$AX$9:$AX$25,$AY$9:$AY$25,"")</f>
        <v>0</v>
      </c>
      <c r="S10" s="87"/>
      <c r="T10" s="87">
        <f>_xlfn.XLOOKUP(_xlfn.XLOOKUP($AS$6&amp;$B10,公表[班別+時段],公表[備勤5],""),$AX$9:$AX$25,$AY$9:$AY$25,"")</f>
        <v>0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87"/>
      <c r="AB10" s="87"/>
      <c r="AC10" s="87"/>
      <c r="AD10" s="87"/>
      <c r="AE10" s="88">
        <v>3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27">
        <v>2</v>
      </c>
      <c r="AP10" s="127" t="str">
        <v>莊勝斌</v>
      </c>
      <c r="AQ10" s="127" t="str" cm="1">
        <f t="array" ref="AQ10">IFERROR(_xlfn.XLOOKUP(_xlfn.XLOOKUP($AQ$3,輪休基準表!$C$6:$C$36,_xlfn.XLOOKUP(AP10,輪休基準表!$E$5:$AF$5,輪休基準表!$E$6:$AF$36,""),""),班別參數!$A$4:$A$20,班別參數!$B$4:$B$20,""),"")</f>
        <v>輪休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/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>
        <v>25</v>
      </c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10</v>
      </c>
      <c r="BD10" s="127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9</v>
      </c>
      <c r="D11" s="292" t="s">
        <v>354</v>
      </c>
      <c r="E11" s="95"/>
      <c r="F11" s="95"/>
      <c r="G11" s="122" t="s">
        <v>384</v>
      </c>
      <c r="H11" s="296" t="str">
        <f>AY2</f>
        <v>河川抽水及水源運用</v>
      </c>
      <c r="I11" s="92">
        <f>_xlfn.XLOOKUP(_xlfn.XLOOKUP($AS$6&amp;$B11,公表[班別+時段],公表[救護1],""),$AX$9:$AX$25,$AY$9:$AY$25,"")</f>
        <v>7</v>
      </c>
      <c r="J11" s="92">
        <f>_xlfn.XLOOKUP(_xlfn.XLOOKUP($AS$6&amp;$B11,公表[班別+時段],公表[救護2],""),$AX$9:$AX$25,$AY$9:$AY$25,"")</f>
        <v>11</v>
      </c>
      <c r="K11" s="87"/>
      <c r="L11" s="87" t="s">
        <v>212</v>
      </c>
      <c r="M11" s="312"/>
      <c r="N11" s="87">
        <f>_xlfn.XLOOKUP(_xlfn.XLOOKUP($AS$6&amp;$B11,公表[班別+時段],公表[備勤1],""),$AX$9:$AX$25,$AY$9:$AY$25,"")</f>
        <v>6</v>
      </c>
      <c r="O11" s="87">
        <f>_xlfn.XLOOKUP(_xlfn.XLOOKUP($AS$6&amp;$B11,公表[班別+時段],公表[備勤2],""),$AX$9:$AX$25,$AY$9:$AY$25,"")</f>
        <v>10</v>
      </c>
      <c r="P11" s="87"/>
      <c r="Q11" s="87">
        <f>_xlfn.XLOOKUP(_xlfn.XLOOKUP($AS$6&amp;$B11,公表[班別+時段],公表[備勤3],""),$AX$9:$AX$25,$AY$9:$AY$25,"")</f>
        <v>25</v>
      </c>
      <c r="R11" s="87">
        <f>_xlfn.XLOOKUP(_xlfn.XLOOKUP($AS$6&amp;$B11,公表[班別+時段],公表[備勤4],""),$AX$9:$AX$25,$AY$9:$AY$25,"")</f>
        <v>0</v>
      </c>
      <c r="S11" s="87"/>
      <c r="T11" s="87">
        <f>_xlfn.XLOOKUP(_xlfn.XLOOKUP($AS$6&amp;$B11,公表[班別+時段],公表[備勤5],""),$AX$9:$AX$25,$AY$9:$AY$25,"")</f>
        <v>0</v>
      </c>
      <c r="U11" s="87">
        <f>_xlfn.XLOOKUP(_xlfn.XLOOKUP($AS$6&amp;$B11,公表[班別+時段],公表[備勤6],""),$AX$9:$AX$25,$AY$9:$AY$25,"")</f>
        <v>0</v>
      </c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87"/>
      <c r="AB11" s="87"/>
      <c r="AC11" s="87"/>
      <c r="AD11" s="87"/>
      <c r="AE11" s="88">
        <v>3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27">
        <v>3</v>
      </c>
      <c r="AP11" s="127" t="str">
        <v>孫子翔</v>
      </c>
      <c r="AQ11" s="127" t="str" cm="1">
        <f t="array" ref="AQ11">IFERROR(_xlfn.XLOOKUP(_xlfn.XLOOKUP($AQ$3,輪休基準表!$C$6:$C$36,_xlfn.XLOOKUP(AP11,輪休基準表!$E$5:$AF$5,輪休基準表!$E$6:$AF$36,""),""),班別參數!$A$4:$A$20,班別參數!$B$4:$B$20,""),"")</f>
        <v>上班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>已排</v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>
        <v>11</v>
      </c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F</v>
      </c>
      <c r="BC11" s="39" t="str">
        <f t="shared" si="2"/>
        <v>7</v>
      </c>
      <c r="BD11" s="127"/>
    </row>
    <row r="12" spans="2:56" ht="30" customHeight="1">
      <c r="B12" s="81" t="s">
        <v>75</v>
      </c>
      <c r="C12" s="87">
        <f>_xlfn.XLOOKUP(_xlfn.XLOOKUP($AS$6&amp;$B12,公表[班別+時段],公表[值班],""),$AX$9:$AX$25,$AY$9:$AY$25,"")</f>
        <v>25</v>
      </c>
      <c r="D12" s="426"/>
      <c r="E12" s="95"/>
      <c r="F12" s="95"/>
      <c r="G12" s="122">
        <v>14</v>
      </c>
      <c r="H12" s="314"/>
      <c r="I12" s="92">
        <f>_xlfn.XLOOKUP(_xlfn.XLOOKUP($AS$6&amp;$B12,公表[班別+時段],公表[救護1],""),$AX$9:$AX$25,$AY$9:$AY$25,"")</f>
        <v>9</v>
      </c>
      <c r="J12" s="92">
        <f>_xlfn.XLOOKUP(_xlfn.XLOOKUP($AS$6&amp;$B12,公表[班別+時段],公表[救護2],""),$AX$9:$AX$25,$AY$9:$AY$25,"")</f>
        <v>6</v>
      </c>
      <c r="K12" s="92"/>
      <c r="L12" s="87" t="s">
        <v>212</v>
      </c>
      <c r="M12" s="312"/>
      <c r="N12" s="87">
        <v>10</v>
      </c>
      <c r="O12" s="87">
        <f>_xlfn.XLOOKUP(_xlfn.XLOOKUP($AS$6&amp;$B12,公表[班別+時段],公表[備勤2],""),$AX$9:$AX$25,$AY$9:$AY$25,"")</f>
        <v>7</v>
      </c>
      <c r="P12" s="87"/>
      <c r="Q12" s="87">
        <f>_xlfn.XLOOKUP(_xlfn.XLOOKUP($AS$6&amp;$B12,公表[班別+時段],公表[備勤3],""),$AX$9:$AX$25,$AY$9:$AY$25,"")</f>
        <v>11</v>
      </c>
      <c r="R12" s="87">
        <f>_xlfn.XLOOKUP(_xlfn.XLOOKUP($AS$6&amp;$B12,公表[班別+時段],公表[備勤4],""),$AX$9:$AX$25,$AY$9:$AY$25,"")</f>
        <v>0</v>
      </c>
      <c r="S12" s="87"/>
      <c r="T12" s="87">
        <f>_xlfn.XLOOKUP(_xlfn.XLOOKUP($AS$6&amp;$B12,公表[班別+時段],公表[備勤5],""),$AX$9:$AX$25,$AY$9:$AY$25,"")</f>
        <v>4</v>
      </c>
      <c r="U12" s="87">
        <f>_xlfn.XLOOKUP(_xlfn.XLOOKUP($AS$6&amp;$B12,公表[班別+時段],公表[備勤6],""),$AX$9:$AX$25,$AY$9:$AY$25,"")</f>
        <v>0</v>
      </c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87"/>
      <c r="AC12" s="87"/>
      <c r="AD12" s="87"/>
      <c r="AE12" s="88">
        <f>_xlfn.XLOOKUP(_xlfn.XLOOKUP($AS$6&amp;$B12,公表[班別+時段],公表[指揮官],""),$AX$9:$AX$25,$AY$9:$AY$25,"")</f>
        <v>3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27">
        <v>4</v>
      </c>
      <c r="AP12" s="127" t="str">
        <v>簡永豐</v>
      </c>
      <c r="AQ12" s="127" t="str" cm="1">
        <f t="array" ref="AQ12">IFERROR(_xlfn.XLOOKUP(_xlfn.XLOOKUP($AQ$3,輪休基準表!$C$6:$C$36,_xlfn.XLOOKUP(AP12,輪休基準表!$E$5:$AF$5,輪休基準表!$E$6:$AF$36,""),""),班別參數!$A$4:$A$20,班別參數!$B$4:$B$20,""),"")</f>
        <v>上班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>已排</v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>
        <v>6</v>
      </c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27"/>
    </row>
    <row r="13" spans="2:56" ht="30" customHeight="1" thickBot="1">
      <c r="B13" s="82" t="s">
        <v>76</v>
      </c>
      <c r="C13" s="89">
        <f>_xlfn.XLOOKUP(_xlfn.XLOOKUP($AS$6&amp;$B13,公表[班別+時段],公表[值班],""),$AX$9:$AX$25,$AY$9:$AY$25,"")</f>
        <v>25</v>
      </c>
      <c r="D13" s="233"/>
      <c r="E13" s="96"/>
      <c r="F13" s="96"/>
      <c r="G13" s="123">
        <v>14</v>
      </c>
      <c r="H13" s="315"/>
      <c r="I13" s="216">
        <f>_xlfn.XLOOKUP(_xlfn.XLOOKUP($AS$6&amp;$B13,公表[班別+時段],公表[救護1],""),$AX$9:$AX$25,$AY$9:$AY$25,"")</f>
        <v>9</v>
      </c>
      <c r="J13" s="216">
        <f>_xlfn.XLOOKUP(_xlfn.XLOOKUP($AS$6&amp;$B13,公表[班別+時段],公表[救護2],""),$AX$9:$AX$25,$AY$9:$AY$25,"")</f>
        <v>6</v>
      </c>
      <c r="K13" s="105"/>
      <c r="L13" s="93" t="s">
        <v>212</v>
      </c>
      <c r="M13" s="312"/>
      <c r="N13" s="89">
        <v>10</v>
      </c>
      <c r="O13" s="89">
        <f>_xlfn.XLOOKUP(_xlfn.XLOOKUP($AS$6&amp;$B13,公表[班別+時段],公表[備勤2],""),$AX$9:$AX$25,$AY$9:$AY$25,"")</f>
        <v>7</v>
      </c>
      <c r="P13" s="89"/>
      <c r="Q13" s="89">
        <f>_xlfn.XLOOKUP(_xlfn.XLOOKUP($AS$6&amp;$B13,公表[班別+時段],公表[備勤3],""),$AX$9:$AX$25,$AY$9:$AY$25,"")</f>
        <v>11</v>
      </c>
      <c r="R13" s="89">
        <f>_xlfn.XLOOKUP(_xlfn.XLOOKUP($AS$6&amp;$B13,公表[班別+時段],公表[備勤4],""),$AX$9:$AX$25,$AY$9:$AY$25,"")</f>
        <v>0</v>
      </c>
      <c r="S13" s="89"/>
      <c r="T13" s="89">
        <f>_xlfn.XLOOKUP(_xlfn.XLOOKUP($AS$6&amp;$B13,公表[班別+時段],公表[備勤5],""),$AX$9:$AX$25,$AY$9:$AY$25,"")</f>
        <v>4</v>
      </c>
      <c r="U13" s="89">
        <f>_xlfn.XLOOKUP(_xlfn.XLOOKUP($AS$6&amp;$B13,公表[班別+時段],公表[備勤6],""),$AX$9:$AX$25,$AY$9:$AY$25,"")</f>
        <v>0</v>
      </c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89"/>
      <c r="AC13" s="89"/>
      <c r="AD13" s="89"/>
      <c r="AE13" s="104">
        <f>_xlfn.XLOOKUP(_xlfn.XLOOKUP($AS$6&amp;$B13,公表[班別+時段],公表[指揮官],""),$AX$9:$AX$25,$AY$9:$AY$25,"")</f>
        <v>3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27">
        <v>5</v>
      </c>
      <c r="AP13" s="127" t="str">
        <v>張鴻志</v>
      </c>
      <c r="AQ13" s="127" t="str" cm="1">
        <f t="array" ref="AQ13">IFERROR(_xlfn.XLOOKUP(_xlfn.XLOOKUP($AQ$3,輪休基準表!$C$6:$C$36,_xlfn.XLOOKUP(AP13,輪休基準表!$E$5:$AF$5,輪休基準表!$E$6:$AF$36,""),""),班別參數!$A$4:$A$20,班別參數!$B$4:$B$20,""),"")</f>
        <v>輪休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/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>
        <v>10</v>
      </c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>9</v>
      </c>
      <c r="BD13" s="127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11</v>
      </c>
      <c r="D14" s="234"/>
      <c r="E14" s="97"/>
      <c r="F14" s="97"/>
      <c r="G14" s="121" t="str">
        <f>IF(BC11="","",BC11)</f>
        <v>7</v>
      </c>
      <c r="H14" s="55"/>
      <c r="I14" s="94">
        <f>_xlfn.XLOOKUP(_xlfn.XLOOKUP($AS$6&amp;$B14,公表[班別+時段],公表[救護1],""),$AX$9:$AX$25,$AY$9:$AY$25,"")</f>
        <v>25</v>
      </c>
      <c r="J14" s="94">
        <f>_xlfn.XLOOKUP(_xlfn.XLOOKUP($AS$6&amp;$B14,公表[班別+時段],公表[救護2],""),$AX$9:$AX$25,$AY$9:$AY$25,"")</f>
        <v>14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9</v>
      </c>
      <c r="O14" s="90">
        <f>_xlfn.XLOOKUP(_xlfn.XLOOKUP($AS$6&amp;$B14,公表[班別+時段],公表[備勤2],""),$AX$9:$AX$25,$AY$9:$AY$25,"")</f>
        <v>10</v>
      </c>
      <c r="P14" s="90"/>
      <c r="Q14" s="90">
        <f>_xlfn.XLOOKUP(_xlfn.XLOOKUP($AS$6&amp;$B14,公表[班別+時段],公表[備勤3],""),$AX$9:$AX$25,$AY$9:$AY$25,"")</f>
        <v>6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4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90"/>
      <c r="AC14" s="90"/>
      <c r="AD14" s="90"/>
      <c r="AE14" s="91">
        <f>_xlfn.XLOOKUP(_xlfn.XLOOKUP($AS$6&amp;$B14,公表[班別+時段],公表[指揮官],""),$AX$9:$AX$25,$AY$9:$AY$25,"")</f>
        <v>3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27">
        <v>6</v>
      </c>
      <c r="AP14" s="127" t="str">
        <v>吳宗耕</v>
      </c>
      <c r="AQ14" s="127" t="str" cm="1">
        <f t="array" ref="AQ14">IFERROR(_xlfn.XLOOKUP(_xlfn.XLOOKUP($AQ$3,輪休基準表!$C$6:$C$36,_xlfn.XLOOKUP(AP14,輪休基準表!$E$5:$AF$5,輪休基準表!$E$6:$AF$36,""),""),班別參數!$A$4:$A$20,班別參數!$B$4:$B$20,""),"")</f>
        <v>上班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>已排</v>
      </c>
      <c r="AT14" s="180">
        <f t="shared" si="0"/>
        <v>8</v>
      </c>
      <c r="AU14" s="180">
        <f t="shared" si="1"/>
        <v>6</v>
      </c>
      <c r="AV14" s="25"/>
      <c r="AW14" s="33" t="str">
        <f t="array" ref="AW14">INDEX(班別參數!$D$4:$D$20,ROW()-7,MATCH($AW$8,班別參數!$D$4:$D$20,0))</f>
        <v>18-20</v>
      </c>
      <c r="AX14" s="34">
        <f t="array" ref="AX14">IFERROR(INDEX(班別參數!$D$4:$S$20,MATCH(AW14,班別參數!$D$4:$D$20,0),MATCH($AS$6,班別參數!$D$4:$S$4,0)),"")</f>
        <v>0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</v>
      </c>
      <c r="BC14" s="39" t="str">
        <f t="shared" si="2"/>
        <v>25</v>
      </c>
      <c r="BD14" s="127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11</v>
      </c>
      <c r="D15" s="235"/>
      <c r="E15" s="106"/>
      <c r="F15" s="96"/>
      <c r="G15" s="123" t="str">
        <f>IF(BC11="","",BC11)</f>
        <v>7</v>
      </c>
      <c r="H15" s="40"/>
      <c r="I15" s="216">
        <f>_xlfn.XLOOKUP(_xlfn.XLOOKUP($AS$6&amp;$B15,公表[班別+時段],公表[救護1],""),$AX$9:$AX$25,$AY$9:$AY$25,"")</f>
        <v>25</v>
      </c>
      <c r="J15" s="216">
        <f>_xlfn.XLOOKUP(_xlfn.XLOOKUP($AS$6&amp;$B15,公表[班別+時段],公表[救護2],""),$AX$9:$AX$25,$AY$9:$AY$25,"")</f>
        <v>14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9</v>
      </c>
      <c r="O15" s="89">
        <f>_xlfn.XLOOKUP(_xlfn.XLOOKUP($AS$6&amp;$B15,公表[班別+時段],公表[備勤2],""),$AX$9:$AX$25,$AY$9:$AY$25,"")</f>
        <v>10</v>
      </c>
      <c r="P15" s="89"/>
      <c r="Q15" s="89">
        <f>_xlfn.XLOOKUP(_xlfn.XLOOKUP($AS$6&amp;$B15,公表[班別+時段],公表[備勤3],""),$AX$9:$AX$25,$AY$9:$AY$25,"")</f>
        <v>6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4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89"/>
      <c r="AC15" s="89"/>
      <c r="AD15" s="89"/>
      <c r="AE15" s="104">
        <f>_xlfn.XLOOKUP(_xlfn.XLOOKUP($AS$6&amp;$B15,公表[班別+時段],公表[指揮官],""),$AX$9:$AX$25,$AY$9:$AY$25,"")</f>
        <v>3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27">
        <v>7</v>
      </c>
      <c r="AP15" s="127" t="str">
        <v>包華先</v>
      </c>
      <c r="AQ15" s="127" t="str" cm="1">
        <f t="array" ref="AQ15">IFERROR(_xlfn.XLOOKUP(_xlfn.XLOOKUP($AQ$3,輪休基準表!$C$6:$C$36,_xlfn.XLOOKUP(AP15,輪休基準表!$E$5:$AF$5,輪休基準表!$E$6:$AF$36,""),""),班別參數!$A$4:$A$20,班別參數!$B$4:$B$20,""),"")</f>
        <v>上班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>已排</v>
      </c>
      <c r="AT15" s="180">
        <f t="shared" si="0"/>
        <v>8</v>
      </c>
      <c r="AU15" s="180">
        <f t="shared" si="1"/>
        <v>8</v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>
        <v>7</v>
      </c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>6</v>
      </c>
      <c r="BD15" s="127"/>
    </row>
    <row r="16" spans="2:56" ht="30" customHeight="1">
      <c r="B16" s="83" t="s">
        <v>79</v>
      </c>
      <c r="C16" s="90">
        <f>_xlfn.XLOOKUP(_xlfn.XLOOKUP($AS$6&amp;$B16,公表[班別+時段],公表[值班],""),$AX$9:$AX$25,$AY$9:$AY$25,"")</f>
        <v>6</v>
      </c>
      <c r="D16" s="98"/>
      <c r="E16" s="427">
        <v>3</v>
      </c>
      <c r="F16" s="98"/>
      <c r="G16" s="121" t="str">
        <f>IF(BC12="","",BC12)</f>
        <v/>
      </c>
      <c r="H16" s="316" t="str">
        <f>AY3</f>
        <v>SCBA訓練</v>
      </c>
      <c r="I16" s="94">
        <f>_xlfn.XLOOKUP(_xlfn.XLOOKUP($AS$6&amp;$B16,公表[班別+時段],公表[救護1],""),$AX$9:$AX$25,$AY$9:$AY$25,"")</f>
        <v>7</v>
      </c>
      <c r="J16" s="94">
        <f>_xlfn.XLOOKUP(_xlfn.XLOOKUP($AS$6&amp;$B16,公表[班別+時段],公表[救護2],""),$AX$9:$AX$25,$AY$9:$AY$25,"")</f>
        <v>14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25</v>
      </c>
      <c r="O16" s="90">
        <f>_xlfn.XLOOKUP(_xlfn.XLOOKUP($AS$6&amp;$B16,公表[班別+時段],公表[備勤2],""),$AX$9:$AX$25,$AY$9:$AY$25,"")</f>
        <v>11</v>
      </c>
      <c r="P16" s="90"/>
      <c r="Q16" s="90">
        <f>_xlfn.XLOOKUP(_xlfn.XLOOKUP($AS$6&amp;$B16,公表[班別+時段],公表[備勤3],""),$AX$9:$AX$25,$AY$9:$AY$25,"")</f>
        <v>9</v>
      </c>
      <c r="R16" s="90">
        <f>_xlfn.XLOOKUP(_xlfn.XLOOKUP($AS$6&amp;$B16,公表[班別+時段],公表[備勤4],""),$AX$9:$AX$25,$AY$9:$AY$25,"")</f>
        <v>10</v>
      </c>
      <c r="S16" s="90"/>
      <c r="T16" s="90"/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90"/>
      <c r="AC16" s="90"/>
      <c r="AD16" s="90"/>
      <c r="AE16" s="90">
        <f>_xlfn.XLOOKUP(_xlfn.XLOOKUP($AS$6&amp;$B16,公表[班別+時段],公表[備勤5],""),$AX$9:$AX$25,$AY$9:$AY$25,"")</f>
        <v>4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27">
        <v>8</v>
      </c>
      <c r="AP16" s="127" t="str">
        <v>曾彥綸</v>
      </c>
      <c r="AQ16" s="127" t="str" cm="1">
        <f t="array" ref="AQ16">IFERROR(_xlfn.XLOOKUP(_xlfn.XLOOKUP($AQ$3,輪休基準表!$C$6:$C$36,_xlfn.XLOOKUP(AP16,輪休基準表!$E$5:$AF$5,輪休基準表!$E$6:$AF$36,""),""),班別參數!$A$4:$A$20,班別參數!$B$4:$B$20,""),"")</f>
        <v>輪休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/>
      </c>
      <c r="AT16" s="180" t="str">
        <f t="shared" si="0"/>
        <v/>
      </c>
      <c r="AU16" s="180" t="str">
        <f t="shared" si="1"/>
        <v/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>
        <v>14</v>
      </c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27"/>
    </row>
    <row r="17" spans="2:56" ht="30" customHeight="1">
      <c r="B17" s="81" t="s">
        <v>80</v>
      </c>
      <c r="C17" s="87">
        <f>_xlfn.XLOOKUP(_xlfn.XLOOKUP($AS$6&amp;$B17,公表[班別+時段],公表[值班],""),$AX$9:$AX$25,$AY$9:$AY$25,"")</f>
        <v>6</v>
      </c>
      <c r="D17" s="95"/>
      <c r="E17" s="428"/>
      <c r="F17" s="100"/>
      <c r="G17" s="122" t="str">
        <f>IF(BC12="","",BC12)</f>
        <v/>
      </c>
      <c r="H17" s="314"/>
      <c r="I17" s="92">
        <f>_xlfn.XLOOKUP(_xlfn.XLOOKUP($AS$6&amp;$B17,公表[班別+時段],公表[救護1],""),$AX$9:$AX$25,$AY$9:$AY$25,"")</f>
        <v>7</v>
      </c>
      <c r="J17" s="92">
        <f>_xlfn.XLOOKUP(_xlfn.XLOOKUP($AS$6&amp;$B17,公表[班別+時段],公表[救護2],""),$AX$9:$AX$25,$AY$9:$AY$25,"")</f>
        <v>14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25</v>
      </c>
      <c r="O17" s="87">
        <f>_xlfn.XLOOKUP(_xlfn.XLOOKUP($AS$6&amp;$B17,公表[班別+時段],公表[備勤2],""),$AX$9:$AX$25,$AY$9:$AY$25,"")</f>
        <v>11</v>
      </c>
      <c r="P17" s="87"/>
      <c r="Q17" s="87">
        <f>_xlfn.XLOOKUP(_xlfn.XLOOKUP($AS$6&amp;$B17,公表[班別+時段],公表[備勤3],""),$AX$9:$AX$25,$AY$9:$AY$25,"")</f>
        <v>9</v>
      </c>
      <c r="R17" s="87">
        <f>_xlfn.XLOOKUP(_xlfn.XLOOKUP($AS$6&amp;$B17,公表[班別+時段],公表[備勤4],""),$AX$9:$AX$25,$AY$9:$AY$25,"")</f>
        <v>10</v>
      </c>
      <c r="S17" s="87"/>
      <c r="T17" s="87"/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87"/>
      <c r="AC17" s="87"/>
      <c r="AD17" s="87"/>
      <c r="AE17" s="87">
        <f>_xlfn.XLOOKUP(_xlfn.XLOOKUP($AS$6&amp;$B17,公表[班別+時段],公表[備勤5],""),$AX$9:$AX$25,$AY$9:$AY$25,"")</f>
        <v>4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27">
        <v>9</v>
      </c>
      <c r="AP17" s="127" t="str">
        <v>鍾佳諭</v>
      </c>
      <c r="AQ17" s="127" t="str" cm="1">
        <f t="array" ref="AQ17">IFERROR(_xlfn.XLOOKUP(_xlfn.XLOOKUP($AQ$3,輪休基準表!$C$6:$C$36,_xlfn.XLOOKUP(AP17,輪休基準表!$E$5:$AF$5,輪休基準表!$E$6:$AF$36,""),""),班別參數!$A$4:$A$20,班別參數!$B$4:$B$20,""),"")</f>
        <v>上班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>已排</v>
      </c>
      <c r="AT17" s="180">
        <f t="shared" si="0"/>
        <v>6</v>
      </c>
      <c r="AU17" s="180">
        <f t="shared" si="1"/>
        <v>8</v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27"/>
    </row>
    <row r="18" spans="2:56" ht="30" customHeight="1">
      <c r="B18" s="81" t="s">
        <v>81</v>
      </c>
      <c r="C18" s="87">
        <f>_xlfn.XLOOKUP(_xlfn.XLOOKUP($AS$6&amp;$B18,公表[班別+時段],公表[值班],""),$AX$9:$AX$25,$AY$9:$AY$25,"")</f>
        <v>10</v>
      </c>
      <c r="D18" s="100"/>
      <c r="E18" s="429"/>
      <c r="F18" s="100"/>
      <c r="G18" s="122" t="str">
        <f>IF(BC13="","",BC13)</f>
        <v>9</v>
      </c>
      <c r="H18" s="297"/>
      <c r="I18" s="92">
        <f>_xlfn.XLOOKUP(_xlfn.XLOOKUP($AS$6&amp;$B18,公表[班別+時段],公表[救護1],""),$AX$9:$AX$25,$AY$9:$AY$25,"")</f>
        <v>7</v>
      </c>
      <c r="J18" s="92">
        <f>_xlfn.XLOOKUP(_xlfn.XLOOKUP($AS$6&amp;$B18,公表[班別+時段],公表[救護2],""),$AX$9:$AX$25,$AY$9:$AY$25,"")</f>
        <v>11</v>
      </c>
      <c r="K18" s="92"/>
      <c r="L18" s="87" t="s">
        <v>212</v>
      </c>
      <c r="M18" s="312"/>
      <c r="N18" s="87">
        <f>_xlfn.XLOOKUP(_xlfn.XLOOKUP($AS$6&amp;$B18,公表[班別+時段],公表[備勤1],""),$AX$9:$AX$25,$AY$9:$AY$25,"")</f>
        <v>6</v>
      </c>
      <c r="O18" s="87">
        <f>_xlfn.XLOOKUP(_xlfn.XLOOKUP($AS$6&amp;$B18,公表[班別+時段],公表[備勤2],""),$AX$9:$AX$25,$AY$9:$AY$25,"")</f>
        <v>14</v>
      </c>
      <c r="P18" s="87"/>
      <c r="Q18" s="87">
        <f>_xlfn.XLOOKUP(_xlfn.XLOOKUP($AS$6&amp;$B18,公表[班別+時段],公表[備勤3],""),$AX$9:$AX$25,$AY$9:$AY$25,"")</f>
        <v>25</v>
      </c>
      <c r="R18" s="87">
        <f>_xlfn.XLOOKUP(_xlfn.XLOOKUP($AS$6&amp;$B18,公表[班別+時段],公表[備勤4],""),$AX$9:$AX$25,$AY$9:$AY$25,"")</f>
        <v>0</v>
      </c>
      <c r="S18" s="87"/>
      <c r="T18" s="87"/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87"/>
      <c r="AC18" s="87"/>
      <c r="AD18" s="87"/>
      <c r="AE18" s="87">
        <f>_xlfn.XLOOKUP(_xlfn.XLOOKUP($AS$6&amp;$B18,公表[班別+時段],公表[備勤5],""),$AX$9:$AX$25,$AY$9:$AY$25,"")</f>
        <v>4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27">
        <v>10</v>
      </c>
      <c r="AP18" s="127" t="str">
        <v>林宏澤</v>
      </c>
      <c r="AQ18" s="127" t="str" cm="1">
        <f t="array" ref="AQ18">IFERROR(_xlfn.XLOOKUP(_xlfn.XLOOKUP($AQ$3,輪休基準表!$C$6:$C$36,_xlfn.XLOOKUP(AP18,輪休基準表!$E$5:$AF$5,輪休基準表!$E$6:$AF$36,""),""),班別參數!$A$4:$A$20,班別參數!$B$4:$B$20,""),"")</f>
        <v>上班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>已排</v>
      </c>
      <c r="AT18" s="180">
        <f t="shared" si="0"/>
        <v>6</v>
      </c>
      <c r="AU18" s="180">
        <f t="shared" si="1"/>
        <v>10</v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27"/>
    </row>
    <row r="19" spans="2:56" ht="30" customHeight="1" thickBot="1">
      <c r="B19" s="110" t="s">
        <v>82</v>
      </c>
      <c r="C19" s="89">
        <f>_xlfn.XLOOKUP(_xlfn.XLOOKUP($AS$6&amp;$B19,公表[班別+時段],公表[值班],""),$AX$9:$AX$25,$AY$9:$AY$25,"")</f>
        <v>10</v>
      </c>
      <c r="D19" s="106"/>
      <c r="E19" s="96"/>
      <c r="F19" s="236"/>
      <c r="G19" s="123" t="str">
        <f>IF(BC13="","",BC13)</f>
        <v>9</v>
      </c>
      <c r="H19" s="107"/>
      <c r="I19" s="216">
        <f>_xlfn.XLOOKUP(_xlfn.XLOOKUP($AS$6&amp;$B19,公表[班別+時段],公表[救護1],""),$AX$9:$AX$25,$AY$9:$AY$25,"")</f>
        <v>7</v>
      </c>
      <c r="J19" s="216">
        <f>_xlfn.XLOOKUP(_xlfn.XLOOKUP($AS$6&amp;$B19,公表[班別+時段],公表[救護2],""),$AX$9:$AX$25,$AY$9:$AY$25,"")</f>
        <v>11</v>
      </c>
      <c r="K19" s="105"/>
      <c r="L19" s="93" t="s">
        <v>212</v>
      </c>
      <c r="M19" s="312"/>
      <c r="N19" s="89">
        <f>_xlfn.XLOOKUP(_xlfn.XLOOKUP($AS$6&amp;$B19,公表[班別+時段],公表[備勤1],""),$AX$9:$AX$25,$AY$9:$AY$25,"")</f>
        <v>6</v>
      </c>
      <c r="O19" s="89">
        <f>_xlfn.XLOOKUP(_xlfn.XLOOKUP($AS$6&amp;$B19,公表[班別+時段],公表[備勤2],""),$AX$9:$AX$25,$AY$9:$AY$25,"")</f>
        <v>14</v>
      </c>
      <c r="P19" s="89"/>
      <c r="Q19" s="89">
        <f>_xlfn.XLOOKUP(_xlfn.XLOOKUP($AS$6&amp;$B19,公表[班別+時段],公表[備勤3],""),$AX$9:$AX$25,$AY$9:$AY$25,"")</f>
        <v>25</v>
      </c>
      <c r="R19" s="89">
        <f>_xlfn.XLOOKUP(_xlfn.XLOOKUP($AS$6&amp;$B19,公表[班別+時段],公表[備勤4],""),$AX$9:$AX$25,$AY$9:$AY$25,"")</f>
        <v>0</v>
      </c>
      <c r="S19" s="89"/>
      <c r="T19" s="89">
        <f>_xlfn.XLOOKUP(_xlfn.XLOOKUP($AS$6&amp;$B19,公表[班別+時段],公表[備勤5],""),$AX$9:$AX$25,$AY$9:$AY$25,"")</f>
        <v>4</v>
      </c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89"/>
      <c r="AC19" s="89"/>
      <c r="AD19" s="89"/>
      <c r="AE19" s="104">
        <f>_xlfn.XLOOKUP(_xlfn.XLOOKUP($AS$6&amp;$B19,公表[班別+時段],公表[指揮官],""),$AX$9:$AX$25,$AY$9:$AY$25,"")</f>
        <v>3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27">
        <v>11</v>
      </c>
      <c r="AP19" s="127" t="str">
        <v>簡君諺</v>
      </c>
      <c r="AQ19" s="127" t="str" cm="1">
        <f t="array" ref="AQ19">IFERROR(_xlfn.XLOOKUP(_xlfn.XLOOKUP($AQ$3,輪休基準表!$C$6:$C$36,_xlfn.XLOOKUP(AP19,輪休基準表!$E$5:$AF$5,輪休基準表!$E$6:$AF$36,""),""),班別參數!$A$4:$A$20,班別參數!$B$4:$B$20,""),"")</f>
        <v>上班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>已排</v>
      </c>
      <c r="AT19" s="180">
        <f t="shared" si="0"/>
        <v>6</v>
      </c>
      <c r="AU19" s="180">
        <f t="shared" si="1"/>
        <v>8</v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:AY20">IF(AX19="","",_xlfn._xlws.FILTER($AO$9:$AO$13,$AQ$9:$AQ$13="上班",""))</f>
        <v>3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27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4</v>
      </c>
      <c r="D20" s="97"/>
      <c r="E20" s="97"/>
      <c r="F20" s="97"/>
      <c r="G20" s="121" t="str">
        <f>IF(BC14="","",BC14)</f>
        <v>25</v>
      </c>
      <c r="H20" s="55"/>
      <c r="I20" s="94">
        <f>_xlfn.XLOOKUP(_xlfn.XLOOKUP($AS$6&amp;$B20,公表[班別+時段],公表[救護1],""),$AX$9:$AX$25,$AY$9:$AY$25,"")</f>
        <v>10</v>
      </c>
      <c r="J20" s="94">
        <f>_xlfn.XLOOKUP(_xlfn.XLOOKUP($AS$6&amp;$B20,公表[班別+時段],公表[救護2],""),$AX$9:$AX$25,$AY$9:$AY$25,"")</f>
        <v>14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11</v>
      </c>
      <c r="O20" s="90">
        <f>_xlfn.XLOOKUP(_xlfn.XLOOKUP($AS$6&amp;$B20,公表[班別+時段],公表[備勤2],""),$AX$9:$AX$25,$AY$9:$AY$25,"")</f>
        <v>9</v>
      </c>
      <c r="P20" s="90"/>
      <c r="Q20" s="90">
        <f>_xlfn.XLOOKUP(_xlfn.XLOOKUP($AS$6&amp;$B20,公表[班別+時段],公表[備勤3],""),$AX$9:$AX$25,$AY$9:$AY$25,"")</f>
        <v>6</v>
      </c>
      <c r="R20" s="90">
        <f>_xlfn.XLOOKUP(_xlfn.XLOOKUP($AS$6&amp;$B20,公表[班別+時段],公表[備勤4],""),$AX$9:$AX$25,$AY$9:$AY$25,"")</f>
        <v>7</v>
      </c>
      <c r="S20" s="90"/>
      <c r="T20" s="90">
        <f>_xlfn.XLOOKUP(_xlfn.XLOOKUP($AS$6&amp;$B20,公表[班別+時段],公表[備勤5],""),$AX$9:$AX$25,$AY$9:$AY$25,"")</f>
        <v>0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90"/>
      <c r="AC20" s="90"/>
      <c r="AD20" s="90"/>
      <c r="AE20" s="91">
        <f>_xlfn.XLOOKUP(_xlfn.XLOOKUP($AS$6&amp;$B20,公表[班別+時段],公表[指揮官],""),$AX$9:$AX$25,$AY$9:$AY$25,"")</f>
        <v>3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27">
        <v>12</v>
      </c>
      <c r="AP20" s="127" t="str">
        <v>王昱勛</v>
      </c>
      <c r="AQ20" s="127" t="str" cm="1">
        <f t="array" ref="AQ20">IFERROR(_xlfn.XLOOKUP(_xlfn.XLOOKUP($AQ$3,輪休基準表!$C$6:$C$36,_xlfn.XLOOKUP(AP20,輪休基準表!$E$5:$AF$5,輪休基準表!$E$6:$AF$36,""),""),班別參數!$A$4:$A$20,班別參數!$B$4:$B$20,""),"")</f>
        <v>輪休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/>
      </c>
      <c r="AT20" s="180" t="str">
        <f t="shared" si="0"/>
        <v/>
      </c>
      <c r="AU20" s="180" t="str">
        <f t="shared" si="1"/>
        <v/>
      </c>
      <c r="AV20" s="25"/>
      <c r="AW20" s="33" t="str">
        <f t="array" ref="AW20">INDEX(班別參數!$D$4:$D$20,ROW()-7,MATCH($AW$8,班別參數!$D$4:$D$20,0))</f>
        <v>帶隊官</v>
      </c>
      <c r="AX20" s="34" t="str">
        <f t="array" ref="AX20">IFERROR(INDEX(班別參數!$D$4:$S$20,MATCH(AW20,班別參數!$D$4:$D$20,0),MATCH($AS$6,班別參數!$D$4:$S$4,0)),"")</f>
        <v>L</v>
      </c>
      <c r="AY20" s="38">
        <v>4</v>
      </c>
      <c r="AZ20" s="32"/>
      <c r="BA20" s="33" t="s">
        <v>67</v>
      </c>
      <c r="BB20" s="34" t="str">
        <f t="array" ref="BB20">IFERROR(INDEX(班別參數!$D$23:$S$35,MATCH(BA20,班別參數!$D$23:$D$35,0),MATCH($AS$6,班別參數!$D$23:$S$23,0)),"")</f>
        <v>G,L</v>
      </c>
      <c r="BC20" s="41" t="str">
        <f t="shared" si="2"/>
        <v>11,4</v>
      </c>
      <c r="BD20" s="127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4</v>
      </c>
      <c r="D21" s="95"/>
      <c r="E21" s="95"/>
      <c r="F21" s="95"/>
      <c r="G21" s="122" t="str">
        <f>IF(BC14="","",BC14)</f>
        <v>25</v>
      </c>
      <c r="H21" s="296" t="str">
        <f>AY4</f>
        <v>火災特性</v>
      </c>
      <c r="I21" s="92">
        <f>_xlfn.XLOOKUP(_xlfn.XLOOKUP($AS$6&amp;$B21,公表[班別+時段],公表[救護1],""),$AX$9:$AX$25,$AY$9:$AY$25,"")</f>
        <v>10</v>
      </c>
      <c r="J21" s="92">
        <f>_xlfn.XLOOKUP(_xlfn.XLOOKUP($AS$6&amp;$B21,公表[班別+時段],公表[救護2],""),$AX$9:$AX$25,$AY$9:$AY$25,"")</f>
        <v>14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11</v>
      </c>
      <c r="O21" s="87">
        <f>_xlfn.XLOOKUP(_xlfn.XLOOKUP($AS$6&amp;$B21,公表[班別+時段],公表[備勤2],""),$AX$9:$AX$25,$AY$9:$AY$25,"")</f>
        <v>9</v>
      </c>
      <c r="P21" s="87"/>
      <c r="Q21" s="87">
        <f>_xlfn.XLOOKUP(_xlfn.XLOOKUP($AS$6&amp;$B21,公表[班別+時段],公表[備勤3],""),$AX$9:$AX$25,$AY$9:$AY$25,"")</f>
        <v>6</v>
      </c>
      <c r="R21" s="87">
        <f>_xlfn.XLOOKUP(_xlfn.XLOOKUP($AS$6&amp;$B21,公表[班別+時段],公表[備勤4],""),$AX$9:$AX$25,$AY$9:$AY$25,"")</f>
        <v>7</v>
      </c>
      <c r="S21" s="87"/>
      <c r="T21" s="87">
        <f>_xlfn.XLOOKUP(_xlfn.XLOOKUP($AS$6&amp;$B21,公表[班別+時段],公表[備勤5],""),$AX$9:$AX$25,$AY$9:$AY$25,"")</f>
        <v>0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87"/>
      <c r="AC21" s="87"/>
      <c r="AD21" s="87"/>
      <c r="AE21" s="88">
        <f>_xlfn.XLOOKUP(_xlfn.XLOOKUP($AS$6&amp;$B21,公表[班別+時段],公表[指揮官],""),$AX$9:$AX$25,$AY$9:$AY$25,"")</f>
        <v>3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27">
        <v>13</v>
      </c>
      <c r="AP21" s="127" t="str">
        <v>葉宗哲</v>
      </c>
      <c r="AQ21" s="127" t="str" cm="1">
        <f t="array" ref="AQ21">IFERROR(_xlfn.XLOOKUP(_xlfn.XLOOKUP($AQ$3,輪休基準表!$C$6:$C$36,_xlfn.XLOOKUP(AP21,輪休基準表!$E$5:$AF$5,輪休基準表!$E$6:$AF$36,""),""),班別參數!$A$4:$A$20,班別參數!$B$4:$B$20,""),"")</f>
        <v>輪休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/>
      </c>
      <c r="AT21" s="180" t="str">
        <f t="shared" si="0"/>
        <v/>
      </c>
      <c r="AU21" s="180" t="str">
        <f t="shared" si="1"/>
        <v/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27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7</v>
      </c>
      <c r="D22" s="95"/>
      <c r="E22" s="95"/>
      <c r="F22" s="95"/>
      <c r="G22" s="122" t="str">
        <f>IF(BC15="","",BC15)</f>
        <v>6</v>
      </c>
      <c r="H22" s="297"/>
      <c r="I22" s="92">
        <f>_xlfn.XLOOKUP(_xlfn.XLOOKUP($AS$6&amp;$B22,公表[班別+時段],公表[救護1],""),$AX$9:$AX$25,$AY$9:$AY$25,"")</f>
        <v>25</v>
      </c>
      <c r="J22" s="92">
        <f>_xlfn.XLOOKUP(_xlfn.XLOOKUP($AS$6&amp;$B22,公表[班別+時段],公表[救護2],""),$AX$9:$AX$25,$AY$9:$AY$25,"")</f>
        <v>11</v>
      </c>
      <c r="K22" s="92"/>
      <c r="L22" s="87" t="s">
        <v>212</v>
      </c>
      <c r="M22" s="312"/>
      <c r="N22" s="87">
        <f>_xlfn.XLOOKUP(_xlfn.XLOOKUP($AS$6&amp;$B22,公表[班別+時段],公表[備勤1],""),$AX$9:$AX$25,$AY$9:$AY$25,"")</f>
        <v>9</v>
      </c>
      <c r="O22" s="87">
        <f>_xlfn.XLOOKUP(_xlfn.XLOOKUP($AS$6&amp;$B22,公表[班別+時段],公表[備勤2],""),$AX$9:$AX$25,$AY$9:$AY$25,"")</f>
        <v>10</v>
      </c>
      <c r="P22" s="87"/>
      <c r="Q22" s="87">
        <f>_xlfn.XLOOKUP(_xlfn.XLOOKUP($AS$6&amp;$B22,公表[班別+時段],公表[備勤3],""),$AX$9:$AX$25,$AY$9:$AY$25,"")</f>
        <v>14</v>
      </c>
      <c r="R22" s="87">
        <f>_xlfn.XLOOKUP(_xlfn.XLOOKUP($AS$6&amp;$B22,公表[班別+時段],公表[備勤4],""),$AX$9:$AX$25,$AY$9:$AY$25,"")</f>
        <v>0</v>
      </c>
      <c r="S22" s="87"/>
      <c r="T22" s="87">
        <f>_xlfn.XLOOKUP(_xlfn.XLOOKUP($AS$6&amp;$B22,公表[班別+時段],公表[備勤5],""),$AX$9:$AX$25,$AY$9:$AY$25,"")</f>
        <v>4</v>
      </c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87"/>
      <c r="AC22" s="87"/>
      <c r="AD22" s="87"/>
      <c r="AE22" s="88">
        <f>_xlfn.XLOOKUP(_xlfn.XLOOKUP($AS$6&amp;$B22,公表[班別+時段],公表[指揮官],""),$AX$9:$AX$25,$AY$9:$AY$25,"")</f>
        <v>3</v>
      </c>
      <c r="AF22" s="57" t="s">
        <v>213</v>
      </c>
      <c r="AG22" s="305" t="str" cm="1">
        <f t="array" ref="AG22">_xlfn.TEXTJOIN(".",1,_xlfn._xlws.FILTER($AO$9:$AO$40,$AQ$9:$AQ$40="上班",""))</f>
        <v>3.4.6.7.9.10.11.14.25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27">
        <v>14</v>
      </c>
      <c r="AP22" s="127" t="str">
        <v>王浩任</v>
      </c>
      <c r="AQ22" s="127" t="str" cm="1">
        <f t="array" ref="AQ22">IFERROR(_xlfn.XLOOKUP(_xlfn.XLOOKUP($AQ$3,輪休基準表!$C$6:$C$36,_xlfn.XLOOKUP(AP22,輪休基準表!$E$5:$AF$5,輪休基準表!$E$6:$AF$36,""),""),班別參數!$A$4:$A$20,班別參數!$B$4:$B$20,""),"")</f>
        <v>上班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>已排</v>
      </c>
      <c r="AT22" s="180">
        <f t="shared" si="0"/>
        <v>6</v>
      </c>
      <c r="AU22" s="180">
        <f t="shared" si="1"/>
        <v>2</v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27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7</v>
      </c>
      <c r="D23" s="106"/>
      <c r="E23" s="96"/>
      <c r="F23" s="96"/>
      <c r="G23" s="123" t="str">
        <f>IF(BC15="","",BC15)</f>
        <v>6</v>
      </c>
      <c r="H23" s="107"/>
      <c r="I23" s="216">
        <f>_xlfn.XLOOKUP(_xlfn.XLOOKUP($AS$6&amp;$B23,公表[班別+時段],公表[救護1],""),$AX$9:$AX$25,$AY$9:$AY$25,"")</f>
        <v>25</v>
      </c>
      <c r="J23" s="216">
        <f>_xlfn.XLOOKUP(_xlfn.XLOOKUP($AS$6&amp;$B23,公表[班別+時段],公表[救護2],""),$AX$9:$AX$25,$AY$9:$AY$25,"")</f>
        <v>11</v>
      </c>
      <c r="K23" s="105"/>
      <c r="L23" s="93" t="s">
        <v>212</v>
      </c>
      <c r="M23" s="312"/>
      <c r="N23" s="89">
        <f>_xlfn.XLOOKUP(_xlfn.XLOOKUP($AS$6&amp;$B23,公表[班別+時段],公表[備勤1],""),$AX$9:$AX$25,$AY$9:$AY$25,"")</f>
        <v>9</v>
      </c>
      <c r="O23" s="89">
        <f>_xlfn.XLOOKUP(_xlfn.XLOOKUP($AS$6&amp;$B23,公表[班別+時段],公表[備勤2],""),$AX$9:$AX$25,$AY$9:$AY$25,"")</f>
        <v>10</v>
      </c>
      <c r="P23" s="89"/>
      <c r="Q23" s="89">
        <f>_xlfn.XLOOKUP(_xlfn.XLOOKUP($AS$6&amp;$B23,公表[班別+時段],公表[備勤3],""),$AX$9:$AX$25,$AY$9:$AY$25,"")</f>
        <v>14</v>
      </c>
      <c r="R23" s="89">
        <f>_xlfn.XLOOKUP(_xlfn.XLOOKUP($AS$6&amp;$B23,公表[班別+時段],公表[備勤4],""),$AX$9:$AX$25,$AY$9:$AY$25,"")</f>
        <v>0</v>
      </c>
      <c r="S23" s="89"/>
      <c r="T23" s="89">
        <f>_xlfn.XLOOKUP(_xlfn.XLOOKUP($AS$6&amp;$B23,公表[班別+時段],公表[備勤5],""),$AX$9:$AX$25,$AY$9:$AY$25,"")</f>
        <v>4</v>
      </c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89"/>
      <c r="AC23" s="89"/>
      <c r="AD23" s="89"/>
      <c r="AE23" s="104">
        <f>_xlfn.XLOOKUP(_xlfn.XLOOKUP($AS$6&amp;$B23,公表[班別+時段],公表[指揮官],""),$AX$9:$AX$25,$AY$9:$AY$25,"")</f>
        <v>3</v>
      </c>
      <c r="AF23" s="57" t="s">
        <v>6</v>
      </c>
      <c r="AG23" s="305" t="str" cm="1">
        <f t="array" ref="AG23">_xlfn.TEXTJOIN(".",1,_xlfn._xlws.FILTER($AO$9:$AO$40,$AQ$9:$AQ$40=$AF$23,""))</f>
        <v>2.5.8.12.13.17.18.19.21.23.26.28</v>
      </c>
      <c r="AH23" s="400"/>
      <c r="AI23" s="400"/>
      <c r="AJ23" s="400"/>
      <c r="AK23" s="400"/>
      <c r="AL23" s="400"/>
      <c r="AM23" s="401"/>
      <c r="AN23" s="214"/>
      <c r="AO23" s="127">
        <v>15</v>
      </c>
      <c r="AP23" s="127" t="str">
        <v>李仕詮</v>
      </c>
      <c r="AQ23" s="127" t="str" cm="1">
        <f t="array" ref="AQ23">IFERROR(_xlfn.XLOOKUP(_xlfn.XLOOKUP($AQ$3,輪休基準表!$C$6:$C$36,_xlfn.XLOOKUP(AP23,輪休基準表!$E$5:$AF$5,輪休基準表!$E$6:$AF$36,""),""),班別參數!$A$4:$A$20,班別參數!$B$4:$B$20,""),"")</f>
        <v>月補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/>
      </c>
      <c r="AT23" s="180" t="str">
        <f t="shared" si="0"/>
        <v/>
      </c>
      <c r="AU23" s="180" t="str">
        <f t="shared" si="1"/>
        <v/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27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14</v>
      </c>
      <c r="D24" s="97"/>
      <c r="E24" s="97"/>
      <c r="F24" s="97"/>
      <c r="G24" s="121">
        <v>10</v>
      </c>
      <c r="H24" s="55"/>
      <c r="I24" s="94">
        <f>_xlfn.XLOOKUP(_xlfn.XLOOKUP($AS$6&amp;$B24,公表[班別+時段],公表[救護1],""),$AX$9:$AX$25,$AY$9:$AY$25,"")</f>
        <v>7</v>
      </c>
      <c r="J24" s="94">
        <f>_xlfn.XLOOKUP(_xlfn.XLOOKUP($AS$6&amp;$B24,公表[班別+時段],公表[救護2],""),$AX$9:$AX$25,$AY$9:$AY$25,"")</f>
        <v>6</v>
      </c>
      <c r="K24" s="90"/>
      <c r="L24" s="90" t="s">
        <v>212</v>
      </c>
      <c r="M24" s="312"/>
      <c r="N24" s="90">
        <f>_xlfn.XLOOKUP(_xlfn.XLOOKUP($AS$6&amp;$B24,公表[班別+時段],公表[備勤1],""),$AX$9:$AX$25,$AY$9:$AY$25,"")</f>
        <v>25</v>
      </c>
      <c r="O24" s="90">
        <f>_xlfn.XLOOKUP(_xlfn.XLOOKUP($AS$6&amp;$B24,公表[班別+時段],公表[備勤2],""),$AX$9:$AX$25,$AY$9:$AY$25,"")</f>
        <v>11</v>
      </c>
      <c r="P24" s="90"/>
      <c r="Q24" s="90">
        <f>_xlfn.XLOOKUP(_xlfn.XLOOKUP($AS$6&amp;$B24,公表[班別+時段],公表[備勤3],""),$AX$9:$AX$25,$AY$9:$AY$25,"")</f>
        <v>9</v>
      </c>
      <c r="R24" s="90"/>
      <c r="S24" s="90"/>
      <c r="T24" s="90">
        <f>_xlfn.XLOOKUP(_xlfn.XLOOKUP($AS$6&amp;$B24,公表[班別+時段],公表[備勤5],""),$AX$9:$AX$25,$AY$9:$AY$25,"")</f>
        <v>4</v>
      </c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90"/>
      <c r="AC24" s="90"/>
      <c r="AD24" s="90"/>
      <c r="AE24" s="91">
        <f>_xlfn.XLOOKUP(_xlfn.XLOOKUP($AS$6&amp;$B24,公表[班別+時段],公表[指揮官],""),$AX$9:$AX$25,$AY$9:$AY$25,"")</f>
        <v>3</v>
      </c>
      <c r="AF24" s="57" t="s">
        <v>17</v>
      </c>
      <c r="AG24" s="305" t="str" cm="1">
        <f t="array" ref="AG24">_xlfn.TEXTJOIN(".",1,_xlfn._xlws.FILTER($AO$9:$AO$40,$AQ$9:$AQ$40=$AF$24,""))</f>
        <v>15.16.27</v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>24</v>
      </c>
      <c r="AL24" s="400"/>
      <c r="AM24" s="401"/>
      <c r="AN24" s="214"/>
      <c r="AO24" s="127">
        <v>16</v>
      </c>
      <c r="AP24" s="127" t="str">
        <v>楊弘宇</v>
      </c>
      <c r="AQ24" s="127" t="str" cm="1">
        <f t="array" ref="AQ24">IFERROR(_xlfn.XLOOKUP(_xlfn.XLOOKUP($AQ$3,輪休基準表!$C$6:$C$36,_xlfn.XLOOKUP(AP24,輪休基準表!$E$5:$AF$5,輪休基準表!$E$6:$AF$36,""),""),班別參數!$A$4:$A$20,班別參數!$B$4:$B$20,""),"")</f>
        <v>月補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/>
      </c>
      <c r="AT24" s="180" t="str">
        <f t="shared" si="0"/>
        <v/>
      </c>
      <c r="AU24" s="180" t="str">
        <f t="shared" si="1"/>
        <v/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27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14</v>
      </c>
      <c r="D25" s="95"/>
      <c r="E25" s="95"/>
      <c r="F25" s="95"/>
      <c r="G25" s="122">
        <v>10</v>
      </c>
      <c r="H25" s="37"/>
      <c r="I25" s="92">
        <f>_xlfn.XLOOKUP(_xlfn.XLOOKUP($AS$6&amp;$B25,公表[班別+時段],公表[救護1],""),$AX$9:$AX$25,$AY$9:$AY$25,"")</f>
        <v>7</v>
      </c>
      <c r="J25" s="92">
        <f>_xlfn.XLOOKUP(_xlfn.XLOOKUP($AS$6&amp;$B25,公表[班別+時段],公表[救護2],""),$AX$9:$AX$25,$AY$9:$AY$25,"")</f>
        <v>6</v>
      </c>
      <c r="K25" s="87"/>
      <c r="L25" s="87" t="s">
        <v>212</v>
      </c>
      <c r="M25" s="312"/>
      <c r="N25" s="87">
        <f>_xlfn.XLOOKUP(_xlfn.XLOOKUP($AS$6&amp;$B25,公表[班別+時段],公表[備勤1],""),$AX$9:$AX$25,$AY$9:$AY$25,"")</f>
        <v>25</v>
      </c>
      <c r="O25" s="87">
        <f>_xlfn.XLOOKUP(_xlfn.XLOOKUP($AS$6&amp;$B25,公表[班別+時段],公表[備勤2],""),$AX$9:$AX$25,$AY$9:$AY$25,"")</f>
        <v>11</v>
      </c>
      <c r="P25" s="87"/>
      <c r="Q25" s="87">
        <f>_xlfn.XLOOKUP(_xlfn.XLOOKUP($AS$6&amp;$B25,公表[班別+時段],公表[備勤3],""),$AX$9:$AX$25,$AY$9:$AY$25,"")</f>
        <v>9</v>
      </c>
      <c r="R25" s="87"/>
      <c r="S25" s="87"/>
      <c r="T25" s="87">
        <f>_xlfn.XLOOKUP(_xlfn.XLOOKUP($AS$6&amp;$B25,公表[班別+時段],公表[備勤5],""),$AX$9:$AX$25,$AY$9:$AY$25,"")</f>
        <v>4</v>
      </c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87"/>
      <c r="AC25" s="87"/>
      <c r="AD25" s="87"/>
      <c r="AE25" s="88">
        <f>_xlfn.XLOOKUP(_xlfn.XLOOKUP($AS$6&amp;$B25,公表[班別+時段],公表[指揮官],""),$AX$9:$AX$25,$AY$9:$AY$25,"")</f>
        <v>3</v>
      </c>
      <c r="AF25" s="57" t="s">
        <v>28</v>
      </c>
      <c r="AG25" s="305" t="str" cm="1">
        <f t="array" ref="AG25">_xlfn.TEXTJOIN(".",1,_xlfn._xlws.FILTER($AO$9:$AO$40,$AQ$9:$AQ$40=$AF$25,""))</f>
        <v>1</v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>20.22</v>
      </c>
      <c r="AL25" s="309"/>
      <c r="AM25" s="310"/>
      <c r="AN25" s="214"/>
      <c r="AO25" s="127">
        <v>17</v>
      </c>
      <c r="AP25" s="127" t="str">
        <v>楊仲豪</v>
      </c>
      <c r="AQ25" s="127" t="str" cm="1">
        <f t="array" ref="AQ25">IFERROR(_xlfn.XLOOKUP(_xlfn.XLOOKUP($AQ$3,輪休基準表!$C$6:$C$36,_xlfn.XLOOKUP(AP25,輪休基準表!$E$5:$AF$5,輪休基準表!$E$6:$AF$36,""),""),班別參數!$A$4:$A$20,班別參數!$B$4:$B$20,""),"")</f>
        <v>輪休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/>
      </c>
      <c r="AT25" s="180" t="str">
        <f t="shared" si="0"/>
        <v/>
      </c>
      <c r="AU25" s="180" t="str">
        <f t="shared" si="1"/>
        <v/>
      </c>
      <c r="AW25" s="33"/>
      <c r="AX25" s="45"/>
      <c r="AY25" s="25"/>
      <c r="AZ25" s="28"/>
      <c r="BA25" s="33"/>
      <c r="BB25" s="25"/>
      <c r="BD25" s="127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14</v>
      </c>
      <c r="D26" s="95"/>
      <c r="E26" s="95"/>
      <c r="F26" s="95"/>
      <c r="G26" s="122" t="str">
        <f>IF(BC17="","",BC17)</f>
        <v/>
      </c>
      <c r="H26" s="37"/>
      <c r="I26" s="92">
        <f>_xlfn.XLOOKUP(_xlfn.XLOOKUP($AS$6&amp;$B26,公表[班別+時段],公表[救護1],""),$AX$9:$AX$25,$AY$9:$AY$25,"")</f>
        <v>9</v>
      </c>
      <c r="J26" s="92">
        <f>_xlfn.XLOOKUP(_xlfn.XLOOKUP($AS$6&amp;$B26,公表[班別+時段],公表[救護2],""),$AX$9:$AX$25,$AY$9:$AY$25,"")</f>
        <v>25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11</v>
      </c>
      <c r="O26" s="87">
        <f>_xlfn.XLOOKUP(_xlfn.XLOOKUP($AS$6&amp;$B26,公表[班別+時段],公表[備勤2],""),$AX$9:$AX$25,$AY$9:$AY$25,"")</f>
        <v>7</v>
      </c>
      <c r="P26" s="87"/>
      <c r="Q26" s="87">
        <f>_xlfn.XLOOKUP(_xlfn.XLOOKUP($AS$6&amp;$B26,公表[班別+時段],公表[備勤3],""),$AX$9:$AX$25,$AY$9:$AY$25,"")</f>
        <v>10</v>
      </c>
      <c r="R26" s="87">
        <f>_xlfn.XLOOKUP(_xlfn.XLOOKUP($AS$6&amp;$B26,公表[班別+時段],公表[備勤4],""),$AX$9:$AX$25,$AY$9:$AY$25,"")</f>
        <v>6</v>
      </c>
      <c r="S26" s="87"/>
      <c r="T26" s="87">
        <f>_xlfn.XLOOKUP(_xlfn.XLOOKUP($AS$6&amp;$B26,公表[班別+時段],公表[備勤5],""),$AX$9:$AX$25,$AY$9:$AY$25,"")</f>
        <v>4</v>
      </c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87"/>
      <c r="AC26" s="87"/>
      <c r="AD26" s="87"/>
      <c r="AE26" s="88">
        <f>_xlfn.XLOOKUP(_xlfn.XLOOKUP($AS$6&amp;$B26,公表[班別+時段],公表[指揮官],""),$AX$9:$AX$25,$AY$9:$AY$25,"")</f>
        <v>3</v>
      </c>
      <c r="AF26" s="57" t="s">
        <v>289</v>
      </c>
      <c r="AG26" s="178" t="str" cm="1">
        <f t="array" ref="AG26">_xlfn.TEXTJOIN(".",1,_xlfn._xlws.FILTER($AO$9:$AO$40,$AQ$9:$AQ$40=$AF$26,""))</f>
        <v/>
      </c>
      <c r="AH26" s="168" t="s">
        <v>290</v>
      </c>
      <c r="AI26" s="179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/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27">
        <v>18</v>
      </c>
      <c r="AP26" s="127" t="str">
        <v>林志偉</v>
      </c>
      <c r="AQ26" s="127" t="str" cm="1">
        <f t="array" ref="AQ26">IFERROR(_xlfn.XLOOKUP(_xlfn.XLOOKUP($AQ$3,輪休基準表!$C$6:$C$36,_xlfn.XLOOKUP(AP26,輪休基準表!$E$5:$AF$5,輪休基準表!$E$6:$AF$36,""),""),班別參數!$A$4:$A$20,班別參數!$B$4:$B$20,""),"")</f>
        <v>輪休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/>
      </c>
      <c r="AT26" s="180" t="str">
        <f t="shared" si="0"/>
        <v/>
      </c>
      <c r="AU26" s="180" t="str">
        <f t="shared" si="1"/>
        <v/>
      </c>
      <c r="AV26" s="10"/>
      <c r="AW26" s="46"/>
      <c r="AX26" s="45"/>
      <c r="AY26" s="25"/>
      <c r="AZ26" s="28"/>
      <c r="BA26" s="33"/>
      <c r="BB26" s="25"/>
      <c r="BD26" s="127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14</v>
      </c>
      <c r="D27" s="95"/>
      <c r="E27" s="95"/>
      <c r="F27" s="95"/>
      <c r="G27" s="122" t="str">
        <f>IF(BC17="","",BC17)</f>
        <v/>
      </c>
      <c r="H27" s="37"/>
      <c r="I27" s="92">
        <f>_xlfn.XLOOKUP(_xlfn.XLOOKUP($AS$6&amp;$B27,公表[班別+時段],公表[救護1],""),$AX$9:$AX$25,$AY$9:$AY$25,"")</f>
        <v>9</v>
      </c>
      <c r="J27" s="92">
        <f>_xlfn.XLOOKUP(_xlfn.XLOOKUP($AS$6&amp;$B27,公表[班別+時段],公表[救護2],""),$AX$9:$AX$25,$AY$9:$AY$25,"")</f>
        <v>25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11</v>
      </c>
      <c r="O27" s="87">
        <f>_xlfn.XLOOKUP(_xlfn.XLOOKUP($AS$6&amp;$B27,公表[班別+時段],公表[備勤2],""),$AX$9:$AX$25,$AY$9:$AY$25,"")</f>
        <v>7</v>
      </c>
      <c r="P27" s="87"/>
      <c r="Q27" s="87">
        <f>_xlfn.XLOOKUP(_xlfn.XLOOKUP($AS$6&amp;$B27,公表[班別+時段],公表[備勤3],""),$AX$9:$AX$25,$AY$9:$AY$25,"")</f>
        <v>10</v>
      </c>
      <c r="R27" s="87">
        <f>_xlfn.XLOOKUP(_xlfn.XLOOKUP($AS$6&amp;$B27,公表[班別+時段],公表[備勤4],""),$AX$9:$AX$25,$AY$9:$AY$25,"")</f>
        <v>6</v>
      </c>
      <c r="S27" s="87"/>
      <c r="T27" s="87">
        <f>_xlfn.XLOOKUP(_xlfn.XLOOKUP($AS$6&amp;$B27,公表[班別+時段],公表[備勤5],""),$AX$9:$AX$25,$AY$9:$AY$25,"")</f>
        <v>4</v>
      </c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87"/>
      <c r="AC27" s="87"/>
      <c r="AD27" s="87"/>
      <c r="AE27" s="88">
        <f>_xlfn.XLOOKUP(_xlfn.XLOOKUP($AS$6&amp;$B27,公表[班別+時段],公表[指揮官],""),$AX$9:$AX$25,$AY$9:$AY$25,"")</f>
        <v>3</v>
      </c>
      <c r="AF27" s="317" t="s">
        <v>215</v>
      </c>
      <c r="AG27" s="319"/>
      <c r="AH27" s="321"/>
      <c r="AI27" s="321"/>
      <c r="AJ27" s="321"/>
      <c r="AK27" s="321"/>
      <c r="AL27" s="321"/>
      <c r="AM27" s="322"/>
      <c r="AN27" s="214"/>
      <c r="AO27" s="127">
        <v>19</v>
      </c>
      <c r="AP27" s="127" t="str">
        <v>劉家誠</v>
      </c>
      <c r="AQ27" s="127" t="str" cm="1">
        <f t="array" ref="AQ27">IFERROR(_xlfn.XLOOKUP(_xlfn.XLOOKUP($AQ$3,輪休基準表!$C$6:$C$36,_xlfn.XLOOKUP(AP27,輪休基準表!$E$5:$AF$5,輪休基準表!$E$6:$AF$36,""),""),班別參數!$A$4:$A$20,班別參數!$B$4:$B$20,""),"")</f>
        <v>輪休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/>
      </c>
      <c r="AT27" s="180" t="str">
        <f t="shared" si="0"/>
        <v/>
      </c>
      <c r="AU27" s="180" t="str">
        <f t="shared" si="1"/>
        <v/>
      </c>
      <c r="AV27" s="10"/>
      <c r="AW27" s="46"/>
      <c r="AX27" s="45"/>
      <c r="AY27" s="25"/>
      <c r="AZ27" s="28"/>
      <c r="BA27" s="33"/>
      <c r="BB27" s="25"/>
      <c r="BD27" s="127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14</v>
      </c>
      <c r="D28" s="95"/>
      <c r="E28" s="95"/>
      <c r="F28" s="95"/>
      <c r="G28" s="122" t="str">
        <f>IF(BC18="","",BC18)</f>
        <v/>
      </c>
      <c r="H28" s="37"/>
      <c r="I28" s="92">
        <f>_xlfn.XLOOKUP(_xlfn.XLOOKUP($AS$6&amp;$B28,公表[班別+時段],公表[救護1],""),$AX$9:$AX$25,$AY$9:$AY$25,"")</f>
        <v>9</v>
      </c>
      <c r="J28" s="92">
        <f>_xlfn.XLOOKUP(_xlfn.XLOOKUP($AS$6&amp;$B28,公表[班別+時段],公表[救護2],""),$AX$9:$AX$25,$AY$9:$AY$25,"")</f>
        <v>25</v>
      </c>
      <c r="K28" s="87"/>
      <c r="L28" s="87" t="s">
        <v>212</v>
      </c>
      <c r="M28" s="312"/>
      <c r="N28" s="87">
        <f>_xlfn.XLOOKUP(_xlfn.XLOOKUP($AS$6&amp;$B28,公表[班別+時段],公表[備勤1],""),$AX$9:$AX$25,$AY$9:$AY$25,"")</f>
        <v>6</v>
      </c>
      <c r="O28" s="87">
        <f>_xlfn.XLOOKUP(_xlfn.XLOOKUP($AS$6&amp;$B28,公表[班別+時段],公表[備勤2],""),$AX$9:$AX$25,$AY$9:$AY$25,"")</f>
        <v>10</v>
      </c>
      <c r="P28" s="87"/>
      <c r="Q28" s="87">
        <f>_xlfn.XLOOKUP(_xlfn.XLOOKUP($AS$6&amp;$B28,公表[班別+時段],公表[備勤3],""),$AX$9:$AX$25,$AY$9:$AY$25,"")</f>
        <v>11</v>
      </c>
      <c r="R28" s="87">
        <f>_xlfn.XLOOKUP(_xlfn.XLOOKUP($AS$6&amp;$B28,公表[班別+時段],公表[備勤4],""),$AX$9:$AX$25,$AY$9:$AY$25,"")</f>
        <v>7</v>
      </c>
      <c r="S28" s="87"/>
      <c r="T28" s="87">
        <f>_xlfn.XLOOKUP(_xlfn.XLOOKUP($AS$6&amp;$B28,公表[班別+時段],公表[備勤5],""),$AX$9:$AX$25,$AY$9:$AY$25,"")</f>
        <v>4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87"/>
      <c r="AC28" s="87"/>
      <c r="AD28" s="87"/>
      <c r="AE28" s="88">
        <f>_xlfn.XLOOKUP(_xlfn.XLOOKUP($AS$6&amp;$B28,公表[班別+時段],公表[指揮官],""),$AX$9:$AX$25,$AY$9:$AY$25,"")</f>
        <v>3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27">
        <v>20</v>
      </c>
      <c r="AP28" s="127" t="str">
        <v>呂奇霈</v>
      </c>
      <c r="AQ28" s="127" t="str" cm="1">
        <f t="array" ref="AQ28">IFERROR(_xlfn.XLOOKUP(_xlfn.XLOOKUP($AQ$3,輪休基準表!$C$6:$C$36,_xlfn.XLOOKUP(AP28,輪休基準表!$E$5:$AF$5,輪休基準表!$E$6:$AF$36,""),""),班別參數!$A$4:$A$20,班別參數!$B$4:$B$20,""),"")</f>
        <v>公假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27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14</v>
      </c>
      <c r="D29" s="95"/>
      <c r="E29" s="95"/>
      <c r="F29" s="95"/>
      <c r="G29" s="122" t="str">
        <f>IF(BC18="","",BC18)</f>
        <v/>
      </c>
      <c r="H29" s="37"/>
      <c r="I29" s="92">
        <f>_xlfn.XLOOKUP(_xlfn.XLOOKUP($AS$6&amp;$B29,公表[班別+時段],公表[救護1],""),$AX$9:$AX$25,$AY$9:$AY$25,"")</f>
        <v>9</v>
      </c>
      <c r="J29" s="92">
        <f>_xlfn.XLOOKUP(_xlfn.XLOOKUP($AS$6&amp;$B29,公表[班別+時段],公表[救護2],""),$AX$9:$AX$25,$AY$9:$AY$25,"")</f>
        <v>25</v>
      </c>
      <c r="K29" s="87"/>
      <c r="L29" s="87" t="s">
        <v>212</v>
      </c>
      <c r="M29" s="312"/>
      <c r="N29" s="87">
        <f>_xlfn.XLOOKUP(_xlfn.XLOOKUP($AS$6&amp;$B29,公表[班別+時段],公表[備勤1],""),$AX$9:$AX$25,$AY$9:$AY$25,"")</f>
        <v>6</v>
      </c>
      <c r="O29" s="87">
        <f>_xlfn.XLOOKUP(_xlfn.XLOOKUP($AS$6&amp;$B29,公表[班別+時段],公表[備勤2],""),$AX$9:$AX$25,$AY$9:$AY$25,"")</f>
        <v>10</v>
      </c>
      <c r="P29" s="87"/>
      <c r="Q29" s="87">
        <f>_xlfn.XLOOKUP(_xlfn.XLOOKUP($AS$6&amp;$B29,公表[班別+時段],公表[備勤3],""),$AX$9:$AX$25,$AY$9:$AY$25,"")</f>
        <v>11</v>
      </c>
      <c r="R29" s="87">
        <f>_xlfn.XLOOKUP(_xlfn.XLOOKUP($AS$6&amp;$B29,公表[班別+時段],公表[備勤4],""),$AX$9:$AX$25,$AY$9:$AY$25,"")</f>
        <v>7</v>
      </c>
      <c r="S29" s="87"/>
      <c r="T29" s="87">
        <f>_xlfn.XLOOKUP(_xlfn.XLOOKUP($AS$6&amp;$B29,公表[班別+時段],公表[備勤5],""),$AX$9:$AX$25,$AY$9:$AY$25,"")</f>
        <v>4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87"/>
      <c r="AC29" s="87"/>
      <c r="AD29" s="87"/>
      <c r="AE29" s="88">
        <f>_xlfn.XLOOKUP(_xlfn.XLOOKUP($AS$6&amp;$B29,公表[班別+時段],公表[指揮官],""),$AX$9:$AX$25,$AY$9:$AY$25,"")</f>
        <v>3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27">
        <v>21</v>
      </c>
      <c r="AP29" s="127" t="str">
        <v>張家和</v>
      </c>
      <c r="AQ29" s="127" t="str" cm="1">
        <f t="array" ref="AQ29">IFERROR(_xlfn.XLOOKUP(_xlfn.XLOOKUP($AQ$3,輪休基準表!$C$6:$C$36,_xlfn.XLOOKUP(AP29,輪休基準表!$E$5:$AF$5,輪休基準表!$E$6:$AF$36,""),""),班別參數!$A$4:$A$20,班別參數!$B$4:$B$20,""),"")</f>
        <v>輪休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/>
      </c>
      <c r="AT29" s="180" t="str">
        <f t="shared" si="0"/>
        <v/>
      </c>
      <c r="AU29" s="180" t="str">
        <f t="shared" si="1"/>
        <v/>
      </c>
      <c r="AV29" s="10"/>
      <c r="AW29" s="47"/>
      <c r="AX29" s="45"/>
      <c r="AY29" s="25"/>
      <c r="AZ29" s="28"/>
      <c r="BA29" s="33"/>
      <c r="BB29" s="25"/>
      <c r="BD29" s="127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14</v>
      </c>
      <c r="D30" s="95"/>
      <c r="E30" s="95"/>
      <c r="F30" s="95"/>
      <c r="G30" s="122" t="str">
        <f>IF(BC19="","",BC19)</f>
        <v/>
      </c>
      <c r="H30" s="37"/>
      <c r="I30" s="92">
        <f>_xlfn.XLOOKUP(_xlfn.XLOOKUP($AS$6&amp;$B30,公表[班別+時段],公表[救護1],""),$AX$9:$AX$25,$AY$9:$AY$25,"")</f>
        <v>6</v>
      </c>
      <c r="J30" s="92">
        <f>_xlfn.XLOOKUP(_xlfn.XLOOKUP($AS$6&amp;$B30,公表[班別+時段],公表[救護2],""),$AX$9:$AX$25,$AY$9:$AY$25,"")</f>
        <v>10</v>
      </c>
      <c r="K30" s="87"/>
      <c r="L30" s="87" t="s">
        <v>212</v>
      </c>
      <c r="M30" s="312"/>
      <c r="N30" s="87">
        <f>_xlfn.XLOOKUP(_xlfn.XLOOKUP($AS$6&amp;$B30,公表[班別+時段],公表[備勤1],""),$AX$9:$AX$25,$AY$9:$AY$25,"")</f>
        <v>9</v>
      </c>
      <c r="O30" s="87">
        <f>_xlfn.XLOOKUP(_xlfn.XLOOKUP($AS$6&amp;$B30,公表[班別+時段],公表[備勤2],""),$AX$9:$AX$25,$AY$9:$AY$25,"")</f>
        <v>7</v>
      </c>
      <c r="P30" s="87"/>
      <c r="Q30" s="87">
        <f>_xlfn.XLOOKUP(_xlfn.XLOOKUP($AS$6&amp;$B30,公表[班別+時段],公表[備勤3],""),$AX$9:$AX$25,$AY$9:$AY$25,"")</f>
        <v>25</v>
      </c>
      <c r="R30" s="87">
        <f>_xlfn.XLOOKUP(_xlfn.XLOOKUP($AS$6&amp;$B30,公表[班別+時段],公表[備勤4],""),$AX$9:$AX$25,$AY$9:$AY$25,"")</f>
        <v>11</v>
      </c>
      <c r="S30" s="87"/>
      <c r="T30" s="87">
        <f>_xlfn.XLOOKUP(_xlfn.XLOOKUP($AS$6&amp;$B30,公表[班別+時段],公表[備勤5],""),$AX$9:$AX$25,$AY$9:$AY$25,"")</f>
        <v>4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87"/>
      <c r="AC30" s="87"/>
      <c r="AD30" s="87"/>
      <c r="AE30" s="88">
        <f>_xlfn.XLOOKUP(_xlfn.XLOOKUP($AS$6&amp;$B30,公表[班別+時段],公表[指揮官],""),$AX$9:$AX$25,$AY$9:$AY$25,"")</f>
        <v>3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27">
        <v>22</v>
      </c>
      <c r="AP30" s="127" t="str">
        <v>陳俊瑋</v>
      </c>
      <c r="AQ30" s="127" t="str" cm="1">
        <f t="array" ref="AQ30">IFERROR(_xlfn.XLOOKUP(_xlfn.XLOOKUP($AQ$3,輪休基準表!$C$6:$C$36,_xlfn.XLOOKUP(AP30,輪休基準表!$E$5:$AF$5,輪休基準表!$E$6:$AF$36,""),""),班別參數!$A$4:$A$20,班別參數!$B$4:$B$20,""),"")</f>
        <v>公假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27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14</v>
      </c>
      <c r="D31" s="106"/>
      <c r="E31" s="96"/>
      <c r="F31" s="96"/>
      <c r="G31" s="123" t="str">
        <f>IF(BC19="","",BC19)</f>
        <v/>
      </c>
      <c r="H31" s="109"/>
      <c r="I31" s="216">
        <f>_xlfn.XLOOKUP(_xlfn.XLOOKUP($AS$6&amp;$B31,公表[班別+時段],公表[救護1],""),$AX$9:$AX$25,$AY$9:$AY$25,"")</f>
        <v>6</v>
      </c>
      <c r="J31" s="216">
        <f>_xlfn.XLOOKUP(_xlfn.XLOOKUP($AS$6&amp;$B31,公表[班別+時段],公表[救護2],""),$AX$9:$AX$25,$AY$9:$AY$25,"")</f>
        <v>10</v>
      </c>
      <c r="K31" s="108"/>
      <c r="L31" s="93" t="s">
        <v>212</v>
      </c>
      <c r="M31" s="312"/>
      <c r="N31" s="89">
        <f>_xlfn.XLOOKUP(_xlfn.XLOOKUP($AS$6&amp;$B31,公表[班別+時段],公表[備勤1],""),$AX$9:$AX$25,$AY$9:$AY$25,"")</f>
        <v>9</v>
      </c>
      <c r="O31" s="89">
        <f>_xlfn.XLOOKUP(_xlfn.XLOOKUP($AS$6&amp;$B31,公表[班別+時段],公表[備勤2],""),$AX$9:$AX$25,$AY$9:$AY$25,"")</f>
        <v>7</v>
      </c>
      <c r="P31" s="89"/>
      <c r="Q31" s="89">
        <f>_xlfn.XLOOKUP(_xlfn.XLOOKUP($AS$6&amp;$B31,公表[班別+時段],公表[備勤3],""),$AX$9:$AX$25,$AY$9:$AY$25,"")</f>
        <v>25</v>
      </c>
      <c r="R31" s="89">
        <f>_xlfn.XLOOKUP(_xlfn.XLOOKUP($AS$6&amp;$B31,公表[班別+時段],公表[備勤4],""),$AX$9:$AX$25,$AY$9:$AY$25,"")</f>
        <v>11</v>
      </c>
      <c r="S31" s="89"/>
      <c r="T31" s="89">
        <f>_xlfn.XLOOKUP(_xlfn.XLOOKUP($AS$6&amp;$B31,公表[班別+時段],公表[備勤5],""),$AX$9:$AX$25,$AY$9:$AY$25,"")</f>
        <v>4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89"/>
      <c r="AC31" s="89"/>
      <c r="AD31" s="89"/>
      <c r="AE31" s="104">
        <f>_xlfn.XLOOKUP(_xlfn.XLOOKUP($AS$6&amp;$B31,公表[班別+時段],公表[指揮官],""),$AX$9:$AX$25,$AY$9:$AY$25,"")</f>
        <v>3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27">
        <v>23</v>
      </c>
      <c r="AP31" s="127" t="str">
        <v>陳俊翰</v>
      </c>
      <c r="AQ31" s="127" t="str" cm="1">
        <f t="array" ref="AQ31">IFERROR(_xlfn.XLOOKUP(_xlfn.XLOOKUP($AQ$3,輪休基準表!$C$6:$C$36,_xlfn.XLOOKUP(AP31,輪休基準表!$E$5:$AF$5,輪休基準表!$E$6:$AF$36,""),""),班別參數!$A$4:$A$20,班別參數!$B$4:$B$20,""),"")</f>
        <v>輪休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/>
      </c>
      <c r="AT31" s="180" t="str">
        <f t="shared" si="0"/>
        <v/>
      </c>
      <c r="AU31" s="180" t="str">
        <f t="shared" si="1"/>
        <v/>
      </c>
      <c r="AW31" s="47"/>
      <c r="AX31" s="45"/>
      <c r="AY31" s="25"/>
      <c r="AZ31" s="28"/>
      <c r="BA31" s="33"/>
      <c r="BB31" s="25"/>
      <c r="BD31" s="127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14</v>
      </c>
      <c r="D32" s="97"/>
      <c r="E32" s="97"/>
      <c r="F32" s="97"/>
      <c r="G32" s="121" t="s">
        <v>385</v>
      </c>
      <c r="H32" s="56"/>
      <c r="I32" s="94">
        <f>_xlfn.XLOOKUP(_xlfn.XLOOKUP($AS$6&amp;$B32,公表[班別+時段],公表[救護1],""),$AX$9:$AX$25,$AY$9:$AY$25,"")</f>
        <v>6</v>
      </c>
      <c r="J32" s="94">
        <f>_xlfn.XLOOKUP(_xlfn.XLOOKUP($AS$6&amp;$B32,公表[班別+時段],公表[救護2],""),$AX$9:$AX$25,$AY$9:$AY$25,"")</f>
        <v>10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7</v>
      </c>
      <c r="O32" s="90">
        <f>_xlfn.XLOOKUP(_xlfn.XLOOKUP($AS$6&amp;$B32,公表[班別+時段],公表[備勤2],""),$AX$9:$AX$25,$AY$9:$AY$25,"")</f>
        <v>25</v>
      </c>
      <c r="P32" s="90"/>
      <c r="Q32" s="90">
        <f>_xlfn.XLOOKUP(_xlfn.XLOOKUP($AS$6&amp;$B32,公表[班別+時段],公表[備勤3],""),$AX$9:$AX$25,$AY$9:$AY$25,"")</f>
        <v>9</v>
      </c>
      <c r="R32" s="90">
        <f>_xlfn.XLOOKUP(_xlfn.XLOOKUP($AS$6&amp;$B32,公表[班別+時段],公表[備勤4],""),$AX$9:$AX$25,$AY$9:$AY$25,"")</f>
        <v>0</v>
      </c>
      <c r="S32" s="90"/>
      <c r="T32" s="90">
        <f>_xlfn.XLOOKUP(_xlfn.XLOOKUP($AS$6&amp;$B32,公表[班別+時段],公表[備勤5],""),$AX$9:$AX$25,$AY$9:$AY$25,"")</f>
        <v>0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90"/>
      <c r="AC32" s="90"/>
      <c r="AD32" s="90"/>
      <c r="AE32" s="91">
        <v>4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27">
        <v>24</v>
      </c>
      <c r="AP32" s="127" t="str">
        <v>賴俊豪</v>
      </c>
      <c r="AQ32" s="127" t="str" cm="1">
        <f t="array" ref="AQ32">IFERROR(_xlfn.XLOOKUP(_xlfn.XLOOKUP($AQ$3,輪休基準表!$C$6:$C$36,_xlfn.XLOOKUP(AP32,輪休基準表!$E$5:$AF$5,輪休基準表!$E$6:$AF$36,""),""),班別參數!$A$4:$A$20,班別參數!$B$4:$B$20,""),"")</f>
        <v>補休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/>
      </c>
      <c r="AT32" s="180" t="str">
        <f t="shared" si="0"/>
        <v/>
      </c>
      <c r="AU32" s="180" t="str">
        <f t="shared" si="1"/>
        <v/>
      </c>
      <c r="AW32" s="47"/>
      <c r="AX32" s="45"/>
      <c r="AY32" s="25"/>
      <c r="AZ32" s="28"/>
      <c r="BA32" s="33"/>
      <c r="BB32" s="25"/>
      <c r="BD32" s="127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14</v>
      </c>
      <c r="D33" s="95"/>
      <c r="E33" s="95"/>
      <c r="F33" s="95"/>
      <c r="G33" s="122" t="s">
        <v>385</v>
      </c>
      <c r="H33" s="48"/>
      <c r="I33" s="92">
        <f>_xlfn.XLOOKUP(_xlfn.XLOOKUP($AS$6&amp;$B33,公表[班別+時段],公表[救護1],""),$AX$9:$AX$25,$AY$9:$AY$25,"")</f>
        <v>6</v>
      </c>
      <c r="J33" s="92">
        <f>_xlfn.XLOOKUP(_xlfn.XLOOKUP($AS$6&amp;$B33,公表[班別+時段],公表[救護2],""),$AX$9:$AX$25,$AY$9:$AY$25,"")</f>
        <v>10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7</v>
      </c>
      <c r="O33" s="87">
        <f>_xlfn.XLOOKUP(_xlfn.XLOOKUP($AS$6&amp;$B33,公表[班別+時段],公表[備勤2],""),$AX$9:$AX$25,$AY$9:$AY$25,"")</f>
        <v>25</v>
      </c>
      <c r="P33" s="87"/>
      <c r="Q33" s="87">
        <f>_xlfn.XLOOKUP(_xlfn.XLOOKUP($AS$6&amp;$B33,公表[班別+時段],公表[備勤3],""),$AX$9:$AX$25,$AY$9:$AY$25,"")</f>
        <v>9</v>
      </c>
      <c r="R33" s="87">
        <f>_xlfn.XLOOKUP(_xlfn.XLOOKUP($AS$6&amp;$B33,公表[班別+時段],公表[備勤4],""),$AX$9:$AX$25,$AY$9:$AY$25,"")</f>
        <v>0</v>
      </c>
      <c r="S33" s="87"/>
      <c r="T33" s="87">
        <f>_xlfn.XLOOKUP(_xlfn.XLOOKUP($AS$6&amp;$B33,公表[班別+時段],公表[備勤5],""),$AX$9:$AX$25,$AY$9:$AY$25,"")</f>
        <v>0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87"/>
      <c r="AC33" s="87"/>
      <c r="AD33" s="87"/>
      <c r="AE33" s="88">
        <v>4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27">
        <v>25</v>
      </c>
      <c r="AP33" s="127" t="str">
        <v>郭國偵</v>
      </c>
      <c r="AQ33" s="127" t="str" cm="1">
        <f t="array" ref="AQ33">IFERROR(_xlfn.XLOOKUP(_xlfn.XLOOKUP($AQ$3,輪休基準表!$C$6:$C$36,_xlfn.XLOOKUP(AP33,輪休基準表!$E$5:$AF$5,輪休基準表!$E$6:$AF$36,""),""),班別參數!$A$4:$A$20,班別參數!$B$4:$B$20,""),"")</f>
        <v>上班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>已排</v>
      </c>
      <c r="AT33" s="180">
        <f t="shared" si="0"/>
        <v>8</v>
      </c>
      <c r="AU33" s="180">
        <f t="shared" si="1"/>
        <v>6</v>
      </c>
      <c r="AW33" s="47"/>
      <c r="AX33" s="45"/>
      <c r="AY33" s="25"/>
      <c r="AZ33" s="28"/>
      <c r="BA33" s="25"/>
      <c r="BB33" s="25"/>
      <c r="BD33" s="127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一、本日主管請休，職務由小隊長孫子翔代理。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27">
        <v>26</v>
      </c>
      <c r="AP34" s="127" t="str">
        <v>楊紹文</v>
      </c>
      <c r="AQ34" s="127" t="str" cm="1">
        <f t="array" ref="AQ34">IFERROR(_xlfn.XLOOKUP(_xlfn.XLOOKUP($AQ$3,輪休基準表!$C$6:$C$36,_xlfn.XLOOKUP(AP34,輪休基準表!$E$5:$AF$5,輪休基準表!$E$6:$AF$36,""),""),班別參數!$A$4:$A$20,班別參數!$B$4:$B$20,""),"")</f>
        <v>輪休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/>
      </c>
      <c r="AT34" s="180" t="str">
        <f t="shared" si="0"/>
        <v/>
      </c>
      <c r="AU34" s="180" t="str">
        <f t="shared" si="1"/>
        <v/>
      </c>
      <c r="AW34" s="47"/>
      <c r="AX34" s="45"/>
      <c r="AY34" s="25"/>
      <c r="AZ34" s="28"/>
      <c r="BA34" s="25"/>
      <c r="BB34" s="25"/>
      <c r="BD34" s="127"/>
    </row>
    <row r="35" spans="2:56" ht="30" customHeight="1">
      <c r="B35" s="349"/>
      <c r="C35" s="359" t="str">
        <f>CONCATENATE("二、在隊訓練:09-12時:",H11,";14-17時:",H16,";19-21時:",H21,"。")</f>
        <v>二、在隊訓練:09-12時:河川抽水及水源運用;14-17時:SCBA訓練;19-21時:火災特性。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27">
        <v>27</v>
      </c>
      <c r="AP35" s="127" t="str">
        <v>林宏為</v>
      </c>
      <c r="AQ35" s="127" t="str" cm="1">
        <f t="array" ref="AQ35">IFERROR(_xlfn.XLOOKUP(_xlfn.XLOOKUP($AQ$3,輪休基準表!$C$6:$C$36,_xlfn.XLOOKUP(AP35,輪休基準表!$E$5:$AF$5,輪休基準表!$E$6:$AF$36,""),""),班別參數!$A$4:$A$20,班別參數!$B$4:$B$20,""),"")</f>
        <v>月補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/>
      </c>
      <c r="AT35" s="180" t="str">
        <f t="shared" si="0"/>
        <v/>
      </c>
      <c r="AU35" s="180" t="str">
        <f t="shared" si="1"/>
        <v/>
      </c>
      <c r="AW35" s="47"/>
      <c r="AX35" s="45"/>
      <c r="AY35" s="25"/>
      <c r="AZ35" s="28"/>
      <c r="BA35" s="25"/>
      <c r="BB35" s="25"/>
      <c r="BD35" s="127"/>
    </row>
    <row r="36" spans="2:56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27">
        <v>28</v>
      </c>
      <c r="AP36" s="127" t="str">
        <v>林宸彥</v>
      </c>
      <c r="AQ36" s="127" t="str" cm="1">
        <f t="array" ref="AQ36">IFERROR(_xlfn.XLOOKUP(_xlfn.XLOOKUP($AQ$3,輪休基準表!$C$6:$C$36,_xlfn.XLOOKUP(AP36,輪休基準表!$E$5:$AF$5,輪休基準表!$E$6:$AF$36,""),""),班別參數!$A$4:$A$20,班別參數!$B$4:$B$20,""),"")</f>
        <v>輪休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/>
      </c>
      <c r="AT36" s="180" t="str">
        <f t="shared" si="0"/>
        <v/>
      </c>
      <c r="AU36" s="180" t="str">
        <f t="shared" si="1"/>
        <v/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27"/>
      <c r="AP37" s="127"/>
      <c r="AQ37" s="127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27"/>
      <c r="BD37" s="10"/>
    </row>
    <row r="38" spans="2:56" ht="15" customHeight="1">
      <c r="AQ38" s="127"/>
      <c r="AR38" s="118"/>
      <c r="AS38" s="119"/>
      <c r="AT38" s="119"/>
    </row>
    <row r="39" spans="2:56" ht="15" customHeight="1">
      <c r="AR39" s="118"/>
      <c r="AS39" s="119"/>
      <c r="AT39" s="119"/>
    </row>
    <row r="40" spans="2:56" ht="15" customHeight="1">
      <c r="AR40" s="118"/>
      <c r="AS40" s="119"/>
      <c r="AT40" s="119"/>
    </row>
  </sheetData>
  <mergeCells count="73">
    <mergeCell ref="AG22:AK22"/>
    <mergeCell ref="AG23:AM23"/>
    <mergeCell ref="AG24:AI24"/>
    <mergeCell ref="AK24:AM24"/>
    <mergeCell ref="AF33:AG33"/>
    <mergeCell ref="AH33:AI33"/>
    <mergeCell ref="AJ33:AK33"/>
    <mergeCell ref="AF31:AG31"/>
    <mergeCell ref="AH31:AI31"/>
    <mergeCell ref="AJ31:AK31"/>
    <mergeCell ref="AF32:AG32"/>
    <mergeCell ref="AH32:AI32"/>
    <mergeCell ref="AJ32:AK32"/>
    <mergeCell ref="AF27:AF28"/>
    <mergeCell ref="AG27:AM27"/>
    <mergeCell ref="AG28:AM28"/>
    <mergeCell ref="B34:B36"/>
    <mergeCell ref="C34:AE34"/>
    <mergeCell ref="AF34:AM34"/>
    <mergeCell ref="C35:AE35"/>
    <mergeCell ref="AF35:AM35"/>
    <mergeCell ref="C36:AE36"/>
    <mergeCell ref="AF36:AM36"/>
    <mergeCell ref="AF29:AM29"/>
    <mergeCell ref="AF30:AG30"/>
    <mergeCell ref="AH30:AI30"/>
    <mergeCell ref="AJ30:AK30"/>
    <mergeCell ref="AG25:AI25"/>
    <mergeCell ref="AK25:AM25"/>
    <mergeCell ref="C8:AE8"/>
    <mergeCell ref="C9:AE9"/>
    <mergeCell ref="M10:M33"/>
    <mergeCell ref="H11:H13"/>
    <mergeCell ref="H16:H18"/>
    <mergeCell ref="H21:H22"/>
    <mergeCell ref="D11:D12"/>
    <mergeCell ref="E16:E18"/>
    <mergeCell ref="I6:J6"/>
    <mergeCell ref="K6:L6"/>
    <mergeCell ref="N6:P6"/>
    <mergeCell ref="Q6:S6"/>
    <mergeCell ref="T6:V6"/>
    <mergeCell ref="AF5:AM6"/>
    <mergeCell ref="AO5:AO6"/>
    <mergeCell ref="T7:V7"/>
    <mergeCell ref="AR5:AR6"/>
    <mergeCell ref="AS5:AT5"/>
    <mergeCell ref="W6:Y6"/>
    <mergeCell ref="AE6:AE7"/>
    <mergeCell ref="AS6:AT6"/>
    <mergeCell ref="AP5:AQ6"/>
    <mergeCell ref="G5:G7"/>
    <mergeCell ref="B3:AM3"/>
    <mergeCell ref="AW3:AX3"/>
    <mergeCell ref="AY3:BB3"/>
    <mergeCell ref="B4:AI4"/>
    <mergeCell ref="AJ4:AM4"/>
    <mergeCell ref="AW4:AX4"/>
    <mergeCell ref="AY4:BB4"/>
    <mergeCell ref="B5:B7"/>
    <mergeCell ref="C5:C7"/>
    <mergeCell ref="D5:D7"/>
    <mergeCell ref="E5:E7"/>
    <mergeCell ref="F5:F7"/>
    <mergeCell ref="H5:H7"/>
    <mergeCell ref="I5:L5"/>
    <mergeCell ref="M5:AE5"/>
    <mergeCell ref="AY2:BB2"/>
    <mergeCell ref="B1:AE1"/>
    <mergeCell ref="AP1:AQ1"/>
    <mergeCell ref="B2:AE2"/>
    <mergeCell ref="AG2:AM2"/>
    <mergeCell ref="AW2:AX2"/>
  </mergeCells>
  <phoneticPr fontId="9" type="noConversion"/>
  <conditionalFormatting sqref="AO9:AQ36 AO37:AP37 AQ37:AQ38">
    <cfRule type="expression" dxfId="116" priority="16">
      <formula>COUNTIF($AQ9,"上班")&gt;=1</formula>
    </cfRule>
  </conditionalFormatting>
  <conditionalFormatting sqref="AF8:AF13 AH8:AH21 AJ8:AJ21 AL8:AM21">
    <cfRule type="expression" dxfId="115" priority="11">
      <formula>OR(VLOOKUP(AF8,$AO$9:$AQ$40,3,0)="上班",VLOOKUP(AF8,$AO$9:$AQ$40,3,0)="外宿")</formula>
    </cfRule>
  </conditionalFormatting>
  <conditionalFormatting sqref="AL8">
    <cfRule type="expression" dxfId="114" priority="10">
      <formula>OR(VLOOKUP(AL8,$AO$9:$AQ$36,3,0)="上班",VLOOKUP(AL8,$AO$9:$AQ$36,3,0)="外宿")</formula>
    </cfRule>
  </conditionalFormatting>
  <conditionalFormatting sqref="AR9:AR36">
    <cfRule type="notContainsText" dxfId="113" priority="2" operator="notContains" text="已排">
      <formula>ISERROR(SEARCH("已排",AR9))</formula>
    </cfRule>
  </conditionalFormatting>
  <conditionalFormatting sqref="AS9:AS36">
    <cfRule type="notContainsText" dxfId="112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BCF0E-F0DE-47BD-9E47-6F47745554E1}">
  <sheetPr codeName="工作表16">
    <pageSetUpPr fitToPage="1"/>
  </sheetPr>
  <dimension ref="B1:BD40"/>
  <sheetViews>
    <sheetView showZeros="0" view="pageBreakPreview" zoomScale="55" zoomScaleNormal="55" zoomScaleSheetLayoutView="55" workbookViewId="0">
      <selection activeCell="I6" sqref="I6:V7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6" width="5.375" style="126" customWidth="1"/>
    <col min="7" max="8" width="8.625" style="126" customWidth="1"/>
    <col min="9" max="12" width="5.375" style="126" customWidth="1"/>
    <col min="13" max="13" width="6.625" style="126" customWidth="1"/>
    <col min="14" max="31" width="5.375" style="126" customWidth="1"/>
    <col min="32" max="32" width="7.625" style="126" customWidth="1"/>
    <col min="33" max="33" width="10.625" style="126" customWidth="1"/>
    <col min="34" max="34" width="7.625" style="126" customWidth="1"/>
    <col min="35" max="35" width="10.625" style="126" customWidth="1"/>
    <col min="36" max="36" width="7.625" style="126" customWidth="1"/>
    <col min="37" max="37" width="10.625" style="126" customWidth="1"/>
    <col min="38" max="38" width="7.625" style="126" customWidth="1"/>
    <col min="39" max="39" width="10.625" style="126" customWidth="1"/>
    <col min="40" max="40" width="4.125" style="213" customWidth="1"/>
    <col min="41" max="47" width="11.625" style="126" customWidth="1"/>
    <col min="48" max="48" width="4.125" style="126" customWidth="1"/>
    <col min="49" max="49" width="16" style="126" customWidth="1"/>
    <col min="50" max="51" width="8.25" style="126" customWidth="1"/>
    <col min="52" max="52" width="4.125" style="126" customWidth="1"/>
    <col min="53" max="53" width="16" style="126" customWidth="1"/>
    <col min="54" max="54" width="8.25" style="126" customWidth="1"/>
    <col min="55" max="55" width="10.875" style="126" customWidth="1"/>
    <col min="56" max="58" width="4.125" style="126" customWidth="1"/>
    <col min="59" max="16384" width="11.25" style="126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27"/>
      <c r="AP1" s="399"/>
      <c r="AQ1" s="399"/>
      <c r="AR1" s="127"/>
      <c r="AS1" s="127"/>
      <c r="AT1" s="127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3" t="s">
        <v>178</v>
      </c>
      <c r="AR2" s="146" t="s">
        <v>228</v>
      </c>
      <c r="AS2" s="142"/>
      <c r="AT2" s="140"/>
      <c r="AU2" s="127"/>
      <c r="AV2" s="127"/>
      <c r="AW2" s="362" t="s">
        <v>127</v>
      </c>
      <c r="AX2" s="287"/>
      <c r="AY2" s="367" t="str">
        <f>_xlfn.XLOOKUP($AR$3,訓練!$L$13:$L$19,訓練!$M$13:$M$19,"")</f>
        <v>通風排煙訓練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115年5月12日星期二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12</v>
      </c>
      <c r="AR3" s="141" t="str">
        <f>RIGHT(TEXT(1911+$AO$3&amp;"/"&amp;$AP$3&amp;"/"&amp;$AQ$3,"aaaa"),1)</f>
        <v>二</v>
      </c>
      <c r="AS3" s="145"/>
      <c r="AT3" s="145"/>
      <c r="AU3" s="127"/>
      <c r="AV3" s="127"/>
      <c r="AW3" s="362" t="s">
        <v>128</v>
      </c>
      <c r="AX3" s="287"/>
      <c r="AY3" s="368" t="str">
        <f>_xlfn.XLOOKUP($AR$3,訓練!$L$13:$L$19,訓練!$N$13:$N$19,"")</f>
        <v>人命救助訓練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27"/>
      <c r="AU4" s="127"/>
      <c r="AV4" s="127"/>
      <c r="AW4" s="362" t="s">
        <v>129</v>
      </c>
      <c r="AX4" s="287"/>
      <c r="AY4" s="363" t="str">
        <f>_xlfn.XLOOKUP($AR$3,訓練!$L$13:$L$19,訓練!$O$13:$O$19,"")</f>
        <v>火場控制及殘火處理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2" t="s">
        <v>387</v>
      </c>
      <c r="E5" s="340"/>
      <c r="F5" s="340"/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341"/>
      <c r="E6" s="341"/>
      <c r="F6" s="341"/>
      <c r="G6" s="312"/>
      <c r="H6" s="312"/>
      <c r="I6" s="334" t="s">
        <v>227</v>
      </c>
      <c r="J6" s="335"/>
      <c r="K6" s="334" t="s">
        <v>346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2+7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341"/>
      <c r="E7" s="341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192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27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27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27" cm="1">
        <f t="array" ref="AO9:AP36">TRANSPOSE(輪休基準表!E4:AF5)</f>
        <v>1</v>
      </c>
      <c r="AP9" s="127" t="str">
        <v>鄧力嘉</v>
      </c>
      <c r="AQ9" s="127" t="str" cm="1">
        <f t="array" ref="AQ9">IFERROR(_xlfn.XLOOKUP(_xlfn.XLOOKUP($AQ$3,輪休基準表!$C$6:$C$36,_xlfn.XLOOKUP(AP9,輪休基準表!$E$5:$AF$5,輪休基準表!$E$6:$AF$36,""),""),班別參數!$A$4:$A$20,班別參數!$B$4:$B$20,""),"")</f>
        <v>輪休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/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 t="array" ref="AX9">IFERROR(INDEX(班別參數!$D$4:$S$20,MATCH(AW9,班別參數!$D$4:$D$20,0),MATCH($AS$6,班別參數!$D$4:$S$4,0)),"")</f>
        <v>A</v>
      </c>
      <c r="AY9" s="35">
        <v>17</v>
      </c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H,K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12,2</v>
      </c>
      <c r="BD9" s="127"/>
    </row>
    <row r="10" spans="2:56" ht="30" customHeight="1">
      <c r="B10" s="81" t="s">
        <v>70</v>
      </c>
      <c r="C10" s="87">
        <f>_xlfn.XLOOKUP(_xlfn.XLOOKUP($AS$6&amp;$B10,公表[班別+時段],公表[值班],""),$AX$9:$AX$25,$AY$9:$AY$25,"")</f>
        <v>17</v>
      </c>
      <c r="D10" s="430">
        <v>5</v>
      </c>
      <c r="E10" s="95"/>
      <c r="F10" s="95"/>
      <c r="G10" s="122">
        <v>12</v>
      </c>
      <c r="H10" s="37"/>
      <c r="I10" s="92">
        <f>_xlfn.XLOOKUP(_xlfn.XLOOKUP($AS$6&amp;$B10,公表[班別+時段],公表[救護1],""),$AX$9:$AX$25,$AY$9:$AY$25,"")</f>
        <v>28</v>
      </c>
      <c r="J10" s="92">
        <f>_xlfn.XLOOKUP(_xlfn.XLOOKUP($AS$6&amp;$B10,公表[班別+時段],公表[救護2],""),$AX$9:$AX$25,$AY$9:$AY$25,"")</f>
        <v>26</v>
      </c>
      <c r="K10" s="87"/>
      <c r="L10" s="87" t="s">
        <v>212</v>
      </c>
      <c r="M10" s="311"/>
      <c r="N10" s="87">
        <f>_xlfn.XLOOKUP(_xlfn.XLOOKUP($AS$6&amp;$B10,公表[班別+時段],公表[備勤1],""),$AX$9:$AX$25,$AY$9:$AY$25,"")</f>
        <v>19</v>
      </c>
      <c r="O10" s="87">
        <f>_xlfn.XLOOKUP(_xlfn.XLOOKUP($AS$6&amp;$B10,公表[班別+時段],公表[備勤2],""),$AX$9:$AX$25,$AY$9:$AY$25,"")</f>
        <v>23</v>
      </c>
      <c r="P10" s="87"/>
      <c r="Q10" s="87">
        <f>_xlfn.XLOOKUP(_xlfn.XLOOKUP($AS$6&amp;$B10,公表[班別+時段],公表[備勤3],""),$AX$9:$AX$25,$AY$9:$AY$25,"")</f>
        <v>27</v>
      </c>
      <c r="R10" s="87">
        <f>_xlfn.XLOOKUP(_xlfn.XLOOKUP($AS$6&amp;$B10,公表[班別+時段],公表[備勤4],""),$AX$9:$AX$25,$AY$9:$AY$25,"")</f>
        <v>0</v>
      </c>
      <c r="S10" s="87"/>
      <c r="T10" s="87">
        <f>_xlfn.XLOOKUP(_xlfn.XLOOKUP($AS$6&amp;$B10,公表[班別+時段],公表[備勤5],""),$AX$9:$AX$25,$AY$9:$AY$25,"")</f>
        <v>0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87"/>
      <c r="AB10" s="87"/>
      <c r="AC10" s="87"/>
      <c r="AD10" s="87"/>
      <c r="AE10" s="88">
        <v>2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27">
        <v>2</v>
      </c>
      <c r="AP10" s="127" t="str">
        <v>莊勝斌</v>
      </c>
      <c r="AQ10" s="127" t="str" cm="1">
        <f t="array" ref="AQ10">IFERROR(_xlfn.XLOOKUP(_xlfn.XLOOKUP($AQ$3,輪休基準表!$C$6:$C$36,_xlfn.XLOOKUP(AP10,輪休基準表!$E$5:$AF$5,輪休基準表!$E$6:$AF$36,""),""),班別參數!$A$4:$A$20,班別參數!$B$4:$B$20,""),"")</f>
        <v>上班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>已排</v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>
        <v>27</v>
      </c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23</v>
      </c>
      <c r="BD10" s="127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17</v>
      </c>
      <c r="D11" s="431"/>
      <c r="E11" s="95"/>
      <c r="F11" s="95"/>
      <c r="G11" s="122">
        <v>12</v>
      </c>
      <c r="H11" s="296" t="str">
        <f>AY2</f>
        <v>通風排煙訓練</v>
      </c>
      <c r="I11" s="92">
        <f>_xlfn.XLOOKUP(_xlfn.XLOOKUP($AS$6&amp;$B11,公表[班別+時段],公表[救護1],""),$AX$9:$AX$25,$AY$9:$AY$25,"")</f>
        <v>28</v>
      </c>
      <c r="J11" s="92">
        <f>_xlfn.XLOOKUP(_xlfn.XLOOKUP($AS$6&amp;$B11,公表[班別+時段],公表[救護2],""),$AX$9:$AX$25,$AY$9:$AY$25,"")</f>
        <v>26</v>
      </c>
      <c r="K11" s="87"/>
      <c r="L11" s="87" t="s">
        <v>212</v>
      </c>
      <c r="M11" s="312"/>
      <c r="N11" s="87">
        <f>_xlfn.XLOOKUP(_xlfn.XLOOKUP($AS$6&amp;$B11,公表[班別+時段],公表[備勤1],""),$AX$9:$AX$25,$AY$9:$AY$25,"")</f>
        <v>19</v>
      </c>
      <c r="O11" s="87">
        <f>_xlfn.XLOOKUP(_xlfn.XLOOKUP($AS$6&amp;$B11,公表[班別+時段],公表[備勤2],""),$AX$9:$AX$25,$AY$9:$AY$25,"")</f>
        <v>23</v>
      </c>
      <c r="P11" s="87"/>
      <c r="Q11" s="87">
        <f>_xlfn.XLOOKUP(_xlfn.XLOOKUP($AS$6&amp;$B11,公表[班別+時段],公表[備勤3],""),$AX$9:$AX$25,$AY$9:$AY$25,"")</f>
        <v>27</v>
      </c>
      <c r="R11" s="87">
        <f>_xlfn.XLOOKUP(_xlfn.XLOOKUP($AS$6&amp;$B11,公表[班別+時段],公表[備勤4],""),$AX$9:$AX$25,$AY$9:$AY$25,"")</f>
        <v>0</v>
      </c>
      <c r="S11" s="87"/>
      <c r="T11" s="87">
        <f>_xlfn.XLOOKUP(_xlfn.XLOOKUP($AS$6&amp;$B11,公表[班別+時段],公表[備勤5],""),$AX$9:$AX$25,$AY$9:$AY$25,"")</f>
        <v>0</v>
      </c>
      <c r="U11" s="87">
        <f>_xlfn.XLOOKUP(_xlfn.XLOOKUP($AS$6&amp;$B11,公表[班別+時段],公表[備勤6],""),$AX$9:$AX$25,$AY$9:$AY$25,"")</f>
        <v>0</v>
      </c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87"/>
      <c r="AB11" s="87"/>
      <c r="AC11" s="87"/>
      <c r="AD11" s="87"/>
      <c r="AE11" s="88">
        <v>2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27">
        <v>3</v>
      </c>
      <c r="AP11" s="127" t="str">
        <v>孫子翔</v>
      </c>
      <c r="AQ11" s="127" t="str" cm="1">
        <f t="array" ref="AQ11">IFERROR(_xlfn.XLOOKUP(_xlfn.XLOOKUP($AQ$3,輪休基準表!$C$6:$C$36,_xlfn.XLOOKUP(AP11,輪休基準表!$E$5:$AF$5,輪休基準表!$E$6:$AF$36,""),""),班別參數!$A$4:$A$20,班別參數!$B$4:$B$20,""),"")</f>
        <v>輪休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/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>
        <v>26</v>
      </c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F</v>
      </c>
      <c r="BC11" s="39" t="str">
        <f t="shared" si="2"/>
        <v>28</v>
      </c>
      <c r="BD11" s="127"/>
    </row>
    <row r="12" spans="2:56" ht="30" customHeight="1">
      <c r="B12" s="81" t="s">
        <v>75</v>
      </c>
      <c r="C12" s="87">
        <f>_xlfn.XLOOKUP(_xlfn.XLOOKUP($AS$6&amp;$B12,公表[班別+時段],公表[值班],""),$AX$9:$AX$25,$AY$9:$AY$25,"")</f>
        <v>27</v>
      </c>
      <c r="D12" s="426"/>
      <c r="E12" s="95"/>
      <c r="F12" s="95"/>
      <c r="G12" s="122">
        <v>12</v>
      </c>
      <c r="H12" s="314"/>
      <c r="I12" s="92">
        <f>_xlfn.XLOOKUP(_xlfn.XLOOKUP($AS$6&amp;$B12,公表[班別+時段],公表[救護1],""),$AX$9:$AX$25,$AY$9:$AY$25,"")</f>
        <v>17</v>
      </c>
      <c r="J12" s="92">
        <f>_xlfn.XLOOKUP(_xlfn.XLOOKUP($AS$6&amp;$B12,公表[班別+時段],公表[救護2],""),$AX$9:$AX$25,$AY$9:$AY$25,"")</f>
        <v>19</v>
      </c>
      <c r="K12" s="92"/>
      <c r="L12" s="87" t="s">
        <v>212</v>
      </c>
      <c r="M12" s="312"/>
      <c r="N12" s="87">
        <v>23</v>
      </c>
      <c r="O12" s="87">
        <f>_xlfn.XLOOKUP(_xlfn.XLOOKUP($AS$6&amp;$B12,公表[班別+時段],公表[備勤2],""),$AX$9:$AX$25,$AY$9:$AY$25,"")</f>
        <v>28</v>
      </c>
      <c r="P12" s="87"/>
      <c r="Q12" s="87">
        <f>_xlfn.XLOOKUP(_xlfn.XLOOKUP($AS$6&amp;$B12,公表[班別+時段],公表[備勤3],""),$AX$9:$AX$25,$AY$9:$AY$25,"")</f>
        <v>26</v>
      </c>
      <c r="R12" s="87">
        <f>_xlfn.XLOOKUP(_xlfn.XLOOKUP($AS$6&amp;$B12,公表[班別+時段],公表[備勤4],""),$AX$9:$AX$25,$AY$9:$AY$25,"")</f>
        <v>0</v>
      </c>
      <c r="S12" s="87"/>
      <c r="T12" s="87"/>
      <c r="U12" s="87">
        <f>_xlfn.XLOOKUP(_xlfn.XLOOKUP($AS$6&amp;$B12,公表[班別+時段],公表[備勤6],""),$AX$9:$AX$25,$AY$9:$AY$25,"")</f>
        <v>0</v>
      </c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87"/>
      <c r="AC12" s="87"/>
      <c r="AD12" s="87"/>
      <c r="AE12" s="88">
        <f>_xlfn.XLOOKUP(_xlfn.XLOOKUP($AS$6&amp;$B12,公表[班別+時段],公表[指揮官],""),$AX$9:$AX$25,$AY$9:$AY$25,"")</f>
        <v>2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27">
        <v>4</v>
      </c>
      <c r="AP12" s="127" t="str">
        <v>簡永豐</v>
      </c>
      <c r="AQ12" s="127" t="str" cm="1">
        <f t="array" ref="AQ12">IFERROR(_xlfn.XLOOKUP(_xlfn.XLOOKUP($AQ$3,輪休基準表!$C$6:$C$36,_xlfn.XLOOKUP(AP12,輪休基準表!$E$5:$AF$5,輪休基準表!$E$6:$AF$36,""),""),班別參數!$A$4:$A$20,班別參數!$B$4:$B$20,""),"")</f>
        <v>輪休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/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>
        <v>19</v>
      </c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27"/>
    </row>
    <row r="13" spans="2:56" ht="30" customHeight="1" thickBot="1">
      <c r="B13" s="82" t="s">
        <v>76</v>
      </c>
      <c r="C13" s="89">
        <f>_xlfn.XLOOKUP(_xlfn.XLOOKUP($AS$6&amp;$B13,公表[班別+時段],公表[值班],""),$AX$9:$AX$25,$AY$9:$AY$25,"")</f>
        <v>27</v>
      </c>
      <c r="D13" s="233"/>
      <c r="E13" s="96"/>
      <c r="F13" s="96"/>
      <c r="G13" s="123">
        <v>12</v>
      </c>
      <c r="H13" s="315"/>
      <c r="I13" s="216">
        <f>_xlfn.XLOOKUP(_xlfn.XLOOKUP($AS$6&amp;$B13,公表[班別+時段],公表[救護1],""),$AX$9:$AX$25,$AY$9:$AY$25,"")</f>
        <v>17</v>
      </c>
      <c r="J13" s="216">
        <f>_xlfn.XLOOKUP(_xlfn.XLOOKUP($AS$6&amp;$B13,公表[班別+時段],公表[救護2],""),$AX$9:$AX$25,$AY$9:$AY$25,"")</f>
        <v>19</v>
      </c>
      <c r="K13" s="105"/>
      <c r="L13" s="93" t="s">
        <v>212</v>
      </c>
      <c r="M13" s="312"/>
      <c r="N13" s="89">
        <v>23</v>
      </c>
      <c r="O13" s="89">
        <f>_xlfn.XLOOKUP(_xlfn.XLOOKUP($AS$6&amp;$B13,公表[班別+時段],公表[備勤2],""),$AX$9:$AX$25,$AY$9:$AY$25,"")</f>
        <v>28</v>
      </c>
      <c r="P13" s="89"/>
      <c r="Q13" s="89">
        <f>_xlfn.XLOOKUP(_xlfn.XLOOKUP($AS$6&amp;$B13,公表[班別+時段],公表[備勤3],""),$AX$9:$AX$25,$AY$9:$AY$25,"")</f>
        <v>26</v>
      </c>
      <c r="R13" s="89">
        <f>_xlfn.XLOOKUP(_xlfn.XLOOKUP($AS$6&amp;$B13,公表[班別+時段],公表[備勤4],""),$AX$9:$AX$25,$AY$9:$AY$25,"")</f>
        <v>0</v>
      </c>
      <c r="S13" s="89"/>
      <c r="T13" s="89">
        <f>_xlfn.XLOOKUP(_xlfn.XLOOKUP($AS$6&amp;$B13,公表[班別+時段],公表[備勤5],""),$AX$9:$AX$25,$AY$9:$AY$25,"")</f>
        <v>5</v>
      </c>
      <c r="U13" s="89">
        <f>_xlfn.XLOOKUP(_xlfn.XLOOKUP($AS$6&amp;$B13,公表[班別+時段],公表[備勤6],""),$AX$9:$AX$25,$AY$9:$AY$25,"")</f>
        <v>0</v>
      </c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89"/>
      <c r="AC13" s="89"/>
      <c r="AD13" s="89"/>
      <c r="AE13" s="104">
        <f>_xlfn.XLOOKUP(_xlfn.XLOOKUP($AS$6&amp;$B13,公表[班別+時段],公表[指揮官],""),$AX$9:$AX$25,$AY$9:$AY$25,"")</f>
        <v>2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27">
        <v>5</v>
      </c>
      <c r="AP13" s="127" t="str">
        <v>張鴻志</v>
      </c>
      <c r="AQ13" s="127" t="str" cm="1">
        <f t="array" ref="AQ13">IFERROR(_xlfn.XLOOKUP(_xlfn.XLOOKUP($AQ$3,輪休基準表!$C$6:$C$36,_xlfn.XLOOKUP(AP13,輪休基準表!$E$5:$AF$5,輪休基準表!$E$6:$AF$36,""),""),班別參數!$A$4:$A$20,班別參數!$B$4:$B$20,""),"")</f>
        <v>上班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>已排</v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>
        <v>23</v>
      </c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>17</v>
      </c>
      <c r="BD13" s="127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26</v>
      </c>
      <c r="D14" s="234"/>
      <c r="E14" s="97"/>
      <c r="F14" s="97"/>
      <c r="G14" s="121" t="str">
        <f>IF(BC11="","",BC11)</f>
        <v>28</v>
      </c>
      <c r="H14" s="55"/>
      <c r="I14" s="94">
        <f>_xlfn.XLOOKUP(_xlfn.XLOOKUP($AS$6&amp;$B14,公表[班別+時段],公表[救護1],""),$AX$9:$AX$25,$AY$9:$AY$25,"")</f>
        <v>27</v>
      </c>
      <c r="J14" s="94">
        <f>_xlfn.XLOOKUP(_xlfn.XLOOKUP($AS$6&amp;$B14,公表[班別+時段],公表[救護2],""),$AX$9:$AX$25,$AY$9:$AY$25,"")</f>
        <v>12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17</v>
      </c>
      <c r="O14" s="90">
        <f>_xlfn.XLOOKUP(_xlfn.XLOOKUP($AS$6&amp;$B14,公表[班別+時段],公表[備勤2],""),$AX$9:$AX$25,$AY$9:$AY$25,"")</f>
        <v>23</v>
      </c>
      <c r="P14" s="90"/>
      <c r="Q14" s="90">
        <f>_xlfn.XLOOKUP(_xlfn.XLOOKUP($AS$6&amp;$B14,公表[班別+時段],公表[備勤3],""),$AX$9:$AX$25,$AY$9:$AY$25,"")</f>
        <v>19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5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90"/>
      <c r="AC14" s="90"/>
      <c r="AD14" s="90"/>
      <c r="AE14" s="91">
        <f>_xlfn.XLOOKUP(_xlfn.XLOOKUP($AS$6&amp;$B14,公表[班別+時段],公表[指揮官],""),$AX$9:$AX$25,$AY$9:$AY$25,"")</f>
        <v>2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27">
        <v>6</v>
      </c>
      <c r="AP14" s="127" t="str">
        <v>吳宗耕</v>
      </c>
      <c r="AQ14" s="127" t="str" cm="1">
        <f t="array" ref="AQ14">IFERROR(_xlfn.XLOOKUP(_xlfn.XLOOKUP($AQ$3,輪休基準表!$C$6:$C$36,_xlfn.XLOOKUP(AP14,輪休基準表!$E$5:$AF$5,輪休基準表!$E$6:$AF$36,""),""),班別參數!$A$4:$A$20,班別參數!$B$4:$B$20,""),"")</f>
        <v>輪休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/>
      </c>
      <c r="AT14" s="180" t="str">
        <f t="shared" si="0"/>
        <v/>
      </c>
      <c r="AU14" s="180" t="str">
        <f t="shared" si="1"/>
        <v/>
      </c>
      <c r="AV14" s="25"/>
      <c r="AW14" s="33" t="str">
        <f t="array" ref="AW14">INDEX(班別參數!$D$4:$D$20,ROW()-7,MATCH($AW$8,班別參數!$D$4:$D$20,0))</f>
        <v>18-20</v>
      </c>
      <c r="AX14" s="34">
        <f t="array" ref="AX14">IFERROR(INDEX(班別參數!$D$4:$S$20,MATCH(AW14,班別參數!$D$4:$D$20,0),MATCH($AS$6,班別參數!$D$4:$S$4,0)),"")</f>
        <v>0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</v>
      </c>
      <c r="BC14" s="39" t="str">
        <f t="shared" si="2"/>
        <v>27</v>
      </c>
      <c r="BD14" s="127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26</v>
      </c>
      <c r="D15" s="235"/>
      <c r="E15" s="106"/>
      <c r="F15" s="96"/>
      <c r="G15" s="123" t="str">
        <f>IF(BC11="","",BC11)</f>
        <v>28</v>
      </c>
      <c r="H15" s="40"/>
      <c r="I15" s="216">
        <f>_xlfn.XLOOKUP(_xlfn.XLOOKUP($AS$6&amp;$B15,公表[班別+時段],公表[救護1],""),$AX$9:$AX$25,$AY$9:$AY$25,"")</f>
        <v>27</v>
      </c>
      <c r="J15" s="216">
        <f>_xlfn.XLOOKUP(_xlfn.XLOOKUP($AS$6&amp;$B15,公表[班別+時段],公表[救護2],""),$AX$9:$AX$25,$AY$9:$AY$25,"")</f>
        <v>12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17</v>
      </c>
      <c r="O15" s="89">
        <f>_xlfn.XLOOKUP(_xlfn.XLOOKUP($AS$6&amp;$B15,公表[班別+時段],公表[備勤2],""),$AX$9:$AX$25,$AY$9:$AY$25,"")</f>
        <v>23</v>
      </c>
      <c r="P15" s="89"/>
      <c r="Q15" s="89">
        <f>_xlfn.XLOOKUP(_xlfn.XLOOKUP($AS$6&amp;$B15,公表[班別+時段],公表[備勤3],""),$AX$9:$AX$25,$AY$9:$AY$25,"")</f>
        <v>19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5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89"/>
      <c r="AC15" s="89"/>
      <c r="AD15" s="89"/>
      <c r="AE15" s="104">
        <f>_xlfn.XLOOKUP(_xlfn.XLOOKUP($AS$6&amp;$B15,公表[班別+時段],公表[指揮官],""),$AX$9:$AX$25,$AY$9:$AY$25,"")</f>
        <v>2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27">
        <v>7</v>
      </c>
      <c r="AP15" s="127" t="str">
        <v>包華先</v>
      </c>
      <c r="AQ15" s="127" t="str" cm="1">
        <f t="array" ref="AQ15">IFERROR(_xlfn.XLOOKUP(_xlfn.XLOOKUP($AQ$3,輪休基準表!$C$6:$C$36,_xlfn.XLOOKUP(AP15,輪休基準表!$E$5:$AF$5,輪休基準表!$E$6:$AF$36,""),""),班別參數!$A$4:$A$20,班別參數!$B$4:$B$20,""),"")</f>
        <v>輪休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/>
      </c>
      <c r="AT15" s="180" t="str">
        <f t="shared" si="0"/>
        <v/>
      </c>
      <c r="AU15" s="180" t="str">
        <f t="shared" si="1"/>
        <v/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>
        <v>28</v>
      </c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>19</v>
      </c>
      <c r="BD15" s="127"/>
    </row>
    <row r="16" spans="2:56" ht="30" customHeight="1">
      <c r="B16" s="83" t="s">
        <v>79</v>
      </c>
      <c r="C16" s="90">
        <f>_xlfn.XLOOKUP(_xlfn.XLOOKUP($AS$6&amp;$B16,公表[班別+時段],公表[值班],""),$AX$9:$AX$25,$AY$9:$AY$25,"")</f>
        <v>19</v>
      </c>
      <c r="D16" s="98"/>
      <c r="E16" s="99"/>
      <c r="F16" s="98"/>
      <c r="G16" s="121" t="str">
        <f>IF(BC12="","",BC12)</f>
        <v/>
      </c>
      <c r="H16" s="316" t="str">
        <f>AY3</f>
        <v>人命救助訓練</v>
      </c>
      <c r="I16" s="94">
        <f>_xlfn.XLOOKUP(_xlfn.XLOOKUP($AS$6&amp;$B16,公表[班別+時段],公表[救護1],""),$AX$9:$AX$25,$AY$9:$AY$25,"")</f>
        <v>28</v>
      </c>
      <c r="J16" s="94">
        <f>_xlfn.XLOOKUP(_xlfn.XLOOKUP($AS$6&amp;$B16,公表[班別+時段],公表[救護2],""),$AX$9:$AX$25,$AY$9:$AY$25,"")</f>
        <v>12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27</v>
      </c>
      <c r="O16" s="90">
        <f>_xlfn.XLOOKUP(_xlfn.XLOOKUP($AS$6&amp;$B16,公表[班別+時段],公表[備勤2],""),$AX$9:$AX$25,$AY$9:$AY$25,"")</f>
        <v>26</v>
      </c>
      <c r="P16" s="90"/>
      <c r="Q16" s="90">
        <f>_xlfn.XLOOKUP(_xlfn.XLOOKUP($AS$6&amp;$B16,公表[班別+時段],公表[備勤3],""),$AX$9:$AX$25,$AY$9:$AY$25,"")</f>
        <v>17</v>
      </c>
      <c r="R16" s="90">
        <f>_xlfn.XLOOKUP(_xlfn.XLOOKUP($AS$6&amp;$B16,公表[班別+時段],公表[備勤4],""),$AX$9:$AX$25,$AY$9:$AY$25,"")</f>
        <v>23</v>
      </c>
      <c r="S16" s="90"/>
      <c r="T16" s="90">
        <f>_xlfn.XLOOKUP(_xlfn.XLOOKUP($AS$6&amp;$B16,公表[班別+時段],公表[備勤5],""),$AX$9:$AX$25,$AY$9:$AY$25,"")</f>
        <v>5</v>
      </c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90"/>
      <c r="AC16" s="90"/>
      <c r="AD16" s="90"/>
      <c r="AE16" s="91">
        <f>_xlfn.XLOOKUP(_xlfn.XLOOKUP($AS$6&amp;$B16,公表[班別+時段],公表[指揮官],""),$AX$9:$AX$25,$AY$9:$AY$25,"")</f>
        <v>2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27">
        <v>8</v>
      </c>
      <c r="AP16" s="127" t="str">
        <v>曾彥綸</v>
      </c>
      <c r="AQ16" s="127" t="str" cm="1">
        <f t="array" ref="AQ16">IFERROR(_xlfn.XLOOKUP(_xlfn.XLOOKUP($AQ$3,輪休基準表!$C$6:$C$36,_xlfn.XLOOKUP(AP16,輪休基準表!$E$5:$AF$5,輪休基準表!$E$6:$AF$36,""),""),班別參數!$A$4:$A$20,班別參數!$B$4:$B$20,""),"")</f>
        <v>月補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/>
      </c>
      <c r="AT16" s="180" t="str">
        <f t="shared" si="0"/>
        <v/>
      </c>
      <c r="AU16" s="180" t="str">
        <f t="shared" si="1"/>
        <v/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>
        <v>12</v>
      </c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27"/>
    </row>
    <row r="17" spans="2:56" ht="30" customHeight="1">
      <c r="B17" s="81" t="s">
        <v>80</v>
      </c>
      <c r="C17" s="87">
        <f>_xlfn.XLOOKUP(_xlfn.XLOOKUP($AS$6&amp;$B17,公表[班別+時段],公表[值班],""),$AX$9:$AX$25,$AY$9:$AY$25,"")</f>
        <v>19</v>
      </c>
      <c r="D17" s="95"/>
      <c r="E17" s="95"/>
      <c r="F17" s="100"/>
      <c r="G17" s="122" t="str">
        <f>IF(BC12="","",BC12)</f>
        <v/>
      </c>
      <c r="H17" s="314"/>
      <c r="I17" s="92">
        <f>_xlfn.XLOOKUP(_xlfn.XLOOKUP($AS$6&amp;$B17,公表[班別+時段],公表[救護1],""),$AX$9:$AX$25,$AY$9:$AY$25,"")</f>
        <v>28</v>
      </c>
      <c r="J17" s="92">
        <f>_xlfn.XLOOKUP(_xlfn.XLOOKUP($AS$6&amp;$B17,公表[班別+時段],公表[救護2],""),$AX$9:$AX$25,$AY$9:$AY$25,"")</f>
        <v>12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27</v>
      </c>
      <c r="O17" s="87">
        <f>_xlfn.XLOOKUP(_xlfn.XLOOKUP($AS$6&amp;$B17,公表[班別+時段],公表[備勤2],""),$AX$9:$AX$25,$AY$9:$AY$25,"")</f>
        <v>26</v>
      </c>
      <c r="P17" s="87"/>
      <c r="Q17" s="87">
        <f>_xlfn.XLOOKUP(_xlfn.XLOOKUP($AS$6&amp;$B17,公表[班別+時段],公表[備勤3],""),$AX$9:$AX$25,$AY$9:$AY$25,"")</f>
        <v>17</v>
      </c>
      <c r="R17" s="87">
        <f>_xlfn.XLOOKUP(_xlfn.XLOOKUP($AS$6&amp;$B17,公表[班別+時段],公表[備勤4],""),$AX$9:$AX$25,$AY$9:$AY$25,"")</f>
        <v>23</v>
      </c>
      <c r="S17" s="87"/>
      <c r="T17" s="87">
        <f>_xlfn.XLOOKUP(_xlfn.XLOOKUP($AS$6&amp;$B17,公表[班別+時段],公表[備勤5],""),$AX$9:$AX$25,$AY$9:$AY$25,"")</f>
        <v>5</v>
      </c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87"/>
      <c r="AC17" s="87"/>
      <c r="AD17" s="87"/>
      <c r="AE17" s="88">
        <f>_xlfn.XLOOKUP(_xlfn.XLOOKUP($AS$6&amp;$B17,公表[班別+時段],公表[指揮官],""),$AX$9:$AX$25,$AY$9:$AY$25,"")</f>
        <v>2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27">
        <v>9</v>
      </c>
      <c r="AP17" s="127" t="str">
        <v>鍾佳諭</v>
      </c>
      <c r="AQ17" s="127" t="str" cm="1">
        <f t="array" ref="AQ17">IFERROR(_xlfn.XLOOKUP(_xlfn.XLOOKUP($AQ$3,輪休基準表!$C$6:$C$36,_xlfn.XLOOKUP(AP17,輪休基準表!$E$5:$AF$5,輪休基準表!$E$6:$AF$36,""),""),班別參數!$A$4:$A$20,班別參數!$B$4:$B$20,""),"")</f>
        <v>輪休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/>
      </c>
      <c r="AT17" s="180" t="str">
        <f t="shared" si="0"/>
        <v/>
      </c>
      <c r="AU17" s="180" t="str">
        <f t="shared" si="1"/>
        <v/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27"/>
    </row>
    <row r="18" spans="2:56" ht="30" customHeight="1">
      <c r="B18" s="81" t="s">
        <v>81</v>
      </c>
      <c r="C18" s="87">
        <f>_xlfn.XLOOKUP(_xlfn.XLOOKUP($AS$6&amp;$B18,公表[班別+時段],公表[值班],""),$AX$9:$AX$25,$AY$9:$AY$25,"")</f>
        <v>23</v>
      </c>
      <c r="D18" s="100"/>
      <c r="E18" s="95"/>
      <c r="F18" s="100"/>
      <c r="G18" s="122" t="str">
        <f>IF(BC13="","",BC13)</f>
        <v>17</v>
      </c>
      <c r="H18" s="297"/>
      <c r="I18" s="92">
        <f>_xlfn.XLOOKUP(_xlfn.XLOOKUP($AS$6&amp;$B18,公表[班別+時段],公表[救護1],""),$AX$9:$AX$25,$AY$9:$AY$25,"")</f>
        <v>28</v>
      </c>
      <c r="J18" s="92">
        <f>_xlfn.XLOOKUP(_xlfn.XLOOKUP($AS$6&amp;$B18,公表[班別+時段],公表[救護2],""),$AX$9:$AX$25,$AY$9:$AY$25,"")</f>
        <v>26</v>
      </c>
      <c r="K18" s="92"/>
      <c r="L18" s="87" t="s">
        <v>212</v>
      </c>
      <c r="M18" s="312"/>
      <c r="N18" s="87">
        <f>_xlfn.XLOOKUP(_xlfn.XLOOKUP($AS$6&amp;$B18,公表[班別+時段],公表[備勤1],""),$AX$9:$AX$25,$AY$9:$AY$25,"")</f>
        <v>19</v>
      </c>
      <c r="O18" s="87">
        <f>_xlfn.XLOOKUP(_xlfn.XLOOKUP($AS$6&amp;$B18,公表[班別+時段],公表[備勤2],""),$AX$9:$AX$25,$AY$9:$AY$25,"")</f>
        <v>12</v>
      </c>
      <c r="P18" s="87"/>
      <c r="Q18" s="87">
        <f>_xlfn.XLOOKUP(_xlfn.XLOOKUP($AS$6&amp;$B18,公表[班別+時段],公表[備勤3],""),$AX$9:$AX$25,$AY$9:$AY$25,"")</f>
        <v>27</v>
      </c>
      <c r="R18" s="87">
        <f>_xlfn.XLOOKUP(_xlfn.XLOOKUP($AS$6&amp;$B18,公表[班別+時段],公表[備勤4],""),$AX$9:$AX$25,$AY$9:$AY$25,"")</f>
        <v>0</v>
      </c>
      <c r="S18" s="87"/>
      <c r="T18" s="87">
        <f>_xlfn.XLOOKUP(_xlfn.XLOOKUP($AS$6&amp;$B18,公表[班別+時段],公表[備勤5],""),$AX$9:$AX$25,$AY$9:$AY$25,"")</f>
        <v>5</v>
      </c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87"/>
      <c r="AC18" s="87"/>
      <c r="AD18" s="87"/>
      <c r="AE18" s="88">
        <f>_xlfn.XLOOKUP(_xlfn.XLOOKUP($AS$6&amp;$B18,公表[班別+時段],公表[指揮官],""),$AX$9:$AX$25,$AY$9:$AY$25,"")</f>
        <v>2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27">
        <v>10</v>
      </c>
      <c r="AP18" s="127" t="str">
        <v>林宏澤</v>
      </c>
      <c r="AQ18" s="127" t="str" cm="1">
        <f t="array" ref="AQ18">IFERROR(_xlfn.XLOOKUP(_xlfn.XLOOKUP($AQ$3,輪休基準表!$C$6:$C$36,_xlfn.XLOOKUP(AP18,輪休基準表!$E$5:$AF$5,輪休基準表!$E$6:$AF$36,""),""),班別參數!$A$4:$A$20,班別參數!$B$4:$B$20,""),"")</f>
        <v>輪休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/>
      </c>
      <c r="AT18" s="180" t="str">
        <f t="shared" si="0"/>
        <v/>
      </c>
      <c r="AU18" s="180" t="str">
        <f t="shared" si="1"/>
        <v/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27"/>
    </row>
    <row r="19" spans="2:56" ht="30" customHeight="1" thickBot="1">
      <c r="B19" s="110" t="s">
        <v>82</v>
      </c>
      <c r="C19" s="89">
        <f>_xlfn.XLOOKUP(_xlfn.XLOOKUP($AS$6&amp;$B19,公表[班別+時段],公表[值班],""),$AX$9:$AX$25,$AY$9:$AY$25,"")</f>
        <v>23</v>
      </c>
      <c r="D19" s="106"/>
      <c r="E19" s="96"/>
      <c r="F19" s="236"/>
      <c r="G19" s="123" t="s">
        <v>389</v>
      </c>
      <c r="H19" s="107"/>
      <c r="I19" s="216">
        <f>_xlfn.XLOOKUP(_xlfn.XLOOKUP($AS$6&amp;$B19,公表[班別+時段],公表[救護1],""),$AX$9:$AX$25,$AY$9:$AY$25,"")</f>
        <v>28</v>
      </c>
      <c r="J19" s="216">
        <f>_xlfn.XLOOKUP(_xlfn.XLOOKUP($AS$6&amp;$B19,公表[班別+時段],公表[救護2],""),$AX$9:$AX$25,$AY$9:$AY$25,"")</f>
        <v>26</v>
      </c>
      <c r="K19" s="105"/>
      <c r="L19" s="93" t="s">
        <v>212</v>
      </c>
      <c r="M19" s="312"/>
      <c r="N19" s="89">
        <f>_xlfn.XLOOKUP(_xlfn.XLOOKUP($AS$6&amp;$B19,公表[班別+時段],公表[備勤1],""),$AX$9:$AX$25,$AY$9:$AY$25,"")</f>
        <v>19</v>
      </c>
      <c r="O19" s="89">
        <f>_xlfn.XLOOKUP(_xlfn.XLOOKUP($AS$6&amp;$B19,公表[班別+時段],公表[備勤2],""),$AX$9:$AX$25,$AY$9:$AY$25,"")</f>
        <v>12</v>
      </c>
      <c r="P19" s="89"/>
      <c r="Q19" s="89"/>
      <c r="R19" s="89">
        <f>_xlfn.XLOOKUP(_xlfn.XLOOKUP($AS$6&amp;$B19,公表[班別+時段],公表[備勤4],""),$AX$9:$AX$25,$AY$9:$AY$25,"")</f>
        <v>0</v>
      </c>
      <c r="S19" s="89"/>
      <c r="T19" s="89">
        <f>_xlfn.XLOOKUP(_xlfn.XLOOKUP($AS$6&amp;$B19,公表[班別+時段],公表[備勤5],""),$AX$9:$AX$25,$AY$9:$AY$25,"")</f>
        <v>5</v>
      </c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89"/>
      <c r="AC19" s="89"/>
      <c r="AD19" s="89"/>
      <c r="AE19" s="104">
        <f>_xlfn.XLOOKUP(_xlfn.XLOOKUP($AS$6&amp;$B19,公表[班別+時段],公表[指揮官],""),$AX$9:$AX$25,$AY$9:$AY$25,"")</f>
        <v>2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27">
        <v>11</v>
      </c>
      <c r="AP19" s="127" t="str">
        <v>簡君諺</v>
      </c>
      <c r="AQ19" s="127" t="str" cm="1">
        <f t="array" ref="AQ19">IFERROR(_xlfn.XLOOKUP(_xlfn.XLOOKUP($AQ$3,輪休基準表!$C$6:$C$36,_xlfn.XLOOKUP(AP19,輪休基準表!$E$5:$AF$5,輪休基準表!$E$6:$AF$36,""),""),班別參數!$A$4:$A$20,班別參數!$B$4:$B$20,""),"")</f>
        <v>輪休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/>
      </c>
      <c r="AT19" s="180" t="str">
        <f t="shared" si="0"/>
        <v/>
      </c>
      <c r="AU19" s="180" t="str">
        <f t="shared" si="1"/>
        <v/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:AY20">IF(AX19="","",_xlfn._xlws.FILTER($AO$9:$AO$13,$AQ$9:$AQ$13="上班",""))</f>
        <v>2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27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5</v>
      </c>
      <c r="D20" s="97"/>
      <c r="E20" s="97"/>
      <c r="F20" s="97"/>
      <c r="G20" s="121" t="str">
        <f>IF(BC14="","",BC14)</f>
        <v>27</v>
      </c>
      <c r="H20" s="55"/>
      <c r="I20" s="94">
        <f>_xlfn.XLOOKUP(_xlfn.XLOOKUP($AS$6&amp;$B20,公表[班別+時段],公表[救護1],""),$AX$9:$AX$25,$AY$9:$AY$25,"")</f>
        <v>23</v>
      </c>
      <c r="J20" s="94">
        <f>_xlfn.XLOOKUP(_xlfn.XLOOKUP($AS$6&amp;$B20,公表[班別+時段],公表[救護2],""),$AX$9:$AX$25,$AY$9:$AY$25,"")</f>
        <v>12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26</v>
      </c>
      <c r="O20" s="90">
        <f>_xlfn.XLOOKUP(_xlfn.XLOOKUP($AS$6&amp;$B20,公表[班別+時段],公表[備勤2],""),$AX$9:$AX$25,$AY$9:$AY$25,"")</f>
        <v>17</v>
      </c>
      <c r="P20" s="90"/>
      <c r="Q20" s="90">
        <f>_xlfn.XLOOKUP(_xlfn.XLOOKUP($AS$6&amp;$B20,公表[班別+時段],公表[備勤3],""),$AX$9:$AX$25,$AY$9:$AY$25,"")</f>
        <v>19</v>
      </c>
      <c r="R20" s="90">
        <f>_xlfn.XLOOKUP(_xlfn.XLOOKUP($AS$6&amp;$B20,公表[班別+時段],公表[備勤4],""),$AX$9:$AX$25,$AY$9:$AY$25,"")</f>
        <v>28</v>
      </c>
      <c r="S20" s="90"/>
      <c r="T20" s="90">
        <f>_xlfn.XLOOKUP(_xlfn.XLOOKUP($AS$6&amp;$B20,公表[班別+時段],公表[備勤5],""),$AX$9:$AX$25,$AY$9:$AY$25,"")</f>
        <v>0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90"/>
      <c r="AC20" s="90"/>
      <c r="AD20" s="90"/>
      <c r="AE20" s="91">
        <f>_xlfn.XLOOKUP(_xlfn.XLOOKUP($AS$6&amp;$B20,公表[班別+時段],公表[指揮官],""),$AX$9:$AX$25,$AY$9:$AY$25,"")</f>
        <v>2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27">
        <v>12</v>
      </c>
      <c r="AP20" s="127" t="str">
        <v>王昱勛</v>
      </c>
      <c r="AQ20" s="127" t="str" cm="1">
        <f t="array" ref="AQ20">IFERROR(_xlfn.XLOOKUP(_xlfn.XLOOKUP($AQ$3,輪休基準表!$C$6:$C$36,_xlfn.XLOOKUP(AP20,輪休基準表!$E$5:$AF$5,輪休基準表!$E$6:$AF$36,""),""),班別參數!$A$4:$A$20,班別參數!$B$4:$B$20,""),"")</f>
        <v>上班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>已排</v>
      </c>
      <c r="AT20" s="180">
        <f t="shared" si="0"/>
        <v>6</v>
      </c>
      <c r="AU20" s="180">
        <f t="shared" si="1"/>
        <v>2</v>
      </c>
      <c r="AV20" s="25"/>
      <c r="AW20" s="33" t="str">
        <f t="array" ref="AW20">INDEX(班別參數!$D$4:$D$20,ROW()-7,MATCH($AW$8,班別參數!$D$4:$D$20,0))</f>
        <v>帶隊官</v>
      </c>
      <c r="AX20" s="34" t="str">
        <f t="array" ref="AX20">IFERROR(INDEX(班別參數!$D$4:$S$20,MATCH(AW20,班別參數!$D$4:$D$20,0),MATCH($AS$6,班別參數!$D$4:$S$4,0)),"")</f>
        <v>L</v>
      </c>
      <c r="AY20" s="38">
        <v>5</v>
      </c>
      <c r="AZ20" s="32"/>
      <c r="BA20" s="33" t="s">
        <v>67</v>
      </c>
      <c r="BB20" s="34" t="str">
        <f t="array" ref="BB20">IFERROR(INDEX(班別參數!$D$23:$S$35,MATCH(BA20,班別參數!$D$23:$D$35,0),MATCH($AS$6,班別參數!$D$23:$S$23,0)),"")</f>
        <v>G,L</v>
      </c>
      <c r="BC20" s="41" t="str">
        <f t="shared" si="2"/>
        <v>26,5</v>
      </c>
      <c r="BD20" s="127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5</v>
      </c>
      <c r="D21" s="95"/>
      <c r="E21" s="95"/>
      <c r="F21" s="95"/>
      <c r="G21" s="122" t="str">
        <f>IF(BC14="","",BC14)</f>
        <v>27</v>
      </c>
      <c r="H21" s="296" t="str">
        <f>AY4</f>
        <v>火場控制及殘火處理</v>
      </c>
      <c r="I21" s="92">
        <f>_xlfn.XLOOKUP(_xlfn.XLOOKUP($AS$6&amp;$B21,公表[班別+時段],公表[救護1],""),$AX$9:$AX$25,$AY$9:$AY$25,"")</f>
        <v>23</v>
      </c>
      <c r="J21" s="92">
        <f>_xlfn.XLOOKUP(_xlfn.XLOOKUP($AS$6&amp;$B21,公表[班別+時段],公表[救護2],""),$AX$9:$AX$25,$AY$9:$AY$25,"")</f>
        <v>12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26</v>
      </c>
      <c r="O21" s="87">
        <f>_xlfn.XLOOKUP(_xlfn.XLOOKUP($AS$6&amp;$B21,公表[班別+時段],公表[備勤2],""),$AX$9:$AX$25,$AY$9:$AY$25,"")</f>
        <v>17</v>
      </c>
      <c r="P21" s="87"/>
      <c r="Q21" s="87">
        <f>_xlfn.XLOOKUP(_xlfn.XLOOKUP($AS$6&amp;$B21,公表[班別+時段],公表[備勤3],""),$AX$9:$AX$25,$AY$9:$AY$25,"")</f>
        <v>19</v>
      </c>
      <c r="R21" s="87">
        <f>_xlfn.XLOOKUP(_xlfn.XLOOKUP($AS$6&amp;$B21,公表[班別+時段],公表[備勤4],""),$AX$9:$AX$25,$AY$9:$AY$25,"")</f>
        <v>28</v>
      </c>
      <c r="S21" s="87"/>
      <c r="T21" s="87">
        <f>_xlfn.XLOOKUP(_xlfn.XLOOKUP($AS$6&amp;$B21,公表[班別+時段],公表[備勤5],""),$AX$9:$AX$25,$AY$9:$AY$25,"")</f>
        <v>0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87"/>
      <c r="AC21" s="87"/>
      <c r="AD21" s="87"/>
      <c r="AE21" s="88">
        <f>_xlfn.XLOOKUP(_xlfn.XLOOKUP($AS$6&amp;$B21,公表[班別+時段],公表[指揮官],""),$AX$9:$AX$25,$AY$9:$AY$25,"")</f>
        <v>2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27">
        <v>13</v>
      </c>
      <c r="AP21" s="127" t="str">
        <v>葉宗哲</v>
      </c>
      <c r="AQ21" s="127" t="str" cm="1">
        <f t="array" ref="AQ21">IFERROR(_xlfn.XLOOKUP(_xlfn.XLOOKUP($AQ$3,輪休基準表!$C$6:$C$36,_xlfn.XLOOKUP(AP21,輪休基準表!$E$5:$AF$5,輪休基準表!$E$6:$AF$36,""),""),班別參數!$A$4:$A$20,班別參數!$B$4:$B$20,""),"")</f>
        <v>輪休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/>
      </c>
      <c r="AT21" s="180" t="str">
        <f t="shared" si="0"/>
        <v/>
      </c>
      <c r="AU21" s="180" t="str">
        <f t="shared" si="1"/>
        <v/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27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28</v>
      </c>
      <c r="D22" s="95"/>
      <c r="E22" s="95"/>
      <c r="F22" s="95"/>
      <c r="G22" s="122" t="str">
        <f>IF(BC15="","",BC15)</f>
        <v>19</v>
      </c>
      <c r="H22" s="297"/>
      <c r="I22" s="92">
        <f>_xlfn.XLOOKUP(_xlfn.XLOOKUP($AS$6&amp;$B22,公表[班別+時段],公表[救護1],""),$AX$9:$AX$25,$AY$9:$AY$25,"")</f>
        <v>27</v>
      </c>
      <c r="J22" s="92">
        <f>_xlfn.XLOOKUP(_xlfn.XLOOKUP($AS$6&amp;$B22,公表[班別+時段],公表[救護2],""),$AX$9:$AX$25,$AY$9:$AY$25,"")</f>
        <v>26</v>
      </c>
      <c r="K22" s="92"/>
      <c r="L22" s="87" t="s">
        <v>212</v>
      </c>
      <c r="M22" s="312"/>
      <c r="N22" s="87">
        <f>_xlfn.XLOOKUP(_xlfn.XLOOKUP($AS$6&amp;$B22,公表[班別+時段],公表[備勤1],""),$AX$9:$AX$25,$AY$9:$AY$25,"")</f>
        <v>17</v>
      </c>
      <c r="O22" s="87">
        <f>_xlfn.XLOOKUP(_xlfn.XLOOKUP($AS$6&amp;$B22,公表[班別+時段],公表[備勤2],""),$AX$9:$AX$25,$AY$9:$AY$25,"")</f>
        <v>23</v>
      </c>
      <c r="P22" s="87"/>
      <c r="Q22" s="87">
        <f>_xlfn.XLOOKUP(_xlfn.XLOOKUP($AS$6&amp;$B22,公表[班別+時段],公表[備勤3],""),$AX$9:$AX$25,$AY$9:$AY$25,"")</f>
        <v>12</v>
      </c>
      <c r="R22" s="87">
        <f>_xlfn.XLOOKUP(_xlfn.XLOOKUP($AS$6&amp;$B22,公表[班別+時段],公表[備勤4],""),$AX$9:$AX$25,$AY$9:$AY$25,"")</f>
        <v>0</v>
      </c>
      <c r="S22" s="87"/>
      <c r="T22" s="87">
        <f>_xlfn.XLOOKUP(_xlfn.XLOOKUP($AS$6&amp;$B22,公表[班別+時段],公表[備勤5],""),$AX$9:$AX$25,$AY$9:$AY$25,"")</f>
        <v>5</v>
      </c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87"/>
      <c r="AC22" s="87"/>
      <c r="AD22" s="87"/>
      <c r="AE22" s="88">
        <f>_xlfn.XLOOKUP(_xlfn.XLOOKUP($AS$6&amp;$B22,公表[班別+時段],公表[指揮官],""),$AX$9:$AX$25,$AY$9:$AY$25,"")</f>
        <v>2</v>
      </c>
      <c r="AF22" s="57" t="s">
        <v>213</v>
      </c>
      <c r="AG22" s="305" t="str" cm="1">
        <f t="array" ref="AG22">_xlfn.TEXTJOIN(".",1,_xlfn._xlws.FILTER($AO$9:$AO$40,$AQ$9:$AQ$40="上班",""))</f>
        <v>2.5.12.17.19.23.26.27.28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27">
        <v>14</v>
      </c>
      <c r="AP22" s="127" t="str">
        <v>王浩任</v>
      </c>
      <c r="AQ22" s="127" t="str" cm="1">
        <f t="array" ref="AQ22">IFERROR(_xlfn.XLOOKUP(_xlfn.XLOOKUP($AQ$3,輪休基準表!$C$6:$C$36,_xlfn.XLOOKUP(AP22,輪休基準表!$E$5:$AF$5,輪休基準表!$E$6:$AF$36,""),""),班別參數!$A$4:$A$20,班別參數!$B$4:$B$20,""),"")</f>
        <v>輪休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/>
      </c>
      <c r="AT22" s="180" t="str">
        <f t="shared" si="0"/>
        <v/>
      </c>
      <c r="AU22" s="180" t="str">
        <f t="shared" si="1"/>
        <v/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27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28</v>
      </c>
      <c r="D23" s="106"/>
      <c r="E23" s="96"/>
      <c r="F23" s="96"/>
      <c r="G23" s="123" t="str">
        <f>IF(BC15="","",BC15)</f>
        <v>19</v>
      </c>
      <c r="H23" s="107"/>
      <c r="I23" s="216">
        <f>_xlfn.XLOOKUP(_xlfn.XLOOKUP($AS$6&amp;$B23,公表[班別+時段],公表[救護1],""),$AX$9:$AX$25,$AY$9:$AY$25,"")</f>
        <v>27</v>
      </c>
      <c r="J23" s="216">
        <f>_xlfn.XLOOKUP(_xlfn.XLOOKUP($AS$6&amp;$B23,公表[班別+時段],公表[救護2],""),$AX$9:$AX$25,$AY$9:$AY$25,"")</f>
        <v>26</v>
      </c>
      <c r="K23" s="105"/>
      <c r="L23" s="93" t="s">
        <v>212</v>
      </c>
      <c r="M23" s="312"/>
      <c r="N23" s="89">
        <f>_xlfn.XLOOKUP(_xlfn.XLOOKUP($AS$6&amp;$B23,公表[班別+時段],公表[備勤1],""),$AX$9:$AX$25,$AY$9:$AY$25,"")</f>
        <v>17</v>
      </c>
      <c r="O23" s="89">
        <f>_xlfn.XLOOKUP(_xlfn.XLOOKUP($AS$6&amp;$B23,公表[班別+時段],公表[備勤2],""),$AX$9:$AX$25,$AY$9:$AY$25,"")</f>
        <v>23</v>
      </c>
      <c r="P23" s="89"/>
      <c r="Q23" s="89">
        <f>_xlfn.XLOOKUP(_xlfn.XLOOKUP($AS$6&amp;$B23,公表[班別+時段],公表[備勤3],""),$AX$9:$AX$25,$AY$9:$AY$25,"")</f>
        <v>12</v>
      </c>
      <c r="R23" s="89">
        <f>_xlfn.XLOOKUP(_xlfn.XLOOKUP($AS$6&amp;$B23,公表[班別+時段],公表[備勤4],""),$AX$9:$AX$25,$AY$9:$AY$25,"")</f>
        <v>0</v>
      </c>
      <c r="S23" s="89"/>
      <c r="T23" s="89">
        <f>_xlfn.XLOOKUP(_xlfn.XLOOKUP($AS$6&amp;$B23,公表[班別+時段],公表[備勤5],""),$AX$9:$AX$25,$AY$9:$AY$25,"")</f>
        <v>5</v>
      </c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89"/>
      <c r="AC23" s="89"/>
      <c r="AD23" s="89"/>
      <c r="AE23" s="104">
        <f>_xlfn.XLOOKUP(_xlfn.XLOOKUP($AS$6&amp;$B23,公表[班別+時段],公表[指揮官],""),$AX$9:$AX$25,$AY$9:$AY$25,"")</f>
        <v>2</v>
      </c>
      <c r="AF23" s="57" t="s">
        <v>6</v>
      </c>
      <c r="AG23" s="305" t="str" cm="1">
        <f t="array" ref="AG23">_xlfn.TEXTJOIN(".",1,_xlfn._xlws.FILTER($AO$9:$AO$40,$AQ$9:$AQ$40=$AF$23,""))</f>
        <v>1.3.4.6.7.9.10.11.13.14.15.16.18</v>
      </c>
      <c r="AH23" s="400"/>
      <c r="AI23" s="400"/>
      <c r="AJ23" s="400"/>
      <c r="AK23" s="400"/>
      <c r="AL23" s="400"/>
      <c r="AM23" s="401"/>
      <c r="AN23" s="214"/>
      <c r="AO23" s="127">
        <v>15</v>
      </c>
      <c r="AP23" s="127" t="str">
        <v>李仕詮</v>
      </c>
      <c r="AQ23" s="127" t="str" cm="1">
        <f t="array" ref="AQ23">IFERROR(_xlfn.XLOOKUP(_xlfn.XLOOKUP($AQ$3,輪休基準表!$C$6:$C$36,_xlfn.XLOOKUP(AP23,輪休基準表!$E$5:$AF$5,輪休基準表!$E$6:$AF$36,""),""),班別參數!$A$4:$A$20,班別參數!$B$4:$B$20,""),"")</f>
        <v>輪休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/>
      </c>
      <c r="AT23" s="180" t="str">
        <f t="shared" si="0"/>
        <v/>
      </c>
      <c r="AU23" s="180" t="str">
        <f t="shared" si="1"/>
        <v/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27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12</v>
      </c>
      <c r="D24" s="97"/>
      <c r="E24" s="97"/>
      <c r="F24" s="97"/>
      <c r="G24" s="121">
        <v>23</v>
      </c>
      <c r="H24" s="55"/>
      <c r="I24" s="94">
        <f>_xlfn.XLOOKUP(_xlfn.XLOOKUP($AS$6&amp;$B24,公表[班別+時段],公表[救護1],""),$AX$9:$AX$25,$AY$9:$AY$25,"")</f>
        <v>28</v>
      </c>
      <c r="J24" s="94">
        <f>_xlfn.XLOOKUP(_xlfn.XLOOKUP($AS$6&amp;$B24,公表[班別+時段],公表[救護2],""),$AX$9:$AX$25,$AY$9:$AY$25,"")</f>
        <v>19</v>
      </c>
      <c r="K24" s="90"/>
      <c r="L24" s="90" t="s">
        <v>212</v>
      </c>
      <c r="M24" s="312"/>
      <c r="N24" s="90">
        <f>_xlfn.XLOOKUP(_xlfn.XLOOKUP($AS$6&amp;$B24,公表[班別+時段],公表[備勤1],""),$AX$9:$AX$25,$AY$9:$AY$25,"")</f>
        <v>27</v>
      </c>
      <c r="O24" s="90">
        <f>_xlfn.XLOOKUP(_xlfn.XLOOKUP($AS$6&amp;$B24,公表[班別+時段],公表[備勤2],""),$AX$9:$AX$25,$AY$9:$AY$25,"")</f>
        <v>26</v>
      </c>
      <c r="P24" s="90"/>
      <c r="Q24" s="90">
        <f>_xlfn.XLOOKUP(_xlfn.XLOOKUP($AS$6&amp;$B24,公表[班別+時段],公表[備勤3],""),$AX$9:$AX$25,$AY$9:$AY$25,"")</f>
        <v>17</v>
      </c>
      <c r="R24" s="90"/>
      <c r="S24" s="90"/>
      <c r="T24" s="90">
        <f>_xlfn.XLOOKUP(_xlfn.XLOOKUP($AS$6&amp;$B24,公表[班別+時段],公表[備勤5],""),$AX$9:$AX$25,$AY$9:$AY$25,"")</f>
        <v>5</v>
      </c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90"/>
      <c r="AC24" s="90"/>
      <c r="AD24" s="90"/>
      <c r="AE24" s="91">
        <f>_xlfn.XLOOKUP(_xlfn.XLOOKUP($AS$6&amp;$B24,公表[班別+時段],公表[指揮官],""),$AX$9:$AX$25,$AY$9:$AY$25,"")</f>
        <v>2</v>
      </c>
      <c r="AF24" s="57" t="s">
        <v>17</v>
      </c>
      <c r="AG24" s="305" t="str" cm="1">
        <f t="array" ref="AG24">_xlfn.TEXTJOIN(".",1,_xlfn._xlws.FILTER($AO$9:$AO$40,$AQ$9:$AQ$40=$AF$24,""))</f>
        <v>8.21.25</v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>24</v>
      </c>
      <c r="AL24" s="400"/>
      <c r="AM24" s="401"/>
      <c r="AN24" s="214"/>
      <c r="AO24" s="127">
        <v>16</v>
      </c>
      <c r="AP24" s="127" t="str">
        <v>楊弘宇</v>
      </c>
      <c r="AQ24" s="127" t="str" cm="1">
        <f t="array" ref="AQ24">IFERROR(_xlfn.XLOOKUP(_xlfn.XLOOKUP($AQ$3,輪休基準表!$C$6:$C$36,_xlfn.XLOOKUP(AP24,輪休基準表!$E$5:$AF$5,輪休基準表!$E$6:$AF$36,""),""),班別參數!$A$4:$A$20,班別參數!$B$4:$B$20,""),"")</f>
        <v>輪休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/>
      </c>
      <c r="AT24" s="180" t="str">
        <f t="shared" si="0"/>
        <v/>
      </c>
      <c r="AU24" s="180" t="str">
        <f t="shared" si="1"/>
        <v/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27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12</v>
      </c>
      <c r="D25" s="95"/>
      <c r="E25" s="95"/>
      <c r="F25" s="95"/>
      <c r="G25" s="122">
        <v>23</v>
      </c>
      <c r="H25" s="37"/>
      <c r="I25" s="92">
        <f>_xlfn.XLOOKUP(_xlfn.XLOOKUP($AS$6&amp;$B25,公表[班別+時段],公表[救護1],""),$AX$9:$AX$25,$AY$9:$AY$25,"")</f>
        <v>28</v>
      </c>
      <c r="J25" s="92">
        <f>_xlfn.XLOOKUP(_xlfn.XLOOKUP($AS$6&amp;$B25,公表[班別+時段],公表[救護2],""),$AX$9:$AX$25,$AY$9:$AY$25,"")</f>
        <v>19</v>
      </c>
      <c r="K25" s="87"/>
      <c r="L25" s="87" t="s">
        <v>212</v>
      </c>
      <c r="M25" s="312"/>
      <c r="N25" s="87">
        <f>_xlfn.XLOOKUP(_xlfn.XLOOKUP($AS$6&amp;$B25,公表[班別+時段],公表[備勤1],""),$AX$9:$AX$25,$AY$9:$AY$25,"")</f>
        <v>27</v>
      </c>
      <c r="O25" s="87">
        <f>_xlfn.XLOOKUP(_xlfn.XLOOKUP($AS$6&amp;$B25,公表[班別+時段],公表[備勤2],""),$AX$9:$AX$25,$AY$9:$AY$25,"")</f>
        <v>26</v>
      </c>
      <c r="P25" s="87"/>
      <c r="Q25" s="87">
        <f>_xlfn.XLOOKUP(_xlfn.XLOOKUP($AS$6&amp;$B25,公表[班別+時段],公表[備勤3],""),$AX$9:$AX$25,$AY$9:$AY$25,"")</f>
        <v>17</v>
      </c>
      <c r="R25" s="87"/>
      <c r="S25" s="87"/>
      <c r="T25" s="87">
        <f>_xlfn.XLOOKUP(_xlfn.XLOOKUP($AS$6&amp;$B25,公表[班別+時段],公表[備勤5],""),$AX$9:$AX$25,$AY$9:$AY$25,"")</f>
        <v>5</v>
      </c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87"/>
      <c r="AC25" s="87"/>
      <c r="AD25" s="87"/>
      <c r="AE25" s="88">
        <f>_xlfn.XLOOKUP(_xlfn.XLOOKUP($AS$6&amp;$B25,公表[班別+時段],公表[指揮官],""),$AX$9:$AX$25,$AY$9:$AY$25,"")</f>
        <v>2</v>
      </c>
      <c r="AF25" s="57" t="s">
        <v>28</v>
      </c>
      <c r="AG25" s="305" t="str" cm="1">
        <f t="array" ref="AG25">_xlfn.TEXTJOIN(".",1,_xlfn._xlws.FILTER($AO$9:$AO$40,$AQ$9:$AQ$40=$AF$25,""))</f>
        <v/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>20.22</v>
      </c>
      <c r="AL25" s="309"/>
      <c r="AM25" s="310"/>
      <c r="AN25" s="214"/>
      <c r="AO25" s="127">
        <v>17</v>
      </c>
      <c r="AP25" s="127" t="str">
        <v>楊仲豪</v>
      </c>
      <c r="AQ25" s="127" t="str" cm="1">
        <f t="array" ref="AQ25">IFERROR(_xlfn.XLOOKUP(_xlfn.XLOOKUP($AQ$3,輪休基準表!$C$6:$C$36,_xlfn.XLOOKUP(AP25,輪休基準表!$E$5:$AF$5,輪休基準表!$E$6:$AF$36,""),""),班別參數!$A$4:$A$20,班別參數!$B$4:$B$20,""),"")</f>
        <v>上班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>已排</v>
      </c>
      <c r="AT25" s="180">
        <f t="shared" si="0"/>
        <v>6</v>
      </c>
      <c r="AU25" s="180">
        <f t="shared" si="1"/>
        <v>8</v>
      </c>
      <c r="AW25" s="33"/>
      <c r="AX25" s="45"/>
      <c r="AY25" s="25"/>
      <c r="AZ25" s="28"/>
      <c r="BA25" s="33"/>
      <c r="BB25" s="25"/>
      <c r="BD25" s="127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12</v>
      </c>
      <c r="D26" s="95"/>
      <c r="E26" s="95"/>
      <c r="F26" s="95"/>
      <c r="G26" s="122">
        <v>5</v>
      </c>
      <c r="H26" s="37"/>
      <c r="I26" s="92">
        <f>_xlfn.XLOOKUP(_xlfn.XLOOKUP($AS$6&amp;$B26,公表[班別+時段],公表[救護1],""),$AX$9:$AX$25,$AY$9:$AY$25,"")</f>
        <v>17</v>
      </c>
      <c r="J26" s="92">
        <f>_xlfn.XLOOKUP(_xlfn.XLOOKUP($AS$6&amp;$B26,公表[班別+時段],公表[救護2],""),$AX$9:$AX$25,$AY$9:$AY$25,"")</f>
        <v>27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26</v>
      </c>
      <c r="O26" s="87">
        <f>_xlfn.XLOOKUP(_xlfn.XLOOKUP($AS$6&amp;$B26,公表[班別+時段],公表[備勤2],""),$AX$9:$AX$25,$AY$9:$AY$25,"")</f>
        <v>28</v>
      </c>
      <c r="P26" s="87"/>
      <c r="Q26" s="87">
        <f>_xlfn.XLOOKUP(_xlfn.XLOOKUP($AS$6&amp;$B26,公表[班別+時段],公表[備勤3],""),$AX$9:$AX$25,$AY$9:$AY$25,"")</f>
        <v>23</v>
      </c>
      <c r="R26" s="87">
        <f>_xlfn.XLOOKUP(_xlfn.XLOOKUP($AS$6&amp;$B26,公表[班別+時段],公表[備勤4],""),$AX$9:$AX$25,$AY$9:$AY$25,"")</f>
        <v>19</v>
      </c>
      <c r="S26" s="87"/>
      <c r="T26" s="87"/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87"/>
      <c r="AC26" s="87"/>
      <c r="AD26" s="87"/>
      <c r="AE26" s="88">
        <v>2</v>
      </c>
      <c r="AF26" s="57" t="s">
        <v>289</v>
      </c>
      <c r="AG26" s="178" t="str" cm="1">
        <f t="array" ref="AG26">_xlfn.TEXTJOIN(".",1,_xlfn._xlws.FILTER($AO$9:$AO$40,$AQ$9:$AQ$40=$AF$26,""))</f>
        <v/>
      </c>
      <c r="AH26" s="168" t="s">
        <v>290</v>
      </c>
      <c r="AI26" s="179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/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27">
        <v>18</v>
      </c>
      <c r="AP26" s="127" t="str">
        <v>林志偉</v>
      </c>
      <c r="AQ26" s="127" t="str" cm="1">
        <f t="array" ref="AQ26">IFERROR(_xlfn.XLOOKUP(_xlfn.XLOOKUP($AQ$3,輪休基準表!$C$6:$C$36,_xlfn.XLOOKUP(AP26,輪休基準表!$E$5:$AF$5,輪休基準表!$E$6:$AF$36,""),""),班別參數!$A$4:$A$20,班別參數!$B$4:$B$20,""),"")</f>
        <v>輪休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/>
      </c>
      <c r="AT26" s="180" t="str">
        <f t="shared" si="0"/>
        <v/>
      </c>
      <c r="AU26" s="180" t="str">
        <f t="shared" si="1"/>
        <v/>
      </c>
      <c r="AV26" s="10"/>
      <c r="AW26" s="46"/>
      <c r="AX26" s="45"/>
      <c r="AY26" s="25"/>
      <c r="AZ26" s="28"/>
      <c r="BA26" s="33"/>
      <c r="BB26" s="25"/>
      <c r="BD26" s="127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12</v>
      </c>
      <c r="D27" s="95"/>
      <c r="E27" s="95"/>
      <c r="F27" s="95"/>
      <c r="G27" s="122">
        <v>5</v>
      </c>
      <c r="H27" s="37"/>
      <c r="I27" s="92">
        <f>_xlfn.XLOOKUP(_xlfn.XLOOKUP($AS$6&amp;$B27,公表[班別+時段],公表[救護1],""),$AX$9:$AX$25,$AY$9:$AY$25,"")</f>
        <v>17</v>
      </c>
      <c r="J27" s="92">
        <f>_xlfn.XLOOKUP(_xlfn.XLOOKUP($AS$6&amp;$B27,公表[班別+時段],公表[救護2],""),$AX$9:$AX$25,$AY$9:$AY$25,"")</f>
        <v>27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26</v>
      </c>
      <c r="O27" s="87">
        <f>_xlfn.XLOOKUP(_xlfn.XLOOKUP($AS$6&amp;$B27,公表[班別+時段],公表[備勤2],""),$AX$9:$AX$25,$AY$9:$AY$25,"")</f>
        <v>28</v>
      </c>
      <c r="P27" s="87"/>
      <c r="Q27" s="87">
        <f>_xlfn.XLOOKUP(_xlfn.XLOOKUP($AS$6&amp;$B27,公表[班別+時段],公表[備勤3],""),$AX$9:$AX$25,$AY$9:$AY$25,"")</f>
        <v>23</v>
      </c>
      <c r="R27" s="87">
        <f>_xlfn.XLOOKUP(_xlfn.XLOOKUP($AS$6&amp;$B27,公表[班別+時段],公表[備勤4],""),$AX$9:$AX$25,$AY$9:$AY$25,"")</f>
        <v>19</v>
      </c>
      <c r="S27" s="87"/>
      <c r="T27" s="87"/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87"/>
      <c r="AC27" s="87"/>
      <c r="AD27" s="87"/>
      <c r="AE27" s="88">
        <v>2</v>
      </c>
      <c r="AF27" s="317" t="s">
        <v>215</v>
      </c>
      <c r="AG27" s="319"/>
      <c r="AH27" s="321"/>
      <c r="AI27" s="321"/>
      <c r="AJ27" s="321"/>
      <c r="AK27" s="321"/>
      <c r="AL27" s="321"/>
      <c r="AM27" s="322"/>
      <c r="AN27" s="214"/>
      <c r="AO27" s="127">
        <v>19</v>
      </c>
      <c r="AP27" s="127" t="str">
        <v>劉家誠</v>
      </c>
      <c r="AQ27" s="127" t="str" cm="1">
        <f t="array" ref="AQ27">IFERROR(_xlfn.XLOOKUP(_xlfn.XLOOKUP($AQ$3,輪休基準表!$C$6:$C$36,_xlfn.XLOOKUP(AP27,輪休基準表!$E$5:$AF$5,輪休基準表!$E$6:$AF$36,""),""),班別參數!$A$4:$A$20,班別參數!$B$4:$B$20,""),"")</f>
        <v>上班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>已排</v>
      </c>
      <c r="AT27" s="180">
        <f t="shared" si="0"/>
        <v>8</v>
      </c>
      <c r="AU27" s="180">
        <f t="shared" si="1"/>
        <v>6</v>
      </c>
      <c r="AV27" s="10"/>
      <c r="AW27" s="46"/>
      <c r="AX27" s="45"/>
      <c r="AY27" s="25"/>
      <c r="AZ27" s="28"/>
      <c r="BA27" s="33"/>
      <c r="BB27" s="25"/>
      <c r="BD27" s="127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12</v>
      </c>
      <c r="D28" s="95"/>
      <c r="E28" s="95"/>
      <c r="F28" s="95"/>
      <c r="G28" s="122" t="str">
        <f>IF(BC18="","",BC18)</f>
        <v/>
      </c>
      <c r="H28" s="37"/>
      <c r="I28" s="92">
        <f>_xlfn.XLOOKUP(_xlfn.XLOOKUP($AS$6&amp;$B28,公表[班別+時段],公表[救護1],""),$AX$9:$AX$25,$AY$9:$AY$25,"")</f>
        <v>17</v>
      </c>
      <c r="J28" s="92">
        <f>_xlfn.XLOOKUP(_xlfn.XLOOKUP($AS$6&amp;$B28,公表[班別+時段],公表[救護2],""),$AX$9:$AX$25,$AY$9:$AY$25,"")</f>
        <v>27</v>
      </c>
      <c r="K28" s="87"/>
      <c r="L28" s="87" t="s">
        <v>212</v>
      </c>
      <c r="M28" s="312"/>
      <c r="N28" s="87">
        <f>_xlfn.XLOOKUP(_xlfn.XLOOKUP($AS$6&amp;$B28,公表[班別+時段],公表[備勤1],""),$AX$9:$AX$25,$AY$9:$AY$25,"")</f>
        <v>19</v>
      </c>
      <c r="O28" s="87">
        <f>_xlfn.XLOOKUP(_xlfn.XLOOKUP($AS$6&amp;$B28,公表[班別+時段],公表[備勤2],""),$AX$9:$AX$25,$AY$9:$AY$25,"")</f>
        <v>23</v>
      </c>
      <c r="P28" s="87"/>
      <c r="Q28" s="87">
        <f>_xlfn.XLOOKUP(_xlfn.XLOOKUP($AS$6&amp;$B28,公表[班別+時段],公表[備勤3],""),$AX$9:$AX$25,$AY$9:$AY$25,"")</f>
        <v>26</v>
      </c>
      <c r="R28" s="87">
        <f>_xlfn.XLOOKUP(_xlfn.XLOOKUP($AS$6&amp;$B28,公表[班別+時段],公表[備勤4],""),$AX$9:$AX$25,$AY$9:$AY$25,"")</f>
        <v>28</v>
      </c>
      <c r="S28" s="87"/>
      <c r="T28" s="87">
        <f>_xlfn.XLOOKUP(_xlfn.XLOOKUP($AS$6&amp;$B28,公表[班別+時段],公表[備勤5],""),$AX$9:$AX$25,$AY$9:$AY$25,"")</f>
        <v>5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87"/>
      <c r="AC28" s="87"/>
      <c r="AD28" s="87"/>
      <c r="AE28" s="88">
        <f>_xlfn.XLOOKUP(_xlfn.XLOOKUP($AS$6&amp;$B28,公表[班別+時段],公表[指揮官],""),$AX$9:$AX$25,$AY$9:$AY$25,"")</f>
        <v>2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27">
        <v>20</v>
      </c>
      <c r="AP28" s="127" t="str">
        <v>呂奇霈</v>
      </c>
      <c r="AQ28" s="127" t="str" cm="1">
        <f t="array" ref="AQ28">IFERROR(_xlfn.XLOOKUP(_xlfn.XLOOKUP($AQ$3,輪休基準表!$C$6:$C$36,_xlfn.XLOOKUP(AP28,輪休基準表!$E$5:$AF$5,輪休基準表!$E$6:$AF$36,""),""),班別參數!$A$4:$A$20,班別參數!$B$4:$B$20,""),"")</f>
        <v>公假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27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12</v>
      </c>
      <c r="D29" s="95"/>
      <c r="E29" s="95"/>
      <c r="F29" s="95"/>
      <c r="G29" s="122" t="str">
        <f>IF(BC18="","",BC18)</f>
        <v/>
      </c>
      <c r="H29" s="37"/>
      <c r="I29" s="92">
        <f>_xlfn.XLOOKUP(_xlfn.XLOOKUP($AS$6&amp;$B29,公表[班別+時段],公表[救護1],""),$AX$9:$AX$25,$AY$9:$AY$25,"")</f>
        <v>17</v>
      </c>
      <c r="J29" s="92">
        <f>_xlfn.XLOOKUP(_xlfn.XLOOKUP($AS$6&amp;$B29,公表[班別+時段],公表[救護2],""),$AX$9:$AX$25,$AY$9:$AY$25,"")</f>
        <v>27</v>
      </c>
      <c r="K29" s="87"/>
      <c r="L29" s="87" t="s">
        <v>212</v>
      </c>
      <c r="M29" s="312"/>
      <c r="N29" s="87">
        <f>_xlfn.XLOOKUP(_xlfn.XLOOKUP($AS$6&amp;$B29,公表[班別+時段],公表[備勤1],""),$AX$9:$AX$25,$AY$9:$AY$25,"")</f>
        <v>19</v>
      </c>
      <c r="O29" s="87">
        <f>_xlfn.XLOOKUP(_xlfn.XLOOKUP($AS$6&amp;$B29,公表[班別+時段],公表[備勤2],""),$AX$9:$AX$25,$AY$9:$AY$25,"")</f>
        <v>23</v>
      </c>
      <c r="P29" s="87"/>
      <c r="Q29" s="87">
        <f>_xlfn.XLOOKUP(_xlfn.XLOOKUP($AS$6&amp;$B29,公表[班別+時段],公表[備勤3],""),$AX$9:$AX$25,$AY$9:$AY$25,"")</f>
        <v>26</v>
      </c>
      <c r="R29" s="87">
        <f>_xlfn.XLOOKUP(_xlfn.XLOOKUP($AS$6&amp;$B29,公表[班別+時段],公表[備勤4],""),$AX$9:$AX$25,$AY$9:$AY$25,"")</f>
        <v>28</v>
      </c>
      <c r="S29" s="87"/>
      <c r="T29" s="87">
        <f>_xlfn.XLOOKUP(_xlfn.XLOOKUP($AS$6&amp;$B29,公表[班別+時段],公表[備勤5],""),$AX$9:$AX$25,$AY$9:$AY$25,"")</f>
        <v>5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87"/>
      <c r="AC29" s="87"/>
      <c r="AD29" s="87"/>
      <c r="AE29" s="88">
        <f>_xlfn.XLOOKUP(_xlfn.XLOOKUP($AS$6&amp;$B29,公表[班別+時段],公表[指揮官],""),$AX$9:$AX$25,$AY$9:$AY$25,"")</f>
        <v>2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27">
        <v>21</v>
      </c>
      <c r="AP29" s="127" t="str">
        <v>張家和</v>
      </c>
      <c r="AQ29" s="127" t="str" cm="1">
        <f t="array" ref="AQ29">IFERROR(_xlfn.XLOOKUP(_xlfn.XLOOKUP($AQ$3,輪休基準表!$C$6:$C$36,_xlfn.XLOOKUP(AP29,輪休基準表!$E$5:$AF$5,輪休基準表!$E$6:$AF$36,""),""),班別參數!$A$4:$A$20,班別參數!$B$4:$B$20,""),"")</f>
        <v>月補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/>
      </c>
      <c r="AT29" s="180" t="str">
        <f t="shared" si="0"/>
        <v/>
      </c>
      <c r="AU29" s="180" t="str">
        <f t="shared" si="1"/>
        <v/>
      </c>
      <c r="AV29" s="10"/>
      <c r="AW29" s="47"/>
      <c r="AX29" s="45"/>
      <c r="AY29" s="25"/>
      <c r="AZ29" s="28"/>
      <c r="BA29" s="33"/>
      <c r="BB29" s="25"/>
      <c r="BD29" s="127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12</v>
      </c>
      <c r="D30" s="95"/>
      <c r="E30" s="95"/>
      <c r="F30" s="95"/>
      <c r="G30" s="122"/>
      <c r="H30" s="37"/>
      <c r="I30" s="92">
        <f>_xlfn.XLOOKUP(_xlfn.XLOOKUP($AS$6&amp;$B30,公表[班別+時段],公表[救護1],""),$AX$9:$AX$25,$AY$9:$AY$25,"")</f>
        <v>19</v>
      </c>
      <c r="J30" s="92">
        <f>_xlfn.XLOOKUP(_xlfn.XLOOKUP($AS$6&amp;$B30,公表[班別+時段],公表[救護2],""),$AX$9:$AX$25,$AY$9:$AY$25,"")</f>
        <v>23</v>
      </c>
      <c r="K30" s="87"/>
      <c r="L30" s="87" t="s">
        <v>212</v>
      </c>
      <c r="M30" s="312"/>
      <c r="N30" s="87">
        <f>_xlfn.XLOOKUP(_xlfn.XLOOKUP($AS$6&amp;$B30,公表[班別+時段],公表[備勤1],""),$AX$9:$AX$25,$AY$9:$AY$25,"")</f>
        <v>17</v>
      </c>
      <c r="O30" s="87">
        <f>_xlfn.XLOOKUP(_xlfn.XLOOKUP($AS$6&amp;$B30,公表[班別+時段],公表[備勤2],""),$AX$9:$AX$25,$AY$9:$AY$25,"")</f>
        <v>28</v>
      </c>
      <c r="P30" s="87"/>
      <c r="Q30" s="87">
        <f>_xlfn.XLOOKUP(_xlfn.XLOOKUP($AS$6&amp;$B30,公表[班別+時段],公表[備勤3],""),$AX$9:$AX$25,$AY$9:$AY$25,"")</f>
        <v>27</v>
      </c>
      <c r="R30" s="87">
        <f>_xlfn.XLOOKUP(_xlfn.XLOOKUP($AS$6&amp;$B30,公表[班別+時段],公表[備勤4],""),$AX$9:$AX$25,$AY$9:$AY$25,"")</f>
        <v>26</v>
      </c>
      <c r="S30" s="87"/>
      <c r="T30" s="87">
        <f>_xlfn.XLOOKUP(_xlfn.XLOOKUP($AS$6&amp;$B30,公表[班別+時段],公表[備勤5],""),$AX$9:$AX$25,$AY$9:$AY$25,"")</f>
        <v>5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87"/>
      <c r="AC30" s="87"/>
      <c r="AD30" s="87"/>
      <c r="AE30" s="88">
        <f>_xlfn.XLOOKUP(_xlfn.XLOOKUP($AS$6&amp;$B30,公表[班別+時段],公表[指揮官],""),$AX$9:$AX$25,$AY$9:$AY$25,"")</f>
        <v>2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27">
        <v>22</v>
      </c>
      <c r="AP30" s="127" t="str">
        <v>陳俊瑋</v>
      </c>
      <c r="AQ30" s="127" t="str" cm="1">
        <f t="array" ref="AQ30">IFERROR(_xlfn.XLOOKUP(_xlfn.XLOOKUP($AQ$3,輪休基準表!$C$6:$C$36,_xlfn.XLOOKUP(AP30,輪休基準表!$E$5:$AF$5,輪休基準表!$E$6:$AF$36,""),""),班別參數!$A$4:$A$20,班別參數!$B$4:$B$20,""),"")</f>
        <v>公假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27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12</v>
      </c>
      <c r="D31" s="106"/>
      <c r="E31" s="96"/>
      <c r="F31" s="96"/>
      <c r="G31" s="123"/>
      <c r="H31" s="109"/>
      <c r="I31" s="216">
        <f>_xlfn.XLOOKUP(_xlfn.XLOOKUP($AS$6&amp;$B31,公表[班別+時段],公表[救護1],""),$AX$9:$AX$25,$AY$9:$AY$25,"")</f>
        <v>19</v>
      </c>
      <c r="J31" s="216">
        <f>_xlfn.XLOOKUP(_xlfn.XLOOKUP($AS$6&amp;$B31,公表[班別+時段],公表[救護2],""),$AX$9:$AX$25,$AY$9:$AY$25,"")</f>
        <v>23</v>
      </c>
      <c r="K31" s="108"/>
      <c r="L31" s="93" t="s">
        <v>212</v>
      </c>
      <c r="M31" s="312"/>
      <c r="N31" s="89">
        <f>_xlfn.XLOOKUP(_xlfn.XLOOKUP($AS$6&amp;$B31,公表[班別+時段],公表[備勤1],""),$AX$9:$AX$25,$AY$9:$AY$25,"")</f>
        <v>17</v>
      </c>
      <c r="O31" s="89">
        <f>_xlfn.XLOOKUP(_xlfn.XLOOKUP($AS$6&amp;$B31,公表[班別+時段],公表[備勤2],""),$AX$9:$AX$25,$AY$9:$AY$25,"")</f>
        <v>28</v>
      </c>
      <c r="P31" s="89"/>
      <c r="Q31" s="89">
        <f>_xlfn.XLOOKUP(_xlfn.XLOOKUP($AS$6&amp;$B31,公表[班別+時段],公表[備勤3],""),$AX$9:$AX$25,$AY$9:$AY$25,"")</f>
        <v>27</v>
      </c>
      <c r="R31" s="89">
        <f>_xlfn.XLOOKUP(_xlfn.XLOOKUP($AS$6&amp;$B31,公表[班別+時段],公表[備勤4],""),$AX$9:$AX$25,$AY$9:$AY$25,"")</f>
        <v>26</v>
      </c>
      <c r="S31" s="89"/>
      <c r="T31" s="89">
        <f>_xlfn.XLOOKUP(_xlfn.XLOOKUP($AS$6&amp;$B31,公表[班別+時段],公表[備勤5],""),$AX$9:$AX$25,$AY$9:$AY$25,"")</f>
        <v>5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89"/>
      <c r="AC31" s="89"/>
      <c r="AD31" s="89"/>
      <c r="AE31" s="104">
        <f>_xlfn.XLOOKUP(_xlfn.XLOOKUP($AS$6&amp;$B31,公表[班別+時段],公表[指揮官],""),$AX$9:$AX$25,$AY$9:$AY$25,"")</f>
        <v>2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27">
        <v>23</v>
      </c>
      <c r="AP31" s="127" t="str">
        <v>陳俊翰</v>
      </c>
      <c r="AQ31" s="127" t="str" cm="1">
        <f t="array" ref="AQ31">IFERROR(_xlfn.XLOOKUP(_xlfn.XLOOKUP($AQ$3,輪休基準表!$C$6:$C$36,_xlfn.XLOOKUP(AP31,輪休基準表!$E$5:$AF$5,輪休基準表!$E$6:$AF$36,""),""),班別參數!$A$4:$A$20,班別參數!$B$4:$B$20,""),"")</f>
        <v>上班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>已排</v>
      </c>
      <c r="AT31" s="180">
        <f t="shared" si="0"/>
        <v>6</v>
      </c>
      <c r="AU31" s="180">
        <f t="shared" si="1"/>
        <v>10</v>
      </c>
      <c r="AW31" s="47"/>
      <c r="AX31" s="45"/>
      <c r="AY31" s="25"/>
      <c r="AZ31" s="28"/>
      <c r="BA31" s="33"/>
      <c r="BB31" s="25"/>
      <c r="BD31" s="127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12</v>
      </c>
      <c r="D32" s="97"/>
      <c r="E32" s="97"/>
      <c r="F32" s="97"/>
      <c r="G32" s="121" t="s">
        <v>388</v>
      </c>
      <c r="H32" s="56"/>
      <c r="I32" s="94">
        <f>_xlfn.XLOOKUP(_xlfn.XLOOKUP($AS$6&amp;$B32,公表[班別+時段],公表[救護1],""),$AX$9:$AX$25,$AY$9:$AY$25,"")</f>
        <v>19</v>
      </c>
      <c r="J32" s="94">
        <f>_xlfn.XLOOKUP(_xlfn.XLOOKUP($AS$6&amp;$B32,公表[班別+時段],公表[救護2],""),$AX$9:$AX$25,$AY$9:$AY$25,"")</f>
        <v>23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28</v>
      </c>
      <c r="O32" s="90">
        <f>_xlfn.XLOOKUP(_xlfn.XLOOKUP($AS$6&amp;$B32,公表[班別+時段],公表[備勤2],""),$AX$9:$AX$25,$AY$9:$AY$25,"")</f>
        <v>27</v>
      </c>
      <c r="P32" s="90"/>
      <c r="Q32" s="90">
        <f>_xlfn.XLOOKUP(_xlfn.XLOOKUP($AS$6&amp;$B32,公表[班別+時段],公表[備勤3],""),$AX$9:$AX$25,$AY$9:$AY$25,"")</f>
        <v>17</v>
      </c>
      <c r="R32" s="90">
        <f>_xlfn.XLOOKUP(_xlfn.XLOOKUP($AS$6&amp;$B32,公表[班別+時段],公表[備勤4],""),$AX$9:$AX$25,$AY$9:$AY$25,"")</f>
        <v>0</v>
      </c>
      <c r="S32" s="90"/>
      <c r="T32" s="90">
        <f>_xlfn.XLOOKUP(_xlfn.XLOOKUP($AS$6&amp;$B32,公表[班別+時段],公表[備勤5],""),$AX$9:$AX$25,$AY$9:$AY$25,"")</f>
        <v>0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90"/>
      <c r="AC32" s="90"/>
      <c r="AD32" s="90"/>
      <c r="AE32" s="91">
        <v>5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27">
        <v>24</v>
      </c>
      <c r="AP32" s="127" t="str">
        <v>賴俊豪</v>
      </c>
      <c r="AQ32" s="127" t="str" cm="1">
        <f t="array" ref="AQ32">IFERROR(_xlfn.XLOOKUP(_xlfn.XLOOKUP($AQ$3,輪休基準表!$C$6:$C$36,_xlfn.XLOOKUP(AP32,輪休基準表!$E$5:$AF$5,輪休基準表!$E$6:$AF$36,""),""),班別參數!$A$4:$A$20,班別參數!$B$4:$B$20,""),"")</f>
        <v>補休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/>
      </c>
      <c r="AT32" s="180" t="str">
        <f t="shared" si="0"/>
        <v/>
      </c>
      <c r="AU32" s="180" t="str">
        <f t="shared" si="1"/>
        <v/>
      </c>
      <c r="AW32" s="47"/>
      <c r="AX32" s="45"/>
      <c r="AY32" s="25"/>
      <c r="AZ32" s="28"/>
      <c r="BA32" s="33"/>
      <c r="BB32" s="25"/>
      <c r="BD32" s="127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12</v>
      </c>
      <c r="D33" s="95"/>
      <c r="E33" s="95"/>
      <c r="F33" s="95"/>
      <c r="G33" s="122" t="s">
        <v>388</v>
      </c>
      <c r="H33" s="48"/>
      <c r="I33" s="92">
        <f>_xlfn.XLOOKUP(_xlfn.XLOOKUP($AS$6&amp;$B33,公表[班別+時段],公表[救護1],""),$AX$9:$AX$25,$AY$9:$AY$25,"")</f>
        <v>19</v>
      </c>
      <c r="J33" s="92">
        <f>_xlfn.XLOOKUP(_xlfn.XLOOKUP($AS$6&amp;$B33,公表[班別+時段],公表[救護2],""),$AX$9:$AX$25,$AY$9:$AY$25,"")</f>
        <v>23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28</v>
      </c>
      <c r="O33" s="87">
        <f>_xlfn.XLOOKUP(_xlfn.XLOOKUP($AS$6&amp;$B33,公表[班別+時段],公表[備勤2],""),$AX$9:$AX$25,$AY$9:$AY$25,"")</f>
        <v>27</v>
      </c>
      <c r="P33" s="87"/>
      <c r="Q33" s="87">
        <f>_xlfn.XLOOKUP(_xlfn.XLOOKUP($AS$6&amp;$B33,公表[班別+時段],公表[備勤3],""),$AX$9:$AX$25,$AY$9:$AY$25,"")</f>
        <v>17</v>
      </c>
      <c r="R33" s="87">
        <f>_xlfn.XLOOKUP(_xlfn.XLOOKUP($AS$6&amp;$B33,公表[班別+時段],公表[備勤4],""),$AX$9:$AX$25,$AY$9:$AY$25,"")</f>
        <v>0</v>
      </c>
      <c r="S33" s="87"/>
      <c r="T33" s="87">
        <f>_xlfn.XLOOKUP(_xlfn.XLOOKUP($AS$6&amp;$B33,公表[班別+時段],公表[備勤5],""),$AX$9:$AX$25,$AY$9:$AY$25,"")</f>
        <v>0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87"/>
      <c r="AC33" s="87"/>
      <c r="AD33" s="87"/>
      <c r="AE33" s="88">
        <v>5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27">
        <v>25</v>
      </c>
      <c r="AP33" s="127" t="str">
        <v>郭國偵</v>
      </c>
      <c r="AQ33" s="127" t="str" cm="1">
        <f t="array" ref="AQ33">IFERROR(_xlfn.XLOOKUP(_xlfn.XLOOKUP($AQ$3,輪休基準表!$C$6:$C$36,_xlfn.XLOOKUP(AP33,輪休基準表!$E$5:$AF$5,輪休基準表!$E$6:$AF$36,""),""),班別參數!$A$4:$A$20,班別參數!$B$4:$B$20,""),"")</f>
        <v>月補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/>
      </c>
      <c r="AT33" s="180" t="str">
        <f t="shared" si="0"/>
        <v/>
      </c>
      <c r="AU33" s="180" t="str">
        <f t="shared" si="1"/>
        <v/>
      </c>
      <c r="AW33" s="47"/>
      <c r="AX33" s="45"/>
      <c r="AY33" s="25"/>
      <c r="AZ33" s="28"/>
      <c r="BA33" s="25"/>
      <c r="BB33" s="25"/>
      <c r="BD33" s="127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一、本日主管輪休，職務由小隊長莊勝斌代理。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27">
        <v>26</v>
      </c>
      <c r="AP34" s="127" t="str">
        <v>楊紹文</v>
      </c>
      <c r="AQ34" s="127" t="str" cm="1">
        <f t="array" ref="AQ34">IFERROR(_xlfn.XLOOKUP(_xlfn.XLOOKUP($AQ$3,輪休基準表!$C$6:$C$36,_xlfn.XLOOKUP(AP34,輪休基準表!$E$5:$AF$5,輪休基準表!$E$6:$AF$36,""),""),班別參數!$A$4:$A$20,班別參數!$B$4:$B$20,""),"")</f>
        <v>上班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>已排</v>
      </c>
      <c r="AT34" s="180">
        <f t="shared" si="0"/>
        <v>6</v>
      </c>
      <c r="AU34" s="180">
        <f t="shared" si="1"/>
        <v>8</v>
      </c>
      <c r="AW34" s="47"/>
      <c r="AX34" s="45"/>
      <c r="AY34" s="25"/>
      <c r="AZ34" s="28"/>
      <c r="BA34" s="25"/>
      <c r="BB34" s="25"/>
      <c r="BD34" s="127"/>
    </row>
    <row r="35" spans="2:56" ht="30" customHeight="1">
      <c r="B35" s="349"/>
      <c r="C35" s="359" t="str">
        <f>CONCATENATE("二、在隊訓練:09-12時:",H11,";14-17時:",H16,";19-21時:",H21,"。")</f>
        <v>二、在隊訓練:09-12時:通風排煙訓練;14-17時:人命救助訓練;19-21時:火場控制及殘火處理。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27">
        <v>27</v>
      </c>
      <c r="AP35" s="127" t="str">
        <v>林宏為</v>
      </c>
      <c r="AQ35" s="127" t="str" cm="1">
        <f t="array" ref="AQ35">IFERROR(_xlfn.XLOOKUP(_xlfn.XLOOKUP($AQ$3,輪休基準表!$C$6:$C$36,_xlfn.XLOOKUP(AP35,輪休基準表!$E$5:$AF$5,輪休基準表!$E$6:$AF$36,""),""),班別參數!$A$4:$A$20,班別參數!$B$4:$B$20,""),"")</f>
        <v>上班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>已排</v>
      </c>
      <c r="AT35" s="180">
        <f t="shared" si="0"/>
        <v>8</v>
      </c>
      <c r="AU35" s="180">
        <f t="shared" si="1"/>
        <v>6</v>
      </c>
      <c r="AW35" s="47"/>
      <c r="AX35" s="45"/>
      <c r="AY35" s="25"/>
      <c r="AZ35" s="28"/>
      <c r="BA35" s="25"/>
      <c r="BB35" s="25"/>
      <c r="BD35" s="127"/>
    </row>
    <row r="36" spans="2:56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27">
        <v>28</v>
      </c>
      <c r="AP36" s="127" t="str">
        <v>林宸彥</v>
      </c>
      <c r="AQ36" s="127" t="str" cm="1">
        <f t="array" ref="AQ36">IFERROR(_xlfn.XLOOKUP(_xlfn.XLOOKUP($AQ$3,輪休基準表!$C$6:$C$36,_xlfn.XLOOKUP(AP36,輪休基準表!$E$5:$AF$5,輪休基準表!$E$6:$AF$36,""),""),班別參數!$A$4:$A$20,班別參數!$B$4:$B$20,""),"")</f>
        <v>上班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>已排</v>
      </c>
      <c r="AT36" s="180">
        <f t="shared" si="0"/>
        <v>8</v>
      </c>
      <c r="AU36" s="180">
        <f t="shared" si="1"/>
        <v>8</v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27"/>
      <c r="AP37" s="127"/>
      <c r="AQ37" s="127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27"/>
      <c r="BD37" s="10"/>
    </row>
    <row r="38" spans="2:56" ht="15" customHeight="1">
      <c r="AQ38" s="127"/>
      <c r="AR38" s="118"/>
      <c r="AS38" s="119"/>
      <c r="AT38" s="119"/>
    </row>
    <row r="39" spans="2:56" ht="15" customHeight="1">
      <c r="AR39" s="118"/>
      <c r="AS39" s="119"/>
      <c r="AT39" s="119"/>
    </row>
    <row r="40" spans="2:56" ht="15" customHeight="1">
      <c r="AR40" s="118"/>
      <c r="AS40" s="119"/>
      <c r="AT40" s="119"/>
    </row>
  </sheetData>
  <mergeCells count="72">
    <mergeCell ref="AG22:AK22"/>
    <mergeCell ref="AG23:AM23"/>
    <mergeCell ref="AG24:AI24"/>
    <mergeCell ref="AK24:AM24"/>
    <mergeCell ref="AF33:AG33"/>
    <mergeCell ref="AH33:AI33"/>
    <mergeCell ref="AJ33:AK33"/>
    <mergeCell ref="AF31:AG31"/>
    <mergeCell ref="AH31:AI31"/>
    <mergeCell ref="AJ31:AK31"/>
    <mergeCell ref="AF32:AG32"/>
    <mergeCell ref="AH32:AI32"/>
    <mergeCell ref="AJ32:AK32"/>
    <mergeCell ref="AF27:AF28"/>
    <mergeCell ref="AG27:AM27"/>
    <mergeCell ref="AG28:AM28"/>
    <mergeCell ref="B34:B36"/>
    <mergeCell ref="C34:AE34"/>
    <mergeCell ref="AF34:AM34"/>
    <mergeCell ref="C35:AE35"/>
    <mergeCell ref="AF35:AM35"/>
    <mergeCell ref="C36:AE36"/>
    <mergeCell ref="AF36:AM36"/>
    <mergeCell ref="AF29:AM29"/>
    <mergeCell ref="AF30:AG30"/>
    <mergeCell ref="AH30:AI30"/>
    <mergeCell ref="AJ30:AK30"/>
    <mergeCell ref="AG25:AI25"/>
    <mergeCell ref="AK25:AM25"/>
    <mergeCell ref="C8:AE8"/>
    <mergeCell ref="C9:AE9"/>
    <mergeCell ref="M10:M33"/>
    <mergeCell ref="H11:H13"/>
    <mergeCell ref="H16:H18"/>
    <mergeCell ref="H21:H22"/>
    <mergeCell ref="D10:D12"/>
    <mergeCell ref="I6:J6"/>
    <mergeCell ref="K6:L6"/>
    <mergeCell ref="N6:P6"/>
    <mergeCell ref="Q6:S6"/>
    <mergeCell ref="T6:V6"/>
    <mergeCell ref="AF5:AM6"/>
    <mergeCell ref="AO5:AO6"/>
    <mergeCell ref="T7:V7"/>
    <mergeCell ref="AR5:AR6"/>
    <mergeCell ref="AS5:AT5"/>
    <mergeCell ref="W6:Y6"/>
    <mergeCell ref="AE6:AE7"/>
    <mergeCell ref="AS6:AT6"/>
    <mergeCell ref="AP5:AQ6"/>
    <mergeCell ref="G5:G7"/>
    <mergeCell ref="B3:AM3"/>
    <mergeCell ref="AW3:AX3"/>
    <mergeCell ref="AY3:BB3"/>
    <mergeCell ref="B4:AI4"/>
    <mergeCell ref="AJ4:AM4"/>
    <mergeCell ref="AW4:AX4"/>
    <mergeCell ref="AY4:BB4"/>
    <mergeCell ref="B5:B7"/>
    <mergeCell ref="C5:C7"/>
    <mergeCell ref="D5:D7"/>
    <mergeCell ref="E5:E7"/>
    <mergeCell ref="F5:F7"/>
    <mergeCell ref="H5:H7"/>
    <mergeCell ref="I5:L5"/>
    <mergeCell ref="M5:AE5"/>
    <mergeCell ref="AY2:BB2"/>
    <mergeCell ref="B1:AE1"/>
    <mergeCell ref="AP1:AQ1"/>
    <mergeCell ref="B2:AE2"/>
    <mergeCell ref="AG2:AM2"/>
    <mergeCell ref="AW2:AX2"/>
  </mergeCells>
  <phoneticPr fontId="9" type="noConversion"/>
  <conditionalFormatting sqref="AO9:AQ36 AO37:AP37 AQ37:AQ38">
    <cfRule type="expression" dxfId="111" priority="16">
      <formula>COUNTIF($AQ9,"上班")&gt;=1</formula>
    </cfRule>
  </conditionalFormatting>
  <conditionalFormatting sqref="AF8:AF13 AH8:AH21 AJ8:AJ21 AL8:AM21">
    <cfRule type="expression" dxfId="110" priority="11">
      <formula>OR(VLOOKUP(AF8,$AO$9:$AQ$40,3,0)="上班",VLOOKUP(AF8,$AO$9:$AQ$40,3,0)="外宿")</formula>
    </cfRule>
  </conditionalFormatting>
  <conditionalFormatting sqref="AL8">
    <cfRule type="expression" dxfId="109" priority="10">
      <formula>OR(VLOOKUP(AL8,$AO$9:$AQ$36,3,0)="上班",VLOOKUP(AL8,$AO$9:$AQ$36,3,0)="外宿")</formula>
    </cfRule>
  </conditionalFormatting>
  <conditionalFormatting sqref="AR9:AR36">
    <cfRule type="notContainsText" dxfId="108" priority="2" operator="notContains" text="已排">
      <formula>ISERROR(SEARCH("已排",AR9))</formula>
    </cfRule>
  </conditionalFormatting>
  <conditionalFormatting sqref="AS9:AS36">
    <cfRule type="notContainsText" dxfId="107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91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A6B3E-6668-43DE-A440-39595E1B253D}">
  <sheetPr codeName="工作表17">
    <pageSetUpPr fitToPage="1"/>
  </sheetPr>
  <dimension ref="B1:BE40"/>
  <sheetViews>
    <sheetView showZeros="0" view="pageBreakPreview" zoomScale="55" zoomScaleNormal="55" zoomScaleSheetLayoutView="55" workbookViewId="0">
      <selection activeCell="AA31" sqref="AA31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5" width="5.375" style="126" customWidth="1"/>
    <col min="6" max="7" width="5.375" style="275" customWidth="1"/>
    <col min="8" max="8" width="5.375" style="126" customWidth="1"/>
    <col min="9" max="10" width="8.625" style="126" customWidth="1"/>
    <col min="11" max="14" width="5.375" style="126" customWidth="1"/>
    <col min="15" max="15" width="6.625" style="126" customWidth="1"/>
    <col min="16" max="32" width="5.375" style="126" customWidth="1"/>
    <col min="33" max="33" width="7.625" style="126" customWidth="1"/>
    <col min="34" max="34" width="10.625" style="126" customWidth="1"/>
    <col min="35" max="35" width="7.625" style="126" customWidth="1"/>
    <col min="36" max="36" width="10.625" style="126" customWidth="1"/>
    <col min="37" max="37" width="7.625" style="126" customWidth="1"/>
    <col min="38" max="38" width="10.625" style="126" customWidth="1"/>
    <col min="39" max="39" width="7.625" style="126" customWidth="1"/>
    <col min="40" max="40" width="10.625" style="126" customWidth="1"/>
    <col min="41" max="41" width="4.125" style="213" customWidth="1"/>
    <col min="42" max="48" width="11.625" style="126" customWidth="1"/>
    <col min="49" max="49" width="4.125" style="126" customWidth="1"/>
    <col min="50" max="50" width="16" style="126" customWidth="1"/>
    <col min="51" max="52" width="8.25" style="126" customWidth="1"/>
    <col min="53" max="53" width="4.125" style="126" customWidth="1"/>
    <col min="54" max="54" width="16" style="126" customWidth="1"/>
    <col min="55" max="55" width="8.25" style="126" customWidth="1"/>
    <col min="56" max="56" width="10.875" style="126" customWidth="1"/>
    <col min="57" max="59" width="4.125" style="126" customWidth="1"/>
    <col min="60" max="16384" width="11.25" style="126"/>
  </cols>
  <sheetData>
    <row r="1" spans="2:57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F1" s="366"/>
      <c r="AO1" s="215"/>
      <c r="AP1" s="127"/>
      <c r="AQ1" s="399"/>
      <c r="AR1" s="399"/>
      <c r="AS1" s="127"/>
      <c r="AT1" s="127"/>
      <c r="AU1" s="127"/>
    </row>
    <row r="2" spans="2:57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287"/>
      <c r="AG2" s="12"/>
      <c r="AH2" s="366"/>
      <c r="AI2" s="287"/>
      <c r="AJ2" s="287"/>
      <c r="AK2" s="287"/>
      <c r="AL2" s="287"/>
      <c r="AM2" s="287"/>
      <c r="AN2" s="287"/>
      <c r="AO2" s="215"/>
      <c r="AP2" s="13" t="s">
        <v>0</v>
      </c>
      <c r="AQ2" s="13" t="s">
        <v>1</v>
      </c>
      <c r="AR2" s="13" t="s">
        <v>178</v>
      </c>
      <c r="AS2" s="146" t="s">
        <v>228</v>
      </c>
      <c r="AT2" s="142"/>
      <c r="AU2" s="140"/>
      <c r="AV2" s="127"/>
      <c r="AW2" s="127"/>
      <c r="AX2" s="362" t="s">
        <v>127</v>
      </c>
      <c r="AY2" s="287"/>
      <c r="AZ2" s="367" t="str">
        <f>_xlfn.XLOOKUP($AS$3,訓練!$L$13:$L$19,訓練!$M$13:$M$19,"")</f>
        <v>個人防護裝備操作</v>
      </c>
      <c r="BA2" s="364"/>
      <c r="BB2" s="364"/>
      <c r="BC2" s="365"/>
    </row>
    <row r="3" spans="2:57" ht="39.950000000000003" customHeight="1" thickBot="1">
      <c r="B3" s="369" t="str">
        <f>CONCATENATE("桃園市政府消防局第三救災救護大隊新坡分隊（",$AQ$5,"人）勤務分配表 ",$AP$3,"年",$AQ$3,"月",$AR$3,"日","星期",$AS$3)</f>
        <v>桃園市政府消防局第三救災救護大隊新坡分隊（28人）勤務分配表 115年5月13日星期三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0"/>
      <c r="AN3" s="371"/>
      <c r="AO3" s="27"/>
      <c r="AP3" s="14">
        <f>班別參數!D2</f>
        <v>115</v>
      </c>
      <c r="AQ3" s="15">
        <f>班別參數!E2</f>
        <v>5</v>
      </c>
      <c r="AR3" s="143">
        <v>13</v>
      </c>
      <c r="AS3" s="141" t="str">
        <f>RIGHT(TEXT(1911+$AP$3&amp;"/"&amp;$AQ$3&amp;"/"&amp;$AR$3,"aaaa"),1)</f>
        <v>三</v>
      </c>
      <c r="AT3" s="145"/>
      <c r="AU3" s="145"/>
      <c r="AV3" s="127"/>
      <c r="AW3" s="127"/>
      <c r="AX3" s="362" t="s">
        <v>128</v>
      </c>
      <c r="AY3" s="287"/>
      <c r="AZ3" s="368" t="str">
        <f>_xlfn.XLOOKUP($AS$3,訓練!$L$13:$L$19,訓練!$N$13:$N$19,"")</f>
        <v>常訓體技能訓練</v>
      </c>
      <c r="BA3" s="364"/>
      <c r="BB3" s="364"/>
      <c r="BC3" s="365"/>
    </row>
    <row r="4" spans="2:57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3"/>
      <c r="AJ4" s="374"/>
      <c r="AK4" s="377" t="s">
        <v>185</v>
      </c>
      <c r="AL4" s="373"/>
      <c r="AM4" s="373"/>
      <c r="AN4" s="378"/>
      <c r="AO4" s="16"/>
      <c r="AP4" s="17"/>
      <c r="AQ4" s="17"/>
      <c r="AR4" s="17"/>
      <c r="AU4" s="127"/>
      <c r="AV4" s="127"/>
      <c r="AW4" s="127"/>
      <c r="AX4" s="362" t="s">
        <v>129</v>
      </c>
      <c r="AY4" s="287"/>
      <c r="AZ4" s="363" t="str">
        <f>_xlfn.XLOOKUP($AS$3,訓練!$L$13:$L$19,訓練!$O$13:$O$19,"")</f>
        <v>救護訓練</v>
      </c>
      <c r="BA4" s="364"/>
      <c r="BB4" s="364"/>
      <c r="BC4" s="365"/>
    </row>
    <row r="5" spans="2:57" ht="24.75" customHeight="1">
      <c r="B5" s="390" t="s">
        <v>224</v>
      </c>
      <c r="C5" s="392" t="s">
        <v>7</v>
      </c>
      <c r="D5" s="392" t="s">
        <v>390</v>
      </c>
      <c r="E5" s="340" t="s">
        <v>392</v>
      </c>
      <c r="F5" s="340" t="s">
        <v>394</v>
      </c>
      <c r="G5" s="340" t="s">
        <v>395</v>
      </c>
      <c r="H5" s="340" t="s">
        <v>393</v>
      </c>
      <c r="I5" s="340" t="s">
        <v>73</v>
      </c>
      <c r="J5" s="398" t="s">
        <v>186</v>
      </c>
      <c r="K5" s="331" t="s">
        <v>187</v>
      </c>
      <c r="L5" s="332"/>
      <c r="M5" s="332"/>
      <c r="N5" s="333"/>
      <c r="O5" s="331" t="s">
        <v>188</v>
      </c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32"/>
      <c r="AA5" s="332"/>
      <c r="AB5" s="395"/>
      <c r="AC5" s="395"/>
      <c r="AD5" s="332"/>
      <c r="AE5" s="332"/>
      <c r="AF5" s="332"/>
      <c r="AG5" s="379" t="s">
        <v>189</v>
      </c>
      <c r="AH5" s="380"/>
      <c r="AI5" s="380"/>
      <c r="AJ5" s="380"/>
      <c r="AK5" s="380"/>
      <c r="AL5" s="380"/>
      <c r="AM5" s="380"/>
      <c r="AN5" s="381"/>
      <c r="AO5" s="16"/>
      <c r="AP5" s="385" t="s">
        <v>190</v>
      </c>
      <c r="AQ5" s="386">
        <v>28</v>
      </c>
      <c r="AR5" s="387"/>
      <c r="AS5" s="385" t="s">
        <v>191</v>
      </c>
      <c r="AT5" s="389" t="s">
        <v>126</v>
      </c>
      <c r="AU5" s="387"/>
      <c r="AV5" s="13"/>
      <c r="AW5" s="13"/>
      <c r="AX5" s="19"/>
      <c r="AY5" s="20"/>
      <c r="AZ5" s="21"/>
      <c r="BA5" s="21"/>
      <c r="BB5" s="21"/>
      <c r="BC5" s="21"/>
      <c r="BD5" s="21"/>
    </row>
    <row r="6" spans="2:57" ht="42" customHeight="1" thickBot="1">
      <c r="B6" s="391"/>
      <c r="C6" s="341"/>
      <c r="D6" s="341"/>
      <c r="E6" s="341"/>
      <c r="F6" s="432"/>
      <c r="G6" s="432"/>
      <c r="H6" s="341"/>
      <c r="I6" s="312"/>
      <c r="J6" s="312"/>
      <c r="K6" s="334" t="s">
        <v>227</v>
      </c>
      <c r="L6" s="335"/>
      <c r="M6" s="334" t="s">
        <v>346</v>
      </c>
      <c r="N6" s="336"/>
      <c r="O6" s="86" t="s">
        <v>193</v>
      </c>
      <c r="P6" s="342" t="s">
        <v>194</v>
      </c>
      <c r="Q6" s="324"/>
      <c r="R6" s="327"/>
      <c r="S6" s="342" t="s">
        <v>195</v>
      </c>
      <c r="T6" s="324"/>
      <c r="U6" s="327"/>
      <c r="V6" s="343" t="s">
        <v>196</v>
      </c>
      <c r="W6" s="344"/>
      <c r="X6" s="345"/>
      <c r="Y6" s="342" t="s">
        <v>197</v>
      </c>
      <c r="Z6" s="324"/>
      <c r="AA6" s="324"/>
      <c r="AB6" s="113"/>
      <c r="AC6" s="114"/>
      <c r="AD6" s="115"/>
      <c r="AE6" s="23"/>
      <c r="AF6" s="396" t="s">
        <v>56</v>
      </c>
      <c r="AG6" s="382"/>
      <c r="AH6" s="383"/>
      <c r="AI6" s="383"/>
      <c r="AJ6" s="383"/>
      <c r="AK6" s="383"/>
      <c r="AL6" s="383"/>
      <c r="AM6" s="383"/>
      <c r="AN6" s="384"/>
      <c r="AO6" s="16"/>
      <c r="AP6" s="287"/>
      <c r="AQ6" s="388"/>
      <c r="AR6" s="376"/>
      <c r="AS6" s="287"/>
      <c r="AT6" s="375" t="str">
        <f>_xlfn.XLOOKUP($AR$3,輪休基準表!$C$6:$C$36,輪休基準表!$AH$6:$AH$36,"")</f>
        <v>2+7</v>
      </c>
      <c r="AU6" s="376"/>
      <c r="AV6" s="13"/>
      <c r="AW6" s="13"/>
      <c r="AX6" s="19"/>
      <c r="AY6" s="20"/>
      <c r="BB6" s="25"/>
      <c r="BC6" s="25"/>
    </row>
    <row r="7" spans="2:57" ht="42" customHeight="1" thickBot="1">
      <c r="B7" s="391"/>
      <c r="C7" s="341"/>
      <c r="D7" s="341"/>
      <c r="E7" s="341"/>
      <c r="F7" s="433"/>
      <c r="G7" s="433"/>
      <c r="H7" s="341"/>
      <c r="I7" s="312"/>
      <c r="J7" s="312"/>
      <c r="K7" s="50" t="s">
        <v>198</v>
      </c>
      <c r="L7" s="50" t="s">
        <v>199</v>
      </c>
      <c r="M7" s="50" t="s">
        <v>198</v>
      </c>
      <c r="N7" s="50" t="s">
        <v>199</v>
      </c>
      <c r="O7" s="85" t="s">
        <v>200</v>
      </c>
      <c r="P7" s="50" t="s">
        <v>198</v>
      </c>
      <c r="Q7" s="50" t="s">
        <v>201</v>
      </c>
      <c r="R7" s="50" t="s">
        <v>202</v>
      </c>
      <c r="S7" s="50" t="s">
        <v>198</v>
      </c>
      <c r="T7" s="50" t="s">
        <v>201</v>
      </c>
      <c r="U7" s="111" t="s">
        <v>202</v>
      </c>
      <c r="V7" s="337" t="s">
        <v>192</v>
      </c>
      <c r="W7" s="338"/>
      <c r="X7" s="339"/>
      <c r="Y7" s="112"/>
      <c r="Z7" s="51"/>
      <c r="AA7" s="51"/>
      <c r="AB7" s="116"/>
      <c r="AC7" s="117"/>
      <c r="AD7" s="52"/>
      <c r="AE7" s="52"/>
      <c r="AF7" s="397"/>
      <c r="AG7" s="57" t="s">
        <v>203</v>
      </c>
      <c r="AH7" s="31" t="s">
        <v>225</v>
      </c>
      <c r="AI7" s="31" t="s">
        <v>203</v>
      </c>
      <c r="AJ7" s="31" t="s">
        <v>225</v>
      </c>
      <c r="AK7" s="31" t="s">
        <v>203</v>
      </c>
      <c r="AL7" s="31" t="s">
        <v>225</v>
      </c>
      <c r="AM7" s="31" t="s">
        <v>203</v>
      </c>
      <c r="AN7" s="58" t="s">
        <v>225</v>
      </c>
      <c r="AO7" s="27"/>
      <c r="AP7" s="18"/>
      <c r="AW7" s="29" t="str">
        <f t="array" ref="AW7">IFERROR(INDEX(班別參數!$B$66:$G$75,MATCH(#REF!,班別參數!$B$66:$B$75,0),MATCH(#REF!,班別參數!$B$66:$G$66,0)),"")</f>
        <v/>
      </c>
      <c r="AX7" s="25"/>
      <c r="AZ7" s="30"/>
      <c r="BA7" s="28"/>
      <c r="BB7" s="25"/>
      <c r="BC7" s="25"/>
      <c r="BE7" s="127"/>
    </row>
    <row r="8" spans="2:57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299"/>
      <c r="U8" s="299"/>
      <c r="V8" s="300"/>
      <c r="W8" s="300"/>
      <c r="X8" s="300"/>
      <c r="Y8" s="299"/>
      <c r="Z8" s="299"/>
      <c r="AA8" s="299"/>
      <c r="AB8" s="299"/>
      <c r="AC8" s="299"/>
      <c r="AD8" s="299"/>
      <c r="AE8" s="299"/>
      <c r="AF8" s="301"/>
      <c r="AG8" s="57" cm="1">
        <f t="array" ref="AG8:AH12">_xlfn._xlws.FILTER(輪休基準表!AK6:$AL$36,輪休基準表!$AM$6:$AM$36="幹部","")</f>
        <v>1</v>
      </c>
      <c r="AH8" s="31" t="str">
        <v>鄧力嘉</v>
      </c>
      <c r="AI8" s="31" cm="1">
        <f t="array" ref="AI8:AJ18">_xlfn._xlws.FILTER(輪休基準表!AK6:$AL$36,輪休基準表!$AM$6:$AM$36="A班","")</f>
        <v>6</v>
      </c>
      <c r="AJ8" s="31" t="str">
        <v>吳宗耕</v>
      </c>
      <c r="AK8" s="31" cm="1">
        <f t="array" ref="AK8:AL19">_xlfn._xlws.FILTER(輪休基準表!AK6:$AL$36,輪休基準表!$AM$6:$AM$36="B班","")</f>
        <v>17</v>
      </c>
      <c r="AL8" s="31" t="str">
        <v>楊仲豪</v>
      </c>
      <c r="AM8" s="31" t="str" cm="1">
        <f t="array" ref="AM8">_xlfn._xlws.FILTER(輪休基準表!AK6:$AL$36,輪休基準表!$AM$6:$AM$36="實習生","")</f>
        <v/>
      </c>
      <c r="AN8" s="31"/>
      <c r="AP8" s="13" t="s">
        <v>205</v>
      </c>
      <c r="AQ8" s="13" t="s">
        <v>206</v>
      </c>
      <c r="AR8" s="13" t="s">
        <v>301</v>
      </c>
      <c r="AS8" s="13" t="s">
        <v>302</v>
      </c>
      <c r="AT8" s="13" t="s">
        <v>292</v>
      </c>
      <c r="AU8" s="13" t="s">
        <v>207</v>
      </c>
      <c r="AV8" s="13" t="s">
        <v>208</v>
      </c>
      <c r="AW8" s="13"/>
      <c r="AX8" s="13" t="s">
        <v>7</v>
      </c>
      <c r="AY8" s="13" t="s">
        <v>191</v>
      </c>
      <c r="AZ8" s="13" t="s">
        <v>205</v>
      </c>
      <c r="BA8" s="13"/>
      <c r="BB8" s="13" t="s">
        <v>63</v>
      </c>
      <c r="BC8" s="13" t="s">
        <v>209</v>
      </c>
      <c r="BD8" s="13" t="s">
        <v>205</v>
      </c>
      <c r="BE8" s="127"/>
    </row>
    <row r="9" spans="2:57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2"/>
      <c r="N9" s="302"/>
      <c r="O9" s="303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2"/>
      <c r="AF9" s="304"/>
      <c r="AG9" s="57">
        <v>2</v>
      </c>
      <c r="AH9" s="31" t="str">
        <v>莊勝斌</v>
      </c>
      <c r="AI9" s="31">
        <v>7</v>
      </c>
      <c r="AJ9" s="31" t="str">
        <v>包華先</v>
      </c>
      <c r="AK9" s="31">
        <v>18</v>
      </c>
      <c r="AL9" s="4" t="str">
        <v>林志偉</v>
      </c>
      <c r="AM9" s="101"/>
      <c r="AN9" s="102"/>
      <c r="AP9" s="127" cm="1">
        <f t="array" ref="AP9:AQ36">TRANSPOSE(輪休基準表!E4:AF5)</f>
        <v>1</v>
      </c>
      <c r="AQ9" s="127" t="str">
        <v>鄧力嘉</v>
      </c>
      <c r="AR9" s="127" t="str" cm="1">
        <f t="array" ref="AR9">IFERROR(_xlfn.XLOOKUP(_xlfn.XLOOKUP($AR$3,輪休基準表!$C$6:$C$36,_xlfn.XLOOKUP(AQ9,輪休基準表!$E$5:$AF$5,輪休基準表!$E$6:$AF$36,""),""),班別參數!$A$4:$A$20,班別參數!$B$4:$B$20,""),"")</f>
        <v>上班</v>
      </c>
      <c r="AS9" s="120" t="str" cm="1">
        <f t="array" ref="AS9">_xlfn.LET(
    _xlpm.番號, COUNTIF($AZ$9:$AZ$24, $AP9),
    _xlpm.已排, _xlpm.番號 &gt; 0,
    _xlpm.上班, (AR9="上班"),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T9" s="170" t="str" cm="1">
        <f t="array" ref="AT9">IF(AR9="上班",
    IF(SUMPRODUCT(--ISNUMBER(SEARCH(","&amp;AP9&amp;",", ","&amp;$I$10:$I$33&amp;",")))&gt;=2, "已排",
        IF(SUMPRODUCT(--ISNUMBER(SEARCH(","&amp;AP9&amp;",", ","&amp;$I$10:$I$33&amp;",")))=1, "缺1小時", "未排")
    ),
    IF(SUMPRODUCT(--ISNUMBER(SEARCH(","&amp;AP9&amp;",", ","&amp;$I$10:$I$33&amp;",")))&gt;0, "沒上班", "")
)</f>
        <v>已排</v>
      </c>
      <c r="AU9" s="180" t="str">
        <f>IF(COUNTIF($K$10:$L$33,AP9)=0,"",COUNTIF($K$10:$L$33,AP9))</f>
        <v/>
      </c>
      <c r="AV9" s="180" t="str">
        <f>IF(COUNTIF($P$10:$Q$33,AP9)=0,"",COUNTIF($P$10:$Q$33,AP9))</f>
        <v/>
      </c>
      <c r="AW9" s="25"/>
      <c r="AX9" s="33" t="str">
        <f t="array" ref="AX9">INDEX(班別參數!$D$4:$D$20,ROW()-7,MATCH($AX$8,班別參數!$D$4:$D$20,0))</f>
        <v>08-10</v>
      </c>
      <c r="AY9" s="34" t="str">
        <f t="array" ref="AY9">IFERROR(INDEX(班別參數!$D$4:$S$20,MATCH(AX9,班別參數!$D$4:$D$20,0),MATCH($AT$6,班別參數!$D$4:$S$4,0)),"")</f>
        <v>A</v>
      </c>
      <c r="AZ9" s="35">
        <v>10</v>
      </c>
      <c r="BA9" s="13"/>
      <c r="BB9" s="33" t="s">
        <v>18</v>
      </c>
      <c r="BC9" s="34" t="str">
        <f t="array" ref="BC9">IFERROR(INDEX(班別參數!$D$23:$S$35,MATCH(BB9,班別參數!$D$23:$D$35,0),MATCH($AT$6,班別參數!$D$23:$S$23,0)),"")</f>
        <v>H,K</v>
      </c>
      <c r="BD9" s="36" t="str">
        <f>IFERROR(_xlfn.LET(
    _xlpm.對照, BC9,
    _xlpm.拆分1, IF(LEN(_xlpm.對照)=3, LEFT(_xlpm.對照,1), _xlpm.對照),
    _xlpm.拆分2, IF(LEN(_xlpm.對照)=3, RIGHT(_xlpm.對照,1), ""),
    _xlpm.查詢1, _xlfn.XLOOKUP(_xlpm.拆分1, $AY$9:$AY$24, $AZ$9:$AZ$24, ""),
    _xlpm.查詢2, _xlfn.XLOOKUP(_xlpm.拆分2, $AY$9:$AY$24, $AZ$9:$AZ$24, ""),
    _xlfn.TEXTJOIN(",", TRUE, IF(_xlpm.查詢1=0, "", _xlpm.查詢1), IF(_xlpm.查詢2=0, "", _xlpm.查詢2))
),"")</f>
        <v>7,1</v>
      </c>
      <c r="BE9" s="127"/>
    </row>
    <row r="10" spans="2:57" ht="30" customHeight="1">
      <c r="B10" s="81" t="s">
        <v>70</v>
      </c>
      <c r="C10" s="87">
        <f>_xlfn.XLOOKUP(_xlfn.XLOOKUP($AT$6&amp;$B10,公表[班別+時段],公表[值班],""),$AY$9:$AY$25,$AZ$9:$AZ$25,"")</f>
        <v>10</v>
      </c>
      <c r="D10" s="95"/>
      <c r="E10" s="95"/>
      <c r="F10" s="277"/>
      <c r="G10" s="246"/>
      <c r="H10" s="243"/>
      <c r="I10" s="122"/>
      <c r="J10" s="37"/>
      <c r="K10" s="92">
        <f>_xlfn.XLOOKUP(_xlfn.XLOOKUP($AT$6&amp;$B10,公表[班別+時段],公表[救護1],""),$AY$9:$AY$25,$AZ$9:$AZ$25,"")</f>
        <v>18</v>
      </c>
      <c r="L10" s="92">
        <f>_xlfn.XLOOKUP(_xlfn.XLOOKUP($AT$6&amp;$B10,公表[班別+時段],公表[救護2],""),$AY$9:$AY$25,$AZ$9:$AZ$25,"")</f>
        <v>6</v>
      </c>
      <c r="M10" s="87"/>
      <c r="N10" s="87" t="s">
        <v>212</v>
      </c>
      <c r="O10" s="311"/>
      <c r="P10" s="87">
        <f>_xlfn.XLOOKUP(_xlfn.XLOOKUP($AT$6&amp;$B10,公表[班別+時段],公表[備勤1],""),$AY$9:$AY$25,$AZ$9:$AZ$25,"")</f>
        <v>9</v>
      </c>
      <c r="Q10" s="87">
        <f>_xlfn.XLOOKUP(_xlfn.XLOOKUP($AT$6&amp;$B10,公表[班別+時段],公表[備勤2],""),$AY$9:$AY$25,$AZ$9:$AZ$25,"")</f>
        <v>16</v>
      </c>
      <c r="R10" s="87"/>
      <c r="S10" s="87">
        <f>_xlfn.XLOOKUP(_xlfn.XLOOKUP($AT$6&amp;$B10,公表[班別+時段],公表[備勤3],""),$AY$9:$AY$25,$AZ$9:$AZ$25,"")</f>
        <v>11</v>
      </c>
      <c r="T10" s="87">
        <v>7</v>
      </c>
      <c r="U10" s="87"/>
      <c r="V10" s="87">
        <v>3</v>
      </c>
      <c r="W10" s="87">
        <f>_xlfn.XLOOKUP(_xlfn.XLOOKUP($AT$6&amp;$B10,公表[班別+時段],公表[備勤6],""),$AY$9:$AY$25,$AZ$9:$AZ$25,"")</f>
        <v>0</v>
      </c>
      <c r="X10" s="87"/>
      <c r="Y10" s="87">
        <f>_xlfn.XLOOKUP(_xlfn.XLOOKUP($AT$6&amp;$B10,公表[班別+時段],公表[備勤7],""),$AY$9:$AY$25,$AZ$9:$AZ$25,"")</f>
        <v>0</v>
      </c>
      <c r="Z10" s="87">
        <f>_xlfn.XLOOKUP(_xlfn.XLOOKUP($AT$6&amp;$B10,公表[班別+時段],公表[備勤8],""),$AY$9:$AY$25,$AZ$9:$AZ$25,"")</f>
        <v>0</v>
      </c>
      <c r="AA10" s="87"/>
      <c r="AB10" s="87"/>
      <c r="AC10" s="87"/>
      <c r="AD10" s="87"/>
      <c r="AE10" s="87"/>
      <c r="AF10" s="88">
        <v>1</v>
      </c>
      <c r="AG10" s="57">
        <v>3</v>
      </c>
      <c r="AH10" s="31" t="str">
        <v>孫子翔</v>
      </c>
      <c r="AI10" s="31">
        <v>8</v>
      </c>
      <c r="AJ10" s="31" t="str">
        <v>曾彥綸</v>
      </c>
      <c r="AK10" s="31">
        <v>19</v>
      </c>
      <c r="AL10" s="31" t="str">
        <v>劉家誠</v>
      </c>
      <c r="AM10" s="101"/>
      <c r="AN10" s="102"/>
      <c r="AO10" s="214"/>
      <c r="AP10" s="127">
        <v>2</v>
      </c>
      <c r="AQ10" s="127" t="str">
        <v>莊勝斌</v>
      </c>
      <c r="AR10" s="127" t="str" cm="1">
        <f t="array" ref="AR10">IFERROR(_xlfn.XLOOKUP(_xlfn.XLOOKUP($AR$3,輪休基準表!$C$6:$C$36,_xlfn.XLOOKUP(AQ10,輪休基準表!$E$5:$AF$5,輪休基準表!$E$6:$AF$36,""),""),班別參數!$A$4:$A$20,班別參數!$B$4:$B$20,""),"")</f>
        <v>輪休</v>
      </c>
      <c r="AS10" s="120" t="str" cm="1">
        <f t="array" ref="AS10">_xlfn.LET(
    _xlpm.番號, COUNTIF($AZ$9:$AZ$24, $AP10),
    _xlpm.已排, _xlpm.番號 &gt; 0,
    _xlpm.上班, (AR10="上班"),
    _xlfn.IFS(
        _xlpm.番號 &gt; 1, "重複",
        AND(_xlpm.上班, NOT(_xlpm.已排)), "未排",
        AND(NOT(_xlpm.上班),_xlpm.已排), "沒上班",
        _xlpm.已排, "已排",
        TRUE, ""
    )
)</f>
        <v/>
      </c>
      <c r="AT10" s="170" t="str" cm="1">
        <f t="array" ref="AT10">IF(AR10="上班",
    IF(SUMPRODUCT(--ISNUMBER(SEARCH(","&amp;AP10&amp;",", ","&amp;$I$10:$I$33&amp;",")))&gt;=2, "已排",
        IF(SUMPRODUCT(--ISNUMBER(SEARCH(","&amp;AP10&amp;",", ","&amp;$I$10:$I$33&amp;",")))=1, "缺1小時", "未排")
    ),
    IF(SUMPRODUCT(--ISNUMBER(SEARCH(","&amp;AP10&amp;",", ","&amp;$I$10:$I$33&amp;",")))&gt;0, "沒上班", "")
)</f>
        <v/>
      </c>
      <c r="AU10" s="180" t="str">
        <f t="shared" ref="AU10:AU36" si="0">IF(COUNTIF($K$10:$L$33,AP10)=0,"",COUNTIF($K$10:$L$33,AP10))</f>
        <v/>
      </c>
      <c r="AV10" s="180" t="str">
        <f t="shared" ref="AV10:AV36" si="1">IF(COUNTIF($P$10:$Q$33,AP10)=0,"",COUNTIF($P$10:$Q$33,AP10))</f>
        <v/>
      </c>
      <c r="AW10" s="25"/>
      <c r="AX10" s="33" t="str">
        <f t="array" ref="AX10">INDEX(班別參數!$D$4:$D$20,ROW()-7,MATCH($AX$8,班別參數!$D$4:$D$20,0))</f>
        <v>10-12</v>
      </c>
      <c r="AY10" s="34" t="str">
        <f t="array" ref="AY10">IFERROR(INDEX(班別參數!$D$4:$S$20,MATCH(AX10,班別參數!$D$4:$D$20,0),MATCH($AT$6,班別參數!$D$4:$S$4,0)),"")</f>
        <v>B</v>
      </c>
      <c r="AZ10" s="38">
        <v>11</v>
      </c>
      <c r="BA10" s="13"/>
      <c r="BB10" s="33" t="s">
        <v>22</v>
      </c>
      <c r="BC10" s="34" t="str">
        <f t="array" ref="BC10">IFERROR(INDEX(班別參數!$D$23:$S$35,MATCH(BB10,班別參數!$D$23:$D$35,0),MATCH($AT$6,班別參數!$D$23:$S$23,0)),"")</f>
        <v>D</v>
      </c>
      <c r="BD10" s="39" t="str">
        <f t="shared" ref="BD10:BD20" si="2">IFERROR(_xlfn.LET(
    _xlpm.對照, BC10,
    _xlpm.拆分1, IF(LEN(_xlpm.對照)=3, LEFT(_xlpm.對照,1), _xlpm.對照),
    _xlpm.拆分2, IF(LEN(_xlpm.對照)=3, RIGHT(_xlpm.對照,1), ""),
    _xlpm.查詢1, _xlfn.XLOOKUP(_xlpm.拆分1, $AY$9:$AY$24, $AZ$9:$AZ$24, ""),
    _xlpm.查詢2, _xlfn.XLOOKUP(_xlpm.拆分2, $AY$9:$AY$24, $AZ$9:$AZ$24, ""),
    _xlfn.TEXTJOIN(",", TRUE, IF(_xlpm.查詢1=0, "", _xlpm.查詢1), IF(_xlpm.查詢2=0, "", _xlpm.查詢2))
),"")</f>
        <v>16</v>
      </c>
      <c r="BE10" s="127"/>
    </row>
    <row r="11" spans="2:57" ht="30" customHeight="1">
      <c r="B11" s="81" t="s">
        <v>74</v>
      </c>
      <c r="C11" s="87">
        <f>_xlfn.XLOOKUP(_xlfn.XLOOKUP($AT$6&amp;$B11,公表[班別+時段],公表[值班],""),$AY$9:$AY$25,$AZ$9:$AZ$25,"")</f>
        <v>10</v>
      </c>
      <c r="D11" s="440" t="s">
        <v>391</v>
      </c>
      <c r="E11" s="442" t="s">
        <v>354</v>
      </c>
      <c r="F11" s="278"/>
      <c r="G11" s="246"/>
      <c r="H11" s="243"/>
      <c r="I11" s="122"/>
      <c r="J11" s="296" t="str">
        <f>AZ2</f>
        <v>個人防護裝備操作</v>
      </c>
      <c r="K11" s="92">
        <f>_xlfn.XLOOKUP(_xlfn.XLOOKUP($AT$6&amp;$B11,公表[班別+時段],公表[救護1],""),$AY$9:$AY$25,$AZ$9:$AZ$25,"")</f>
        <v>18</v>
      </c>
      <c r="L11" s="92">
        <f>_xlfn.XLOOKUP(_xlfn.XLOOKUP($AT$6&amp;$B11,公表[班別+時段],公表[救護2],""),$AY$9:$AY$25,$AZ$9:$AZ$25,"")</f>
        <v>6</v>
      </c>
      <c r="M11" s="87"/>
      <c r="N11" s="87" t="s">
        <v>212</v>
      </c>
      <c r="O11" s="312"/>
      <c r="P11" s="87">
        <f>_xlfn.XLOOKUP(_xlfn.XLOOKUP($AT$6&amp;$B11,公表[班別+時段],公表[備勤1],""),$AY$9:$AY$25,$AZ$9:$AZ$25,"")</f>
        <v>9</v>
      </c>
      <c r="Q11" s="87">
        <f>_xlfn.XLOOKUP(_xlfn.XLOOKUP($AT$6&amp;$B11,公表[班別+時段],公表[備勤2],""),$AY$9:$AY$25,$AZ$9:$AZ$25,"")</f>
        <v>16</v>
      </c>
      <c r="R11" s="87"/>
      <c r="S11" s="87">
        <f>_xlfn.XLOOKUP(_xlfn.XLOOKUP($AT$6&amp;$B11,公表[班別+時段],公表[備勤3],""),$AY$9:$AY$25,$AZ$9:$AZ$25,"")</f>
        <v>11</v>
      </c>
      <c r="T11" s="87">
        <v>7</v>
      </c>
      <c r="U11" s="87"/>
      <c r="V11" s="87">
        <v>3</v>
      </c>
      <c r="W11" s="87">
        <f>_xlfn.XLOOKUP(_xlfn.XLOOKUP($AT$6&amp;$B11,公表[班別+時段],公表[備勤6],""),$AY$9:$AY$25,$AZ$9:$AZ$25,"")</f>
        <v>0</v>
      </c>
      <c r="X11" s="87"/>
      <c r="Y11" s="87">
        <f>_xlfn.XLOOKUP(_xlfn.XLOOKUP($AT$6&amp;$B11,公表[班別+時段],公表[備勤7],""),$AY$9:$AY$25,$AZ$9:$AZ$25,"")</f>
        <v>0</v>
      </c>
      <c r="Z11" s="87">
        <f>_xlfn.XLOOKUP(_xlfn.XLOOKUP($AT$6&amp;$B11,公表[班別+時段],公表[備勤8],""),$AY$9:$AY$25,$AZ$9:$AZ$25,"")</f>
        <v>0</v>
      </c>
      <c r="AA11" s="87"/>
      <c r="AB11" s="87"/>
      <c r="AC11" s="87"/>
      <c r="AD11" s="87"/>
      <c r="AE11" s="87"/>
      <c r="AF11" s="88">
        <v>1</v>
      </c>
      <c r="AG11" s="57">
        <v>4</v>
      </c>
      <c r="AH11" s="31" t="str">
        <v>簡永豐</v>
      </c>
      <c r="AI11" s="31">
        <v>9</v>
      </c>
      <c r="AJ11" s="31" t="str">
        <v>鍾佳諭</v>
      </c>
      <c r="AK11" s="31">
        <v>20</v>
      </c>
      <c r="AL11" s="31" t="str">
        <v>呂奇霈</v>
      </c>
      <c r="AM11" s="101"/>
      <c r="AN11" s="102"/>
      <c r="AO11" s="214"/>
      <c r="AP11" s="127">
        <v>3</v>
      </c>
      <c r="AQ11" s="127" t="str">
        <v>孫子翔</v>
      </c>
      <c r="AR11" s="127" t="str" cm="1">
        <f t="array" ref="AR11">IFERROR(_xlfn.XLOOKUP(_xlfn.XLOOKUP($AR$3,輪休基準表!$C$6:$C$36,_xlfn.XLOOKUP(AQ11,輪休基準表!$E$5:$AF$5,輪休基準表!$E$6:$AF$36,""),""),班別參數!$A$4:$A$20,班別參數!$B$4:$B$20,""),"")</f>
        <v>上班</v>
      </c>
      <c r="AS11" s="120" t="str" cm="1">
        <f t="array" ref="AS11">_xlfn.LET(
    _xlpm.番號, COUNTIF($AZ$9:$AZ$24, $AP11),
    _xlpm.已排, _xlpm.番號 &gt; 0,
    _xlpm.上班, (AR11="上班"),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T11" s="170" t="str" cm="1">
        <f t="array" ref="AT11">IF(AR11="上班",
    IF(SUMPRODUCT(--ISNUMBER(SEARCH(","&amp;AP11&amp;",", ","&amp;$I$10:$I$33&amp;",")))&gt;=2, "已排",
        IF(SUMPRODUCT(--ISNUMBER(SEARCH(","&amp;AP11&amp;",", ","&amp;$I$10:$I$33&amp;",")))=1, "缺1小時", "未排")
    ),
    IF(SUMPRODUCT(--ISNUMBER(SEARCH(","&amp;AP11&amp;",", ","&amp;$I$10:$I$33&amp;",")))&gt;0, "沒上班", "")
)</f>
        <v>已排</v>
      </c>
      <c r="AU11" s="180" t="str">
        <f t="shared" si="0"/>
        <v/>
      </c>
      <c r="AV11" s="180" t="str">
        <f t="shared" si="1"/>
        <v/>
      </c>
      <c r="AW11" s="25"/>
      <c r="AX11" s="33" t="str">
        <f t="array" ref="AX11">INDEX(班別參數!$D$4:$D$20,ROW()-7,MATCH($AX$8,班別參數!$D$4:$D$20,0))</f>
        <v>12-14</v>
      </c>
      <c r="AY11" s="34" t="str">
        <f t="array" ref="AY11">IFERROR(INDEX(班別參數!$D$4:$S$20,MATCH(AX11,班別參數!$D$4:$D$20,0),MATCH($AT$6,班別參數!$D$4:$S$4,0)),"")</f>
        <v>G</v>
      </c>
      <c r="AZ11" s="38">
        <v>6</v>
      </c>
      <c r="BA11" s="13"/>
      <c r="BB11" s="33" t="s">
        <v>25</v>
      </c>
      <c r="BC11" s="34" t="str">
        <f t="array" ref="BC11">IFERROR(INDEX(班別參數!$D$23:$S$35,MATCH(BB11,班別參數!$D$23:$D$35,0),MATCH($AT$6,班別參數!$D$23:$S$23,0)),"")</f>
        <v>F</v>
      </c>
      <c r="BD11" s="39" t="str">
        <f t="shared" si="2"/>
        <v>18</v>
      </c>
      <c r="BE11" s="127"/>
    </row>
    <row r="12" spans="2:57" ht="30" customHeight="1">
      <c r="B12" s="81" t="s">
        <v>75</v>
      </c>
      <c r="C12" s="87">
        <f>_xlfn.XLOOKUP(_xlfn.XLOOKUP($AT$6&amp;$B12,公表[班別+時段],公表[值班],""),$AY$9:$AY$25,$AZ$9:$AZ$25,"")</f>
        <v>11</v>
      </c>
      <c r="D12" s="441"/>
      <c r="E12" s="435"/>
      <c r="F12" s="278"/>
      <c r="G12" s="246"/>
      <c r="H12" s="437" t="s">
        <v>397</v>
      </c>
      <c r="I12" s="122"/>
      <c r="J12" s="314"/>
      <c r="K12" s="92">
        <v>7</v>
      </c>
      <c r="L12" s="92">
        <f>_xlfn.XLOOKUP(_xlfn.XLOOKUP($AT$6&amp;$B12,公表[班別+時段],公表[救護2],""),$AY$9:$AY$25,$AZ$9:$AZ$25,"")</f>
        <v>9</v>
      </c>
      <c r="M12" s="92"/>
      <c r="N12" s="87" t="s">
        <v>212</v>
      </c>
      <c r="O12" s="312"/>
      <c r="P12" s="87">
        <v>10</v>
      </c>
      <c r="Q12" s="87">
        <f>_xlfn.XLOOKUP(_xlfn.XLOOKUP($AT$6&amp;$B12,公表[班別+時段],公表[備勤2],""),$AY$9:$AY$25,$AZ$9:$AZ$25,"")</f>
        <v>18</v>
      </c>
      <c r="R12" s="87"/>
      <c r="S12" s="87">
        <v>3</v>
      </c>
      <c r="T12" s="87">
        <f>_xlfn.XLOOKUP(_xlfn.XLOOKUP($AT$6&amp;$B12,公表[班別+時段],公表[備勤4],""),$AY$9:$AY$25,$AZ$9:$AZ$25,"")</f>
        <v>0</v>
      </c>
      <c r="U12" s="87"/>
      <c r="V12" s="87"/>
      <c r="W12" s="87">
        <f>_xlfn.XLOOKUP(_xlfn.XLOOKUP($AT$6&amp;$B12,公表[班別+時段],公表[備勤6],""),$AY$9:$AY$25,$AZ$9:$AZ$25,"")</f>
        <v>0</v>
      </c>
      <c r="X12" s="87"/>
      <c r="Y12" s="87">
        <f>_xlfn.XLOOKUP(_xlfn.XLOOKUP($AT$6&amp;$B12,公表[班別+時段],公表[備勤7],""),$AY$9:$AY$25,$AZ$9:$AZ$25,"")</f>
        <v>0</v>
      </c>
      <c r="Z12" s="87">
        <f>_xlfn.XLOOKUP(_xlfn.XLOOKUP($AT$6&amp;$B12,公表[班別+時段],公表[備勤8],""),$AY$9:$AY$25,$AZ$9:$AZ$25,"")</f>
        <v>0</v>
      </c>
      <c r="AA12" s="87"/>
      <c r="AB12" s="87"/>
      <c r="AC12" s="87"/>
      <c r="AD12" s="87"/>
      <c r="AE12" s="87"/>
      <c r="AF12" s="88">
        <f>_xlfn.XLOOKUP(_xlfn.XLOOKUP($AT$6&amp;$B12,公表[班別+時段],公表[指揮官],""),$AY$9:$AY$25,$AZ$9:$AZ$25,"")</f>
        <v>1</v>
      </c>
      <c r="AG12" s="57">
        <v>5</v>
      </c>
      <c r="AH12" s="31" t="str">
        <v>張鴻志</v>
      </c>
      <c r="AI12" s="31">
        <v>10</v>
      </c>
      <c r="AJ12" s="31" t="str">
        <v>林宏澤</v>
      </c>
      <c r="AK12" s="31">
        <v>21</v>
      </c>
      <c r="AL12" s="31" t="str">
        <v>張家和</v>
      </c>
      <c r="AM12" s="101"/>
      <c r="AN12" s="102"/>
      <c r="AO12" s="214"/>
      <c r="AP12" s="127">
        <v>4</v>
      </c>
      <c r="AQ12" s="127" t="str">
        <v>簡永豐</v>
      </c>
      <c r="AR12" s="127" t="str" cm="1">
        <f t="array" ref="AR12">IFERROR(_xlfn.XLOOKUP(_xlfn.XLOOKUP($AR$3,輪休基準表!$C$6:$C$36,_xlfn.XLOOKUP(AQ12,輪休基準表!$E$5:$AF$5,輪休基準表!$E$6:$AF$36,""),""),班別參數!$A$4:$A$20,班別參數!$B$4:$B$20,""),"")</f>
        <v>輪休</v>
      </c>
      <c r="AS12" s="120" t="str" cm="1">
        <f t="array" ref="AS12">_xlfn.LET(
    _xlpm.番號, COUNTIF($AZ$9:$AZ$24, $AP12),
    _xlpm.已排, _xlpm.番號 &gt; 0,
    _xlpm.上班, (AR12="上班"),
    _xlfn.IFS(
        _xlpm.番號 &gt; 1, "重複",
        AND(_xlpm.上班, NOT(_xlpm.已排)), "未排",
        AND(NOT(_xlpm.上班),_xlpm.已排), "沒上班",
        _xlpm.已排, "已排",
        TRUE, ""
    )
)</f>
        <v/>
      </c>
      <c r="AT12" s="170" t="str" cm="1">
        <f t="array" ref="AT12">IF(AR12="上班",
    IF(SUMPRODUCT(--ISNUMBER(SEARCH(","&amp;AP12&amp;",", ","&amp;$I$10:$I$33&amp;",")))&gt;=2, "已排",
        IF(SUMPRODUCT(--ISNUMBER(SEARCH(","&amp;AP12&amp;",", ","&amp;$I$10:$I$33&amp;",")))=1, "缺1小時", "未排")
    ),
    IF(SUMPRODUCT(--ISNUMBER(SEARCH(","&amp;AP12&amp;",", ","&amp;$I$10:$I$33&amp;",")))&gt;0, "沒上班", "")
)</f>
        <v/>
      </c>
      <c r="AU12" s="180" t="str">
        <f t="shared" si="0"/>
        <v/>
      </c>
      <c r="AV12" s="180" t="str">
        <f t="shared" si="1"/>
        <v/>
      </c>
      <c r="AW12" s="25"/>
      <c r="AX12" s="33" t="str">
        <f t="array" ref="AX12">INDEX(班別參數!$D$4:$D$20,ROW()-7,MATCH($AX$8,班別參數!$D$4:$D$20,0))</f>
        <v>14-16</v>
      </c>
      <c r="AY12" s="34" t="str">
        <f t="array" ref="AY12">IFERROR(INDEX(班別參數!$D$4:$S$20,MATCH(AX12,班別參數!$D$4:$D$20,0),MATCH($AT$6,班別參數!$D$4:$S$4,0)),"")</f>
        <v>C</v>
      </c>
      <c r="AZ12" s="38">
        <v>9</v>
      </c>
      <c r="BA12" s="13"/>
      <c r="BB12" s="33" t="s">
        <v>29</v>
      </c>
      <c r="BC12" s="34" t="str">
        <f t="array" ref="BC12">IFERROR(INDEX(班別參數!$D$23:$S$35,MATCH(BB12,班別參數!$D$23:$D$35,0),MATCH($AT$6,班別參數!$D$23:$S$23,0)),"")</f>
        <v/>
      </c>
      <c r="BD12" s="39" t="str">
        <f t="shared" si="2"/>
        <v/>
      </c>
      <c r="BE12" s="127"/>
    </row>
    <row r="13" spans="2:57" ht="30" customHeight="1" thickBot="1">
      <c r="B13" s="82" t="s">
        <v>76</v>
      </c>
      <c r="C13" s="89">
        <f>_xlfn.XLOOKUP(_xlfn.XLOOKUP($AT$6&amp;$B13,公表[班別+時段],公表[值班],""),$AY$9:$AY$25,$AZ$9:$AZ$25,"")</f>
        <v>11</v>
      </c>
      <c r="D13" s="233"/>
      <c r="E13" s="443"/>
      <c r="F13" s="278"/>
      <c r="G13" s="246"/>
      <c r="H13" s="438"/>
      <c r="I13" s="123"/>
      <c r="J13" s="315"/>
      <c r="K13" s="216">
        <v>7</v>
      </c>
      <c r="L13" s="216">
        <f>_xlfn.XLOOKUP(_xlfn.XLOOKUP($AT$6&amp;$B13,公表[班別+時段],公表[救護2],""),$AY$9:$AY$25,$AZ$9:$AZ$25,"")</f>
        <v>9</v>
      </c>
      <c r="M13" s="105"/>
      <c r="N13" s="93" t="s">
        <v>212</v>
      </c>
      <c r="O13" s="312"/>
      <c r="P13" s="89">
        <v>10</v>
      </c>
      <c r="Q13" s="89">
        <f>_xlfn.XLOOKUP(_xlfn.XLOOKUP($AT$6&amp;$B13,公表[班別+時段],公表[備勤2],""),$AY$9:$AY$25,$AZ$9:$AZ$25,"")</f>
        <v>18</v>
      </c>
      <c r="R13" s="89"/>
      <c r="S13" s="89">
        <v>3</v>
      </c>
      <c r="T13" s="89">
        <f>_xlfn.XLOOKUP(_xlfn.XLOOKUP($AT$6&amp;$B13,公表[班別+時段],公表[備勤4],""),$AY$9:$AY$25,$AZ$9:$AZ$25,"")</f>
        <v>0</v>
      </c>
      <c r="U13" s="89"/>
      <c r="V13" s="89"/>
      <c r="W13" s="89">
        <f>_xlfn.XLOOKUP(_xlfn.XLOOKUP($AT$6&amp;$B13,公表[班別+時段],公表[備勤6],""),$AY$9:$AY$25,$AZ$9:$AZ$25,"")</f>
        <v>0</v>
      </c>
      <c r="X13" s="89"/>
      <c r="Y13" s="89">
        <f>_xlfn.XLOOKUP(_xlfn.XLOOKUP($AT$6&amp;$B13,公表[班別+時段],公表[備勤7],""),$AY$9:$AY$25,$AZ$9:$AZ$25,"")</f>
        <v>0</v>
      </c>
      <c r="Z13" s="89">
        <f>_xlfn.XLOOKUP(_xlfn.XLOOKUP($AT$6&amp;$B13,公表[班別+時段],公表[備勤8],""),$AY$9:$AY$25,$AZ$9:$AZ$25,"")</f>
        <v>0</v>
      </c>
      <c r="AA13" s="89"/>
      <c r="AB13" s="89"/>
      <c r="AC13" s="89"/>
      <c r="AD13" s="89"/>
      <c r="AE13" s="89"/>
      <c r="AF13" s="104">
        <f>_xlfn.XLOOKUP(_xlfn.XLOOKUP($AT$6&amp;$B13,公表[班別+時段],公表[指揮官],""),$AY$9:$AY$25,$AZ$9:$AZ$25,"")</f>
        <v>1</v>
      </c>
      <c r="AG13" s="103"/>
      <c r="AH13" s="101"/>
      <c r="AI13" s="31">
        <v>11</v>
      </c>
      <c r="AJ13" s="31" t="str">
        <v>簡君諺</v>
      </c>
      <c r="AK13" s="31">
        <v>22</v>
      </c>
      <c r="AL13" s="31" t="str">
        <v>陳俊瑋</v>
      </c>
      <c r="AM13" s="101"/>
      <c r="AN13" s="102"/>
      <c r="AO13" s="214"/>
      <c r="AP13" s="127">
        <v>5</v>
      </c>
      <c r="AQ13" s="127" t="str">
        <v>張鴻志</v>
      </c>
      <c r="AR13" s="127" t="str" cm="1">
        <f t="array" ref="AR13">IFERROR(_xlfn.XLOOKUP(_xlfn.XLOOKUP($AR$3,輪休基準表!$C$6:$C$36,_xlfn.XLOOKUP(AQ13,輪休基準表!$E$5:$AF$5,輪休基準表!$E$6:$AF$36,""),""),班別參數!$A$4:$A$20,班別參數!$B$4:$B$20,""),"")</f>
        <v>輪休</v>
      </c>
      <c r="AS13" s="120" t="str" cm="1">
        <f t="array" ref="AS13">_xlfn.LET(
    _xlpm.番號, COUNTIF($AZ$9:$AZ$24, $AP13),
    _xlpm.已排, _xlpm.番號 &gt; 0,
    _xlpm.上班, (AR13="上班"),
    _xlfn.IFS(
        _xlpm.番號 &gt; 1, "重複",
        AND(_xlpm.上班, NOT(_xlpm.已排)), "未排",
        AND(NOT(_xlpm.上班),_xlpm.已排), "沒上班",
        _xlpm.已排, "已排",
        TRUE, ""
    )
)</f>
        <v/>
      </c>
      <c r="AT13" s="170" t="str" cm="1">
        <f t="array" ref="AT13">IF(AR13="上班",
    IF(SUMPRODUCT(--ISNUMBER(SEARCH(","&amp;AP13&amp;",", ","&amp;$I$10:$I$33&amp;",")))&gt;=2, "已排",
        IF(SUMPRODUCT(--ISNUMBER(SEARCH(","&amp;AP13&amp;",", ","&amp;$I$10:$I$33&amp;",")))=1, "缺1小時", "未排")
    ),
    IF(SUMPRODUCT(--ISNUMBER(SEARCH(","&amp;AP13&amp;",", ","&amp;$I$10:$I$33&amp;",")))&gt;0, "沒上班", "")
)</f>
        <v/>
      </c>
      <c r="AU13" s="180" t="str">
        <f t="shared" si="0"/>
        <v/>
      </c>
      <c r="AV13" s="180" t="str">
        <f t="shared" si="1"/>
        <v/>
      </c>
      <c r="AW13" s="25"/>
      <c r="AX13" s="33" t="str">
        <f t="array" ref="AX13">INDEX(班別參數!$D$4:$D$20,ROW()-7,MATCH($AX$8,班別參數!$D$4:$D$20,0))</f>
        <v>16-18</v>
      </c>
      <c r="AY13" s="34" t="str">
        <f t="array" ref="AY13">IFERROR(INDEX(班別參數!$D$4:$S$20,MATCH(AX13,班別參數!$D$4:$D$20,0),MATCH($AT$6,班別參數!$D$4:$S$4,0)),"")</f>
        <v>D</v>
      </c>
      <c r="AZ13" s="38">
        <v>16</v>
      </c>
      <c r="BA13" s="13"/>
      <c r="BB13" s="33" t="s">
        <v>33</v>
      </c>
      <c r="BC13" s="34" t="str">
        <f t="array" ref="BC13">IFERROR(INDEX(班別參數!$D$23:$S$35,MATCH(BB13,班別參數!$D$23:$D$35,0),MATCH($AT$6,班別參數!$D$23:$S$23,0)),"")</f>
        <v>A</v>
      </c>
      <c r="BD13" s="39" t="str">
        <f t="shared" si="2"/>
        <v>10</v>
      </c>
      <c r="BE13" s="127"/>
    </row>
    <row r="14" spans="2:57" ht="30" customHeight="1">
      <c r="B14" s="83" t="s">
        <v>77</v>
      </c>
      <c r="C14" s="90">
        <f>_xlfn.XLOOKUP(_xlfn.XLOOKUP($AT$6&amp;$B14,公表[班別+時段],公表[值班],""),$AY$9:$AY$25,$AZ$9:$AZ$25,"")</f>
        <v>6</v>
      </c>
      <c r="D14" s="234"/>
      <c r="E14" s="97"/>
      <c r="F14" s="434">
        <v>3</v>
      </c>
      <c r="G14" s="246"/>
      <c r="H14" s="276"/>
      <c r="I14" s="121" t="str">
        <f>IF(BD11="","",BD11)</f>
        <v>18</v>
      </c>
      <c r="J14" s="55"/>
      <c r="K14" s="94">
        <f>_xlfn.XLOOKUP(_xlfn.XLOOKUP($AT$6&amp;$B14,公表[班別+時段],公表[救護1],""),$AY$9:$AY$25,$AZ$9:$AZ$25,"")</f>
        <v>11</v>
      </c>
      <c r="L14" s="94">
        <f>_xlfn.XLOOKUP(_xlfn.XLOOKUP($AT$6&amp;$B14,公表[班別+時段],公表[救護2],""),$AY$9:$AY$25,$AZ$9:$AZ$25,"")</f>
        <v>7</v>
      </c>
      <c r="M14" s="94"/>
      <c r="N14" s="90" t="s">
        <v>212</v>
      </c>
      <c r="O14" s="312"/>
      <c r="P14" s="90">
        <f>_xlfn.XLOOKUP(_xlfn.XLOOKUP($AT$6&amp;$B14,公表[班別+時段],公表[備勤1],""),$AY$9:$AY$25,$AZ$9:$AZ$25,"")</f>
        <v>10</v>
      </c>
      <c r="Q14" s="90">
        <f>_xlfn.XLOOKUP(_xlfn.XLOOKUP($AT$6&amp;$B14,公表[班別+時段],公表[備勤2],""),$AY$9:$AY$25,$AZ$9:$AZ$25,"")</f>
        <v>16</v>
      </c>
      <c r="R14" s="90"/>
      <c r="S14" s="90">
        <f>_xlfn.XLOOKUP(_xlfn.XLOOKUP($AT$6&amp;$B14,公表[班別+時段],公表[備勤3],""),$AY$9:$AY$25,$AZ$9:$AZ$25,"")</f>
        <v>9</v>
      </c>
      <c r="T14" s="90">
        <f>_xlfn.XLOOKUP(_xlfn.XLOOKUP($AT$6&amp;$B14,公表[班別+時段],公表[備勤4],""),$AY$9:$AY$25,$AZ$9:$AZ$25,"")</f>
        <v>0</v>
      </c>
      <c r="U14" s="90"/>
      <c r="V14" s="90"/>
      <c r="W14" s="90">
        <f>_xlfn.XLOOKUP(_xlfn.XLOOKUP($AT$6&amp;$B14,公表[班別+時段],公表[備勤6],""),$AY$9:$AY$25,$AZ$9:$AZ$25,"")</f>
        <v>0</v>
      </c>
      <c r="X14" s="90"/>
      <c r="Y14" s="90">
        <f>_xlfn.XLOOKUP(_xlfn.XLOOKUP($AT$6&amp;$B14,公表[班別+時段],公表[備勤7],""),$AY$9:$AY$25,$AZ$9:$AZ$25,"")</f>
        <v>0</v>
      </c>
      <c r="Z14" s="90">
        <f>_xlfn.XLOOKUP(_xlfn.XLOOKUP($AT$6&amp;$B14,公表[班別+時段],公表[備勤8],""),$AY$9:$AY$25,$AZ$9:$AZ$25,"")</f>
        <v>0</v>
      </c>
      <c r="AA14" s="90"/>
      <c r="AB14" s="90"/>
      <c r="AC14" s="90"/>
      <c r="AD14" s="90"/>
      <c r="AE14" s="90"/>
      <c r="AF14" s="91">
        <f>_xlfn.XLOOKUP(_xlfn.XLOOKUP($AT$6&amp;$B14,公表[班別+時段],公表[指揮官],""),$AY$9:$AY$25,$AZ$9:$AZ$25,"")</f>
        <v>1</v>
      </c>
      <c r="AG14" s="103"/>
      <c r="AH14" s="101"/>
      <c r="AI14" s="31">
        <v>12</v>
      </c>
      <c r="AJ14" s="31" t="str">
        <v>王昱勛</v>
      </c>
      <c r="AK14" s="31">
        <v>23</v>
      </c>
      <c r="AL14" s="31" t="str">
        <v>陳俊翰</v>
      </c>
      <c r="AM14" s="101"/>
      <c r="AN14" s="102"/>
      <c r="AO14" s="214"/>
      <c r="AP14" s="127">
        <v>6</v>
      </c>
      <c r="AQ14" s="127" t="str">
        <v>吳宗耕</v>
      </c>
      <c r="AR14" s="127" t="str" cm="1">
        <f t="array" ref="AR14">IFERROR(_xlfn.XLOOKUP(_xlfn.XLOOKUP($AR$3,輪休基準表!$C$6:$C$36,_xlfn.XLOOKUP(AQ14,輪休基準表!$E$5:$AF$5,輪休基準表!$E$6:$AF$36,""),""),班別參數!$A$4:$A$20,班別參數!$B$4:$B$20,""),"")</f>
        <v>上班</v>
      </c>
      <c r="AS14" s="120" t="str" cm="1">
        <f t="array" ref="AS14">_xlfn.LET(
    _xlpm.番號, COUNTIF($AZ$9:$AZ$24, $AP14),
    _xlpm.已排, _xlpm.番號 &gt; 0,
    _xlpm.上班, (AR14="上班"),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T14" s="170" t="str" cm="1">
        <f t="array" ref="AT14">IF(AR14="上班",
    IF(SUMPRODUCT(--ISNUMBER(SEARCH(","&amp;AP14&amp;",", ","&amp;$I$10:$I$33&amp;",")))&gt;=2, "已排",
        IF(SUMPRODUCT(--ISNUMBER(SEARCH(","&amp;AP14&amp;",", ","&amp;$I$10:$I$33&amp;",")))=1, "缺1小時", "未排")
    ),
    IF(SUMPRODUCT(--ISNUMBER(SEARCH(","&amp;AP14&amp;",", ","&amp;$I$10:$I$33&amp;",")))&gt;0, "沒上班", "")
)</f>
        <v>已排</v>
      </c>
      <c r="AU14" s="180">
        <f t="shared" si="0"/>
        <v>6</v>
      </c>
      <c r="AV14" s="180">
        <f t="shared" si="1"/>
        <v>8</v>
      </c>
      <c r="AW14" s="25"/>
      <c r="AX14" s="33" t="str">
        <f t="array" ref="AX14">INDEX(班別參數!$D$4:$D$20,ROW()-7,MATCH($AX$8,班別參數!$D$4:$D$20,0))</f>
        <v>18-20</v>
      </c>
      <c r="AY14" s="34">
        <f t="array" ref="AY14">IFERROR(INDEX(班別參數!$D$4:$S$20,MATCH(AX14,班別參數!$D$4:$D$20,0),MATCH($AT$6,班別參數!$D$4:$S$4,0)),"")</f>
        <v>0</v>
      </c>
      <c r="AZ14" s="38"/>
      <c r="BA14" s="13"/>
      <c r="BB14" s="33" t="s">
        <v>37</v>
      </c>
      <c r="BC14" s="34" t="str">
        <f t="array" ref="BC14">IFERROR(INDEX(班別參數!$D$23:$S$35,MATCH(BB14,班別參數!$D$23:$D$35,0),MATCH($AT$6,班別參數!$D$23:$S$23,0)),"")</f>
        <v>B</v>
      </c>
      <c r="BD14" s="39" t="str">
        <f t="shared" si="2"/>
        <v>11</v>
      </c>
      <c r="BE14" s="127"/>
    </row>
    <row r="15" spans="2:57" ht="30" customHeight="1" thickBot="1">
      <c r="B15" s="82" t="s">
        <v>78</v>
      </c>
      <c r="C15" s="89">
        <f>_xlfn.XLOOKUP(_xlfn.XLOOKUP($AT$6&amp;$B15,公表[班別+時段],公表[值班],""),$AY$9:$AY$25,$AZ$9:$AZ$25,"")</f>
        <v>6</v>
      </c>
      <c r="D15" s="235"/>
      <c r="E15" s="106"/>
      <c r="F15" s="435"/>
      <c r="G15" s="246"/>
      <c r="H15" s="106"/>
      <c r="I15" s="123" t="str">
        <f>IF(BD11="","",BD11)</f>
        <v>18</v>
      </c>
      <c r="J15" s="40"/>
      <c r="K15" s="216">
        <f>_xlfn.XLOOKUP(_xlfn.XLOOKUP($AT$6&amp;$B15,公表[班別+時段],公表[救護1],""),$AY$9:$AY$25,$AZ$9:$AZ$25,"")</f>
        <v>11</v>
      </c>
      <c r="L15" s="216">
        <f>_xlfn.XLOOKUP(_xlfn.XLOOKUP($AT$6&amp;$B15,公表[班別+時段],公表[救護2],""),$AY$9:$AY$25,$AZ$9:$AZ$25,"")</f>
        <v>7</v>
      </c>
      <c r="M15" s="105"/>
      <c r="N15" s="93" t="s">
        <v>212</v>
      </c>
      <c r="O15" s="312"/>
      <c r="P15" s="89">
        <f>_xlfn.XLOOKUP(_xlfn.XLOOKUP($AT$6&amp;$B15,公表[班別+時段],公表[備勤1],""),$AY$9:$AY$25,$AZ$9:$AZ$25,"")</f>
        <v>10</v>
      </c>
      <c r="Q15" s="89">
        <f>_xlfn.XLOOKUP(_xlfn.XLOOKUP($AT$6&amp;$B15,公表[班別+時段],公表[備勤2],""),$AY$9:$AY$25,$AZ$9:$AZ$25,"")</f>
        <v>16</v>
      </c>
      <c r="R15" s="89"/>
      <c r="S15" s="89">
        <f>_xlfn.XLOOKUP(_xlfn.XLOOKUP($AT$6&amp;$B15,公表[班別+時段],公表[備勤3],""),$AY$9:$AY$25,$AZ$9:$AZ$25,"")</f>
        <v>9</v>
      </c>
      <c r="T15" s="89">
        <f>_xlfn.XLOOKUP(_xlfn.XLOOKUP($AT$6&amp;$B15,公表[班別+時段],公表[備勤4],""),$AY$9:$AY$25,$AZ$9:$AZ$25,"")</f>
        <v>0</v>
      </c>
      <c r="U15" s="89"/>
      <c r="V15" s="89"/>
      <c r="W15" s="89">
        <f>_xlfn.XLOOKUP(_xlfn.XLOOKUP($AT$6&amp;$B15,公表[班別+時段],公表[備勤6],""),$AY$9:$AY$25,$AZ$9:$AZ$25,"")</f>
        <v>0</v>
      </c>
      <c r="X15" s="89"/>
      <c r="Y15" s="89">
        <f>_xlfn.XLOOKUP(_xlfn.XLOOKUP($AT$6&amp;$B15,公表[班別+時段],公表[備勤7],""),$AY$9:$AY$25,$AZ$9:$AZ$25,"")</f>
        <v>0</v>
      </c>
      <c r="Z15" s="89">
        <f>_xlfn.XLOOKUP(_xlfn.XLOOKUP($AT$6&amp;$B15,公表[班別+時段],公表[備勤8],""),$AY$9:$AY$25,$AZ$9:$AZ$25,"")</f>
        <v>0</v>
      </c>
      <c r="AA15" s="89"/>
      <c r="AB15" s="89"/>
      <c r="AC15" s="89"/>
      <c r="AD15" s="89"/>
      <c r="AE15" s="89"/>
      <c r="AF15" s="104">
        <f>_xlfn.XLOOKUP(_xlfn.XLOOKUP($AT$6&amp;$B15,公表[班別+時段],公表[指揮官],""),$AY$9:$AY$25,$AZ$9:$AZ$25,"")</f>
        <v>1</v>
      </c>
      <c r="AG15" s="103"/>
      <c r="AH15" s="101"/>
      <c r="AI15" s="31">
        <v>13</v>
      </c>
      <c r="AJ15" s="31" t="str">
        <v>葉宗哲</v>
      </c>
      <c r="AK15" s="31">
        <v>24</v>
      </c>
      <c r="AL15" s="31" t="str">
        <v>賴俊豪</v>
      </c>
      <c r="AM15" s="101"/>
      <c r="AN15" s="102"/>
      <c r="AO15" s="214"/>
      <c r="AP15" s="127">
        <v>7</v>
      </c>
      <c r="AQ15" s="127" t="str">
        <v>包華先</v>
      </c>
      <c r="AR15" s="127" t="str" cm="1">
        <f t="array" ref="AR15">IFERROR(_xlfn.XLOOKUP(_xlfn.XLOOKUP($AR$3,輪休基準表!$C$6:$C$36,_xlfn.XLOOKUP(AQ15,輪休基準表!$E$5:$AF$5,輪休基準表!$E$6:$AF$36,""),""),班別參數!$A$4:$A$20,班別參數!$B$4:$B$20,""),"")</f>
        <v>上班</v>
      </c>
      <c r="AS15" s="120" t="str" cm="1">
        <f t="array" ref="AS15">_xlfn.LET(
    _xlpm.番號, COUNTIF($AZ$9:$AZ$24, $AP15),
    _xlpm.已排, _xlpm.番號 &gt; 0,
    _xlpm.上班, (AR15="上班"),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T15" s="170" t="str" cm="1">
        <f t="array" ref="AT15">IF(AR15="上班",
    IF(SUMPRODUCT(--ISNUMBER(SEARCH(","&amp;AP15&amp;",", ","&amp;$I$10:$I$33&amp;",")))&gt;=2, "已排",
        IF(SUMPRODUCT(--ISNUMBER(SEARCH(","&amp;AP15&amp;",", ","&amp;$I$10:$I$33&amp;",")))=1, "缺1小時", "未排")
    ),
    IF(SUMPRODUCT(--ISNUMBER(SEARCH(","&amp;AP15&amp;",", ","&amp;$I$10:$I$33&amp;",")))&gt;0, "沒上班", "")
)</f>
        <v>已排</v>
      </c>
      <c r="AU15" s="180">
        <f t="shared" si="0"/>
        <v>6</v>
      </c>
      <c r="AV15" s="180">
        <f t="shared" si="1"/>
        <v>2</v>
      </c>
      <c r="AW15" s="25"/>
      <c r="AX15" s="33" t="str">
        <f t="array" ref="AX15">INDEX(班別參數!$D$4:$D$20,ROW()-7,MATCH($AX$8,班別參數!$D$4:$D$20,0))</f>
        <v>20-22</v>
      </c>
      <c r="AY15" s="34" t="str">
        <f t="array" ref="AY15">IFERROR(INDEX(班別參數!$D$4:$S$20,MATCH(AX15,班別參數!$D$4:$D$20,0),MATCH($AT$6,班別參數!$D$4:$S$4,0)),"")</f>
        <v>F</v>
      </c>
      <c r="AZ15" s="38">
        <v>18</v>
      </c>
      <c r="BA15" s="13"/>
      <c r="BB15" s="33" t="s">
        <v>41</v>
      </c>
      <c r="BC15" s="34" t="str">
        <f t="array" ref="BC15">IFERROR(INDEX(班別參數!$D$23:$S$35,MATCH(BB15,班別參數!$D$23:$D$35,0),MATCH($AT$6,班別參數!$D$23:$S$23,0)),"")</f>
        <v>C</v>
      </c>
      <c r="BD15" s="39" t="str">
        <f t="shared" si="2"/>
        <v>9</v>
      </c>
      <c r="BE15" s="127"/>
    </row>
    <row r="16" spans="2:57" ht="30" customHeight="1">
      <c r="B16" s="83" t="s">
        <v>79</v>
      </c>
      <c r="C16" s="90">
        <f>_xlfn.XLOOKUP(_xlfn.XLOOKUP($AT$6&amp;$B16,公表[班別+時段],公表[值班],""),$AY$9:$AY$25,$AZ$9:$AZ$25,"")</f>
        <v>9</v>
      </c>
      <c r="D16" s="98"/>
      <c r="E16" s="99"/>
      <c r="F16" s="436"/>
      <c r="G16" s="246"/>
      <c r="H16" s="279"/>
      <c r="I16" s="121" t="str">
        <f>IF(BD12="","",BD12)</f>
        <v/>
      </c>
      <c r="J16" s="316" t="str">
        <f>AZ3</f>
        <v>常訓體技能訓練</v>
      </c>
      <c r="K16" s="94">
        <f>_xlfn.XLOOKUP(_xlfn.XLOOKUP($AT$6&amp;$B16,公表[班別+時段],公表[救護1],""),$AY$9:$AY$25,$AZ$9:$AZ$25,"")</f>
        <v>18</v>
      </c>
      <c r="L16" s="94">
        <v>10</v>
      </c>
      <c r="M16" s="94"/>
      <c r="N16" s="90" t="s">
        <v>212</v>
      </c>
      <c r="O16" s="312"/>
      <c r="P16" s="90">
        <f>_xlfn.XLOOKUP(_xlfn.XLOOKUP($AT$6&amp;$B16,公表[班別+時段],公表[備勤1],""),$AY$9:$AY$25,$AZ$9:$AZ$25,"")</f>
        <v>11</v>
      </c>
      <c r="Q16" s="90">
        <f>_xlfn.XLOOKUP(_xlfn.XLOOKUP($AT$6&amp;$B16,公表[班別+時段],公表[備勤2],""),$AY$9:$AY$25,$AZ$9:$AZ$25,"")</f>
        <v>6</v>
      </c>
      <c r="R16" s="90"/>
      <c r="S16" s="90">
        <v>7</v>
      </c>
      <c r="T16" s="90">
        <f>_xlfn.XLOOKUP(_xlfn.XLOOKUP($AT$6&amp;$B16,公表[班別+時段],公表[備勤4],""),$AY$9:$AY$25,$AZ$9:$AZ$25,"")</f>
        <v>16</v>
      </c>
      <c r="U16" s="90"/>
      <c r="V16" s="90"/>
      <c r="W16" s="90">
        <f>_xlfn.XLOOKUP(_xlfn.XLOOKUP($AT$6&amp;$B16,公表[班別+時段],公表[備勤6],""),$AY$9:$AY$25,$AZ$9:$AZ$25,"")</f>
        <v>0</v>
      </c>
      <c r="X16" s="90"/>
      <c r="Y16" s="90">
        <f>_xlfn.XLOOKUP(_xlfn.XLOOKUP($AT$6&amp;$B16,公表[班別+時段],公表[備勤7],""),$AY$9:$AY$25,$AZ$9:$AZ$25,"")</f>
        <v>0</v>
      </c>
      <c r="Z16" s="90">
        <f>_xlfn.XLOOKUP(_xlfn.XLOOKUP($AT$6&amp;$B16,公表[班別+時段],公表[備勤8],""),$AY$9:$AY$25,$AZ$9:$AZ$25,"")</f>
        <v>0</v>
      </c>
      <c r="AA16" s="90"/>
      <c r="AB16" s="90"/>
      <c r="AC16" s="90"/>
      <c r="AD16" s="90"/>
      <c r="AE16" s="90"/>
      <c r="AF16" s="91">
        <f>_xlfn.XLOOKUP(_xlfn.XLOOKUP($AT$6&amp;$B16,公表[班別+時段],公表[指揮官],""),$AY$9:$AY$25,$AZ$9:$AZ$25,"")</f>
        <v>1</v>
      </c>
      <c r="AG16" s="103"/>
      <c r="AH16" s="101"/>
      <c r="AI16" s="31">
        <v>14</v>
      </c>
      <c r="AJ16" s="31" t="str">
        <v>王浩任</v>
      </c>
      <c r="AK16" s="31">
        <v>25</v>
      </c>
      <c r="AL16" s="31" t="str">
        <v>郭國偵</v>
      </c>
      <c r="AM16" s="101"/>
      <c r="AN16" s="102"/>
      <c r="AO16" s="214"/>
      <c r="AP16" s="127">
        <v>8</v>
      </c>
      <c r="AQ16" s="127" t="str">
        <v>曾彥綸</v>
      </c>
      <c r="AR16" s="127" t="str" cm="1">
        <f t="array" ref="AR16">IFERROR(_xlfn.XLOOKUP(_xlfn.XLOOKUP($AR$3,輪休基準表!$C$6:$C$36,_xlfn.XLOOKUP(AQ16,輪休基準表!$E$5:$AF$5,輪休基準表!$E$6:$AF$36,""),""),班別參數!$A$4:$A$20,班別參數!$B$4:$B$20,""),"")</f>
        <v>輪休</v>
      </c>
      <c r="AS16" s="120" t="str" cm="1">
        <f t="array" ref="AS16">_xlfn.LET(
    _xlpm.番號, COUNTIF($AZ$9:$AZ$24, $AP16),
    _xlpm.已排, _xlpm.番號 &gt; 0,
    _xlpm.上班, (AR16="上班"),
    _xlfn.IFS(
        _xlpm.番號 &gt; 1, "重複",
        AND(_xlpm.上班, NOT(_xlpm.已排)), "未排",
        AND(NOT(_xlpm.上班),_xlpm.已排), "沒上班",
        _xlpm.已排, "已排",
        TRUE, ""
    )
)</f>
        <v/>
      </c>
      <c r="AT16" s="170" t="str" cm="1">
        <f t="array" ref="AT16">IF(AR16="上班",
    IF(SUMPRODUCT(--ISNUMBER(SEARCH(","&amp;AP16&amp;",", ","&amp;$I$10:$I$33&amp;",")))&gt;=2, "已排",
        IF(SUMPRODUCT(--ISNUMBER(SEARCH(","&amp;AP16&amp;",", ","&amp;$I$10:$I$33&amp;",")))=1, "缺1小時", "未排")
    ),
    IF(SUMPRODUCT(--ISNUMBER(SEARCH(","&amp;AP16&amp;",", ","&amp;$I$10:$I$33&amp;",")))&gt;0, "沒上班", "")
)</f>
        <v/>
      </c>
      <c r="AU16" s="180" t="str">
        <f t="shared" si="0"/>
        <v/>
      </c>
      <c r="AV16" s="180" t="str">
        <f t="shared" si="1"/>
        <v/>
      </c>
      <c r="AW16" s="25"/>
      <c r="AX16" s="33" t="str">
        <f t="array" ref="AX16">INDEX(班別參數!$D$4:$D$20,ROW()-7,MATCH($AX$8,班別參數!$D$4:$D$20,0))</f>
        <v>22-08</v>
      </c>
      <c r="AY16" s="34" t="str">
        <f t="array" ref="AY16">IFERROR(INDEX(班別參數!$D$4:$S$20,MATCH(AX16,班別參數!$D$4:$D$20,0),MATCH($AT$6,班別參數!$D$4:$S$4,0)),"")</f>
        <v>H</v>
      </c>
      <c r="AZ16" s="38">
        <v>7</v>
      </c>
      <c r="BA16" s="13"/>
      <c r="BB16" s="33" t="s">
        <v>64</v>
      </c>
      <c r="BC16" s="34" t="str">
        <f t="array" ref="BC16">IFERROR(INDEX(班別參數!$D$23:$S$35,MATCH(BB16,班別參數!$D$23:$D$35,0),MATCH($AT$6,班別參數!$D$23:$S$23,0)),"")</f>
        <v/>
      </c>
      <c r="BD16" s="39" t="str">
        <f t="shared" si="2"/>
        <v/>
      </c>
      <c r="BE16" s="127"/>
    </row>
    <row r="17" spans="2:57" ht="30" customHeight="1">
      <c r="B17" s="81" t="s">
        <v>80</v>
      </c>
      <c r="C17" s="87">
        <f>_xlfn.XLOOKUP(_xlfn.XLOOKUP($AT$6&amp;$B17,公表[班別+時段],公表[值班],""),$AY$9:$AY$25,$AZ$9:$AZ$25,"")</f>
        <v>9</v>
      </c>
      <c r="D17" s="95"/>
      <c r="E17" s="95"/>
      <c r="F17" s="238"/>
      <c r="G17" s="246"/>
      <c r="H17" s="280"/>
      <c r="I17" s="122" t="str">
        <f>IF(BD12="","",BD12)</f>
        <v/>
      </c>
      <c r="J17" s="314"/>
      <c r="K17" s="92">
        <f>_xlfn.XLOOKUP(_xlfn.XLOOKUP($AT$6&amp;$B17,公表[班別+時段],公表[救護1],""),$AY$9:$AY$25,$AZ$9:$AZ$25,"")</f>
        <v>18</v>
      </c>
      <c r="L17" s="92">
        <v>10</v>
      </c>
      <c r="M17" s="92"/>
      <c r="N17" s="87" t="s">
        <v>212</v>
      </c>
      <c r="O17" s="312"/>
      <c r="P17" s="87">
        <f>_xlfn.XLOOKUP(_xlfn.XLOOKUP($AT$6&amp;$B17,公表[班別+時段],公表[備勤1],""),$AY$9:$AY$25,$AZ$9:$AZ$25,"")</f>
        <v>11</v>
      </c>
      <c r="Q17" s="87">
        <f>_xlfn.XLOOKUP(_xlfn.XLOOKUP($AT$6&amp;$B17,公表[班別+時段],公表[備勤2],""),$AY$9:$AY$25,$AZ$9:$AZ$25,"")</f>
        <v>6</v>
      </c>
      <c r="R17" s="87"/>
      <c r="S17" s="87">
        <v>7</v>
      </c>
      <c r="T17" s="87">
        <f>_xlfn.XLOOKUP(_xlfn.XLOOKUP($AT$6&amp;$B17,公表[班別+時段],公表[備勤4],""),$AY$9:$AY$25,$AZ$9:$AZ$25,"")</f>
        <v>16</v>
      </c>
      <c r="U17" s="87"/>
      <c r="V17" s="87">
        <f>_xlfn.XLOOKUP(_xlfn.XLOOKUP($AT$6&amp;$B17,公表[班別+時段],公表[備勤5],""),$AY$9:$AY$25,$AZ$9:$AZ$25,"")</f>
        <v>3</v>
      </c>
      <c r="W17" s="87">
        <f>_xlfn.XLOOKUP(_xlfn.XLOOKUP($AT$6&amp;$B17,公表[班別+時段],公表[備勤6],""),$AY$9:$AY$25,$AZ$9:$AZ$25,"")</f>
        <v>0</v>
      </c>
      <c r="X17" s="87"/>
      <c r="Y17" s="87">
        <f>_xlfn.XLOOKUP(_xlfn.XLOOKUP($AT$6&amp;$B17,公表[班別+時段],公表[備勤7],""),$AY$9:$AY$25,$AZ$9:$AZ$25,"")</f>
        <v>0</v>
      </c>
      <c r="Z17" s="87">
        <f>_xlfn.XLOOKUP(_xlfn.XLOOKUP($AT$6&amp;$B17,公表[班別+時段],公表[備勤8],""),$AY$9:$AY$25,$AZ$9:$AZ$25,"")</f>
        <v>0</v>
      </c>
      <c r="AA17" s="87"/>
      <c r="AB17" s="87"/>
      <c r="AC17" s="87"/>
      <c r="AD17" s="87"/>
      <c r="AE17" s="87"/>
      <c r="AF17" s="88">
        <f>_xlfn.XLOOKUP(_xlfn.XLOOKUP($AT$6&amp;$B17,公表[班別+時段],公表[指揮官],""),$AY$9:$AY$25,$AZ$9:$AZ$25,"")</f>
        <v>1</v>
      </c>
      <c r="AG17" s="103"/>
      <c r="AH17" s="101"/>
      <c r="AI17" s="31">
        <v>15</v>
      </c>
      <c r="AJ17" s="31" t="str">
        <v>李仕詮</v>
      </c>
      <c r="AK17" s="31">
        <v>26</v>
      </c>
      <c r="AL17" s="31" t="str">
        <v>楊紹文</v>
      </c>
      <c r="AM17" s="101"/>
      <c r="AN17" s="102"/>
      <c r="AO17" s="214"/>
      <c r="AP17" s="127">
        <v>9</v>
      </c>
      <c r="AQ17" s="127" t="str">
        <v>鍾佳諭</v>
      </c>
      <c r="AR17" s="127" t="str" cm="1">
        <f t="array" ref="AR17">IFERROR(_xlfn.XLOOKUP(_xlfn.XLOOKUP($AR$3,輪休基準表!$C$6:$C$36,_xlfn.XLOOKUP(AQ17,輪休基準表!$E$5:$AF$5,輪休基準表!$E$6:$AF$36,""),""),班別參數!$A$4:$A$20,班別參數!$B$4:$B$20,""),"")</f>
        <v>上班</v>
      </c>
      <c r="AS17" s="120" t="str" cm="1">
        <f t="array" ref="AS17">_xlfn.LET(
    _xlpm.番號, COUNTIF($AZ$9:$AZ$24, $AP17),
    _xlpm.已排, _xlpm.番號 &gt; 0,
    _xlpm.上班, (AR17="上班"),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T17" s="170" t="str" cm="1">
        <f t="array" ref="AT17">IF(AR17="上班",
    IF(SUMPRODUCT(--ISNUMBER(SEARCH(","&amp;AP17&amp;",", ","&amp;$I$10:$I$33&amp;",")))&gt;=2, "已排",
        IF(SUMPRODUCT(--ISNUMBER(SEARCH(","&amp;AP17&amp;",", ","&amp;$I$10:$I$33&amp;",")))=1, "缺1小時", "未排")
    ),
    IF(SUMPRODUCT(--ISNUMBER(SEARCH(","&amp;AP17&amp;",", ","&amp;$I$10:$I$33&amp;",")))&gt;0, "沒上班", "")
)</f>
        <v>已排</v>
      </c>
      <c r="AU17" s="180">
        <f t="shared" si="0"/>
        <v>8</v>
      </c>
      <c r="AV17" s="180">
        <f t="shared" si="1"/>
        <v>6</v>
      </c>
      <c r="AW17" s="25"/>
      <c r="AX17" s="33" t="str">
        <f t="array" ref="AX17">INDEX(班別參數!$D$4:$D$20,ROW()-7,MATCH($AX$8,班別參數!$D$4:$D$20,0))</f>
        <v>無班1</v>
      </c>
      <c r="AY17" s="34">
        <f t="array" ref="AY17">IFERROR(INDEX(班別參數!$D$4:$S$20,MATCH(AX17,班別參數!$D$4:$D$20,0),MATCH($AT$6,班別參數!$D$4:$S$4,0)),"")</f>
        <v>0</v>
      </c>
      <c r="AZ17" s="38"/>
      <c r="BA17" s="13"/>
      <c r="BB17" s="33" t="s">
        <v>356</v>
      </c>
      <c r="BC17" s="34" t="str">
        <f t="array" ref="BC17">IFERROR(INDEX(班別參數!$D$23:$S$35,MATCH(BB17,班別參數!$D$23:$D$35,0),MATCH($AT$6,班別參數!$D$23:$S$23,0)),"")</f>
        <v/>
      </c>
      <c r="BD17" s="39" t="str">
        <f t="shared" si="2"/>
        <v/>
      </c>
      <c r="BE17" s="127"/>
    </row>
    <row r="18" spans="2:57" ht="30" customHeight="1">
      <c r="B18" s="81" t="s">
        <v>81</v>
      </c>
      <c r="C18" s="87">
        <f>_xlfn.XLOOKUP(_xlfn.XLOOKUP($AT$6&amp;$B18,公表[班別+時段],公表[值班],""),$AY$9:$AY$25,$AZ$9:$AZ$25,"")</f>
        <v>16</v>
      </c>
      <c r="D18" s="100"/>
      <c r="E18" s="95"/>
      <c r="F18" s="238"/>
      <c r="G18" s="246"/>
      <c r="H18" s="280"/>
      <c r="I18" s="122" t="s">
        <v>399</v>
      </c>
      <c r="J18" s="297"/>
      <c r="K18" s="92">
        <f>_xlfn.XLOOKUP(_xlfn.XLOOKUP($AT$6&amp;$B18,公表[班別+時段],公表[救護1],""),$AY$9:$AY$25,$AZ$9:$AZ$25,"")</f>
        <v>18</v>
      </c>
      <c r="L18" s="92">
        <f>_xlfn.XLOOKUP(_xlfn.XLOOKUP($AT$6&amp;$B18,公表[班別+時段],公表[救護2],""),$AY$9:$AY$25,$AZ$9:$AZ$25,"")</f>
        <v>6</v>
      </c>
      <c r="M18" s="92"/>
      <c r="N18" s="87" t="s">
        <v>212</v>
      </c>
      <c r="O18" s="312"/>
      <c r="P18" s="87">
        <f>_xlfn.XLOOKUP(_xlfn.XLOOKUP($AT$6&amp;$B18,公表[班別+時段],公表[備勤1],""),$AY$9:$AY$25,$AZ$9:$AZ$25,"")</f>
        <v>9</v>
      </c>
      <c r="Q18" s="87">
        <f>_xlfn.XLOOKUP(_xlfn.XLOOKUP($AT$6&amp;$B18,公表[班別+時段],公表[備勤2],""),$AY$9:$AY$25,$AZ$9:$AZ$25,"")</f>
        <v>7</v>
      </c>
      <c r="R18" s="87"/>
      <c r="S18" s="87"/>
      <c r="T18" s="87">
        <f>_xlfn.XLOOKUP(_xlfn.XLOOKUP($AT$6&amp;$B18,公表[班別+時段],公表[備勤4],""),$AY$9:$AY$25,$AZ$9:$AZ$25,"")</f>
        <v>0</v>
      </c>
      <c r="U18" s="87"/>
      <c r="V18" s="87">
        <f>_xlfn.XLOOKUP(_xlfn.XLOOKUP($AT$6&amp;$B18,公表[班別+時段],公表[備勤5],""),$AY$9:$AY$25,$AZ$9:$AZ$25,"")</f>
        <v>3</v>
      </c>
      <c r="W18" s="87">
        <f>_xlfn.XLOOKUP(_xlfn.XLOOKUP($AT$6&amp;$B18,公表[班別+時段],公表[備勤6],""),$AY$9:$AY$25,$AZ$9:$AZ$25,"")</f>
        <v>0</v>
      </c>
      <c r="X18" s="87"/>
      <c r="Y18" s="87">
        <f>_xlfn.XLOOKUP(_xlfn.XLOOKUP($AT$6&amp;$B18,公表[班別+時段],公表[備勤7],""),$AY$9:$AY$25,$AZ$9:$AZ$25,"")</f>
        <v>0</v>
      </c>
      <c r="Z18" s="87">
        <f>_xlfn.XLOOKUP(_xlfn.XLOOKUP($AT$6&amp;$B18,公表[班別+時段],公表[備勤8],""),$AY$9:$AY$25,$AZ$9:$AZ$25,"")</f>
        <v>0</v>
      </c>
      <c r="AA18" s="87"/>
      <c r="AB18" s="87"/>
      <c r="AC18" s="87"/>
      <c r="AD18" s="87"/>
      <c r="AE18" s="87"/>
      <c r="AF18" s="88">
        <f>_xlfn.XLOOKUP(_xlfn.XLOOKUP($AT$6&amp;$B18,公表[班別+時段],公表[指揮官],""),$AY$9:$AY$25,$AZ$9:$AZ$25,"")</f>
        <v>1</v>
      </c>
      <c r="AG18" s="103"/>
      <c r="AH18" s="101"/>
      <c r="AI18" s="31">
        <v>16</v>
      </c>
      <c r="AJ18" s="31" t="str">
        <v>楊弘宇</v>
      </c>
      <c r="AK18" s="31">
        <v>27</v>
      </c>
      <c r="AL18" s="31" t="str">
        <v>林宏為</v>
      </c>
      <c r="AM18" s="101"/>
      <c r="AN18" s="102"/>
      <c r="AO18" s="214"/>
      <c r="AP18" s="127">
        <v>10</v>
      </c>
      <c r="AQ18" s="127" t="str">
        <v>林宏澤</v>
      </c>
      <c r="AR18" s="127" t="str" cm="1">
        <f t="array" ref="AR18">IFERROR(_xlfn.XLOOKUP(_xlfn.XLOOKUP($AR$3,輪休基準表!$C$6:$C$36,_xlfn.XLOOKUP(AQ18,輪休基準表!$E$5:$AF$5,輪休基準表!$E$6:$AF$36,""),""),班別參數!$A$4:$A$20,班別參數!$B$4:$B$20,""),"")</f>
        <v>上班</v>
      </c>
      <c r="AS18" s="120" t="str" cm="1">
        <f t="array" ref="AS18">_xlfn.LET(
    _xlpm.番號, COUNTIF($AZ$9:$AZ$24, $AP18),
    _xlpm.已排, _xlpm.番號 &gt; 0,
    _xlpm.上班, (AR18="上班"),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T18" s="170" t="str" cm="1">
        <f t="array" ref="AT18">IF(AR18="上班",
    IF(SUMPRODUCT(--ISNUMBER(SEARCH(","&amp;AP18&amp;",", ","&amp;$I$10:$I$33&amp;",")))&gt;=2, "已排",
        IF(SUMPRODUCT(--ISNUMBER(SEARCH(","&amp;AP18&amp;",", ","&amp;$I$10:$I$33&amp;",")))=1, "缺1小時", "未排")
    ),
    IF(SUMPRODUCT(--ISNUMBER(SEARCH(","&amp;AP18&amp;",", ","&amp;$I$10:$I$33&amp;",")))&gt;0, "沒上班", "")
)</f>
        <v>已排</v>
      </c>
      <c r="AU18" s="180">
        <f t="shared" si="0"/>
        <v>6</v>
      </c>
      <c r="AV18" s="180">
        <f t="shared" si="1"/>
        <v>10</v>
      </c>
      <c r="AW18" s="25"/>
      <c r="AX18" s="33" t="str">
        <f t="array" ref="AX18">INDEX(班別參數!$D$4:$D$20,ROW()-7,MATCH($AX$8,班別參數!$D$4:$D$20,0))</f>
        <v>無班2</v>
      </c>
      <c r="AY18" s="34">
        <f t="array" ref="AY18">IFERROR(INDEX(班別參數!$D$4:$S$20,MATCH(AX18,班別參數!$D$4:$D$20,0),MATCH($AT$6,班別參數!$D$4:$S$4,0)),"")</f>
        <v>0</v>
      </c>
      <c r="AZ18" s="38"/>
      <c r="BA18" s="13"/>
      <c r="BB18" s="33" t="s">
        <v>65</v>
      </c>
      <c r="BC18" s="34" t="str">
        <f t="array" ref="BC18">IFERROR(INDEX(班別參數!$D$23:$S$35,MATCH(BB18,班別參數!$D$23:$D$35,0),MATCH($AT$6,班別參數!$D$23:$S$23,0)),"")</f>
        <v/>
      </c>
      <c r="BD18" s="39" t="str">
        <f t="shared" si="2"/>
        <v/>
      </c>
      <c r="BE18" s="127"/>
    </row>
    <row r="19" spans="2:57" ht="30" customHeight="1" thickBot="1">
      <c r="B19" s="110" t="s">
        <v>82</v>
      </c>
      <c r="C19" s="89">
        <f>_xlfn.XLOOKUP(_xlfn.XLOOKUP($AT$6&amp;$B19,公表[班別+時段],公表[值班],""),$AY$9:$AY$25,$AZ$9:$AZ$25,"")</f>
        <v>16</v>
      </c>
      <c r="D19" s="106"/>
      <c r="E19" s="96"/>
      <c r="F19" s="273"/>
      <c r="G19" s="246"/>
      <c r="H19" s="281"/>
      <c r="I19" s="122" t="s">
        <v>399</v>
      </c>
      <c r="J19" s="107"/>
      <c r="K19" s="216">
        <f>_xlfn.XLOOKUP(_xlfn.XLOOKUP($AT$6&amp;$B19,公表[班別+時段],公表[救護1],""),$AY$9:$AY$25,$AZ$9:$AZ$25,"")</f>
        <v>18</v>
      </c>
      <c r="L19" s="216">
        <f>_xlfn.XLOOKUP(_xlfn.XLOOKUP($AT$6&amp;$B19,公表[班別+時段],公表[救護2],""),$AY$9:$AY$25,$AZ$9:$AZ$25,"")</f>
        <v>6</v>
      </c>
      <c r="M19" s="105"/>
      <c r="N19" s="93" t="s">
        <v>212</v>
      </c>
      <c r="O19" s="312"/>
      <c r="P19" s="89">
        <f>_xlfn.XLOOKUP(_xlfn.XLOOKUP($AT$6&amp;$B19,公表[班別+時段],公表[備勤1],""),$AY$9:$AY$25,$AZ$9:$AZ$25,"")</f>
        <v>9</v>
      </c>
      <c r="Q19" s="89">
        <f>_xlfn.XLOOKUP(_xlfn.XLOOKUP($AT$6&amp;$B19,公表[班別+時段],公表[備勤2],""),$AY$9:$AY$25,$AZ$9:$AZ$25,"")</f>
        <v>7</v>
      </c>
      <c r="R19" s="89"/>
      <c r="S19" s="89"/>
      <c r="T19" s="89">
        <f>_xlfn.XLOOKUP(_xlfn.XLOOKUP($AT$6&amp;$B19,公表[班別+時段],公表[備勤4],""),$AY$9:$AY$25,$AZ$9:$AZ$25,"")</f>
        <v>0</v>
      </c>
      <c r="U19" s="89"/>
      <c r="V19" s="89">
        <f>_xlfn.XLOOKUP(_xlfn.XLOOKUP($AT$6&amp;$B19,公表[班別+時段],公表[備勤5],""),$AY$9:$AY$25,$AZ$9:$AZ$25,"")</f>
        <v>3</v>
      </c>
      <c r="W19" s="89">
        <f>_xlfn.XLOOKUP(_xlfn.XLOOKUP($AT$6&amp;$B19,公表[班別+時段],公表[備勤6],""),$AY$9:$AY$25,$AZ$9:$AZ$25,"")</f>
        <v>0</v>
      </c>
      <c r="X19" s="89"/>
      <c r="Y19" s="89">
        <f>_xlfn.XLOOKUP(_xlfn.XLOOKUP($AT$6&amp;$B19,公表[班別+時段],公表[備勤7],""),$AY$9:$AY$25,$AZ$9:$AZ$25,"")</f>
        <v>0</v>
      </c>
      <c r="Z19" s="89">
        <f>_xlfn.XLOOKUP(_xlfn.XLOOKUP($AT$6&amp;$B19,公表[班別+時段],公表[備勤8],""),$AY$9:$AY$25,$AZ$9:$AZ$25,"")</f>
        <v>0</v>
      </c>
      <c r="AA19" s="89"/>
      <c r="AB19" s="89"/>
      <c r="AC19" s="89"/>
      <c r="AD19" s="89"/>
      <c r="AE19" s="89"/>
      <c r="AF19" s="104">
        <f>_xlfn.XLOOKUP(_xlfn.XLOOKUP($AT$6&amp;$B19,公表[班別+時段],公表[指揮官],""),$AY$9:$AY$25,$AZ$9:$AZ$25,"")</f>
        <v>1</v>
      </c>
      <c r="AG19" s="103"/>
      <c r="AH19" s="101"/>
      <c r="AI19" s="101"/>
      <c r="AJ19" s="101"/>
      <c r="AK19" s="31">
        <v>28</v>
      </c>
      <c r="AL19" s="31" t="str">
        <v>林宸彥</v>
      </c>
      <c r="AM19" s="101"/>
      <c r="AN19" s="102"/>
      <c r="AO19" s="214"/>
      <c r="AP19" s="127">
        <v>11</v>
      </c>
      <c r="AQ19" s="127" t="str">
        <v>簡君諺</v>
      </c>
      <c r="AR19" s="127" t="str" cm="1">
        <f t="array" ref="AR19">IFERROR(_xlfn.XLOOKUP(_xlfn.XLOOKUP($AR$3,輪休基準表!$C$6:$C$36,_xlfn.XLOOKUP(AQ19,輪休基準表!$E$5:$AF$5,輪休基準表!$E$6:$AF$36,""),""),班別參數!$A$4:$A$20,班別參數!$B$4:$B$20,""),"")</f>
        <v>上班</v>
      </c>
      <c r="AS19" s="120" t="str" cm="1">
        <f t="array" ref="AS19">_xlfn.LET(
    _xlpm.番號, COUNTIF($AZ$9:$AZ$24, $AP19),
    _xlpm.已排, _xlpm.番號 &gt; 0,
    _xlpm.上班, (AR19="上班"),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T19" s="170" t="str" cm="1">
        <f t="array" ref="AT19">IF(AR19="上班",
    IF(SUMPRODUCT(--ISNUMBER(SEARCH(","&amp;AP19&amp;",", ","&amp;$I$10:$I$33&amp;",")))&gt;=2, "已排",
        IF(SUMPRODUCT(--ISNUMBER(SEARCH(","&amp;AP19&amp;",", ","&amp;$I$10:$I$33&amp;",")))=1, "缺1小時", "未排")
    ),
    IF(SUMPRODUCT(--ISNUMBER(SEARCH(","&amp;AP19&amp;",", ","&amp;$I$10:$I$33&amp;",")))&gt;0, "沒上班", "")
)</f>
        <v>已排</v>
      </c>
      <c r="AU19" s="180">
        <f t="shared" si="0"/>
        <v>8</v>
      </c>
      <c r="AV19" s="180">
        <f t="shared" si="1"/>
        <v>6</v>
      </c>
      <c r="AW19" s="25"/>
      <c r="AX19" s="33" t="str">
        <f t="array" ref="AX19">INDEX(班別參數!$D$4:$D$20,ROW()-7,MATCH($AX$8,班別參數!$D$4:$D$20,0))</f>
        <v>指揮官</v>
      </c>
      <c r="AY19" s="34" t="str">
        <f t="array" ref="AY19">IFERROR(INDEX(班別參數!$D$4:$S$20,MATCH(AX19,班別參數!$D$4:$D$20,0),MATCH($AT$6,班別參數!$D$4:$S$4,0)),"")</f>
        <v>K</v>
      </c>
      <c r="AZ19" s="38" cm="1">
        <f t="array" ref="AZ19:AZ20">IF(AY19="","",_xlfn._xlws.FILTER($AP$9:$AP$13,$AR$9:$AR$13="上班",""))</f>
        <v>1</v>
      </c>
      <c r="BA19" s="13"/>
      <c r="BB19" s="33" t="s">
        <v>66</v>
      </c>
      <c r="BC19" s="34" t="str">
        <f t="array" ref="BC19">IFERROR(INDEX(班別參數!$D$23:$S$35,MATCH(BB19,班別參數!$D$23:$D$35,0),MATCH($AT$6,班別參數!$D$23:$S$23,0)),"")</f>
        <v/>
      </c>
      <c r="BD19" s="39" t="str">
        <f t="shared" si="2"/>
        <v/>
      </c>
      <c r="BE19" s="127"/>
    </row>
    <row r="20" spans="2:57" ht="30" customHeight="1" thickBot="1">
      <c r="B20" s="83" t="s">
        <v>83</v>
      </c>
      <c r="C20" s="90">
        <f>_xlfn.XLOOKUP(_xlfn.XLOOKUP($AT$6&amp;$B20,公表[班別+時段],公表[值班],""),$AY$9:$AY$25,$AZ$9:$AZ$25,"")</f>
        <v>3</v>
      </c>
      <c r="D20" s="97"/>
      <c r="E20" s="97"/>
      <c r="F20" s="97"/>
      <c r="G20" s="430" t="s">
        <v>396</v>
      </c>
      <c r="H20" s="97"/>
      <c r="I20" s="121" t="str">
        <f>IF(BD14="","",BD14)</f>
        <v>11</v>
      </c>
      <c r="J20" s="55"/>
      <c r="K20" s="94">
        <f>_xlfn.XLOOKUP(_xlfn.XLOOKUP($AT$6&amp;$B20,公表[班別+時段],公表[救護1],""),$AY$9:$AY$25,$AZ$9:$AZ$25,"")</f>
        <v>16</v>
      </c>
      <c r="L20" s="94">
        <f>_xlfn.XLOOKUP(_xlfn.XLOOKUP($AT$6&amp;$B20,公表[班別+時段],公表[救護2],""),$AY$9:$AY$25,$AZ$9:$AZ$25,"")</f>
        <v>7</v>
      </c>
      <c r="M20" s="94"/>
      <c r="N20" s="90" t="s">
        <v>212</v>
      </c>
      <c r="O20" s="312"/>
      <c r="P20" s="90">
        <f>_xlfn.XLOOKUP(_xlfn.XLOOKUP($AT$6&amp;$B20,公表[班別+時段],公表[備勤1],""),$AY$9:$AY$25,$AZ$9:$AZ$25,"")</f>
        <v>6</v>
      </c>
      <c r="Q20" s="90">
        <f>_xlfn.XLOOKUP(_xlfn.XLOOKUP($AT$6&amp;$B20,公表[班別+時段],公表[備勤2],""),$AY$9:$AY$25,$AZ$9:$AZ$25,"")</f>
        <v>10</v>
      </c>
      <c r="R20" s="90"/>
      <c r="S20" s="90"/>
      <c r="T20" s="90"/>
      <c r="U20" s="90"/>
      <c r="V20" s="90">
        <f>_xlfn.XLOOKUP(_xlfn.XLOOKUP($AT$6&amp;$B20,公表[班別+時段],公表[備勤5],""),$AY$9:$AY$25,$AZ$9:$AZ$25,"")</f>
        <v>0</v>
      </c>
      <c r="W20" s="90">
        <f>_xlfn.XLOOKUP(_xlfn.XLOOKUP($AT$6&amp;$B20,公表[班別+時段],公表[備勤6],""),$AY$9:$AY$25,$AZ$9:$AZ$25,"")</f>
        <v>0</v>
      </c>
      <c r="X20" s="90"/>
      <c r="Y20" s="90">
        <f>_xlfn.XLOOKUP(_xlfn.XLOOKUP($AT$6&amp;$B20,公表[班別+時段],公表[備勤7],""),$AY$9:$AY$25,$AZ$9:$AZ$25,"")</f>
        <v>0</v>
      </c>
      <c r="Z20" s="90">
        <f>_xlfn.XLOOKUP(_xlfn.XLOOKUP($AT$6&amp;$B20,公表[班別+時段],公表[備勤8],""),$AY$9:$AY$25,$AZ$9:$AZ$25,"")</f>
        <v>0</v>
      </c>
      <c r="AA20" s="90"/>
      <c r="AB20" s="90"/>
      <c r="AC20" s="90"/>
      <c r="AD20" s="90"/>
      <c r="AE20" s="90"/>
      <c r="AF20" s="91">
        <f>_xlfn.XLOOKUP(_xlfn.XLOOKUP($AT$6&amp;$B20,公表[班別+時段],公表[指揮官],""),$AY$9:$AY$25,$AZ$9:$AZ$25,"")</f>
        <v>1</v>
      </c>
      <c r="AG20" s="103"/>
      <c r="AH20" s="101"/>
      <c r="AI20" s="101"/>
      <c r="AJ20" s="101"/>
      <c r="AK20" s="101"/>
      <c r="AL20" s="101"/>
      <c r="AM20" s="101"/>
      <c r="AN20" s="102"/>
      <c r="AO20" s="214"/>
      <c r="AP20" s="127">
        <v>12</v>
      </c>
      <c r="AQ20" s="127" t="str">
        <v>王昱勛</v>
      </c>
      <c r="AR20" s="127" t="str" cm="1">
        <f t="array" ref="AR20">IFERROR(_xlfn.XLOOKUP(_xlfn.XLOOKUP($AR$3,輪休基準表!$C$6:$C$36,_xlfn.XLOOKUP(AQ20,輪休基準表!$E$5:$AF$5,輪休基準表!$E$6:$AF$36,""),""),班別參數!$A$4:$A$20,班別參數!$B$4:$B$20,""),"")</f>
        <v>月補</v>
      </c>
      <c r="AS20" s="120" t="str" cm="1">
        <f t="array" ref="AS20">_xlfn.LET(
    _xlpm.番號, COUNTIF($AZ$9:$AZ$24, $AP20),
    _xlpm.已排, _xlpm.番號 &gt; 0,
    _xlpm.上班, (AR20="上班"),
    _xlfn.IFS(
        _xlpm.番號 &gt; 1, "重複",
        AND(_xlpm.上班, NOT(_xlpm.已排)), "未排",
        AND(NOT(_xlpm.上班),_xlpm.已排), "沒上班",
        _xlpm.已排, "已排",
        TRUE, ""
    )
)</f>
        <v/>
      </c>
      <c r="AT20" s="170" t="str" cm="1">
        <f t="array" ref="AT20">IF(AR20="上班",
    IF(SUMPRODUCT(--ISNUMBER(SEARCH(","&amp;AP20&amp;",", ","&amp;$I$10:$I$33&amp;",")))&gt;=2, "已排",
        IF(SUMPRODUCT(--ISNUMBER(SEARCH(","&amp;AP20&amp;",", ","&amp;$I$10:$I$33&amp;",")))=1, "缺1小時", "未排")
    ),
    IF(SUMPRODUCT(--ISNUMBER(SEARCH(","&amp;AP20&amp;",", ","&amp;$I$10:$I$33&amp;",")))&gt;0, "沒上班", "")
)</f>
        <v/>
      </c>
      <c r="AU20" s="180" t="str">
        <f t="shared" si="0"/>
        <v/>
      </c>
      <c r="AV20" s="180" t="str">
        <f t="shared" si="1"/>
        <v/>
      </c>
      <c r="AW20" s="25"/>
      <c r="AX20" s="33" t="str">
        <f t="array" ref="AX20">INDEX(班別參數!$D$4:$D$20,ROW()-7,MATCH($AX$8,班別參數!$D$4:$D$20,0))</f>
        <v>帶隊官</v>
      </c>
      <c r="AY20" s="34" t="str">
        <f t="array" ref="AY20">IFERROR(INDEX(班別參數!$D$4:$S$20,MATCH(AX20,班別參數!$D$4:$D$20,0),MATCH($AT$6,班別參數!$D$4:$S$4,0)),"")</f>
        <v>L</v>
      </c>
      <c r="AZ20" s="38">
        <v>3</v>
      </c>
      <c r="BA20" s="32"/>
      <c r="BB20" s="33" t="s">
        <v>67</v>
      </c>
      <c r="BC20" s="34" t="str">
        <f t="array" ref="BC20">IFERROR(INDEX(班別參數!$D$23:$S$35,MATCH(BB20,班別參數!$D$23:$D$35,0),MATCH($AT$6,班別參數!$D$23:$S$23,0)),"")</f>
        <v>G,L</v>
      </c>
      <c r="BD20" s="41" t="str">
        <f t="shared" si="2"/>
        <v>6,3</v>
      </c>
      <c r="BE20" s="127"/>
    </row>
    <row r="21" spans="2:57" ht="30" customHeight="1" thickBot="1">
      <c r="B21" s="81" t="s">
        <v>84</v>
      </c>
      <c r="C21" s="87">
        <f>_xlfn.XLOOKUP(_xlfn.XLOOKUP($AT$6&amp;$B21,公表[班別+時段],公表[值班],""),$AY$9:$AY$25,$AZ$9:$AZ$25,"")</f>
        <v>3</v>
      </c>
      <c r="D21" s="95"/>
      <c r="E21" s="95"/>
      <c r="F21" s="95"/>
      <c r="G21" s="439"/>
      <c r="H21" s="95"/>
      <c r="I21" s="122" t="str">
        <f>IF(BD14="","",BD14)</f>
        <v>11</v>
      </c>
      <c r="J21" s="296" t="str">
        <f>AZ4</f>
        <v>救護訓練</v>
      </c>
      <c r="K21" s="92">
        <f>_xlfn.XLOOKUP(_xlfn.XLOOKUP($AT$6&amp;$B21,公表[班別+時段],公表[救護1],""),$AY$9:$AY$25,$AZ$9:$AZ$25,"")</f>
        <v>16</v>
      </c>
      <c r="L21" s="92">
        <f>_xlfn.XLOOKUP(_xlfn.XLOOKUP($AT$6&amp;$B21,公表[班別+時段],公表[救護2],""),$AY$9:$AY$25,$AZ$9:$AZ$25,"")</f>
        <v>7</v>
      </c>
      <c r="M21" s="92"/>
      <c r="N21" s="87" t="s">
        <v>212</v>
      </c>
      <c r="O21" s="312"/>
      <c r="P21" s="87">
        <f>_xlfn.XLOOKUP(_xlfn.XLOOKUP($AT$6&amp;$B21,公表[班別+時段],公表[備勤1],""),$AY$9:$AY$25,$AZ$9:$AZ$25,"")</f>
        <v>6</v>
      </c>
      <c r="Q21" s="87">
        <f>_xlfn.XLOOKUP(_xlfn.XLOOKUP($AT$6&amp;$B21,公表[班別+時段],公表[備勤2],""),$AY$9:$AY$25,$AZ$9:$AZ$25,"")</f>
        <v>10</v>
      </c>
      <c r="R21" s="87"/>
      <c r="S21" s="87"/>
      <c r="T21" s="87"/>
      <c r="U21" s="87"/>
      <c r="V21" s="87">
        <f>_xlfn.XLOOKUP(_xlfn.XLOOKUP($AT$6&amp;$B21,公表[班別+時段],公表[備勤5],""),$AY$9:$AY$25,$AZ$9:$AZ$25,"")</f>
        <v>0</v>
      </c>
      <c r="W21" s="87">
        <f>_xlfn.XLOOKUP(_xlfn.XLOOKUP($AT$6&amp;$B21,公表[班別+時段],公表[備勤6],""),$AY$9:$AY$25,$AZ$9:$AZ$25,"")</f>
        <v>0</v>
      </c>
      <c r="X21" s="87"/>
      <c r="Y21" s="87">
        <f>_xlfn.XLOOKUP(_xlfn.XLOOKUP($AT$6&amp;$B21,公表[班別+時段],公表[備勤7],""),$AY$9:$AY$25,$AZ$9:$AZ$25,"")</f>
        <v>0</v>
      </c>
      <c r="Z21" s="87">
        <f>_xlfn.XLOOKUP(_xlfn.XLOOKUP($AT$6&amp;$B21,公表[班別+時段],公表[備勤8],""),$AY$9:$AY$25,$AZ$9:$AZ$25,"")</f>
        <v>0</v>
      </c>
      <c r="AA21" s="87"/>
      <c r="AB21" s="87"/>
      <c r="AC21" s="87"/>
      <c r="AD21" s="87"/>
      <c r="AE21" s="87"/>
      <c r="AF21" s="88">
        <f>_xlfn.XLOOKUP(_xlfn.XLOOKUP($AT$6&amp;$B21,公表[班別+時段],公表[指揮官],""),$AY$9:$AY$25,$AZ$9:$AZ$25,"")</f>
        <v>1</v>
      </c>
      <c r="AG21" s="103"/>
      <c r="AH21" s="101"/>
      <c r="AI21" s="101"/>
      <c r="AJ21" s="101"/>
      <c r="AK21" s="101"/>
      <c r="AL21" s="101"/>
      <c r="AM21" s="101"/>
      <c r="AN21" s="102"/>
      <c r="AO21" s="214"/>
      <c r="AP21" s="127">
        <v>13</v>
      </c>
      <c r="AQ21" s="127" t="str">
        <v>葉宗哲</v>
      </c>
      <c r="AR21" s="127" t="str" cm="1">
        <f t="array" ref="AR21">IFERROR(_xlfn.XLOOKUP(_xlfn.XLOOKUP($AR$3,輪休基準表!$C$6:$C$36,_xlfn.XLOOKUP(AQ21,輪休基準表!$E$5:$AF$5,輪休基準表!$E$6:$AF$36,""),""),班別參數!$A$4:$A$20,班別參數!$B$4:$B$20,""),"")</f>
        <v>月補</v>
      </c>
      <c r="AS21" s="120" t="str" cm="1">
        <f t="array" ref="AS21">_xlfn.LET(
    _xlpm.番號, COUNTIF($AZ$9:$AZ$24, $AP21),
    _xlpm.已排, _xlpm.番號 &gt; 0,
    _xlpm.上班, (AR21="上班"),
    _xlfn.IFS(
        _xlpm.番號 &gt; 1, "重複",
        AND(_xlpm.上班, NOT(_xlpm.已排)), "未排",
        AND(NOT(_xlpm.上班),_xlpm.已排), "沒上班",
        _xlpm.已排, "已排",
        TRUE, ""
    )
)</f>
        <v/>
      </c>
      <c r="AT21" s="170" t="str" cm="1">
        <f t="array" ref="AT21">IF(AR21="上班",
    IF(SUMPRODUCT(--ISNUMBER(SEARCH(","&amp;AP21&amp;",", ","&amp;$I$10:$I$33&amp;",")))&gt;=2, "已排",
        IF(SUMPRODUCT(--ISNUMBER(SEARCH(","&amp;AP21&amp;",", ","&amp;$I$10:$I$33&amp;",")))=1, "缺1小時", "未排")
    ),
    IF(SUMPRODUCT(--ISNUMBER(SEARCH(","&amp;AP21&amp;",", ","&amp;$I$10:$I$33&amp;",")))&gt;0, "沒上班", "")
)</f>
        <v/>
      </c>
      <c r="AU21" s="180" t="str">
        <f t="shared" si="0"/>
        <v/>
      </c>
      <c r="AV21" s="180" t="str">
        <f t="shared" si="1"/>
        <v/>
      </c>
      <c r="AX21" s="33" t="str">
        <f t="array" ref="AX21">INDEX(班別參數!$D$4:$D$20,ROW()-7,MATCH($AX$8,班別參數!$D$4:$D$20,0))</f>
        <v>帶隊官2</v>
      </c>
      <c r="AY21" s="34">
        <f t="array" ref="AY21">IFERROR(INDEX(班別參數!$D$4:$S$20,MATCH(AX21,班別參數!$D$4:$D$20,0),MATCH($AT$6,班別參數!$D$4:$S$4,0)),"")</f>
        <v>0</v>
      </c>
      <c r="AZ21" s="42"/>
      <c r="BA21" s="10"/>
      <c r="BB21" s="33"/>
      <c r="BC21" s="10"/>
      <c r="BE21" s="127"/>
    </row>
    <row r="22" spans="2:57" ht="30" customHeight="1">
      <c r="B22" s="81" t="s">
        <v>85</v>
      </c>
      <c r="C22" s="87">
        <f>_xlfn.XLOOKUP(_xlfn.XLOOKUP($AT$6&amp;$B22,公表[班別+時段],公表[值班],""),$AY$9:$AY$25,$AZ$9:$AZ$25,"")</f>
        <v>18</v>
      </c>
      <c r="D22" s="95"/>
      <c r="E22" s="95"/>
      <c r="F22" s="95"/>
      <c r="G22" s="95"/>
      <c r="H22" s="95"/>
      <c r="I22" s="122">
        <v>7</v>
      </c>
      <c r="J22" s="297"/>
      <c r="K22" s="92">
        <f>_xlfn.XLOOKUP(_xlfn.XLOOKUP($AT$6&amp;$B22,公表[班別+時段],公表[救護1],""),$AY$9:$AY$25,$AZ$9:$AZ$25,"")</f>
        <v>11</v>
      </c>
      <c r="L22" s="92">
        <f>_xlfn.XLOOKUP(_xlfn.XLOOKUP($AT$6&amp;$B22,公表[班別+時段],公表[救護2],""),$AY$9:$AY$25,$AZ$9:$AZ$25,"")</f>
        <v>6</v>
      </c>
      <c r="M22" s="92"/>
      <c r="N22" s="87" t="s">
        <v>212</v>
      </c>
      <c r="O22" s="312"/>
      <c r="P22" s="87">
        <f>_xlfn.XLOOKUP(_xlfn.XLOOKUP($AT$6&amp;$B22,公表[班別+時段],公表[備勤1],""),$AY$9:$AY$25,$AZ$9:$AZ$25,"")</f>
        <v>10</v>
      </c>
      <c r="Q22" s="87">
        <f>_xlfn.XLOOKUP(_xlfn.XLOOKUP($AT$6&amp;$B22,公表[班別+時段],公表[備勤2],""),$AY$9:$AY$25,$AZ$9:$AZ$25,"")</f>
        <v>16</v>
      </c>
      <c r="R22" s="87"/>
      <c r="S22" s="87">
        <v>9</v>
      </c>
      <c r="T22" s="87"/>
      <c r="U22" s="87"/>
      <c r="V22" s="87">
        <f>_xlfn.XLOOKUP(_xlfn.XLOOKUP($AT$6&amp;$B22,公表[班別+時段],公表[備勤5],""),$AY$9:$AY$25,$AZ$9:$AZ$25,"")</f>
        <v>3</v>
      </c>
      <c r="W22" s="87">
        <f>_xlfn.XLOOKUP(_xlfn.XLOOKUP($AT$6&amp;$B22,公表[班別+時段],公表[備勤6],""),$AY$9:$AY$25,$AZ$9:$AZ$25,"")</f>
        <v>0</v>
      </c>
      <c r="X22" s="87"/>
      <c r="Y22" s="87">
        <f>_xlfn.XLOOKUP(_xlfn.XLOOKUP($AT$6&amp;$B22,公表[班別+時段],公表[備勤7],""),$AY$9:$AY$25,$AZ$9:$AZ$25,"")</f>
        <v>0</v>
      </c>
      <c r="Z22" s="87">
        <f>_xlfn.XLOOKUP(_xlfn.XLOOKUP($AT$6&amp;$B22,公表[班別+時段],公表[備勤8],""),$AY$9:$AY$25,$AZ$9:$AZ$25,"")</f>
        <v>0</v>
      </c>
      <c r="AA22" s="87"/>
      <c r="AB22" s="87"/>
      <c r="AC22" s="87"/>
      <c r="AD22" s="87"/>
      <c r="AE22" s="87"/>
      <c r="AF22" s="88">
        <f>_xlfn.XLOOKUP(_xlfn.XLOOKUP($AT$6&amp;$B22,公表[班別+時段],公表[指揮官],""),$AY$9:$AY$25,$AZ$9:$AZ$25,"")</f>
        <v>1</v>
      </c>
      <c r="AG22" s="57" t="s">
        <v>213</v>
      </c>
      <c r="AH22" s="305" t="str" cm="1">
        <f t="array" ref="AH22">_xlfn.TEXTJOIN(".",1,_xlfn._xlws.FILTER($AP$9:$AP$40,$AR$9:$AR$40="上班",""))</f>
        <v>1.3.6.7.9.10.11.16.18</v>
      </c>
      <c r="AI22" s="400"/>
      <c r="AJ22" s="400"/>
      <c r="AK22" s="400"/>
      <c r="AL22" s="307"/>
      <c r="AM22" s="31" t="s">
        <v>214</v>
      </c>
      <c r="AN22" s="58" t="str">
        <f>CONCATENATE(COUNTIF($AR$9:$AR$36,"上班"),"人")</f>
        <v>9人</v>
      </c>
      <c r="AO22" s="214"/>
      <c r="AP22" s="127">
        <v>14</v>
      </c>
      <c r="AQ22" s="127" t="str">
        <v>王浩任</v>
      </c>
      <c r="AR22" s="127" t="str" cm="1">
        <f t="array" ref="AR22">IFERROR(_xlfn.XLOOKUP(_xlfn.XLOOKUP($AR$3,輪休基準表!$C$6:$C$36,_xlfn.XLOOKUP(AQ22,輪休基準表!$E$5:$AF$5,輪休基準表!$E$6:$AF$36,""),""),班別參數!$A$4:$A$20,班別參數!$B$4:$B$20,""),"")</f>
        <v>輪休</v>
      </c>
      <c r="AS22" s="120" t="str" cm="1">
        <f t="array" ref="AS22">_xlfn.LET(
    _xlpm.番號, COUNTIF($AZ$9:$AZ$24, $AP22),
    _xlpm.已排, _xlpm.番號 &gt; 0,
    _xlpm.上班, (AR22="上班"),
    _xlfn.IFS(
        _xlpm.番號 &gt; 1, "重複",
        AND(_xlpm.上班, NOT(_xlpm.已排)), "未排",
        AND(NOT(_xlpm.上班),_xlpm.已排), "沒上班",
        _xlpm.已排, "已排",
        TRUE, ""
    )
)</f>
        <v/>
      </c>
      <c r="AT22" s="170" t="str" cm="1">
        <f t="array" ref="AT22">IF(AR22="上班",
    IF(SUMPRODUCT(--ISNUMBER(SEARCH(","&amp;AP22&amp;",", ","&amp;$I$10:$I$33&amp;",")))&gt;=2, "已排",
        IF(SUMPRODUCT(--ISNUMBER(SEARCH(","&amp;AP22&amp;",", ","&amp;$I$10:$I$33&amp;",")))=1, "缺1小時", "未排")
    ),
    IF(SUMPRODUCT(--ISNUMBER(SEARCH(","&amp;AP22&amp;",", ","&amp;$I$10:$I$33&amp;",")))&gt;0, "沒上班", "")
)</f>
        <v/>
      </c>
      <c r="AU22" s="180" t="str">
        <f t="shared" si="0"/>
        <v/>
      </c>
      <c r="AV22" s="180" t="str">
        <f t="shared" si="1"/>
        <v/>
      </c>
      <c r="AX22" s="33">
        <f t="array" ref="AX22">INDEX(班別參數!$D$4:$D$20,ROW()-7,MATCH($AX$8,班別參數!$D$4:$D$20,0))</f>
        <v>0</v>
      </c>
      <c r="AY22" s="34" t="str">
        <f t="array" ref="AY22">IFERROR(INDEX(班別參數!$D$4:$S$20,MATCH(AX22,班別參數!$D$4:$D$20,0),MATCH($AX$5,班別參數!$D$4:$S$4,0)),"")</f>
        <v/>
      </c>
      <c r="AZ22" s="24"/>
      <c r="BB22" s="33"/>
      <c r="BE22" s="127"/>
    </row>
    <row r="23" spans="2:57" ht="30" customHeight="1" thickBot="1">
      <c r="B23" s="110" t="s">
        <v>86</v>
      </c>
      <c r="C23" s="89">
        <f>_xlfn.XLOOKUP(_xlfn.XLOOKUP($AT$6&amp;$B23,公表[班別+時段],公表[值班],""),$AY$9:$AY$25,$AZ$9:$AZ$25,"")</f>
        <v>18</v>
      </c>
      <c r="D23" s="106"/>
      <c r="E23" s="96"/>
      <c r="F23" s="96"/>
      <c r="G23" s="96"/>
      <c r="H23" s="96"/>
      <c r="I23" s="123">
        <v>7</v>
      </c>
      <c r="J23" s="107"/>
      <c r="K23" s="216">
        <f>_xlfn.XLOOKUP(_xlfn.XLOOKUP($AT$6&amp;$B23,公表[班別+時段],公表[救護1],""),$AY$9:$AY$25,$AZ$9:$AZ$25,"")</f>
        <v>11</v>
      </c>
      <c r="L23" s="216">
        <f>_xlfn.XLOOKUP(_xlfn.XLOOKUP($AT$6&amp;$B23,公表[班別+時段],公表[救護2],""),$AY$9:$AY$25,$AZ$9:$AZ$25,"")</f>
        <v>6</v>
      </c>
      <c r="M23" s="105"/>
      <c r="N23" s="93" t="s">
        <v>212</v>
      </c>
      <c r="O23" s="312"/>
      <c r="P23" s="89">
        <f>_xlfn.XLOOKUP(_xlfn.XLOOKUP($AT$6&amp;$B23,公表[班別+時段],公表[備勤1],""),$AY$9:$AY$25,$AZ$9:$AZ$25,"")</f>
        <v>10</v>
      </c>
      <c r="Q23" s="89">
        <f>_xlfn.XLOOKUP(_xlfn.XLOOKUP($AT$6&amp;$B23,公表[班別+時段],公表[備勤2],""),$AY$9:$AY$25,$AZ$9:$AZ$25,"")</f>
        <v>16</v>
      </c>
      <c r="R23" s="89"/>
      <c r="S23" s="89">
        <v>9</v>
      </c>
      <c r="T23" s="89"/>
      <c r="U23" s="89"/>
      <c r="V23" s="89">
        <f>_xlfn.XLOOKUP(_xlfn.XLOOKUP($AT$6&amp;$B23,公表[班別+時段],公表[備勤5],""),$AY$9:$AY$25,$AZ$9:$AZ$25,"")</f>
        <v>3</v>
      </c>
      <c r="W23" s="89">
        <f>_xlfn.XLOOKUP(_xlfn.XLOOKUP($AT$6&amp;$B23,公表[班別+時段],公表[備勤6],""),$AY$9:$AY$25,$AZ$9:$AZ$25,"")</f>
        <v>0</v>
      </c>
      <c r="X23" s="89"/>
      <c r="Y23" s="89">
        <f>_xlfn.XLOOKUP(_xlfn.XLOOKUP($AT$6&amp;$B23,公表[班別+時段],公表[備勤7],""),$AY$9:$AY$25,$AZ$9:$AZ$25,"")</f>
        <v>0</v>
      </c>
      <c r="Z23" s="89">
        <f>_xlfn.XLOOKUP(_xlfn.XLOOKUP($AT$6&amp;$B23,公表[班別+時段],公表[備勤8],""),$AY$9:$AY$25,$AZ$9:$AZ$25,"")</f>
        <v>0</v>
      </c>
      <c r="AA23" s="89"/>
      <c r="AB23" s="89"/>
      <c r="AC23" s="89"/>
      <c r="AD23" s="89"/>
      <c r="AE23" s="89"/>
      <c r="AF23" s="104">
        <f>_xlfn.XLOOKUP(_xlfn.XLOOKUP($AT$6&amp;$B23,公表[班別+時段],公表[指揮官],""),$AY$9:$AY$25,$AZ$9:$AZ$25,"")</f>
        <v>1</v>
      </c>
      <c r="AG23" s="57" t="s">
        <v>6</v>
      </c>
      <c r="AH23" s="305" t="str" cm="1">
        <f t="array" ref="AH23">_xlfn.TEXTJOIN(".",1,_xlfn._xlws.FILTER($AP$9:$AP$40,$AR$9:$AR$40=$AG$23,""))</f>
        <v>2.4.5.8.14.17.19.21.23.25.26.27.28</v>
      </c>
      <c r="AI23" s="400"/>
      <c r="AJ23" s="400"/>
      <c r="AK23" s="400"/>
      <c r="AL23" s="400"/>
      <c r="AM23" s="400"/>
      <c r="AN23" s="401"/>
      <c r="AO23" s="214"/>
      <c r="AP23" s="127">
        <v>15</v>
      </c>
      <c r="AQ23" s="127" t="str">
        <v>李仕詮</v>
      </c>
      <c r="AR23" s="127" t="str" cm="1">
        <f t="array" ref="AR23">IFERROR(_xlfn.XLOOKUP(_xlfn.XLOOKUP($AR$3,輪休基準表!$C$6:$C$36,_xlfn.XLOOKUP(AQ23,輪休基準表!$E$5:$AF$5,輪休基準表!$E$6:$AF$36,""),""),班別參數!$A$4:$A$20,班別參數!$B$4:$B$20,""),"")</f>
        <v>請休</v>
      </c>
      <c r="AS23" s="120" t="str" cm="1">
        <f t="array" ref="AS23">_xlfn.LET(
    _xlpm.番號, COUNTIF($AZ$9:$AZ$24, $AP23),
    _xlpm.已排, _xlpm.番號 &gt; 0,
    _xlpm.上班, (AR23="上班"),
    _xlfn.IFS(
        _xlpm.番號 &gt; 1, "重複",
        AND(_xlpm.上班, NOT(_xlpm.已排)), "未排",
        AND(NOT(_xlpm.上班),_xlpm.已排), "沒上班",
        _xlpm.已排, "已排",
        TRUE, ""
    )
)</f>
        <v/>
      </c>
      <c r="AT23" s="170" t="str" cm="1">
        <f t="array" ref="AT23">IF(AR23="上班",
    IF(SUMPRODUCT(--ISNUMBER(SEARCH(","&amp;AP23&amp;",", ","&amp;$I$10:$I$33&amp;",")))&gt;=2, "已排",
        IF(SUMPRODUCT(--ISNUMBER(SEARCH(","&amp;AP23&amp;",", ","&amp;$I$10:$I$33&amp;",")))=1, "缺1小時", "未排")
    ),
    IF(SUMPRODUCT(--ISNUMBER(SEARCH(","&amp;AP23&amp;",", ","&amp;$I$10:$I$33&amp;",")))&gt;0, "沒上班", "")
)</f>
        <v/>
      </c>
      <c r="AU23" s="180" t="str">
        <f t="shared" si="0"/>
        <v/>
      </c>
      <c r="AV23" s="180" t="str">
        <f t="shared" si="1"/>
        <v/>
      </c>
      <c r="AX23" s="33">
        <f t="array" ref="AX23">INDEX(班別參數!$D$4:$D$20,ROW()-7,MATCH($AX$8,班別參數!$D$4:$D$20,0))</f>
        <v>0</v>
      </c>
      <c r="AY23" s="43" t="str">
        <f t="array" ref="AY23">IFERROR(INDEX(班別參數!$D$4:$S$20,MATCH(AX23,班別參數!$D$4:$D$20,0),MATCH($AX$5,班別參數!$D$4:$S$4,0)),"")</f>
        <v/>
      </c>
      <c r="AZ23" s="24"/>
      <c r="BB23" s="33"/>
      <c r="BC23" s="25"/>
      <c r="BE23" s="127"/>
    </row>
    <row r="24" spans="2:57" ht="30" customHeight="1">
      <c r="B24" s="84" t="s">
        <v>87</v>
      </c>
      <c r="C24" s="90">
        <f>_xlfn.XLOOKUP(_xlfn.XLOOKUP($AT$6&amp;$B24,公表[班別+時段],公表[值班],""),$AY$9:$AY$25,$AZ$9:$AZ$25,"")</f>
        <v>7</v>
      </c>
      <c r="D24" s="97"/>
      <c r="E24" s="97"/>
      <c r="F24" s="97"/>
      <c r="G24" s="97"/>
      <c r="H24" s="97"/>
      <c r="I24" s="121">
        <v>16</v>
      </c>
      <c r="J24" s="55"/>
      <c r="K24" s="94">
        <f>_xlfn.XLOOKUP(_xlfn.XLOOKUP($AT$6&amp;$B24,公表[班別+時段],公表[救護1],""),$AY$9:$AY$25,$AZ$9:$AZ$25,"")</f>
        <v>18</v>
      </c>
      <c r="L24" s="94">
        <f>_xlfn.XLOOKUP(_xlfn.XLOOKUP($AT$6&amp;$B24,公表[班別+時段],公表[救護2],""),$AY$9:$AY$25,$AZ$9:$AZ$25,"")</f>
        <v>9</v>
      </c>
      <c r="M24" s="90"/>
      <c r="N24" s="90" t="s">
        <v>212</v>
      </c>
      <c r="O24" s="312"/>
      <c r="P24" s="90">
        <f>_xlfn.XLOOKUP(_xlfn.XLOOKUP($AT$6&amp;$B24,公表[班別+時段],公表[備勤1],""),$AY$9:$AY$25,$AZ$9:$AZ$25,"")</f>
        <v>11</v>
      </c>
      <c r="Q24" s="90">
        <f>_xlfn.XLOOKUP(_xlfn.XLOOKUP($AT$6&amp;$B24,公表[班別+時段],公表[備勤2],""),$AY$9:$AY$25,$AZ$9:$AZ$25,"")</f>
        <v>6</v>
      </c>
      <c r="R24" s="90"/>
      <c r="S24" s="90">
        <f>_xlfn.XLOOKUP(_xlfn.XLOOKUP($AT$6&amp;$B24,公表[班別+時段],公表[備勤3],""),$AY$9:$AY$25,$AZ$9:$AZ$25,"")</f>
        <v>10</v>
      </c>
      <c r="T24" s="90"/>
      <c r="U24" s="90"/>
      <c r="V24" s="90">
        <f>_xlfn.XLOOKUP(_xlfn.XLOOKUP($AT$6&amp;$B24,公表[班別+時段],公表[備勤5],""),$AY$9:$AY$25,$AZ$9:$AZ$25,"")</f>
        <v>3</v>
      </c>
      <c r="W24" s="90">
        <f>_xlfn.XLOOKUP(_xlfn.XLOOKUP($AT$6&amp;$B24,公表[班別+時段],公表[備勤6],""),$AY$9:$AY$25,$AZ$9:$AZ$25,"")</f>
        <v>0</v>
      </c>
      <c r="X24" s="90"/>
      <c r="Y24" s="90">
        <f>_xlfn.XLOOKUP(_xlfn.XLOOKUP($AT$6&amp;$B24,公表[班別+時段],公表[備勤7],""),$AY$9:$AY$25,$AZ$9:$AZ$25,"")</f>
        <v>0</v>
      </c>
      <c r="Z24" s="90">
        <f>_xlfn.XLOOKUP(_xlfn.XLOOKUP($AT$6&amp;$B24,公表[班別+時段],公表[備勤8],""),$AY$9:$AY$25,$AZ$9:$AZ$25,"")</f>
        <v>0</v>
      </c>
      <c r="AA24" s="90"/>
      <c r="AB24" s="90"/>
      <c r="AC24" s="90"/>
      <c r="AD24" s="90"/>
      <c r="AE24" s="90"/>
      <c r="AF24" s="91">
        <f>_xlfn.XLOOKUP(_xlfn.XLOOKUP($AT$6&amp;$B24,公表[班別+時段],公表[指揮官],""),$AY$9:$AY$25,$AZ$9:$AZ$25,"")</f>
        <v>1</v>
      </c>
      <c r="AG24" s="57" t="s">
        <v>17</v>
      </c>
      <c r="AH24" s="305" t="str" cm="1">
        <f t="array" ref="AH24">_xlfn.TEXTJOIN(".",1,_xlfn._xlws.FILTER($AP$9:$AP$40,$AR$9:$AR$40=$AG$24,""))</f>
        <v>12.13</v>
      </c>
      <c r="AI24" s="400"/>
      <c r="AJ24" s="307"/>
      <c r="AK24" s="31" t="s">
        <v>21</v>
      </c>
      <c r="AL24" s="305" t="str" cm="1">
        <f t="array" ref="AL24">_xlfn.TEXTJOIN(".",1,_xlfn._xlws.FILTER($AP$9:$AP$40,$AR$9:$AR$40=$AK$24,""))</f>
        <v>24</v>
      </c>
      <c r="AM24" s="400"/>
      <c r="AN24" s="401"/>
      <c r="AO24" s="214"/>
      <c r="AP24" s="127">
        <v>16</v>
      </c>
      <c r="AQ24" s="127" t="str">
        <v>楊弘宇</v>
      </c>
      <c r="AR24" s="127" t="str" cm="1">
        <f t="array" ref="AR24">IFERROR(_xlfn.XLOOKUP(_xlfn.XLOOKUP($AR$3,輪休基準表!$C$6:$C$36,_xlfn.XLOOKUP(AQ24,輪休基準表!$E$5:$AF$5,輪休基準表!$E$6:$AF$36,""),""),班別參數!$A$4:$A$20,班別參數!$B$4:$B$20,""),"")</f>
        <v>上班</v>
      </c>
      <c r="AS24" s="120" t="str" cm="1">
        <f t="array" ref="AS24">_xlfn.LET(
    _xlpm.番號, COUNTIF($AZ$9:$AZ$24, $AP24),
    _xlpm.已排, _xlpm.番號 &gt; 0,
    _xlpm.上班, (AR24="上班"),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T24" s="170" t="str" cm="1">
        <f t="array" ref="AT24">IF(AR24="上班",
    IF(SUMPRODUCT(--ISNUMBER(SEARCH(","&amp;AP24&amp;",", ","&amp;$I$10:$I$33&amp;",")))&gt;=2, "已排",
        IF(SUMPRODUCT(--ISNUMBER(SEARCH(","&amp;AP24&amp;",", ","&amp;$I$10:$I$33&amp;",")))=1, "缺1小時", "未排")
    ),
    IF(SUMPRODUCT(--ISNUMBER(SEARCH(","&amp;AP24&amp;",", ","&amp;$I$10:$I$33&amp;",")))&gt;0, "沒上班", "")
)</f>
        <v>已排</v>
      </c>
      <c r="AU24" s="180">
        <f t="shared" si="0"/>
        <v>6</v>
      </c>
      <c r="AV24" s="180">
        <f t="shared" si="1"/>
        <v>8</v>
      </c>
      <c r="AX24" s="33">
        <f t="array" ref="AX24">INDEX(班別參數!$D$4:$D$20,ROW()-7,MATCH($AX$8,班別參數!$D$4:$D$20,0))</f>
        <v>0</v>
      </c>
      <c r="AY24" s="43" t="str">
        <f t="array" ref="AY24">IFERROR(INDEX(班別參數!$D$4:$S$20,MATCH(AX24,班別參數!$D$4:$D$20,0),MATCH($AX$5,班別參數!$D$4:$S$4,0)),"")</f>
        <v/>
      </c>
      <c r="AZ24" s="24"/>
      <c r="BA24" s="28"/>
      <c r="BB24" s="33"/>
      <c r="BC24" s="25"/>
      <c r="BE24" s="127"/>
    </row>
    <row r="25" spans="2:57" ht="30" customHeight="1">
      <c r="B25" s="81" t="s">
        <v>88</v>
      </c>
      <c r="C25" s="87">
        <f>_xlfn.XLOOKUP(_xlfn.XLOOKUP($AT$6&amp;$B25,公表[班別+時段],公表[值班],""),$AY$9:$AY$25,$AZ$9:$AZ$25,"")</f>
        <v>7</v>
      </c>
      <c r="D25" s="95"/>
      <c r="E25" s="95"/>
      <c r="F25" s="95"/>
      <c r="G25" s="95"/>
      <c r="H25" s="95"/>
      <c r="I25" s="122">
        <v>16</v>
      </c>
      <c r="J25" s="37"/>
      <c r="K25" s="92">
        <f>_xlfn.XLOOKUP(_xlfn.XLOOKUP($AT$6&amp;$B25,公表[班別+時段],公表[救護1],""),$AY$9:$AY$25,$AZ$9:$AZ$25,"")</f>
        <v>18</v>
      </c>
      <c r="L25" s="92">
        <f>_xlfn.XLOOKUP(_xlfn.XLOOKUP($AT$6&amp;$B25,公表[班別+時段],公表[救護2],""),$AY$9:$AY$25,$AZ$9:$AZ$25,"")</f>
        <v>9</v>
      </c>
      <c r="M25" s="87"/>
      <c r="N25" s="87" t="s">
        <v>212</v>
      </c>
      <c r="O25" s="312"/>
      <c r="P25" s="87">
        <f>_xlfn.XLOOKUP(_xlfn.XLOOKUP($AT$6&amp;$B25,公表[班別+時段],公表[備勤1],""),$AY$9:$AY$25,$AZ$9:$AZ$25,"")</f>
        <v>11</v>
      </c>
      <c r="Q25" s="87">
        <f>_xlfn.XLOOKUP(_xlfn.XLOOKUP($AT$6&amp;$B25,公表[班別+時段],公表[備勤2],""),$AY$9:$AY$25,$AZ$9:$AZ$25,"")</f>
        <v>6</v>
      </c>
      <c r="R25" s="87"/>
      <c r="S25" s="87">
        <f>_xlfn.XLOOKUP(_xlfn.XLOOKUP($AT$6&amp;$B25,公表[班別+時段],公表[備勤3],""),$AY$9:$AY$25,$AZ$9:$AZ$25,"")</f>
        <v>10</v>
      </c>
      <c r="T25" s="90"/>
      <c r="U25" s="87"/>
      <c r="V25" s="87">
        <f>_xlfn.XLOOKUP(_xlfn.XLOOKUP($AT$6&amp;$B25,公表[班別+時段],公表[備勤5],""),$AY$9:$AY$25,$AZ$9:$AZ$25,"")</f>
        <v>3</v>
      </c>
      <c r="W25" s="87">
        <f>_xlfn.XLOOKUP(_xlfn.XLOOKUP($AT$6&amp;$B25,公表[班別+時段],公表[備勤6],""),$AY$9:$AY$25,$AZ$9:$AZ$25,"")</f>
        <v>0</v>
      </c>
      <c r="X25" s="87"/>
      <c r="Y25" s="87">
        <f>_xlfn.XLOOKUP(_xlfn.XLOOKUP($AT$6&amp;$B25,公表[班別+時段],公表[備勤7],""),$AY$9:$AY$25,$AZ$9:$AZ$25,"")</f>
        <v>0</v>
      </c>
      <c r="Z25" s="87">
        <f>_xlfn.XLOOKUP(_xlfn.XLOOKUP($AT$6&amp;$B25,公表[班別+時段],公表[備勤8],""),$AY$9:$AY$25,$AZ$9:$AZ$25,"")</f>
        <v>0</v>
      </c>
      <c r="AA25" s="87"/>
      <c r="AB25" s="87"/>
      <c r="AC25" s="87"/>
      <c r="AD25" s="87"/>
      <c r="AE25" s="87"/>
      <c r="AF25" s="88">
        <f>_xlfn.XLOOKUP(_xlfn.XLOOKUP($AT$6&amp;$B25,公表[班別+時段],公表[指揮官],""),$AY$9:$AY$25,$AZ$9:$AZ$25,"")</f>
        <v>1</v>
      </c>
      <c r="AG25" s="57" t="s">
        <v>28</v>
      </c>
      <c r="AH25" s="305" t="str" cm="1">
        <f t="array" ref="AH25">_xlfn.TEXTJOIN(".",1,_xlfn._xlws.FILTER($AP$9:$AP$40,$AR$9:$AR$40=$AG$25,""))</f>
        <v>15</v>
      </c>
      <c r="AI25" s="306"/>
      <c r="AJ25" s="307"/>
      <c r="AK25" s="50" t="s">
        <v>44</v>
      </c>
      <c r="AL25" s="308" t="str" cm="1">
        <f t="array" ref="AL25">_xlfn.TEXTJOIN(".",1,_xlfn._xlws.FILTER($AP$9:$AP$40,$AR$9:$AR$40=$AK$25,""))</f>
        <v>20.22</v>
      </c>
      <c r="AM25" s="309"/>
      <c r="AN25" s="310"/>
      <c r="AO25" s="214"/>
      <c r="AP25" s="127">
        <v>17</v>
      </c>
      <c r="AQ25" s="127" t="str">
        <v>楊仲豪</v>
      </c>
      <c r="AR25" s="127" t="str" cm="1">
        <f t="array" ref="AR25">IFERROR(_xlfn.XLOOKUP(_xlfn.XLOOKUP($AR$3,輪休基準表!$C$6:$C$36,_xlfn.XLOOKUP(AQ25,輪休基準表!$E$5:$AF$5,輪休基準表!$E$6:$AF$36,""),""),班別參數!$A$4:$A$20,班別參數!$B$4:$B$20,""),"")</f>
        <v>輪休</v>
      </c>
      <c r="AS25" s="120" t="str" cm="1">
        <f t="array" ref="AS25">_xlfn.LET(
    _xlpm.番號, COUNTIF($AZ$9:$AZ$24, $AP25),
    _xlpm.已排, _xlpm.番號 &gt; 0,
    _xlpm.上班, (AR25="上班"),
    _xlfn.IFS(
        _xlpm.番號 &gt; 1, "重複",
        AND(_xlpm.上班, NOT(_xlpm.已排)), "未排",
        AND(NOT(_xlpm.上班),_xlpm.已排), "沒上班",
        _xlpm.已排, "已排",
        TRUE, ""
    )
)</f>
        <v/>
      </c>
      <c r="AT25" s="170" t="str" cm="1">
        <f t="array" ref="AT25">IF(AR25="上班",
    IF(SUMPRODUCT(--ISNUMBER(SEARCH(","&amp;AP25&amp;",", ","&amp;$I$10:$I$33&amp;",")))&gt;=2, "已排",
        IF(SUMPRODUCT(--ISNUMBER(SEARCH(","&amp;AP25&amp;",", ","&amp;$I$10:$I$33&amp;",")))=1, "缺1小時", "未排")
    ),
    IF(SUMPRODUCT(--ISNUMBER(SEARCH(","&amp;AP25&amp;",", ","&amp;$I$10:$I$33&amp;",")))&gt;0, "沒上班", "")
)</f>
        <v/>
      </c>
      <c r="AU25" s="180" t="str">
        <f t="shared" si="0"/>
        <v/>
      </c>
      <c r="AV25" s="180" t="str">
        <f t="shared" si="1"/>
        <v/>
      </c>
      <c r="AX25" s="33"/>
      <c r="AY25" s="45"/>
      <c r="AZ25" s="25"/>
      <c r="BA25" s="28"/>
      <c r="BB25" s="33"/>
      <c r="BC25" s="25"/>
      <c r="BE25" s="127"/>
    </row>
    <row r="26" spans="2:57" ht="30" customHeight="1">
      <c r="B26" s="81" t="s">
        <v>89</v>
      </c>
      <c r="C26" s="87">
        <f>_xlfn.XLOOKUP(_xlfn.XLOOKUP($AT$6&amp;$B26,公表[班別+時段],公表[值班],""),$AY$9:$AY$25,$AZ$9:$AZ$25,"")</f>
        <v>7</v>
      </c>
      <c r="D26" s="95"/>
      <c r="E26" s="95"/>
      <c r="F26" s="95"/>
      <c r="G26" s="95"/>
      <c r="H26" s="95"/>
      <c r="I26" s="122">
        <v>9</v>
      </c>
      <c r="J26" s="37"/>
      <c r="K26" s="92">
        <f>_xlfn.XLOOKUP(_xlfn.XLOOKUP($AT$6&amp;$B26,公表[班別+時段],公表[救護1],""),$AY$9:$AY$25,$AZ$9:$AZ$25,"")</f>
        <v>10</v>
      </c>
      <c r="L26" s="92">
        <f>_xlfn.XLOOKUP(_xlfn.XLOOKUP($AT$6&amp;$B26,公表[班別+時段],公表[救護2],""),$AY$9:$AY$25,$AZ$9:$AZ$25,"")</f>
        <v>11</v>
      </c>
      <c r="M26" s="87"/>
      <c r="N26" s="87" t="s">
        <v>212</v>
      </c>
      <c r="O26" s="312"/>
      <c r="P26" s="87">
        <f>_xlfn.XLOOKUP(_xlfn.XLOOKUP($AT$6&amp;$B26,公表[班別+時段],公表[備勤1],""),$AY$9:$AY$25,$AZ$9:$AZ$25,"")</f>
        <v>6</v>
      </c>
      <c r="Q26" s="87">
        <f>_xlfn.XLOOKUP(_xlfn.XLOOKUP($AT$6&amp;$B26,公表[班別+時段],公表[備勤2],""),$AY$9:$AY$25,$AZ$9:$AZ$25,"")</f>
        <v>18</v>
      </c>
      <c r="R26" s="87"/>
      <c r="S26" s="87">
        <f>_xlfn.XLOOKUP(_xlfn.XLOOKUP($AT$6&amp;$B26,公表[班別+時段],公表[備勤3],""),$AY$9:$AY$25,$AZ$9:$AZ$25,"")</f>
        <v>16</v>
      </c>
      <c r="T26" s="90"/>
      <c r="U26" s="87"/>
      <c r="V26" s="87">
        <f>_xlfn.XLOOKUP(_xlfn.XLOOKUP($AT$6&amp;$B26,公表[班別+時段],公表[備勤5],""),$AY$9:$AY$25,$AZ$9:$AZ$25,"")</f>
        <v>3</v>
      </c>
      <c r="W26" s="87">
        <f>_xlfn.XLOOKUP(_xlfn.XLOOKUP($AT$6&amp;$B26,公表[班別+時段],公表[備勤6],""),$AY$9:$AY$25,$AZ$9:$AZ$25,"")</f>
        <v>0</v>
      </c>
      <c r="X26" s="87"/>
      <c r="Y26" s="87">
        <f>_xlfn.XLOOKUP(_xlfn.XLOOKUP($AT$6&amp;$B26,公表[班別+時段],公表[備勤7],""),$AY$9:$AY$25,$AZ$9:$AZ$25,"")</f>
        <v>0</v>
      </c>
      <c r="Z26" s="87">
        <f>_xlfn.XLOOKUP(_xlfn.XLOOKUP($AT$6&amp;$B26,公表[班別+時段],公表[備勤8],""),$AY$9:$AY$25,$AZ$9:$AZ$25,"")</f>
        <v>0</v>
      </c>
      <c r="AA26" s="87"/>
      <c r="AB26" s="87"/>
      <c r="AC26" s="87"/>
      <c r="AD26" s="87"/>
      <c r="AE26" s="87"/>
      <c r="AF26" s="88">
        <f>_xlfn.XLOOKUP(_xlfn.XLOOKUP($AT$6&amp;$B26,公表[班別+時段],公表[指揮官],""),$AY$9:$AY$25,$AZ$9:$AZ$25,"")</f>
        <v>1</v>
      </c>
      <c r="AG26" s="57" t="s">
        <v>289</v>
      </c>
      <c r="AH26" s="178" t="str" cm="1">
        <f t="array" ref="AH26">_xlfn.TEXTJOIN(".",1,_xlfn._xlws.FILTER($AP$9:$AP$40,$AR$9:$AR$40=$AG$26,""))</f>
        <v/>
      </c>
      <c r="AI26" s="168" t="s">
        <v>290</v>
      </c>
      <c r="AJ26" s="179" t="str" cm="1">
        <f t="array" ref="AJ26">_xlfn.TEXTJOIN(".",1,_xlfn._xlws.FILTER($AP$9:$AP$40,$AR$9:$AR$40=$AI$26,""))</f>
        <v/>
      </c>
      <c r="AK26" s="169" t="s">
        <v>287</v>
      </c>
      <c r="AL26" s="171" t="str" cm="1">
        <f t="array" ref="AL26">_xlfn.TEXTJOIN(".",1,_xlfn._xlws.FILTER($AP$9:$AP$40,$AR$9:$AR$40=$AK$26,""))</f>
        <v/>
      </c>
      <c r="AM26" s="169" t="s">
        <v>291</v>
      </c>
      <c r="AN26" s="172" t="str" cm="1">
        <f t="array" ref="AN26">_xlfn.TEXTJOIN(".",1,_xlfn._xlws.FILTER($AP$9:$AP$40,$AR$9:$AR$40=$AM$26,""))</f>
        <v/>
      </c>
      <c r="AO26" s="214"/>
      <c r="AP26" s="127">
        <v>18</v>
      </c>
      <c r="AQ26" s="127" t="str">
        <v>林志偉</v>
      </c>
      <c r="AR26" s="127" t="str" cm="1">
        <f t="array" ref="AR26">IFERROR(_xlfn.XLOOKUP(_xlfn.XLOOKUP($AR$3,輪休基準表!$C$6:$C$36,_xlfn.XLOOKUP(AQ26,輪休基準表!$E$5:$AF$5,輪休基準表!$E$6:$AF$36,""),""),班別參數!$A$4:$A$20,班別參數!$B$4:$B$20,""),"")</f>
        <v>上班</v>
      </c>
      <c r="AS26" s="120" t="str" cm="1">
        <f t="array" ref="AS26">_xlfn.LET(
    _xlpm.番號, COUNTIF($AZ$9:$AZ$24, $AP26),
    _xlpm.已排, _xlpm.番號 &gt; 0,
    _xlpm.上班, (AR26="上班"),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T26" s="170" t="str" cm="1">
        <f t="array" ref="AT26">IF(AR26="上班",
    IF(SUMPRODUCT(--ISNUMBER(SEARCH(","&amp;AP26&amp;",", ","&amp;$I$10:$I$33&amp;",")))&gt;=2, "已排",
        IF(SUMPRODUCT(--ISNUMBER(SEARCH(","&amp;AP26&amp;",", ","&amp;$I$10:$I$33&amp;",")))=1, "缺1小時", "未排")
    ),
    IF(SUMPRODUCT(--ISNUMBER(SEARCH(","&amp;AP26&amp;",", ","&amp;$I$10:$I$33&amp;",")))&gt;0, "沒上班", "")
)</f>
        <v>已排</v>
      </c>
      <c r="AU26" s="180">
        <f t="shared" si="0"/>
        <v>8</v>
      </c>
      <c r="AV26" s="180">
        <f t="shared" si="1"/>
        <v>8</v>
      </c>
      <c r="AW26" s="10"/>
      <c r="AX26" s="46"/>
      <c r="AY26" s="45"/>
      <c r="AZ26" s="25"/>
      <c r="BA26" s="28"/>
      <c r="BB26" s="33"/>
      <c r="BC26" s="25"/>
      <c r="BE26" s="127"/>
    </row>
    <row r="27" spans="2:57" ht="30" customHeight="1">
      <c r="B27" s="81" t="s">
        <v>90</v>
      </c>
      <c r="C27" s="87">
        <f>_xlfn.XLOOKUP(_xlfn.XLOOKUP($AT$6&amp;$B27,公表[班別+時段],公表[值班],""),$AY$9:$AY$25,$AZ$9:$AZ$25,"")</f>
        <v>7</v>
      </c>
      <c r="D27" s="95"/>
      <c r="E27" s="95"/>
      <c r="F27" s="95"/>
      <c r="G27" s="95"/>
      <c r="H27" s="95"/>
      <c r="I27" s="122">
        <v>9</v>
      </c>
      <c r="J27" s="37"/>
      <c r="K27" s="92">
        <f>_xlfn.XLOOKUP(_xlfn.XLOOKUP($AT$6&amp;$B27,公表[班別+時段],公表[救護1],""),$AY$9:$AY$25,$AZ$9:$AZ$25,"")</f>
        <v>10</v>
      </c>
      <c r="L27" s="92">
        <f>_xlfn.XLOOKUP(_xlfn.XLOOKUP($AT$6&amp;$B27,公表[班別+時段],公表[救護2],""),$AY$9:$AY$25,$AZ$9:$AZ$25,"")</f>
        <v>11</v>
      </c>
      <c r="M27" s="87"/>
      <c r="N27" s="87" t="s">
        <v>212</v>
      </c>
      <c r="O27" s="312"/>
      <c r="P27" s="87">
        <f>_xlfn.XLOOKUP(_xlfn.XLOOKUP($AT$6&amp;$B27,公表[班別+時段],公表[備勤1],""),$AY$9:$AY$25,$AZ$9:$AZ$25,"")</f>
        <v>6</v>
      </c>
      <c r="Q27" s="87">
        <f>_xlfn.XLOOKUP(_xlfn.XLOOKUP($AT$6&amp;$B27,公表[班別+時段],公表[備勤2],""),$AY$9:$AY$25,$AZ$9:$AZ$25,"")</f>
        <v>18</v>
      </c>
      <c r="R27" s="87"/>
      <c r="S27" s="87">
        <f>_xlfn.XLOOKUP(_xlfn.XLOOKUP($AT$6&amp;$B27,公表[班別+時段],公表[備勤3],""),$AY$9:$AY$25,$AZ$9:$AZ$25,"")</f>
        <v>16</v>
      </c>
      <c r="T27" s="90"/>
      <c r="U27" s="87"/>
      <c r="V27" s="87">
        <f>_xlfn.XLOOKUP(_xlfn.XLOOKUP($AT$6&amp;$B27,公表[班別+時段],公表[備勤5],""),$AY$9:$AY$25,$AZ$9:$AZ$25,"")</f>
        <v>3</v>
      </c>
      <c r="W27" s="87">
        <f>_xlfn.XLOOKUP(_xlfn.XLOOKUP($AT$6&amp;$B27,公表[班別+時段],公表[備勤6],""),$AY$9:$AY$25,$AZ$9:$AZ$25,"")</f>
        <v>0</v>
      </c>
      <c r="X27" s="87"/>
      <c r="Y27" s="87">
        <f>_xlfn.XLOOKUP(_xlfn.XLOOKUP($AT$6&amp;$B27,公表[班別+時段],公表[備勤7],""),$AY$9:$AY$25,$AZ$9:$AZ$25,"")</f>
        <v>0</v>
      </c>
      <c r="Z27" s="87">
        <f>_xlfn.XLOOKUP(_xlfn.XLOOKUP($AT$6&amp;$B27,公表[班別+時段],公表[備勤8],""),$AY$9:$AY$25,$AZ$9:$AZ$25,"")</f>
        <v>0</v>
      </c>
      <c r="AA27" s="87"/>
      <c r="AB27" s="87"/>
      <c r="AC27" s="87"/>
      <c r="AD27" s="87"/>
      <c r="AE27" s="87"/>
      <c r="AF27" s="88">
        <f>_xlfn.XLOOKUP(_xlfn.XLOOKUP($AT$6&amp;$B27,公表[班別+時段],公表[指揮官],""),$AY$9:$AY$25,$AZ$9:$AZ$25,"")</f>
        <v>1</v>
      </c>
      <c r="AG27" s="317" t="s">
        <v>215</v>
      </c>
      <c r="AH27" s="319"/>
      <c r="AI27" s="321"/>
      <c r="AJ27" s="321"/>
      <c r="AK27" s="321"/>
      <c r="AL27" s="321"/>
      <c r="AM27" s="321"/>
      <c r="AN27" s="322"/>
      <c r="AO27" s="214"/>
      <c r="AP27" s="127">
        <v>19</v>
      </c>
      <c r="AQ27" s="127" t="str">
        <v>劉家誠</v>
      </c>
      <c r="AR27" s="127" t="str" cm="1">
        <f t="array" ref="AR27">IFERROR(_xlfn.XLOOKUP(_xlfn.XLOOKUP($AR$3,輪休基準表!$C$6:$C$36,_xlfn.XLOOKUP(AQ27,輪休基準表!$E$5:$AF$5,輪休基準表!$E$6:$AF$36,""),""),班別參數!$A$4:$A$20,班別參數!$B$4:$B$20,""),"")</f>
        <v>輪休</v>
      </c>
      <c r="AS27" s="120" t="str" cm="1">
        <f t="array" ref="AS27">_xlfn.LET(
    _xlpm.番號, COUNTIF($AZ$9:$AZ$24, $AP27),
    _xlpm.已排, _xlpm.番號 &gt; 0,
    _xlpm.上班, (AR27="上班"),
    _xlfn.IFS(
        _xlpm.番號 &gt; 1, "重複",
        AND(_xlpm.上班, NOT(_xlpm.已排)), "未排",
        AND(NOT(_xlpm.上班),_xlpm.已排), "沒上班",
        _xlpm.已排, "已排",
        TRUE, ""
    )
)</f>
        <v/>
      </c>
      <c r="AT27" s="170" t="str" cm="1">
        <f t="array" ref="AT27">IF(AR27="上班",
    IF(SUMPRODUCT(--ISNUMBER(SEARCH(","&amp;AP27&amp;",", ","&amp;$I$10:$I$33&amp;",")))&gt;=2, "已排",
        IF(SUMPRODUCT(--ISNUMBER(SEARCH(","&amp;AP27&amp;",", ","&amp;$I$10:$I$33&amp;",")))=1, "缺1小時", "未排")
    ),
    IF(SUMPRODUCT(--ISNUMBER(SEARCH(","&amp;AP27&amp;",", ","&amp;$I$10:$I$33&amp;",")))&gt;0, "沒上班", "")
)</f>
        <v/>
      </c>
      <c r="AU27" s="180" t="str">
        <f t="shared" si="0"/>
        <v/>
      </c>
      <c r="AV27" s="180" t="str">
        <f t="shared" si="1"/>
        <v/>
      </c>
      <c r="AW27" s="10"/>
      <c r="AX27" s="46"/>
      <c r="AY27" s="45"/>
      <c r="AZ27" s="25"/>
      <c r="BA27" s="28"/>
      <c r="BB27" s="33"/>
      <c r="BC27" s="25"/>
      <c r="BE27" s="127"/>
    </row>
    <row r="28" spans="2:57" ht="30" customHeight="1">
      <c r="B28" s="81" t="s">
        <v>91</v>
      </c>
      <c r="C28" s="87">
        <f>_xlfn.XLOOKUP(_xlfn.XLOOKUP($AT$6&amp;$B28,公表[班別+時段],公表[值班],""),$AY$9:$AY$25,$AZ$9:$AZ$25,"")</f>
        <v>7</v>
      </c>
      <c r="D28" s="95"/>
      <c r="E28" s="95"/>
      <c r="F28" s="95"/>
      <c r="G28" s="95"/>
      <c r="H28" s="95"/>
      <c r="I28" s="122">
        <v>3</v>
      </c>
      <c r="J28" s="37"/>
      <c r="K28" s="92">
        <f>_xlfn.XLOOKUP(_xlfn.XLOOKUP($AT$6&amp;$B28,公表[班別+時段],公表[救護1],""),$AY$9:$AY$25,$AZ$9:$AZ$25,"")</f>
        <v>10</v>
      </c>
      <c r="L28" s="92">
        <f>_xlfn.XLOOKUP(_xlfn.XLOOKUP($AT$6&amp;$B28,公表[班別+時段],公表[救護2],""),$AY$9:$AY$25,$AZ$9:$AZ$25,"")</f>
        <v>11</v>
      </c>
      <c r="M28" s="87"/>
      <c r="N28" s="87" t="s">
        <v>212</v>
      </c>
      <c r="O28" s="312"/>
      <c r="P28" s="87">
        <f>_xlfn.XLOOKUP(_xlfn.XLOOKUP($AT$6&amp;$B28,公表[班別+時段],公表[備勤1],""),$AY$9:$AY$25,$AZ$9:$AZ$25,"")</f>
        <v>9</v>
      </c>
      <c r="Q28" s="87">
        <f>_xlfn.XLOOKUP(_xlfn.XLOOKUP($AT$6&amp;$B28,公表[班別+時段],公表[備勤2],""),$AY$9:$AY$25,$AZ$9:$AZ$25,"")</f>
        <v>16</v>
      </c>
      <c r="R28" s="87"/>
      <c r="S28" s="87">
        <f>_xlfn.XLOOKUP(_xlfn.XLOOKUP($AT$6&amp;$B28,公表[班別+時段],公表[備勤3],""),$AY$9:$AY$25,$AZ$9:$AZ$25,"")</f>
        <v>6</v>
      </c>
      <c r="T28" s="90">
        <f>_xlfn.XLOOKUP(_xlfn.XLOOKUP($AT$6&amp;$B28,公表[班別+時段],公表[備勤4],""),$AY$9:$AY$25,$AZ$9:$AZ$25,"")</f>
        <v>18</v>
      </c>
      <c r="U28" s="87"/>
      <c r="V28" s="87"/>
      <c r="W28" s="87">
        <f>_xlfn.XLOOKUP(_xlfn.XLOOKUP($AT$6&amp;$B28,公表[班別+時段],公表[備勤6],""),$AY$9:$AY$25,$AZ$9:$AZ$25,"")</f>
        <v>0</v>
      </c>
      <c r="X28" s="87"/>
      <c r="Y28" s="87">
        <f>_xlfn.XLOOKUP(_xlfn.XLOOKUP($AT$6&amp;$B28,公表[班別+時段],公表[備勤7],""),$AY$9:$AY$25,$AZ$9:$AZ$25,"")</f>
        <v>0</v>
      </c>
      <c r="Z28" s="87">
        <f>_xlfn.XLOOKUP(_xlfn.XLOOKUP($AT$6&amp;$B28,公表[班別+時段],公表[備勤8],""),$AY$9:$AY$25,$AZ$9:$AZ$25,"")</f>
        <v>0</v>
      </c>
      <c r="AA28" s="87"/>
      <c r="AB28" s="87"/>
      <c r="AC28" s="87"/>
      <c r="AD28" s="87"/>
      <c r="AE28" s="87"/>
      <c r="AF28" s="88">
        <f>_xlfn.XLOOKUP(_xlfn.XLOOKUP($AT$6&amp;$B28,公表[班別+時段],公表[指揮官],""),$AY$9:$AY$25,$AZ$9:$AZ$25,"")</f>
        <v>1</v>
      </c>
      <c r="AG28" s="318"/>
      <c r="AH28" s="319"/>
      <c r="AI28" s="321"/>
      <c r="AJ28" s="321"/>
      <c r="AK28" s="321"/>
      <c r="AL28" s="321"/>
      <c r="AM28" s="321"/>
      <c r="AN28" s="322"/>
      <c r="AO28" s="214"/>
      <c r="AP28" s="127">
        <v>20</v>
      </c>
      <c r="AQ28" s="127" t="str">
        <v>呂奇霈</v>
      </c>
      <c r="AR28" s="127" t="str" cm="1">
        <f t="array" ref="AR28">IFERROR(_xlfn.XLOOKUP(_xlfn.XLOOKUP($AR$3,輪休基準表!$C$6:$C$36,_xlfn.XLOOKUP(AQ28,輪休基準表!$E$5:$AF$5,輪休基準表!$E$6:$AF$36,""),""),班別參數!$A$4:$A$20,班別參數!$B$4:$B$20,""),"")</f>
        <v>公假</v>
      </c>
      <c r="AS28" s="120" t="str" cm="1">
        <f t="array" ref="AS28">_xlfn.LET(
    _xlpm.番號, COUNTIF($AZ$9:$AZ$24, $AP28),
    _xlpm.已排, _xlpm.番號 &gt; 0,
    _xlpm.上班, (AR28="上班"),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T28" s="170" t="str" cm="1">
        <f t="array" ref="AT28">IF(AR28="上班",
    IF(SUMPRODUCT(--ISNUMBER(SEARCH(","&amp;AP28&amp;",", ","&amp;$I$10:$I$33&amp;",")))&gt;=2, "已排",
        IF(SUMPRODUCT(--ISNUMBER(SEARCH(","&amp;AP28&amp;",", ","&amp;$I$10:$I$33&amp;",")))=1, "缺1小時", "未排")
    ),
    IF(SUMPRODUCT(--ISNUMBER(SEARCH(","&amp;AP28&amp;",", ","&amp;$I$10:$I$33&amp;",")))&gt;0, "沒上班", "")
)</f>
        <v/>
      </c>
      <c r="AU28" s="180" t="str">
        <f t="shared" si="0"/>
        <v/>
      </c>
      <c r="AV28" s="180" t="str">
        <f t="shared" si="1"/>
        <v/>
      </c>
      <c r="AW28" s="10"/>
      <c r="AX28" s="47"/>
      <c r="AY28" s="45"/>
      <c r="AZ28" s="25"/>
      <c r="BA28" s="28"/>
      <c r="BB28" s="33"/>
      <c r="BC28" s="25"/>
      <c r="BE28" s="127"/>
    </row>
    <row r="29" spans="2:57" ht="30" customHeight="1">
      <c r="B29" s="81" t="s">
        <v>92</v>
      </c>
      <c r="C29" s="87">
        <f>_xlfn.XLOOKUP(_xlfn.XLOOKUP($AT$6&amp;$B29,公表[班別+時段],公表[值班],""),$AY$9:$AY$25,$AZ$9:$AZ$25,"")</f>
        <v>7</v>
      </c>
      <c r="D29" s="95"/>
      <c r="E29" s="95"/>
      <c r="F29" s="95"/>
      <c r="G29" s="95"/>
      <c r="H29" s="95"/>
      <c r="I29" s="122">
        <v>3</v>
      </c>
      <c r="J29" s="37"/>
      <c r="K29" s="92">
        <f>_xlfn.XLOOKUP(_xlfn.XLOOKUP($AT$6&amp;$B29,公表[班別+時段],公表[救護1],""),$AY$9:$AY$25,$AZ$9:$AZ$25,"")</f>
        <v>10</v>
      </c>
      <c r="L29" s="92">
        <f>_xlfn.XLOOKUP(_xlfn.XLOOKUP($AT$6&amp;$B29,公表[班別+時段],公表[救護2],""),$AY$9:$AY$25,$AZ$9:$AZ$25,"")</f>
        <v>11</v>
      </c>
      <c r="M29" s="87"/>
      <c r="N29" s="87" t="s">
        <v>212</v>
      </c>
      <c r="O29" s="312"/>
      <c r="P29" s="87">
        <f>_xlfn.XLOOKUP(_xlfn.XLOOKUP($AT$6&amp;$B29,公表[班別+時段],公表[備勤1],""),$AY$9:$AY$25,$AZ$9:$AZ$25,"")</f>
        <v>9</v>
      </c>
      <c r="Q29" s="87">
        <f>_xlfn.XLOOKUP(_xlfn.XLOOKUP($AT$6&amp;$B29,公表[班別+時段],公表[備勤2],""),$AY$9:$AY$25,$AZ$9:$AZ$25,"")</f>
        <v>16</v>
      </c>
      <c r="R29" s="87"/>
      <c r="S29" s="87">
        <f>_xlfn.XLOOKUP(_xlfn.XLOOKUP($AT$6&amp;$B29,公表[班別+時段],公表[備勤3],""),$AY$9:$AY$25,$AZ$9:$AZ$25,"")</f>
        <v>6</v>
      </c>
      <c r="T29" s="90">
        <f>_xlfn.XLOOKUP(_xlfn.XLOOKUP($AT$6&amp;$B29,公表[班別+時段],公表[備勤4],""),$AY$9:$AY$25,$AZ$9:$AZ$25,"")</f>
        <v>18</v>
      </c>
      <c r="U29" s="87"/>
      <c r="V29" s="87"/>
      <c r="W29" s="87">
        <f>_xlfn.XLOOKUP(_xlfn.XLOOKUP($AT$6&amp;$B29,公表[班別+時段],公表[備勤6],""),$AY$9:$AY$25,$AZ$9:$AZ$25,"")</f>
        <v>0</v>
      </c>
      <c r="X29" s="87"/>
      <c r="Y29" s="87">
        <f>_xlfn.XLOOKUP(_xlfn.XLOOKUP($AT$6&amp;$B29,公表[班別+時段],公表[備勤7],""),$AY$9:$AY$25,$AZ$9:$AZ$25,"")</f>
        <v>0</v>
      </c>
      <c r="Z29" s="87">
        <f>_xlfn.XLOOKUP(_xlfn.XLOOKUP($AT$6&amp;$B29,公表[班別+時段],公表[備勤8],""),$AY$9:$AY$25,$AZ$9:$AZ$25,"")</f>
        <v>0</v>
      </c>
      <c r="AA29" s="87"/>
      <c r="AB29" s="87"/>
      <c r="AC29" s="87"/>
      <c r="AD29" s="87"/>
      <c r="AE29" s="87"/>
      <c r="AF29" s="88">
        <f>_xlfn.XLOOKUP(_xlfn.XLOOKUP($AT$6&amp;$B29,公表[班別+時段],公表[指揮官],""),$AY$9:$AY$25,$AZ$9:$AZ$25,"")</f>
        <v>1</v>
      </c>
      <c r="AG29" s="323" t="s">
        <v>216</v>
      </c>
      <c r="AH29" s="324"/>
      <c r="AI29" s="324"/>
      <c r="AJ29" s="324"/>
      <c r="AK29" s="324"/>
      <c r="AL29" s="324"/>
      <c r="AM29" s="324"/>
      <c r="AN29" s="325"/>
      <c r="AO29" s="214"/>
      <c r="AP29" s="127">
        <v>21</v>
      </c>
      <c r="AQ29" s="127" t="str">
        <v>張家和</v>
      </c>
      <c r="AR29" s="127" t="str" cm="1">
        <f t="array" ref="AR29">IFERROR(_xlfn.XLOOKUP(_xlfn.XLOOKUP($AR$3,輪休基準表!$C$6:$C$36,_xlfn.XLOOKUP(AQ29,輪休基準表!$E$5:$AF$5,輪休基準表!$E$6:$AF$36,""),""),班別參數!$A$4:$A$20,班別參數!$B$4:$B$20,""),"")</f>
        <v>輪休</v>
      </c>
      <c r="AS29" s="120" t="str" cm="1">
        <f t="array" ref="AS29">_xlfn.LET(
    _xlpm.番號, COUNTIF($AZ$9:$AZ$24, $AP29),
    _xlpm.已排, _xlpm.番號 &gt; 0,
    _xlpm.上班, (AR29="上班"),
    _xlfn.IFS(
        _xlpm.番號 &gt; 1, "重複",
        AND(_xlpm.上班, NOT(_xlpm.已排)), "未排",
        AND(NOT(_xlpm.上班),_xlpm.已排), "沒上班",
        _xlpm.已排, "已排",
        TRUE, ""
    )
)</f>
        <v/>
      </c>
      <c r="AT29" s="170" t="str" cm="1">
        <f t="array" ref="AT29">IF(AR29="上班",
    IF(SUMPRODUCT(--ISNUMBER(SEARCH(","&amp;AP29&amp;",", ","&amp;$I$10:$I$33&amp;",")))&gt;=2, "已排",
        IF(SUMPRODUCT(--ISNUMBER(SEARCH(","&amp;AP29&amp;",", ","&amp;$I$10:$I$33&amp;",")))=1, "缺1小時", "未排")
    ),
    IF(SUMPRODUCT(--ISNUMBER(SEARCH(","&amp;AP29&amp;",", ","&amp;$I$10:$I$33&amp;",")))&gt;0, "沒上班", "")
)</f>
        <v/>
      </c>
      <c r="AU29" s="180" t="str">
        <f t="shared" si="0"/>
        <v/>
      </c>
      <c r="AV29" s="180" t="str">
        <f t="shared" si="1"/>
        <v/>
      </c>
      <c r="AW29" s="10"/>
      <c r="AX29" s="47"/>
      <c r="AY29" s="45"/>
      <c r="AZ29" s="25"/>
      <c r="BA29" s="28"/>
      <c r="BB29" s="33"/>
      <c r="BC29" s="25"/>
      <c r="BE29" s="127"/>
    </row>
    <row r="30" spans="2:57" ht="30" customHeight="1">
      <c r="B30" s="81" t="s">
        <v>93</v>
      </c>
      <c r="C30" s="87">
        <f>_xlfn.XLOOKUP(_xlfn.XLOOKUP($AT$6&amp;$B30,公表[班別+時段],公表[值班],""),$AY$9:$AY$25,$AZ$9:$AZ$25,"")</f>
        <v>7</v>
      </c>
      <c r="D30" s="95"/>
      <c r="E30" s="95"/>
      <c r="F30" s="95"/>
      <c r="G30" s="95"/>
      <c r="H30" s="95"/>
      <c r="I30" s="122" t="str">
        <f>IF(BD19="","",BD19)</f>
        <v/>
      </c>
      <c r="J30" s="37"/>
      <c r="K30" s="92">
        <f>_xlfn.XLOOKUP(_xlfn.XLOOKUP($AT$6&amp;$B30,公表[班別+時段],公表[救護1],""),$AY$9:$AY$25,$AZ$9:$AZ$25,"")</f>
        <v>9</v>
      </c>
      <c r="L30" s="92">
        <f>_xlfn.XLOOKUP(_xlfn.XLOOKUP($AT$6&amp;$B30,公表[班別+時段],公表[救護2],""),$AY$9:$AY$25,$AZ$9:$AZ$25,"")</f>
        <v>16</v>
      </c>
      <c r="M30" s="87"/>
      <c r="N30" s="87" t="s">
        <v>212</v>
      </c>
      <c r="O30" s="312"/>
      <c r="P30" s="87">
        <f>_xlfn.XLOOKUP(_xlfn.XLOOKUP($AT$6&amp;$B30,公表[班別+時段],公表[備勤1],""),$AY$9:$AY$25,$AZ$9:$AZ$25,"")</f>
        <v>10</v>
      </c>
      <c r="Q30" s="87">
        <f>_xlfn.XLOOKUP(_xlfn.XLOOKUP($AT$6&amp;$B30,公表[班別+時段],公表[備勤2],""),$AY$9:$AY$25,$AZ$9:$AZ$25,"")</f>
        <v>18</v>
      </c>
      <c r="R30" s="87"/>
      <c r="S30" s="87">
        <f>_xlfn.XLOOKUP(_xlfn.XLOOKUP($AT$6&amp;$B30,公表[班別+時段],公表[備勤3],""),$AY$9:$AY$25,$AZ$9:$AZ$25,"")</f>
        <v>11</v>
      </c>
      <c r="T30" s="90">
        <f>_xlfn.XLOOKUP(_xlfn.XLOOKUP($AT$6&amp;$B30,公表[班別+時段],公表[備勤4],""),$AY$9:$AY$25,$AZ$9:$AZ$25,"")</f>
        <v>6</v>
      </c>
      <c r="U30" s="87"/>
      <c r="V30" s="87">
        <f>_xlfn.XLOOKUP(_xlfn.XLOOKUP($AT$6&amp;$B30,公表[班別+時段],公表[備勤5],""),$AY$9:$AY$25,$AZ$9:$AZ$25,"")</f>
        <v>3</v>
      </c>
      <c r="W30" s="87">
        <f>_xlfn.XLOOKUP(_xlfn.XLOOKUP($AT$6&amp;$B30,公表[班別+時段],公表[備勤6],""),$AY$9:$AY$25,$AZ$9:$AZ$25,"")</f>
        <v>0</v>
      </c>
      <c r="X30" s="87"/>
      <c r="Y30" s="87">
        <f>_xlfn.XLOOKUP(_xlfn.XLOOKUP($AT$6&amp;$B30,公表[班別+時段],公表[備勤7],""),$AY$9:$AY$25,$AZ$9:$AZ$25,"")</f>
        <v>0</v>
      </c>
      <c r="Z30" s="87">
        <f>_xlfn.XLOOKUP(_xlfn.XLOOKUP($AT$6&amp;$B30,公表[班別+時段],公表[備勤8],""),$AY$9:$AY$25,$AZ$9:$AZ$25,"")</f>
        <v>0</v>
      </c>
      <c r="AA30" s="87"/>
      <c r="AB30" s="87"/>
      <c r="AC30" s="87"/>
      <c r="AD30" s="87"/>
      <c r="AE30" s="87"/>
      <c r="AF30" s="88">
        <f>_xlfn.XLOOKUP(_xlfn.XLOOKUP($AT$6&amp;$B30,公表[班別+時段],公表[指揮官],""),$AY$9:$AY$25,$AZ$9:$AZ$25,"")</f>
        <v>1</v>
      </c>
      <c r="AG30" s="323" t="s">
        <v>217</v>
      </c>
      <c r="AH30" s="327"/>
      <c r="AI30" s="326" t="s">
        <v>218</v>
      </c>
      <c r="AJ30" s="327"/>
      <c r="AK30" s="326" t="s">
        <v>219</v>
      </c>
      <c r="AL30" s="327"/>
      <c r="AM30" s="26" t="s">
        <v>220</v>
      </c>
      <c r="AN30" s="124" t="s">
        <v>221</v>
      </c>
      <c r="AO30" s="214"/>
      <c r="AP30" s="127">
        <v>22</v>
      </c>
      <c r="AQ30" s="127" t="str">
        <v>陳俊瑋</v>
      </c>
      <c r="AR30" s="127" t="str" cm="1">
        <f t="array" ref="AR30">IFERROR(_xlfn.XLOOKUP(_xlfn.XLOOKUP($AR$3,輪休基準表!$C$6:$C$36,_xlfn.XLOOKUP(AQ30,輪休基準表!$E$5:$AF$5,輪休基準表!$E$6:$AF$36,""),""),班別參數!$A$4:$A$20,班別參數!$B$4:$B$20,""),"")</f>
        <v>公假</v>
      </c>
      <c r="AS30" s="120" t="str" cm="1">
        <f t="array" ref="AS30">_xlfn.LET(
    _xlpm.番號, COUNTIF($AZ$9:$AZ$24, $AP30),
    _xlpm.已排, _xlpm.番號 &gt; 0,
    _xlpm.上班, (AR30="上班"),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T30" s="170" t="str" cm="1">
        <f t="array" ref="AT30">IF(AR30="上班",
    IF(SUMPRODUCT(--ISNUMBER(SEARCH(","&amp;AP30&amp;",", ","&amp;$I$10:$I$33&amp;",")))&gt;=2, "已排",
        IF(SUMPRODUCT(--ISNUMBER(SEARCH(","&amp;AP30&amp;",", ","&amp;$I$10:$I$33&amp;",")))=1, "缺1小時", "未排")
    ),
    IF(SUMPRODUCT(--ISNUMBER(SEARCH(","&amp;AP30&amp;",", ","&amp;$I$10:$I$33&amp;",")))&gt;0, "沒上班", "")
)</f>
        <v/>
      </c>
      <c r="AU30" s="180" t="str">
        <f t="shared" si="0"/>
        <v/>
      </c>
      <c r="AV30" s="180" t="str">
        <f t="shared" si="1"/>
        <v/>
      </c>
      <c r="AW30" s="10"/>
      <c r="AX30" s="47"/>
      <c r="AY30" s="45"/>
      <c r="AZ30" s="25"/>
      <c r="BA30" s="28"/>
      <c r="BB30" s="33"/>
      <c r="BC30" s="25"/>
      <c r="BE30" s="127"/>
    </row>
    <row r="31" spans="2:57" ht="30" customHeight="1" thickBot="1">
      <c r="B31" s="110" t="s">
        <v>94</v>
      </c>
      <c r="C31" s="89">
        <f>_xlfn.XLOOKUP(_xlfn.XLOOKUP($AT$6&amp;$B31,公表[班別+時段],公表[值班],""),$AY$9:$AY$25,$AZ$9:$AZ$25,"")</f>
        <v>7</v>
      </c>
      <c r="D31" s="106"/>
      <c r="E31" s="96"/>
      <c r="F31" s="96"/>
      <c r="G31" s="96"/>
      <c r="H31" s="96"/>
      <c r="I31" s="123" t="str">
        <f>IF(BD19="","",BD19)</f>
        <v/>
      </c>
      <c r="J31" s="109"/>
      <c r="K31" s="216">
        <f>_xlfn.XLOOKUP(_xlfn.XLOOKUP($AT$6&amp;$B31,公表[班別+時段],公表[救護1],""),$AY$9:$AY$25,$AZ$9:$AZ$25,"")</f>
        <v>9</v>
      </c>
      <c r="L31" s="216">
        <f>_xlfn.XLOOKUP(_xlfn.XLOOKUP($AT$6&amp;$B31,公表[班別+時段],公表[救護2],""),$AY$9:$AY$25,$AZ$9:$AZ$25,"")</f>
        <v>16</v>
      </c>
      <c r="M31" s="108"/>
      <c r="N31" s="93" t="s">
        <v>212</v>
      </c>
      <c r="O31" s="312"/>
      <c r="P31" s="89">
        <f>_xlfn.XLOOKUP(_xlfn.XLOOKUP($AT$6&amp;$B31,公表[班別+時段],公表[備勤1],""),$AY$9:$AY$25,$AZ$9:$AZ$25,"")</f>
        <v>10</v>
      </c>
      <c r="Q31" s="89">
        <f>_xlfn.XLOOKUP(_xlfn.XLOOKUP($AT$6&amp;$B31,公表[班別+時段],公表[備勤2],""),$AY$9:$AY$25,$AZ$9:$AZ$25,"")</f>
        <v>18</v>
      </c>
      <c r="R31" s="89"/>
      <c r="S31" s="89">
        <f>_xlfn.XLOOKUP(_xlfn.XLOOKUP($AT$6&amp;$B31,公表[班別+時段],公表[備勤3],""),$AY$9:$AY$25,$AZ$9:$AZ$25,"")</f>
        <v>11</v>
      </c>
      <c r="T31" s="90">
        <f>_xlfn.XLOOKUP(_xlfn.XLOOKUP($AT$6&amp;$B31,公表[班別+時段],公表[備勤4],""),$AY$9:$AY$25,$AZ$9:$AZ$25,"")</f>
        <v>6</v>
      </c>
      <c r="U31" s="89"/>
      <c r="V31" s="89">
        <f>_xlfn.XLOOKUP(_xlfn.XLOOKUP($AT$6&amp;$B31,公表[班別+時段],公表[備勤5],""),$AY$9:$AY$25,$AZ$9:$AZ$25,"")</f>
        <v>3</v>
      </c>
      <c r="W31" s="89">
        <f>_xlfn.XLOOKUP(_xlfn.XLOOKUP($AT$6&amp;$B31,公表[班別+時段],公表[備勤6],""),$AY$9:$AY$25,$AZ$9:$AZ$25,"")</f>
        <v>0</v>
      </c>
      <c r="X31" s="89"/>
      <c r="Y31" s="89">
        <f>_xlfn.XLOOKUP(_xlfn.XLOOKUP($AT$6&amp;$B31,公表[班別+時段],公表[備勤7],""),$AY$9:$AY$25,$AZ$9:$AZ$25,"")</f>
        <v>0</v>
      </c>
      <c r="Z31" s="89">
        <f>_xlfn.XLOOKUP(_xlfn.XLOOKUP($AT$6&amp;$B31,公表[班別+時段],公表[備勤8],""),$AY$9:$AY$25,$AZ$9:$AZ$25,"")</f>
        <v>0</v>
      </c>
      <c r="AA31" s="89"/>
      <c r="AB31" s="89"/>
      <c r="AC31" s="89"/>
      <c r="AD31" s="89"/>
      <c r="AE31" s="89"/>
      <c r="AF31" s="104">
        <f>_xlfn.XLOOKUP(_xlfn.XLOOKUP($AT$6&amp;$B31,公表[班別+時段],公表[指揮官],""),$AY$9:$AY$25,$AZ$9:$AZ$25,"")</f>
        <v>1</v>
      </c>
      <c r="AG31" s="330"/>
      <c r="AH31" s="327"/>
      <c r="AI31" s="346"/>
      <c r="AJ31" s="327"/>
      <c r="AK31" s="346"/>
      <c r="AL31" s="327"/>
      <c r="AM31" s="22"/>
      <c r="AN31" s="59"/>
      <c r="AO31" s="214"/>
      <c r="AP31" s="127">
        <v>23</v>
      </c>
      <c r="AQ31" s="127" t="str">
        <v>陳俊翰</v>
      </c>
      <c r="AR31" s="127" t="str" cm="1">
        <f t="array" ref="AR31">IFERROR(_xlfn.XLOOKUP(_xlfn.XLOOKUP($AR$3,輪休基準表!$C$6:$C$36,_xlfn.XLOOKUP(AQ31,輪休基準表!$E$5:$AF$5,輪休基準表!$E$6:$AF$36,""),""),班別參數!$A$4:$A$20,班別參數!$B$4:$B$20,""),"")</f>
        <v>輪休</v>
      </c>
      <c r="AS31" s="120" t="str" cm="1">
        <f t="array" ref="AS31">_xlfn.LET(
    _xlpm.番號, COUNTIF($AZ$9:$AZ$24, $AP31),
    _xlpm.已排, _xlpm.番號 &gt; 0,
    _xlpm.上班, (AR31="上班"),
    _xlfn.IFS(
        _xlpm.番號 &gt; 1, "重複",
        AND(_xlpm.上班, NOT(_xlpm.已排)), "未排",
        AND(NOT(_xlpm.上班),_xlpm.已排), "沒上班",
        _xlpm.已排, "已排",
        TRUE, ""
    )
)</f>
        <v/>
      </c>
      <c r="AT31" s="170" t="str" cm="1">
        <f t="array" ref="AT31">IF(AR31="上班",
    IF(SUMPRODUCT(--ISNUMBER(SEARCH(","&amp;AP31&amp;",", ","&amp;$I$10:$I$33&amp;",")))&gt;=2, "已排",
        IF(SUMPRODUCT(--ISNUMBER(SEARCH(","&amp;AP31&amp;",", ","&amp;$I$10:$I$33&amp;",")))=1, "缺1小時", "未排")
    ),
    IF(SUMPRODUCT(--ISNUMBER(SEARCH(","&amp;AP31&amp;",", ","&amp;$I$10:$I$33&amp;",")))&gt;0, "沒上班", "")
)</f>
        <v/>
      </c>
      <c r="AU31" s="180" t="str">
        <f t="shared" si="0"/>
        <v/>
      </c>
      <c r="AV31" s="180" t="str">
        <f t="shared" si="1"/>
        <v/>
      </c>
      <c r="AX31" s="47"/>
      <c r="AY31" s="45"/>
      <c r="AZ31" s="25"/>
      <c r="BA31" s="28"/>
      <c r="BB31" s="33"/>
      <c r="BC31" s="25"/>
      <c r="BE31" s="127"/>
    </row>
    <row r="32" spans="2:57" ht="30" customHeight="1">
      <c r="B32" s="84" t="s">
        <v>95</v>
      </c>
      <c r="C32" s="90">
        <f>_xlfn.XLOOKUP(_xlfn.XLOOKUP($AT$6&amp;$B32,公表[班別+時段],公表[值班],""),$AY$9:$AY$25,$AZ$9:$AZ$25,"")</f>
        <v>7</v>
      </c>
      <c r="D32" s="97"/>
      <c r="E32" s="97"/>
      <c r="F32" s="97"/>
      <c r="G32" s="97"/>
      <c r="H32" s="97"/>
      <c r="I32" s="121" t="s">
        <v>398</v>
      </c>
      <c r="J32" s="56"/>
      <c r="K32" s="94">
        <f>_xlfn.XLOOKUP(_xlfn.XLOOKUP($AT$6&amp;$B32,公表[班別+時段],公表[救護1],""),$AY$9:$AY$25,$AZ$9:$AZ$25,"")</f>
        <v>9</v>
      </c>
      <c r="L32" s="94">
        <f>_xlfn.XLOOKUP(_xlfn.XLOOKUP($AT$6&amp;$B32,公表[班別+時段],公表[救護2],""),$AY$9:$AY$25,$AZ$9:$AZ$25,"")</f>
        <v>16</v>
      </c>
      <c r="M32" s="90"/>
      <c r="N32" s="90" t="s">
        <v>212</v>
      </c>
      <c r="O32" s="312"/>
      <c r="P32" s="90">
        <f>_xlfn.XLOOKUP(_xlfn.XLOOKUP($AT$6&amp;$B32,公表[班別+時段],公表[備勤1],""),$AY$9:$AY$25,$AZ$9:$AZ$25,"")</f>
        <v>18</v>
      </c>
      <c r="Q32" s="90">
        <f>_xlfn.XLOOKUP(_xlfn.XLOOKUP($AT$6&amp;$B32,公表[班別+時段],公表[備勤2],""),$AY$9:$AY$25,$AZ$9:$AZ$25,"")</f>
        <v>11</v>
      </c>
      <c r="R32" s="90"/>
      <c r="S32" s="90">
        <f>_xlfn.XLOOKUP(_xlfn.XLOOKUP($AT$6&amp;$B32,公表[班別+時段],公表[備勤3],""),$AY$9:$AY$25,$AZ$9:$AZ$25,"")</f>
        <v>10</v>
      </c>
      <c r="T32" s="90">
        <f>_xlfn.XLOOKUP(_xlfn.XLOOKUP($AT$6&amp;$B32,公表[班別+時段],公表[備勤4],""),$AY$9:$AY$25,$AZ$9:$AZ$25,"")</f>
        <v>0</v>
      </c>
      <c r="U32" s="90"/>
      <c r="V32" s="90">
        <f>_xlfn.XLOOKUP(_xlfn.XLOOKUP($AT$6&amp;$B32,公表[班別+時段],公表[備勤5],""),$AY$9:$AY$25,$AZ$9:$AZ$25,"")</f>
        <v>0</v>
      </c>
      <c r="W32" s="90">
        <f>_xlfn.XLOOKUP(_xlfn.XLOOKUP($AT$6&amp;$B32,公表[班別+時段],公表[備勤6],""),$AY$9:$AY$25,$AZ$9:$AZ$25,"")</f>
        <v>0</v>
      </c>
      <c r="X32" s="90"/>
      <c r="Y32" s="90">
        <f>_xlfn.XLOOKUP(_xlfn.XLOOKUP($AT$6&amp;$B32,公表[班別+時段],公表[備勤7],""),$AY$9:$AY$25,$AZ$9:$AZ$25,"")</f>
        <v>0</v>
      </c>
      <c r="Z32" s="90">
        <f>_xlfn.XLOOKUP(_xlfn.XLOOKUP($AT$6&amp;$B32,公表[班別+時段],公表[備勤8],""),$AY$9:$AY$25,$AZ$9:$AZ$25,"")</f>
        <v>0</v>
      </c>
      <c r="AA32" s="90"/>
      <c r="AB32" s="90"/>
      <c r="AC32" s="90"/>
      <c r="AD32" s="90"/>
      <c r="AE32" s="90"/>
      <c r="AF32" s="91">
        <v>3</v>
      </c>
      <c r="AG32" s="347"/>
      <c r="AH32" s="327"/>
      <c r="AI32" s="329"/>
      <c r="AJ32" s="327"/>
      <c r="AK32" s="329"/>
      <c r="AL32" s="327"/>
      <c r="AM32" s="22"/>
      <c r="AN32" s="60"/>
      <c r="AO32" s="214"/>
      <c r="AP32" s="127">
        <v>24</v>
      </c>
      <c r="AQ32" s="127" t="str">
        <v>賴俊豪</v>
      </c>
      <c r="AR32" s="127" t="str" cm="1">
        <f t="array" ref="AR32">IFERROR(_xlfn.XLOOKUP(_xlfn.XLOOKUP($AR$3,輪休基準表!$C$6:$C$36,_xlfn.XLOOKUP(AQ32,輪休基準表!$E$5:$AF$5,輪休基準表!$E$6:$AF$36,""),""),班別參數!$A$4:$A$20,班別參數!$B$4:$B$20,""),"")</f>
        <v>補休</v>
      </c>
      <c r="AS32" s="120" t="str" cm="1">
        <f t="array" ref="AS32">_xlfn.LET(
    _xlpm.番號, COUNTIF($AZ$9:$AZ$24, $AP32),
    _xlpm.已排, _xlpm.番號 &gt; 0,
    _xlpm.上班, (AR32="上班"),
    _xlfn.IFS(
        _xlpm.番號 &gt; 1, "重複",
        AND(_xlpm.上班, NOT(_xlpm.已排)), "未排",
        AND(NOT(_xlpm.上班),_xlpm.已排), "沒上班",
        _xlpm.已排, "已排",
        TRUE, ""
    )
)</f>
        <v/>
      </c>
      <c r="AT32" s="170" t="str" cm="1">
        <f t="array" ref="AT32">IF(AR32="上班",
    IF(SUMPRODUCT(--ISNUMBER(SEARCH(","&amp;AP32&amp;",", ","&amp;$I$10:$I$33&amp;",")))&gt;=2, "已排",
        IF(SUMPRODUCT(--ISNUMBER(SEARCH(","&amp;AP32&amp;",", ","&amp;$I$10:$I$33&amp;",")))=1, "缺1小時", "未排")
    ),
    IF(SUMPRODUCT(--ISNUMBER(SEARCH(","&amp;AP32&amp;",", ","&amp;$I$10:$I$33&amp;",")))&gt;0, "沒上班", "")
)</f>
        <v/>
      </c>
      <c r="AU32" s="180" t="str">
        <f t="shared" si="0"/>
        <v/>
      </c>
      <c r="AV32" s="180" t="str">
        <f t="shared" si="1"/>
        <v/>
      </c>
      <c r="AX32" s="47"/>
      <c r="AY32" s="45"/>
      <c r="AZ32" s="25"/>
      <c r="BA32" s="28"/>
      <c r="BB32" s="33"/>
      <c r="BC32" s="25"/>
      <c r="BE32" s="127"/>
    </row>
    <row r="33" spans="2:57" ht="30" customHeight="1">
      <c r="B33" s="81" t="s">
        <v>96</v>
      </c>
      <c r="C33" s="87">
        <f>_xlfn.XLOOKUP(_xlfn.XLOOKUP($AT$6&amp;$B33,公表[班別+時段],公表[值班],""),$AY$9:$AY$25,$AZ$9:$AZ$25,"")</f>
        <v>7</v>
      </c>
      <c r="D33" s="95"/>
      <c r="E33" s="95"/>
      <c r="F33" s="95"/>
      <c r="G33" s="95"/>
      <c r="H33" s="95"/>
      <c r="I33" s="122" t="s">
        <v>398</v>
      </c>
      <c r="J33" s="48"/>
      <c r="K33" s="92">
        <f>_xlfn.XLOOKUP(_xlfn.XLOOKUP($AT$6&amp;$B33,公表[班別+時段],公表[救護1],""),$AY$9:$AY$25,$AZ$9:$AZ$25,"")</f>
        <v>9</v>
      </c>
      <c r="L33" s="92">
        <f>_xlfn.XLOOKUP(_xlfn.XLOOKUP($AT$6&amp;$B33,公表[班別+時段],公表[救護2],""),$AY$9:$AY$25,$AZ$9:$AZ$25,"")</f>
        <v>16</v>
      </c>
      <c r="M33" s="87"/>
      <c r="N33" s="87" t="s">
        <v>212</v>
      </c>
      <c r="O33" s="313"/>
      <c r="P33" s="87">
        <f>_xlfn.XLOOKUP(_xlfn.XLOOKUP($AT$6&amp;$B33,公表[班別+時段],公表[備勤1],""),$AY$9:$AY$25,$AZ$9:$AZ$25,"")</f>
        <v>18</v>
      </c>
      <c r="Q33" s="87">
        <f>_xlfn.XLOOKUP(_xlfn.XLOOKUP($AT$6&amp;$B33,公表[班別+時段],公表[備勤2],""),$AY$9:$AY$25,$AZ$9:$AZ$25,"")</f>
        <v>11</v>
      </c>
      <c r="R33" s="87"/>
      <c r="S33" s="87">
        <f>_xlfn.XLOOKUP(_xlfn.XLOOKUP($AT$6&amp;$B33,公表[班別+時段],公表[備勤3],""),$AY$9:$AY$25,$AZ$9:$AZ$25,"")</f>
        <v>10</v>
      </c>
      <c r="T33" s="90">
        <f>_xlfn.XLOOKUP(_xlfn.XLOOKUP($AT$6&amp;$B33,公表[班別+時段],公表[備勤4],""),$AY$9:$AY$25,$AZ$9:$AZ$25,"")</f>
        <v>0</v>
      </c>
      <c r="U33" s="87"/>
      <c r="V33" s="87">
        <f>_xlfn.XLOOKUP(_xlfn.XLOOKUP($AT$6&amp;$B33,公表[班別+時段],公表[備勤5],""),$AY$9:$AY$25,$AZ$9:$AZ$25,"")</f>
        <v>0</v>
      </c>
      <c r="W33" s="87">
        <f>_xlfn.XLOOKUP(_xlfn.XLOOKUP($AT$6&amp;$B33,公表[班別+時段],公表[備勤6],""),$AY$9:$AY$25,$AZ$9:$AZ$25,"")</f>
        <v>0</v>
      </c>
      <c r="X33" s="87"/>
      <c r="Y33" s="87">
        <f>_xlfn.XLOOKUP(_xlfn.XLOOKUP($AT$6&amp;$B33,公表[班別+時段],公表[備勤7],""),$AY$9:$AY$25,$AZ$9:$AZ$25,"")</f>
        <v>0</v>
      </c>
      <c r="Z33" s="87">
        <f>_xlfn.XLOOKUP(_xlfn.XLOOKUP($AT$6&amp;$B33,公表[班別+時段],公表[備勤8],""),$AY$9:$AY$25,$AZ$9:$AZ$25,"")</f>
        <v>0</v>
      </c>
      <c r="AA33" s="87"/>
      <c r="AB33" s="87"/>
      <c r="AC33" s="87"/>
      <c r="AD33" s="87"/>
      <c r="AE33" s="87"/>
      <c r="AF33" s="88">
        <v>3</v>
      </c>
      <c r="AG33" s="328"/>
      <c r="AH33" s="327"/>
      <c r="AI33" s="329"/>
      <c r="AJ33" s="327"/>
      <c r="AK33" s="329"/>
      <c r="AL33" s="327"/>
      <c r="AM33" s="22"/>
      <c r="AN33" s="61"/>
      <c r="AO33" s="214"/>
      <c r="AP33" s="127">
        <v>25</v>
      </c>
      <c r="AQ33" s="127" t="str">
        <v>郭國偵</v>
      </c>
      <c r="AR33" s="127" t="str" cm="1">
        <f t="array" ref="AR33">IFERROR(_xlfn.XLOOKUP(_xlfn.XLOOKUP($AR$3,輪休基準表!$C$6:$C$36,_xlfn.XLOOKUP(AQ33,輪休基準表!$E$5:$AF$5,輪休基準表!$E$6:$AF$36,""),""),班別參數!$A$4:$A$20,班別參數!$B$4:$B$20,""),"")</f>
        <v>輪休</v>
      </c>
      <c r="AS33" s="120" t="str" cm="1">
        <f t="array" ref="AS33">_xlfn.LET(
    _xlpm.番號, COUNTIF($AZ$9:$AZ$24, $AP33),
    _xlpm.已排, _xlpm.番號 &gt; 0,
    _xlpm.上班, (AR33="上班"),
    _xlfn.IFS(
        _xlpm.番號 &gt; 1, "重複",
        AND(_xlpm.上班, NOT(_xlpm.已排)), "未排",
        AND(NOT(_xlpm.上班),_xlpm.已排), "沒上班",
        _xlpm.已排, "已排",
        TRUE, ""
    )
)</f>
        <v/>
      </c>
      <c r="AT33" s="170" t="str" cm="1">
        <f t="array" ref="AT33">IF(AR33="上班",
    IF(SUMPRODUCT(--ISNUMBER(SEARCH(","&amp;AP33&amp;",", ","&amp;$I$10:$I$33&amp;",")))&gt;=2, "已排",
        IF(SUMPRODUCT(--ISNUMBER(SEARCH(","&amp;AP33&amp;",", ","&amp;$I$10:$I$33&amp;",")))=1, "缺1小時", "未排")
    ),
    IF(SUMPRODUCT(--ISNUMBER(SEARCH(","&amp;AP33&amp;",", ","&amp;$I$10:$I$33&amp;",")))&gt;0, "沒上班", "")
)</f>
        <v/>
      </c>
      <c r="AU33" s="180" t="str">
        <f t="shared" si="0"/>
        <v/>
      </c>
      <c r="AV33" s="180" t="str">
        <f t="shared" si="1"/>
        <v/>
      </c>
      <c r="AX33" s="47"/>
      <c r="AY33" s="45"/>
      <c r="AZ33" s="25"/>
      <c r="BA33" s="28"/>
      <c r="BB33" s="25"/>
      <c r="BC33" s="25"/>
      <c r="BE33" s="127"/>
    </row>
    <row r="34" spans="2:57" ht="30" customHeight="1">
      <c r="B34" s="348" t="s">
        <v>215</v>
      </c>
      <c r="C34" s="351" t="str" cm="1">
        <f t="array" ref="C34">_xlfn.IFS(
  $AR$9="上班", "一、本日主管上班。",
  $AR$10="上班", "一、本日主管"&amp;$AR$9&amp;"，職務由小隊長"&amp;$AQ$10&amp;"代理。",
  $AR$11="上班", "一、本日主管"&amp;$AR$9&amp;"，職務由小隊長"&amp;$AQ$11&amp;"代理。",
  $AR$12="上班", "一、本日主管"&amp;$AR$9&amp;"，職務由小隊長"&amp;$AQ$12&amp;"代理。",
  $AR$13="上班", "一、本日主管"&amp;$AR$9&amp;"，職務由小隊長"&amp;$AQ$13&amp;"代理。",
  TRUE, "一、本日主管"&amp;$AR$9&amp;"，目前無人代理。"
)</f>
        <v>一、本日主管上班。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2"/>
      <c r="AG34" s="355"/>
      <c r="AH34" s="324"/>
      <c r="AI34" s="324"/>
      <c r="AJ34" s="324"/>
      <c r="AK34" s="324"/>
      <c r="AL34" s="324"/>
      <c r="AM34" s="324"/>
      <c r="AN34" s="325"/>
      <c r="AP34" s="127">
        <v>26</v>
      </c>
      <c r="AQ34" s="127" t="str">
        <v>楊紹文</v>
      </c>
      <c r="AR34" s="127" t="str" cm="1">
        <f t="array" ref="AR34">IFERROR(_xlfn.XLOOKUP(_xlfn.XLOOKUP($AR$3,輪休基準表!$C$6:$C$36,_xlfn.XLOOKUP(AQ34,輪休基準表!$E$5:$AF$5,輪休基準表!$E$6:$AF$36,""),""),班別參數!$A$4:$A$20,班別參數!$B$4:$B$20,""),"")</f>
        <v>輪休</v>
      </c>
      <c r="AS34" s="120" t="str" cm="1">
        <f t="array" ref="AS34">_xlfn.LET(
    _xlpm.番號, COUNTIF($AZ$9:$AZ$24, $AP34),
    _xlpm.已排, _xlpm.番號 &gt; 0,
    _xlpm.上班, (AR34="上班"),
    _xlfn.IFS(
        _xlpm.番號 &gt; 1, "重複",
        AND(_xlpm.上班, NOT(_xlpm.已排)), "未排",
        AND(NOT(_xlpm.上班),_xlpm.已排), "沒上班",
        _xlpm.已排, "已排",
        TRUE, ""
    )
)</f>
        <v/>
      </c>
      <c r="AT34" s="170" t="str" cm="1">
        <f t="array" ref="AT34">IF(AR34="上班",
    IF(SUMPRODUCT(--ISNUMBER(SEARCH(","&amp;AP34&amp;",", ","&amp;$I$10:$I$33&amp;",")))&gt;=2, "已排",
        IF(SUMPRODUCT(--ISNUMBER(SEARCH(","&amp;AP34&amp;",", ","&amp;$I$10:$I$33&amp;",")))=1, "缺1小時", "未排")
    ),
    IF(SUMPRODUCT(--ISNUMBER(SEARCH(","&amp;AP34&amp;",", ","&amp;$I$10:$I$33&amp;",")))&gt;0, "沒上班", "")
)</f>
        <v/>
      </c>
      <c r="AU34" s="180" t="str">
        <f t="shared" si="0"/>
        <v/>
      </c>
      <c r="AV34" s="180" t="str">
        <f t="shared" si="1"/>
        <v/>
      </c>
      <c r="AX34" s="47"/>
      <c r="AY34" s="45"/>
      <c r="AZ34" s="25"/>
      <c r="BA34" s="28"/>
      <c r="BB34" s="25"/>
      <c r="BC34" s="25"/>
      <c r="BE34" s="127"/>
    </row>
    <row r="35" spans="2:57" ht="30" customHeight="1">
      <c r="B35" s="349"/>
      <c r="C35" s="359" t="str">
        <f>CONCATENATE("二、在隊訓練:09-12時:",J11,";14-17時:",J16,";19-21時:",J21,"。")</f>
        <v>二、在隊訓練:09-12時:個人防護裝備操作;14-17時:常訓體技能訓練;19-21時:救護訓練。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2"/>
      <c r="AG35" s="356"/>
      <c r="AH35" s="324"/>
      <c r="AI35" s="324"/>
      <c r="AJ35" s="324"/>
      <c r="AK35" s="324"/>
      <c r="AL35" s="324"/>
      <c r="AM35" s="324"/>
      <c r="AN35" s="325"/>
      <c r="AO35" s="44"/>
      <c r="AP35" s="127">
        <v>27</v>
      </c>
      <c r="AQ35" s="127" t="str">
        <v>林宏為</v>
      </c>
      <c r="AR35" s="127" t="str" cm="1">
        <f t="array" ref="AR35">IFERROR(_xlfn.XLOOKUP(_xlfn.XLOOKUP($AR$3,輪休基準表!$C$6:$C$36,_xlfn.XLOOKUP(AQ35,輪休基準表!$E$5:$AF$5,輪休基準表!$E$6:$AF$36,""),""),班別參數!$A$4:$A$20,班別參數!$B$4:$B$20,""),"")</f>
        <v>輪休</v>
      </c>
      <c r="AS35" s="120" t="str" cm="1">
        <f t="array" ref="AS35">_xlfn.LET(
    _xlpm.番號, COUNTIF($AZ$9:$AZ$24, $AP35),
    _xlpm.已排, _xlpm.番號 &gt; 0,
    _xlpm.上班, (AR35="上班"),
    _xlfn.IFS(
        _xlpm.番號 &gt; 1, "重複",
        AND(_xlpm.上班, NOT(_xlpm.已排)), "未排",
        AND(NOT(_xlpm.上班),_xlpm.已排), "沒上班",
        _xlpm.已排, "已排",
        TRUE, ""
    )
)</f>
        <v/>
      </c>
      <c r="AT35" s="170" t="str" cm="1">
        <f t="array" ref="AT35">IF(AR35="上班",
    IF(SUMPRODUCT(--ISNUMBER(SEARCH(","&amp;AP35&amp;",", ","&amp;$I$10:$I$33&amp;",")))&gt;=2, "已排",
        IF(SUMPRODUCT(--ISNUMBER(SEARCH(","&amp;AP35&amp;",", ","&amp;$I$10:$I$33&amp;",")))=1, "缺1小時", "未排")
    ),
    IF(SUMPRODUCT(--ISNUMBER(SEARCH(","&amp;AP35&amp;",", ","&amp;$I$10:$I$33&amp;",")))&gt;0, "沒上班", "")
)</f>
        <v/>
      </c>
      <c r="AU35" s="180" t="str">
        <f t="shared" si="0"/>
        <v/>
      </c>
      <c r="AV35" s="180" t="str">
        <f t="shared" si="1"/>
        <v/>
      </c>
      <c r="AX35" s="47"/>
      <c r="AY35" s="45"/>
      <c r="AZ35" s="25"/>
      <c r="BA35" s="28"/>
      <c r="BB35" s="25"/>
      <c r="BC35" s="25"/>
      <c r="BE35" s="127"/>
    </row>
    <row r="36" spans="2:57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38"/>
      <c r="AG36" s="357"/>
      <c r="AH36" s="338"/>
      <c r="AI36" s="338"/>
      <c r="AJ36" s="338"/>
      <c r="AK36" s="338"/>
      <c r="AL36" s="338"/>
      <c r="AM36" s="338"/>
      <c r="AN36" s="358"/>
      <c r="AP36" s="127">
        <v>28</v>
      </c>
      <c r="AQ36" s="127" t="str">
        <v>林宸彥</v>
      </c>
      <c r="AR36" s="127" t="str" cm="1">
        <f t="array" ref="AR36">IFERROR(_xlfn.XLOOKUP(_xlfn.XLOOKUP($AR$3,輪休基準表!$C$6:$C$36,_xlfn.XLOOKUP(AQ36,輪休基準表!$E$5:$AF$5,輪休基準表!$E$6:$AF$36,""),""),班別參數!$A$4:$A$20,班別參數!$B$4:$B$20,""),"")</f>
        <v>輪休</v>
      </c>
      <c r="AS36" s="120" t="str" cm="1">
        <f t="array" ref="AS36">_xlfn.LET(
    _xlpm.番號, COUNTIF($AZ$9:$AZ$24, $AP36),
    _xlpm.已排, _xlpm.番號 &gt; 0,
    _xlpm.上班, (AR36="上班"),
    _xlfn.IFS(
        _xlpm.番號 &gt; 1, "重複",
        AND(_xlpm.上班, NOT(_xlpm.已排)), "未排",
        AND(NOT(_xlpm.上班),_xlpm.已排), "沒上班",
        _xlpm.已排, "已排",
        TRUE, ""
    )
)</f>
        <v/>
      </c>
      <c r="AT36" s="170" t="str" cm="1">
        <f t="array" ref="AT36">IF(AR36="上班",
    IF(SUMPRODUCT(--ISNUMBER(SEARCH(","&amp;AP36&amp;",", ","&amp;$I$10:$I$33&amp;",")))&gt;=2, "已排",
        IF(SUMPRODUCT(--ISNUMBER(SEARCH(","&amp;AP36&amp;",", ","&amp;$I$10:$I$33&amp;",")))=1, "缺1小時", "未排")
    ),
    IF(SUMPRODUCT(--ISNUMBER(SEARCH(","&amp;AP36&amp;",", ","&amp;$I$10:$I$33&amp;",")))&gt;0, "沒上班", "")
)</f>
        <v/>
      </c>
      <c r="AU36" s="180" t="str">
        <f t="shared" si="0"/>
        <v/>
      </c>
      <c r="AV36" s="180" t="str">
        <f t="shared" si="1"/>
        <v/>
      </c>
      <c r="BE36" s="10"/>
    </row>
    <row r="37" spans="2:57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17"/>
      <c r="AH37" s="17"/>
      <c r="AI37" s="17"/>
      <c r="AJ37" s="17"/>
      <c r="AK37" s="17"/>
      <c r="AL37" s="17"/>
      <c r="AM37" s="17"/>
      <c r="AN37" s="17"/>
      <c r="AP37" s="127"/>
      <c r="AQ37" s="127"/>
      <c r="AR37" s="127" t="str" cm="1">
        <f t="array" ref="AR37">IFERROR(_xlfn.XLOOKUP(_xlfn.XLOOKUP($AR$3,輪休基準表!$C$6:$C$36,_xlfn.XLOOKUP(AQ37,輪休基準表!$E$5:$AF$5,輪休基準表!$E$6:$AF$36,""),""),班別參數!$A$4:$A$20,班別參數!$B$4:$B$20,""),"")</f>
        <v/>
      </c>
      <c r="AS37" s="118" t="str">
        <f>IFERROR(IF(VLOOKUP($AP37,$AZ$9:$AZ$24,1,0)&lt;&gt;"0","已排",""),"")</f>
        <v/>
      </c>
      <c r="AT37" s="119" t="str">
        <f>IF(COUNTIF($AZ$9:$AZ$23,$AP37)&gt;1,"重複","")</f>
        <v/>
      </c>
      <c r="AU37" s="119" t="str">
        <f>IF(AND(AR37&lt;&gt;"上班",AS37="已排"),"沒上班","")</f>
        <v/>
      </c>
      <c r="AV37" s="127"/>
      <c r="BE37" s="10"/>
    </row>
    <row r="38" spans="2:57" ht="15" customHeight="1">
      <c r="AR38" s="127"/>
      <c r="AS38" s="118"/>
      <c r="AT38" s="119"/>
      <c r="AU38" s="119"/>
    </row>
    <row r="39" spans="2:57" ht="15" customHeight="1">
      <c r="AS39" s="118"/>
      <c r="AT39" s="119"/>
      <c r="AU39" s="119"/>
    </row>
    <row r="40" spans="2:57" ht="15" customHeight="1">
      <c r="AS40" s="118"/>
      <c r="AT40" s="119"/>
      <c r="AU40" s="119"/>
    </row>
  </sheetData>
  <mergeCells count="78">
    <mergeCell ref="F5:F7"/>
    <mergeCell ref="F14:F16"/>
    <mergeCell ref="G5:G7"/>
    <mergeCell ref="H12:H13"/>
    <mergeCell ref="G20:G21"/>
    <mergeCell ref="C8:AF8"/>
    <mergeCell ref="C9:AF9"/>
    <mergeCell ref="O10:O33"/>
    <mergeCell ref="J11:J13"/>
    <mergeCell ref="J16:J18"/>
    <mergeCell ref="J21:J22"/>
    <mergeCell ref="D11:D12"/>
    <mergeCell ref="E11:E13"/>
    <mergeCell ref="K6:L6"/>
    <mergeCell ref="M6:N6"/>
    <mergeCell ref="P6:R6"/>
    <mergeCell ref="AH22:AL22"/>
    <mergeCell ref="AH23:AN23"/>
    <mergeCell ref="AH24:AJ24"/>
    <mergeCell ref="AL24:AN24"/>
    <mergeCell ref="AG33:AH33"/>
    <mergeCell ref="AI33:AJ33"/>
    <mergeCell ref="AK33:AL33"/>
    <mergeCell ref="AG31:AH31"/>
    <mergeCell ref="AI31:AJ31"/>
    <mergeCell ref="AK31:AL31"/>
    <mergeCell ref="AG32:AH32"/>
    <mergeCell ref="AI32:AJ32"/>
    <mergeCell ref="AK32:AL32"/>
    <mergeCell ref="AG27:AG28"/>
    <mergeCell ref="AH27:AN27"/>
    <mergeCell ref="AH28:AN28"/>
    <mergeCell ref="B34:B36"/>
    <mergeCell ref="C34:AF34"/>
    <mergeCell ref="AG34:AN34"/>
    <mergeCell ref="C35:AF35"/>
    <mergeCell ref="AG35:AN35"/>
    <mergeCell ref="C36:AF36"/>
    <mergeCell ref="AG36:AN36"/>
    <mergeCell ref="AG29:AN29"/>
    <mergeCell ref="AG30:AH30"/>
    <mergeCell ref="AI30:AJ30"/>
    <mergeCell ref="AK30:AL30"/>
    <mergeCell ref="AH25:AJ25"/>
    <mergeCell ref="AL25:AN25"/>
    <mergeCell ref="S6:U6"/>
    <mergeCell ref="V6:X6"/>
    <mergeCell ref="AG5:AN6"/>
    <mergeCell ref="AP5:AP6"/>
    <mergeCell ref="V7:X7"/>
    <mergeCell ref="AS5:AS6"/>
    <mergeCell ref="AT5:AU5"/>
    <mergeCell ref="Y6:AA6"/>
    <mergeCell ref="AF6:AF7"/>
    <mergeCell ref="AT6:AU6"/>
    <mergeCell ref="AQ5:AR6"/>
    <mergeCell ref="I5:I7"/>
    <mergeCell ref="B3:AN3"/>
    <mergeCell ref="AX3:AY3"/>
    <mergeCell ref="AZ3:BC3"/>
    <mergeCell ref="B4:AJ4"/>
    <mergeCell ref="AK4:AN4"/>
    <mergeCell ref="AX4:AY4"/>
    <mergeCell ref="AZ4:BC4"/>
    <mergeCell ref="B5:B7"/>
    <mergeCell ref="C5:C7"/>
    <mergeCell ref="D5:D7"/>
    <mergeCell ref="E5:E7"/>
    <mergeCell ref="H5:H7"/>
    <mergeCell ref="J5:J7"/>
    <mergeCell ref="K5:N5"/>
    <mergeCell ref="O5:AF5"/>
    <mergeCell ref="AZ2:BC2"/>
    <mergeCell ref="B1:AF1"/>
    <mergeCell ref="AQ1:AR1"/>
    <mergeCell ref="B2:AF2"/>
    <mergeCell ref="AH2:AN2"/>
    <mergeCell ref="AX2:AY2"/>
  </mergeCells>
  <phoneticPr fontId="9" type="noConversion"/>
  <conditionalFormatting sqref="AP9:AR36 AP37:AQ37 AR37:AR38">
    <cfRule type="expression" dxfId="106" priority="16">
      <formula>COUNTIF($AR9,"上班")&gt;=1</formula>
    </cfRule>
  </conditionalFormatting>
  <conditionalFormatting sqref="AG8:AG13 AI8:AI21 AK8:AK21 AM8:AN21">
    <cfRule type="expression" dxfId="105" priority="11">
      <formula>OR(VLOOKUP(AG8,$AP$9:$AR$40,3,0)="上班",VLOOKUP(AG8,$AP$9:$AR$40,3,0)="外宿")</formula>
    </cfRule>
  </conditionalFormatting>
  <conditionalFormatting sqref="AM8">
    <cfRule type="expression" dxfId="104" priority="10">
      <formula>OR(VLOOKUP(AM8,$AP$9:$AR$36,3,0)="上班",VLOOKUP(AM8,$AP$9:$AR$36,3,0)="外宿")</formula>
    </cfRule>
  </conditionalFormatting>
  <conditionalFormatting sqref="AS9:AS36">
    <cfRule type="notContainsText" dxfId="103" priority="2" operator="notContains" text="已排">
      <formula>ISERROR(SEARCH("已排",AS9))</formula>
    </cfRule>
  </conditionalFormatting>
  <conditionalFormatting sqref="AT9:AT36">
    <cfRule type="notContainsText" dxfId="102" priority="1" operator="notContains" text="已排">
      <formula>ISERROR(SEARCH("已排",AT9))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5" r:id="rId4" name="btn_CheckAll">
              <controlPr defaultSize="0" print="0" autoFill="0" autoPict="0" macro="[0]!執行檢查_重複與漏排">
                <anchor moveWithCells="1">
                  <from>
                    <xdr:col>49</xdr:col>
                    <xdr:colOff>0</xdr:colOff>
                    <xdr:row>5</xdr:row>
                    <xdr:rowOff>0</xdr:rowOff>
                  </from>
                  <to>
                    <xdr:col>51</xdr:col>
                    <xdr:colOff>171450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0B650-05B2-477F-9D28-B904ECF59C73}">
  <sheetPr codeName="工作表18">
    <pageSetUpPr fitToPage="1"/>
  </sheetPr>
  <dimension ref="B1:BD40"/>
  <sheetViews>
    <sheetView showZeros="0" view="pageBreakPreview" zoomScale="55" zoomScaleNormal="55" zoomScaleSheetLayoutView="55" workbookViewId="0">
      <selection activeCell="AG18" sqref="AG18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6" width="5.375" style="126" customWidth="1"/>
    <col min="7" max="8" width="8.625" style="126" customWidth="1"/>
    <col min="9" max="12" width="5.375" style="126" customWidth="1"/>
    <col min="13" max="13" width="6.625" style="126" customWidth="1"/>
    <col min="14" max="31" width="5.375" style="126" customWidth="1"/>
    <col min="32" max="32" width="7.625" style="126" customWidth="1"/>
    <col min="33" max="33" width="10.625" style="126" customWidth="1"/>
    <col min="34" max="34" width="7.625" style="126" customWidth="1"/>
    <col min="35" max="35" width="10.625" style="126" customWidth="1"/>
    <col min="36" max="36" width="7.625" style="126" customWidth="1"/>
    <col min="37" max="37" width="10.625" style="126" customWidth="1"/>
    <col min="38" max="38" width="7.625" style="126" customWidth="1"/>
    <col min="39" max="39" width="10.625" style="126" customWidth="1"/>
    <col min="40" max="40" width="4.125" style="213" customWidth="1"/>
    <col min="41" max="47" width="11.625" style="126" customWidth="1"/>
    <col min="48" max="48" width="4.125" style="126" customWidth="1"/>
    <col min="49" max="49" width="16" style="126" customWidth="1"/>
    <col min="50" max="51" width="8.25" style="126" customWidth="1"/>
    <col min="52" max="52" width="4.125" style="126" customWidth="1"/>
    <col min="53" max="53" width="16" style="126" customWidth="1"/>
    <col min="54" max="54" width="8.25" style="126" customWidth="1"/>
    <col min="55" max="55" width="10.875" style="126" customWidth="1"/>
    <col min="56" max="58" width="4.125" style="126" customWidth="1"/>
    <col min="59" max="16384" width="11.25" style="126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27"/>
      <c r="AP1" s="399"/>
      <c r="AQ1" s="399"/>
      <c r="AR1" s="127"/>
      <c r="AS1" s="127"/>
      <c r="AT1" s="127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3" t="s">
        <v>178</v>
      </c>
      <c r="AR2" s="146" t="s">
        <v>228</v>
      </c>
      <c r="AS2" s="142"/>
      <c r="AT2" s="140"/>
      <c r="AU2" s="127"/>
      <c r="AV2" s="127"/>
      <c r="AW2" s="362" t="s">
        <v>127</v>
      </c>
      <c r="AX2" s="287"/>
      <c r="AY2" s="367" t="str">
        <f>_xlfn.XLOOKUP($AR$3,訓練!$L$13:$L$19,訓練!$M$13:$M$19,"")</f>
        <v>車輛裝備基礎保養維護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115年5月14日星期四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14</v>
      </c>
      <c r="AR3" s="141" t="str">
        <f>RIGHT(TEXT(1911+$AO$3&amp;"/"&amp;$AP$3&amp;"/"&amp;$AQ$3,"aaaa"),1)</f>
        <v>四</v>
      </c>
      <c r="AS3" s="145"/>
      <c r="AT3" s="145"/>
      <c r="AU3" s="127"/>
      <c r="AV3" s="127"/>
      <c r="AW3" s="362" t="s">
        <v>128</v>
      </c>
      <c r="AX3" s="287"/>
      <c r="AY3" s="368" t="str">
        <f>_xlfn.XLOOKUP($AR$3,訓練!$L$13:$L$19,訓練!$N$13:$N$19,"")</f>
        <v>戰術體能訓練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27"/>
      <c r="AU4" s="127"/>
      <c r="AV4" s="127"/>
      <c r="AW4" s="362" t="s">
        <v>129</v>
      </c>
      <c r="AX4" s="287"/>
      <c r="AY4" s="363" t="str">
        <f>_xlfn.XLOOKUP($AR$3,訓練!$L$13:$L$19,訓練!$O$13:$O$19,"")</f>
        <v>救護訓練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2" t="s">
        <v>392</v>
      </c>
      <c r="E5" s="340" t="s">
        <v>405</v>
      </c>
      <c r="F5" s="340"/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341"/>
      <c r="E6" s="341"/>
      <c r="F6" s="341"/>
      <c r="G6" s="312"/>
      <c r="H6" s="312"/>
      <c r="I6" s="334" t="s">
        <v>227</v>
      </c>
      <c r="J6" s="335"/>
      <c r="K6" s="334" t="s">
        <v>192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2+7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341"/>
      <c r="E7" s="341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346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27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27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27" cm="1">
        <f t="array" ref="AO9:AP36">TRANSPOSE(輪休基準表!E4:AF5)</f>
        <v>1</v>
      </c>
      <c r="AP9" s="127" t="str">
        <v>鄧力嘉</v>
      </c>
      <c r="AQ9" s="127" t="str" cm="1">
        <f t="array" ref="AQ9">IFERROR(_xlfn.XLOOKUP(_xlfn.XLOOKUP($AQ$3,輪休基準表!$C$6:$C$36,_xlfn.XLOOKUP(AP9,輪休基準表!$E$5:$AF$5,輪休基準表!$E$6:$AF$36,""),""),班別參數!$A$4:$A$20,班別參數!$B$4:$B$20,""),"")</f>
        <v>輪休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/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 t="array" ref="AX9">IFERROR(INDEX(班別參數!$D$4:$S$20,MATCH(AW9,班別參數!$D$4:$D$20,0),MATCH($AS$6,班別參數!$D$4:$S$4,0)),"")</f>
        <v>A</v>
      </c>
      <c r="AY9" s="35">
        <v>25</v>
      </c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H,K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21,4</v>
      </c>
      <c r="BD9" s="127"/>
    </row>
    <row r="10" spans="2:56" ht="30" customHeight="1">
      <c r="B10" s="81" t="s">
        <v>70</v>
      </c>
      <c r="C10" s="87">
        <f>_xlfn.XLOOKUP(_xlfn.XLOOKUP($AS$6&amp;$B10,公表[班別+時段],公表[值班],""),$AX$9:$AX$25,$AY$9:$AY$25,"")</f>
        <v>25</v>
      </c>
      <c r="D10" s="95"/>
      <c r="E10" s="95"/>
      <c r="F10" s="95"/>
      <c r="G10" s="122"/>
      <c r="H10" s="37"/>
      <c r="I10" s="92">
        <f>_xlfn.XLOOKUP(_xlfn.XLOOKUP($AS$6&amp;$B10,公表[班別+時段],公表[救護1],""),$AX$9:$AX$25,$AY$9:$AY$25,"")</f>
        <v>19</v>
      </c>
      <c r="J10" s="92">
        <f>_xlfn.XLOOKUP(_xlfn.XLOOKUP($AS$6&amp;$B10,公表[班別+時段],公表[救護2],""),$AX$9:$AX$25,$AY$9:$AY$25,"")</f>
        <v>8</v>
      </c>
      <c r="K10" s="87"/>
      <c r="L10" s="87" t="s">
        <v>212</v>
      </c>
      <c r="M10" s="311"/>
      <c r="N10" s="87">
        <f>_xlfn.XLOOKUP(_xlfn.XLOOKUP($AS$6&amp;$B10,公表[班別+時段],公表[備勤1],""),$AX$9:$AX$25,$AY$9:$AY$25,"")</f>
        <v>28</v>
      </c>
      <c r="O10" s="87">
        <f>_xlfn.XLOOKUP(_xlfn.XLOOKUP($AS$6&amp;$B10,公表[班別+時段],公表[備勤2],""),$AX$9:$AX$25,$AY$9:$AY$25,"")</f>
        <v>18</v>
      </c>
      <c r="P10" s="87"/>
      <c r="Q10" s="87">
        <f>_xlfn.XLOOKUP(_xlfn.XLOOKUP($AS$6&amp;$B10,公表[班別+時段],公表[備勤3],""),$AX$9:$AX$25,$AY$9:$AY$25,"")</f>
        <v>23</v>
      </c>
      <c r="R10" s="87">
        <v>21</v>
      </c>
      <c r="S10" s="87"/>
      <c r="T10" s="87">
        <v>5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87"/>
      <c r="AB10" s="87"/>
      <c r="AC10" s="87"/>
      <c r="AD10" s="87"/>
      <c r="AE10" s="88">
        <v>4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27">
        <v>2</v>
      </c>
      <c r="AP10" s="127" t="str">
        <v>莊勝斌</v>
      </c>
      <c r="AQ10" s="127" t="str" cm="1">
        <f t="array" ref="AQ10">IFERROR(_xlfn.XLOOKUP(_xlfn.XLOOKUP($AQ$3,輪休基準表!$C$6:$C$36,_xlfn.XLOOKUP(AP10,輪休基準表!$E$5:$AF$5,輪休基準表!$E$6:$AF$36,""),""),班別參數!$A$4:$A$20,班別參數!$B$4:$B$20,""),"")</f>
        <v>輪休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/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>
        <v>23</v>
      </c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18</v>
      </c>
      <c r="BD10" s="127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25</v>
      </c>
      <c r="D11" s="292" t="s">
        <v>354</v>
      </c>
      <c r="E11" s="95"/>
      <c r="F11" s="95"/>
      <c r="G11" s="122"/>
      <c r="H11" s="296" t="str">
        <f>AY2</f>
        <v>車輛裝備基礎保養維護</v>
      </c>
      <c r="I11" s="92">
        <f>_xlfn.XLOOKUP(_xlfn.XLOOKUP($AS$6&amp;$B11,公表[班別+時段],公表[救護1],""),$AX$9:$AX$25,$AY$9:$AY$25,"")</f>
        <v>19</v>
      </c>
      <c r="J11" s="92">
        <f>_xlfn.XLOOKUP(_xlfn.XLOOKUP($AS$6&amp;$B11,公表[班別+時段],公表[救護2],""),$AX$9:$AX$25,$AY$9:$AY$25,"")</f>
        <v>8</v>
      </c>
      <c r="K11" s="87"/>
      <c r="L11" s="87" t="s">
        <v>212</v>
      </c>
      <c r="M11" s="312"/>
      <c r="N11" s="87">
        <f>_xlfn.XLOOKUP(_xlfn.XLOOKUP($AS$6&amp;$B11,公表[班別+時段],公表[備勤1],""),$AX$9:$AX$25,$AY$9:$AY$25,"")</f>
        <v>28</v>
      </c>
      <c r="O11" s="87">
        <f>_xlfn.XLOOKUP(_xlfn.XLOOKUP($AS$6&amp;$B11,公表[班別+時段],公表[備勤2],""),$AX$9:$AX$25,$AY$9:$AY$25,"")</f>
        <v>18</v>
      </c>
      <c r="P11" s="87"/>
      <c r="Q11" s="87">
        <f>_xlfn.XLOOKUP(_xlfn.XLOOKUP($AS$6&amp;$B11,公表[班別+時段],公表[備勤3],""),$AX$9:$AX$25,$AY$9:$AY$25,"")</f>
        <v>23</v>
      </c>
      <c r="R11" s="87">
        <v>21</v>
      </c>
      <c r="S11" s="87"/>
      <c r="T11" s="87">
        <v>5</v>
      </c>
      <c r="U11" s="87">
        <f>_xlfn.XLOOKUP(_xlfn.XLOOKUP($AS$6&amp;$B11,公表[班別+時段],公表[備勤6],""),$AX$9:$AX$25,$AY$9:$AY$25,"")</f>
        <v>0</v>
      </c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87"/>
      <c r="AB11" s="87"/>
      <c r="AC11" s="87"/>
      <c r="AD11" s="87"/>
      <c r="AE11" s="88">
        <v>4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27">
        <v>3</v>
      </c>
      <c r="AP11" s="127" t="str">
        <v>孫子翔</v>
      </c>
      <c r="AQ11" s="127" t="str" cm="1">
        <f t="array" ref="AQ11">IFERROR(_xlfn.XLOOKUP(_xlfn.XLOOKUP($AQ$3,輪休基準表!$C$6:$C$36,_xlfn.XLOOKUP(AP11,輪休基準表!$E$5:$AF$5,輪休基準表!$E$6:$AF$36,""),""),班別參數!$A$4:$A$20,班別參數!$B$4:$B$20,""),"")</f>
        <v>輪休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/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>
        <v>8</v>
      </c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F</v>
      </c>
      <c r="BC11" s="39" t="str">
        <f t="shared" si="2"/>
        <v>19</v>
      </c>
      <c r="BD11" s="127"/>
    </row>
    <row r="12" spans="2:56" ht="30" customHeight="1">
      <c r="B12" s="81" t="s">
        <v>75</v>
      </c>
      <c r="C12" s="87">
        <f>_xlfn.XLOOKUP(_xlfn.XLOOKUP($AS$6&amp;$B12,公表[班別+時段],公表[值班],""),$AX$9:$AX$25,$AY$9:$AY$25,"")</f>
        <v>23</v>
      </c>
      <c r="D12" s="422"/>
      <c r="E12" s="95"/>
      <c r="F12" s="95"/>
      <c r="G12" s="122"/>
      <c r="H12" s="314"/>
      <c r="I12" s="92">
        <f>_xlfn.XLOOKUP(_xlfn.XLOOKUP($AS$6&amp;$B12,公表[班別+時段],公表[救護1],""),$AX$9:$AX$25,$AY$9:$AY$25,"")</f>
        <v>25</v>
      </c>
      <c r="J12" s="92">
        <f>_xlfn.XLOOKUP(_xlfn.XLOOKUP($AS$6&amp;$B12,公表[班別+時段],公表[救護2],""),$AX$9:$AX$25,$AY$9:$AY$25,"")</f>
        <v>28</v>
      </c>
      <c r="K12" s="92"/>
      <c r="L12" s="87" t="s">
        <v>212</v>
      </c>
      <c r="M12" s="312"/>
      <c r="N12" s="87">
        <f>_xlfn.XLOOKUP(_xlfn.XLOOKUP($AS$6&amp;$B12,公表[班別+時段],公表[備勤1],""),$AX$9:$AX$25,$AY$9:$AY$25,"")</f>
        <v>21</v>
      </c>
      <c r="O12" s="87">
        <f>_xlfn.XLOOKUP(_xlfn.XLOOKUP($AS$6&amp;$B12,公表[班別+時段],公表[備勤2],""),$AX$9:$AX$25,$AY$9:$AY$25,"")</f>
        <v>19</v>
      </c>
      <c r="P12" s="87"/>
      <c r="Q12" s="87">
        <f>_xlfn.XLOOKUP(_xlfn.XLOOKUP($AS$6&amp;$B12,公表[班別+時段],公表[備勤3],""),$AX$9:$AX$25,$AY$9:$AY$25,"")</f>
        <v>8</v>
      </c>
      <c r="R12" s="87">
        <v>18</v>
      </c>
      <c r="S12" s="87"/>
      <c r="T12" s="87">
        <f>_xlfn.XLOOKUP(_xlfn.XLOOKUP($AS$6&amp;$B12,公表[班別+時段],公表[備勤5],""),$AX$9:$AX$25,$AY$9:$AY$25,"")</f>
        <v>5</v>
      </c>
      <c r="U12" s="87">
        <f>_xlfn.XLOOKUP(_xlfn.XLOOKUP($AS$6&amp;$B12,公表[班別+時段],公表[備勤6],""),$AX$9:$AX$25,$AY$9:$AY$25,"")</f>
        <v>0</v>
      </c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87"/>
      <c r="AC12" s="87"/>
      <c r="AD12" s="87"/>
      <c r="AE12" s="88">
        <f>_xlfn.XLOOKUP(_xlfn.XLOOKUP($AS$6&amp;$B12,公表[班別+時段],公表[指揮官],""),$AX$9:$AX$25,$AY$9:$AY$25,"")</f>
        <v>4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27">
        <v>4</v>
      </c>
      <c r="AP12" s="127" t="str">
        <v>簡永豐</v>
      </c>
      <c r="AQ12" s="127" t="str" cm="1">
        <f t="array" ref="AQ12">IFERROR(_xlfn.XLOOKUP(_xlfn.XLOOKUP($AQ$3,輪休基準表!$C$6:$C$36,_xlfn.XLOOKUP(AP12,輪休基準表!$E$5:$AF$5,輪休基準表!$E$6:$AF$36,""),""),班別參數!$A$4:$A$20,班別參數!$B$4:$B$20,""),"")</f>
        <v>上班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>已排</v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>
        <v>28</v>
      </c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27"/>
    </row>
    <row r="13" spans="2:56" ht="30" customHeight="1" thickBot="1">
      <c r="B13" s="82" t="s">
        <v>76</v>
      </c>
      <c r="C13" s="89">
        <f>_xlfn.XLOOKUP(_xlfn.XLOOKUP($AS$6&amp;$B13,公表[班別+時段],公表[值班],""),$AX$9:$AX$25,$AY$9:$AY$25,"")</f>
        <v>23</v>
      </c>
      <c r="D13" s="293"/>
      <c r="E13" s="96"/>
      <c r="F13" s="96"/>
      <c r="G13" s="123"/>
      <c r="H13" s="315"/>
      <c r="I13" s="216">
        <f>_xlfn.XLOOKUP(_xlfn.XLOOKUP($AS$6&amp;$B13,公表[班別+時段],公表[救護1],""),$AX$9:$AX$25,$AY$9:$AY$25,"")</f>
        <v>25</v>
      </c>
      <c r="J13" s="216">
        <f>_xlfn.XLOOKUP(_xlfn.XLOOKUP($AS$6&amp;$B13,公表[班別+時段],公表[救護2],""),$AX$9:$AX$25,$AY$9:$AY$25,"")</f>
        <v>28</v>
      </c>
      <c r="K13" s="105"/>
      <c r="L13" s="93" t="s">
        <v>212</v>
      </c>
      <c r="M13" s="312"/>
      <c r="N13" s="89">
        <f>_xlfn.XLOOKUP(_xlfn.XLOOKUP($AS$6&amp;$B13,公表[班別+時段],公表[備勤1],""),$AX$9:$AX$25,$AY$9:$AY$25,"")</f>
        <v>21</v>
      </c>
      <c r="O13" s="89">
        <f>_xlfn.XLOOKUP(_xlfn.XLOOKUP($AS$6&amp;$B13,公表[班別+時段],公表[備勤2],""),$AX$9:$AX$25,$AY$9:$AY$25,"")</f>
        <v>19</v>
      </c>
      <c r="P13" s="89"/>
      <c r="Q13" s="89">
        <f>_xlfn.XLOOKUP(_xlfn.XLOOKUP($AS$6&amp;$B13,公表[班別+時段],公表[備勤3],""),$AX$9:$AX$25,$AY$9:$AY$25,"")</f>
        <v>8</v>
      </c>
      <c r="R13" s="89">
        <v>18</v>
      </c>
      <c r="S13" s="89"/>
      <c r="T13" s="89">
        <f>_xlfn.XLOOKUP(_xlfn.XLOOKUP($AS$6&amp;$B13,公表[班別+時段],公表[備勤5],""),$AX$9:$AX$25,$AY$9:$AY$25,"")</f>
        <v>5</v>
      </c>
      <c r="U13" s="89">
        <f>_xlfn.XLOOKUP(_xlfn.XLOOKUP($AS$6&amp;$B13,公表[班別+時段],公表[備勤6],""),$AX$9:$AX$25,$AY$9:$AY$25,"")</f>
        <v>0</v>
      </c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89"/>
      <c r="AC13" s="89"/>
      <c r="AD13" s="89"/>
      <c r="AE13" s="104">
        <f>_xlfn.XLOOKUP(_xlfn.XLOOKUP($AS$6&amp;$B13,公表[班別+時段],公表[指揮官],""),$AX$9:$AX$25,$AY$9:$AY$25,"")</f>
        <v>4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27">
        <v>5</v>
      </c>
      <c r="AP13" s="127" t="str">
        <v>張鴻志</v>
      </c>
      <c r="AQ13" s="127" t="str" cm="1">
        <f t="array" ref="AQ13">IFERROR(_xlfn.XLOOKUP(_xlfn.XLOOKUP($AQ$3,輪休基準表!$C$6:$C$36,_xlfn.XLOOKUP(AP13,輪休基準表!$E$5:$AF$5,輪休基準表!$E$6:$AF$36,""),""),班別參數!$A$4:$A$20,班別參數!$B$4:$B$20,""),"")</f>
        <v>上班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>已排</v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>
        <v>18</v>
      </c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>25</v>
      </c>
      <c r="BD13" s="127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8</v>
      </c>
      <c r="D14" s="234"/>
      <c r="E14" s="97"/>
      <c r="F14" s="97"/>
      <c r="G14" s="121" t="str">
        <f>IF(BC11="","",BC11)</f>
        <v>19</v>
      </c>
      <c r="H14" s="55"/>
      <c r="I14" s="94">
        <f>_xlfn.XLOOKUP(_xlfn.XLOOKUP($AS$6&amp;$B14,公表[班別+時段],公表[救護1],""),$AX$9:$AX$25,$AY$9:$AY$25,"")</f>
        <v>23</v>
      </c>
      <c r="J14" s="94">
        <f>_xlfn.XLOOKUP(_xlfn.XLOOKUP($AS$6&amp;$B14,公表[班別+時段],公表[救護2],""),$AX$9:$AX$25,$AY$9:$AY$25,"")</f>
        <v>21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25</v>
      </c>
      <c r="O14" s="90">
        <f>_xlfn.XLOOKUP(_xlfn.XLOOKUP($AS$6&amp;$B14,公表[班別+時段],公表[備勤2],""),$AX$9:$AX$25,$AY$9:$AY$25,"")</f>
        <v>18</v>
      </c>
      <c r="P14" s="90"/>
      <c r="Q14" s="90">
        <f>_xlfn.XLOOKUP(_xlfn.XLOOKUP($AS$6&amp;$B14,公表[班別+時段],公表[備勤3],""),$AX$9:$AX$25,$AY$9:$AY$25,"")</f>
        <v>28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5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90"/>
      <c r="AC14" s="90"/>
      <c r="AD14" s="90"/>
      <c r="AE14" s="91">
        <f>_xlfn.XLOOKUP(_xlfn.XLOOKUP($AS$6&amp;$B14,公表[班別+時段],公表[指揮官],""),$AX$9:$AX$25,$AY$9:$AY$25,"")</f>
        <v>4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27">
        <v>6</v>
      </c>
      <c r="AP14" s="127" t="str">
        <v>吳宗耕</v>
      </c>
      <c r="AQ14" s="127" t="str" cm="1">
        <f t="array" ref="AQ14">IFERROR(_xlfn.XLOOKUP(_xlfn.XLOOKUP($AQ$3,輪休基準表!$C$6:$C$36,_xlfn.XLOOKUP(AP14,輪休基準表!$E$5:$AF$5,輪休基準表!$E$6:$AF$36,""),""),班別參數!$A$4:$A$20,班別參數!$B$4:$B$20,""),"")</f>
        <v>輪休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/>
      </c>
      <c r="AT14" s="180" t="str">
        <f t="shared" si="0"/>
        <v/>
      </c>
      <c r="AU14" s="180" t="str">
        <f t="shared" si="1"/>
        <v/>
      </c>
      <c r="AV14" s="25"/>
      <c r="AW14" s="33" t="str">
        <f t="array" ref="AW14">INDEX(班別參數!$D$4:$D$20,ROW()-7,MATCH($AW$8,班別參數!$D$4:$D$20,0))</f>
        <v>18-20</v>
      </c>
      <c r="AX14" s="34">
        <f t="array" ref="AX14">IFERROR(INDEX(班別參數!$D$4:$S$20,MATCH(AW14,班別參數!$D$4:$D$20,0),MATCH($AS$6,班別參數!$D$4:$S$4,0)),"")</f>
        <v>0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</v>
      </c>
      <c r="BC14" s="39" t="str">
        <f t="shared" si="2"/>
        <v>23</v>
      </c>
      <c r="BD14" s="127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8</v>
      </c>
      <c r="D15" s="235"/>
      <c r="E15" s="106"/>
      <c r="F15" s="96"/>
      <c r="G15" s="123" t="str">
        <f>IF(BC11="","",BC11)</f>
        <v>19</v>
      </c>
      <c r="H15" s="40"/>
      <c r="I15" s="216">
        <f>_xlfn.XLOOKUP(_xlfn.XLOOKUP($AS$6&amp;$B15,公表[班別+時段],公表[救護1],""),$AX$9:$AX$25,$AY$9:$AY$25,"")</f>
        <v>23</v>
      </c>
      <c r="J15" s="216">
        <f>_xlfn.XLOOKUP(_xlfn.XLOOKUP($AS$6&amp;$B15,公表[班別+時段],公表[救護2],""),$AX$9:$AX$25,$AY$9:$AY$25,"")</f>
        <v>21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25</v>
      </c>
      <c r="O15" s="89">
        <f>_xlfn.XLOOKUP(_xlfn.XLOOKUP($AS$6&amp;$B15,公表[班別+時段],公表[備勤2],""),$AX$9:$AX$25,$AY$9:$AY$25,"")</f>
        <v>18</v>
      </c>
      <c r="P15" s="89"/>
      <c r="Q15" s="89">
        <f>_xlfn.XLOOKUP(_xlfn.XLOOKUP($AS$6&amp;$B15,公表[班別+時段],公表[備勤3],""),$AX$9:$AX$25,$AY$9:$AY$25,"")</f>
        <v>28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5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89"/>
      <c r="AC15" s="89"/>
      <c r="AD15" s="89"/>
      <c r="AE15" s="104">
        <f>_xlfn.XLOOKUP(_xlfn.XLOOKUP($AS$6&amp;$B15,公表[班別+時段],公表[指揮官],""),$AX$9:$AX$25,$AY$9:$AY$25,"")</f>
        <v>4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27">
        <v>7</v>
      </c>
      <c r="AP15" s="127" t="str">
        <v>包華先</v>
      </c>
      <c r="AQ15" s="127" t="str" cm="1">
        <f t="array" ref="AQ15">IFERROR(_xlfn.XLOOKUP(_xlfn.XLOOKUP($AQ$3,輪休基準表!$C$6:$C$36,_xlfn.XLOOKUP(AP15,輪休基準表!$E$5:$AF$5,輪休基準表!$E$6:$AF$36,""),""),班別參數!$A$4:$A$20,班別參數!$B$4:$B$20,""),"")</f>
        <v>輪休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/>
      </c>
      <c r="AT15" s="180" t="str">
        <f t="shared" si="0"/>
        <v/>
      </c>
      <c r="AU15" s="180" t="str">
        <f t="shared" si="1"/>
        <v/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>
        <v>19</v>
      </c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>28</v>
      </c>
      <c r="BD15" s="127"/>
    </row>
    <row r="16" spans="2:56" ht="30" customHeight="1">
      <c r="B16" s="83" t="s">
        <v>79</v>
      </c>
      <c r="C16" s="90">
        <f>_xlfn.XLOOKUP(_xlfn.XLOOKUP($AS$6&amp;$B16,公表[班別+時段],公表[值班],""),$AX$9:$AX$25,$AY$9:$AY$25,"")</f>
        <v>28</v>
      </c>
      <c r="D16" s="98"/>
      <c r="E16" s="427">
        <v>25</v>
      </c>
      <c r="F16" s="98"/>
      <c r="G16" s="121">
        <v>4</v>
      </c>
      <c r="H16" s="316" t="str">
        <f>AY3</f>
        <v>戰術體能訓練</v>
      </c>
      <c r="I16" s="94">
        <f>_xlfn.XLOOKUP(_xlfn.XLOOKUP($AS$6&amp;$B16,公表[班別+時段],公表[救護1],""),$AX$9:$AX$25,$AY$9:$AY$25,"")</f>
        <v>19</v>
      </c>
      <c r="J16" s="94">
        <f>_xlfn.XLOOKUP(_xlfn.XLOOKUP($AS$6&amp;$B16,公表[班別+時段],公表[救護2],""),$AX$9:$AX$25,$AY$9:$AY$25,"")</f>
        <v>21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23</v>
      </c>
      <c r="O16" s="90">
        <f>_xlfn.XLOOKUP(_xlfn.XLOOKUP($AS$6&amp;$B16,公表[班別+時段],公表[備勤2],""),$AX$9:$AX$25,$AY$9:$AY$25,"")</f>
        <v>8</v>
      </c>
      <c r="P16" s="90"/>
      <c r="Q16" s="90"/>
      <c r="R16" s="90">
        <f>_xlfn.XLOOKUP(_xlfn.XLOOKUP($AS$6&amp;$B16,公表[班別+時段],公表[備勤4],""),$AX$9:$AX$25,$AY$9:$AY$25,"")</f>
        <v>18</v>
      </c>
      <c r="S16" s="90"/>
      <c r="T16" s="90"/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90"/>
      <c r="AC16" s="90"/>
      <c r="AD16" s="90"/>
      <c r="AE16" s="91">
        <v>5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27">
        <v>8</v>
      </c>
      <c r="AP16" s="127" t="str">
        <v>曾彥綸</v>
      </c>
      <c r="AQ16" s="127" t="str" cm="1">
        <f t="array" ref="AQ16">IFERROR(_xlfn.XLOOKUP(_xlfn.XLOOKUP($AQ$3,輪休基準表!$C$6:$C$36,_xlfn.XLOOKUP(AP16,輪休基準表!$E$5:$AF$5,輪休基準表!$E$6:$AF$36,""),""),班別參數!$A$4:$A$20,班別參數!$B$4:$B$20,""),"")</f>
        <v>上班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>已排</v>
      </c>
      <c r="AT16" s="180">
        <f t="shared" si="0"/>
        <v>6</v>
      </c>
      <c r="AU16" s="180">
        <f t="shared" si="1"/>
        <v>8</v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>
        <v>21</v>
      </c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27"/>
    </row>
    <row r="17" spans="2:56" ht="30" customHeight="1">
      <c r="B17" s="81" t="s">
        <v>80</v>
      </c>
      <c r="C17" s="87">
        <f>_xlfn.XLOOKUP(_xlfn.XLOOKUP($AS$6&amp;$B17,公表[班別+時段],公表[值班],""),$AX$9:$AX$25,$AY$9:$AY$25,"")</f>
        <v>28</v>
      </c>
      <c r="D17" s="95"/>
      <c r="E17" s="444"/>
      <c r="F17" s="100"/>
      <c r="G17" s="122">
        <v>4</v>
      </c>
      <c r="H17" s="314"/>
      <c r="I17" s="92">
        <f>_xlfn.XLOOKUP(_xlfn.XLOOKUP($AS$6&amp;$B17,公表[班別+時段],公表[救護1],""),$AX$9:$AX$25,$AY$9:$AY$25,"")</f>
        <v>19</v>
      </c>
      <c r="J17" s="92">
        <f>_xlfn.XLOOKUP(_xlfn.XLOOKUP($AS$6&amp;$B17,公表[班別+時段],公表[救護2],""),$AX$9:$AX$25,$AY$9:$AY$25,"")</f>
        <v>21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23</v>
      </c>
      <c r="O17" s="87">
        <f>_xlfn.XLOOKUP(_xlfn.XLOOKUP($AS$6&amp;$B17,公表[班別+時段],公表[備勤2],""),$AX$9:$AX$25,$AY$9:$AY$25,"")</f>
        <v>8</v>
      </c>
      <c r="P17" s="87"/>
      <c r="Q17" s="87"/>
      <c r="R17" s="87">
        <f>_xlfn.XLOOKUP(_xlfn.XLOOKUP($AS$6&amp;$B17,公表[班別+時段],公表[備勤4],""),$AX$9:$AX$25,$AY$9:$AY$25,"")</f>
        <v>18</v>
      </c>
      <c r="S17" s="87"/>
      <c r="T17" s="87"/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87"/>
      <c r="AC17" s="87"/>
      <c r="AD17" s="87"/>
      <c r="AE17" s="88">
        <v>5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27">
        <v>9</v>
      </c>
      <c r="AP17" s="127" t="str">
        <v>鍾佳諭</v>
      </c>
      <c r="AQ17" s="127" t="str" cm="1">
        <f t="array" ref="AQ17">IFERROR(_xlfn.XLOOKUP(_xlfn.XLOOKUP($AQ$3,輪休基準表!$C$6:$C$36,_xlfn.XLOOKUP(AP17,輪休基準表!$E$5:$AF$5,輪休基準表!$E$6:$AF$36,""),""),班別參數!$A$4:$A$20,班別參數!$B$4:$B$20,""),"")</f>
        <v>輪休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/>
      </c>
      <c r="AT17" s="180" t="str">
        <f t="shared" si="0"/>
        <v/>
      </c>
      <c r="AU17" s="180" t="str">
        <f t="shared" si="1"/>
        <v/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27"/>
    </row>
    <row r="18" spans="2:56" ht="30" customHeight="1">
      <c r="B18" s="81" t="s">
        <v>81</v>
      </c>
      <c r="C18" s="87">
        <f>_xlfn.XLOOKUP(_xlfn.XLOOKUP($AS$6&amp;$B18,公表[班別+時段],公表[值班],""),$AX$9:$AX$25,$AY$9:$AY$25,"")</f>
        <v>18</v>
      </c>
      <c r="D18" s="100"/>
      <c r="E18" s="445"/>
      <c r="F18" s="100"/>
      <c r="G18" s="122">
        <v>23</v>
      </c>
      <c r="H18" s="297"/>
      <c r="I18" s="92">
        <f>_xlfn.XLOOKUP(_xlfn.XLOOKUP($AS$6&amp;$B18,公表[班別+時段],公表[救護1],""),$AX$9:$AX$25,$AY$9:$AY$25,"")</f>
        <v>19</v>
      </c>
      <c r="J18" s="92">
        <f>_xlfn.XLOOKUP(_xlfn.XLOOKUP($AS$6&amp;$B18,公表[班別+時段],公表[救護2],""),$AX$9:$AX$25,$AY$9:$AY$25,"")</f>
        <v>8</v>
      </c>
      <c r="K18" s="92"/>
      <c r="L18" s="87" t="s">
        <v>212</v>
      </c>
      <c r="M18" s="312"/>
      <c r="N18" s="87">
        <f>_xlfn.XLOOKUP(_xlfn.XLOOKUP($AS$6&amp;$B18,公表[班別+時段],公表[備勤1],""),$AX$9:$AX$25,$AY$9:$AY$25,"")</f>
        <v>28</v>
      </c>
      <c r="O18" s="87">
        <f>_xlfn.XLOOKUP(_xlfn.XLOOKUP($AS$6&amp;$B18,公表[班別+時段],公表[備勤2],""),$AX$9:$AX$25,$AY$9:$AY$25,"")</f>
        <v>21</v>
      </c>
      <c r="P18" s="87"/>
      <c r="Q18" s="87">
        <v>5</v>
      </c>
      <c r="R18" s="87">
        <f>_xlfn.XLOOKUP(_xlfn.XLOOKUP($AS$6&amp;$B18,公表[班別+時段],公表[備勤4],""),$AX$9:$AX$25,$AY$9:$AY$25,"")</f>
        <v>0</v>
      </c>
      <c r="S18" s="87"/>
      <c r="T18" s="87"/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87"/>
      <c r="AC18" s="87"/>
      <c r="AD18" s="87"/>
      <c r="AE18" s="88">
        <f>_xlfn.XLOOKUP(_xlfn.XLOOKUP($AS$6&amp;$B18,公表[班別+時段],公表[指揮官],""),$AX$9:$AX$25,$AY$9:$AY$25,"")</f>
        <v>4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27">
        <v>10</v>
      </c>
      <c r="AP18" s="127" t="str">
        <v>林宏澤</v>
      </c>
      <c r="AQ18" s="127" t="str" cm="1">
        <f t="array" ref="AQ18">IFERROR(_xlfn.XLOOKUP(_xlfn.XLOOKUP($AQ$3,輪休基準表!$C$6:$C$36,_xlfn.XLOOKUP(AP18,輪休基準表!$E$5:$AF$5,輪休基準表!$E$6:$AF$36,""),""),班別參數!$A$4:$A$20,班別參數!$B$4:$B$20,""),"")</f>
        <v>輪休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/>
      </c>
      <c r="AT18" s="180" t="str">
        <f t="shared" si="0"/>
        <v/>
      </c>
      <c r="AU18" s="180" t="str">
        <f t="shared" si="1"/>
        <v/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27"/>
    </row>
    <row r="19" spans="2:56" ht="30" customHeight="1" thickBot="1">
      <c r="B19" s="110" t="s">
        <v>82</v>
      </c>
      <c r="C19" s="89">
        <f>_xlfn.XLOOKUP(_xlfn.XLOOKUP($AS$6&amp;$B19,公表[班別+時段],公表[值班],""),$AX$9:$AX$25,$AY$9:$AY$25,"")</f>
        <v>18</v>
      </c>
      <c r="D19" s="106"/>
      <c r="E19" s="96"/>
      <c r="F19" s="236"/>
      <c r="G19" s="123">
        <v>23</v>
      </c>
      <c r="H19" s="107"/>
      <c r="I19" s="216">
        <f>_xlfn.XLOOKUP(_xlfn.XLOOKUP($AS$6&amp;$B19,公表[班別+時段],公表[救護1],""),$AX$9:$AX$25,$AY$9:$AY$25,"")</f>
        <v>19</v>
      </c>
      <c r="J19" s="216">
        <f>_xlfn.XLOOKUP(_xlfn.XLOOKUP($AS$6&amp;$B19,公表[班別+時段],公表[救護2],""),$AX$9:$AX$25,$AY$9:$AY$25,"")</f>
        <v>8</v>
      </c>
      <c r="K19" s="105"/>
      <c r="L19" s="93" t="s">
        <v>212</v>
      </c>
      <c r="M19" s="312"/>
      <c r="N19" s="89">
        <f>_xlfn.XLOOKUP(_xlfn.XLOOKUP($AS$6&amp;$B19,公表[班別+時段],公表[備勤1],""),$AX$9:$AX$25,$AY$9:$AY$25,"")</f>
        <v>28</v>
      </c>
      <c r="O19" s="89">
        <f>_xlfn.XLOOKUP(_xlfn.XLOOKUP($AS$6&amp;$B19,公表[班別+時段],公表[備勤2],""),$AX$9:$AX$25,$AY$9:$AY$25,"")</f>
        <v>21</v>
      </c>
      <c r="P19" s="89"/>
      <c r="Q19" s="89">
        <v>5</v>
      </c>
      <c r="R19" s="89">
        <f>_xlfn.XLOOKUP(_xlfn.XLOOKUP($AS$6&amp;$B19,公表[班別+時段],公表[備勤4],""),$AX$9:$AX$25,$AY$9:$AY$25,"")</f>
        <v>0</v>
      </c>
      <c r="S19" s="89"/>
      <c r="T19" s="89">
        <v>25</v>
      </c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89"/>
      <c r="AC19" s="89"/>
      <c r="AD19" s="89"/>
      <c r="AE19" s="104">
        <f>_xlfn.XLOOKUP(_xlfn.XLOOKUP($AS$6&amp;$B19,公表[班別+時段],公表[指揮官],""),$AX$9:$AX$25,$AY$9:$AY$25,"")</f>
        <v>4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27">
        <v>11</v>
      </c>
      <c r="AP19" s="127" t="str">
        <v>簡君諺</v>
      </c>
      <c r="AQ19" s="127" t="str" cm="1">
        <f t="array" ref="AQ19">IFERROR(_xlfn.XLOOKUP(_xlfn.XLOOKUP($AQ$3,輪休基準表!$C$6:$C$36,_xlfn.XLOOKUP(AP19,輪休基準表!$E$5:$AF$5,輪休基準表!$E$6:$AF$36,""),""),班別參數!$A$4:$A$20,班別參數!$B$4:$B$20,""),"")</f>
        <v>輪休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/>
      </c>
      <c r="AT19" s="180" t="str">
        <f t="shared" si="0"/>
        <v/>
      </c>
      <c r="AU19" s="180" t="str">
        <f t="shared" si="1"/>
        <v/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:AY20">IF(AX19="","",_xlfn._xlws.FILTER($AO$9:$AO$13,$AQ$9:$AQ$13="上班",""))</f>
        <v>4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27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5</v>
      </c>
      <c r="D20" s="97"/>
      <c r="E20" s="97"/>
      <c r="F20" s="97"/>
      <c r="G20" s="121">
        <v>28</v>
      </c>
      <c r="H20" s="55"/>
      <c r="I20" s="94">
        <f>_xlfn.XLOOKUP(_xlfn.XLOOKUP($AS$6&amp;$B20,公表[班別+時段],公表[救護1],""),$AX$9:$AX$25,$AY$9:$AY$25,"")</f>
        <v>18</v>
      </c>
      <c r="J20" s="94">
        <f>_xlfn.XLOOKUP(_xlfn.XLOOKUP($AS$6&amp;$B20,公表[班別+時段],公表[救護2],""),$AX$9:$AX$25,$AY$9:$AY$25,"")</f>
        <v>21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8</v>
      </c>
      <c r="O20" s="90">
        <f>_xlfn.XLOOKUP(_xlfn.XLOOKUP($AS$6&amp;$B20,公表[班別+時段],公表[備勤2],""),$AX$9:$AX$25,$AY$9:$AY$25,"")</f>
        <v>25</v>
      </c>
      <c r="P20" s="90"/>
      <c r="Q20" s="90">
        <v>19</v>
      </c>
      <c r="R20" s="90"/>
      <c r="S20" s="90"/>
      <c r="T20" s="90">
        <v>23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90"/>
      <c r="AC20" s="90"/>
      <c r="AD20" s="90"/>
      <c r="AE20" s="91">
        <f>_xlfn.XLOOKUP(_xlfn.XLOOKUP($AS$6&amp;$B20,公表[班別+時段],公表[指揮官],""),$AX$9:$AX$25,$AY$9:$AY$25,"")</f>
        <v>4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27">
        <v>12</v>
      </c>
      <c r="AP20" s="127" t="str">
        <v>王昱勛</v>
      </c>
      <c r="AQ20" s="127" t="str" cm="1">
        <f t="array" ref="AQ20">IFERROR(_xlfn.XLOOKUP(_xlfn.XLOOKUP($AQ$3,輪休基準表!$C$6:$C$36,_xlfn.XLOOKUP(AP20,輪休基準表!$E$5:$AF$5,輪休基準表!$E$6:$AF$36,""),""),班別參數!$A$4:$A$20,班別參數!$B$4:$B$20,""),"")</f>
        <v>輪休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/>
      </c>
      <c r="AT20" s="180" t="str">
        <f t="shared" si="0"/>
        <v/>
      </c>
      <c r="AU20" s="180" t="str">
        <f t="shared" si="1"/>
        <v/>
      </c>
      <c r="AV20" s="25"/>
      <c r="AW20" s="33" t="str">
        <f t="array" ref="AW20">INDEX(班別參數!$D$4:$D$20,ROW()-7,MATCH($AW$8,班別參數!$D$4:$D$20,0))</f>
        <v>帶隊官</v>
      </c>
      <c r="AX20" s="34" t="str">
        <f t="array" ref="AX20">IFERROR(INDEX(班別參數!$D$4:$S$20,MATCH(AW20,班別參數!$D$4:$D$20,0),MATCH($AS$6,班別參數!$D$4:$S$4,0)),"")</f>
        <v>L</v>
      </c>
      <c r="AY20" s="38">
        <v>5</v>
      </c>
      <c r="AZ20" s="32"/>
      <c r="BA20" s="33" t="s">
        <v>67</v>
      </c>
      <c r="BB20" s="34" t="str">
        <f t="array" ref="BB20">IFERROR(INDEX(班別參數!$D$23:$S$35,MATCH(BA20,班別參數!$D$23:$D$35,0),MATCH($AS$6,班別參數!$D$23:$S$23,0)),"")</f>
        <v>G,L</v>
      </c>
      <c r="BC20" s="41" t="str">
        <f t="shared" si="2"/>
        <v>8,5</v>
      </c>
      <c r="BD20" s="127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5</v>
      </c>
      <c r="D21" s="95"/>
      <c r="E21" s="95"/>
      <c r="F21" s="95"/>
      <c r="G21" s="121">
        <v>28</v>
      </c>
      <c r="H21" s="296" t="str">
        <f>AY4</f>
        <v>救護訓練</v>
      </c>
      <c r="I21" s="92">
        <f>_xlfn.XLOOKUP(_xlfn.XLOOKUP($AS$6&amp;$B21,公表[班別+時段],公表[救護1],""),$AX$9:$AX$25,$AY$9:$AY$25,"")</f>
        <v>18</v>
      </c>
      <c r="J21" s="92">
        <f>_xlfn.XLOOKUP(_xlfn.XLOOKUP($AS$6&amp;$B21,公表[班別+時段],公表[救護2],""),$AX$9:$AX$25,$AY$9:$AY$25,"")</f>
        <v>21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8</v>
      </c>
      <c r="O21" s="87">
        <f>_xlfn.XLOOKUP(_xlfn.XLOOKUP($AS$6&amp;$B21,公表[班別+時段],公表[備勤2],""),$AX$9:$AX$25,$AY$9:$AY$25,"")</f>
        <v>25</v>
      </c>
      <c r="P21" s="87"/>
      <c r="Q21" s="87">
        <v>19</v>
      </c>
      <c r="R21" s="87"/>
      <c r="S21" s="87"/>
      <c r="T21" s="87">
        <v>23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87"/>
      <c r="AC21" s="87"/>
      <c r="AD21" s="87"/>
      <c r="AE21" s="88">
        <f>_xlfn.XLOOKUP(_xlfn.XLOOKUP($AS$6&amp;$B21,公表[班別+時段],公表[指揮官],""),$AX$9:$AX$25,$AY$9:$AY$25,"")</f>
        <v>4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27">
        <v>13</v>
      </c>
      <c r="AP21" s="127" t="str">
        <v>葉宗哲</v>
      </c>
      <c r="AQ21" s="127" t="str" cm="1">
        <f t="array" ref="AQ21">IFERROR(_xlfn.XLOOKUP(_xlfn.XLOOKUP($AQ$3,輪休基準表!$C$6:$C$36,_xlfn.XLOOKUP(AP21,輪休基準表!$E$5:$AF$5,輪休基準表!$E$6:$AF$36,""),""),班別參數!$A$4:$A$20,班別參數!$B$4:$B$20,""),"")</f>
        <v>輪休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/>
      </c>
      <c r="AT21" s="180" t="str">
        <f t="shared" si="0"/>
        <v/>
      </c>
      <c r="AU21" s="180" t="str">
        <f t="shared" si="1"/>
        <v/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27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19</v>
      </c>
      <c r="D22" s="95"/>
      <c r="E22" s="95"/>
      <c r="F22" s="95"/>
      <c r="G22" s="122" t="s">
        <v>406</v>
      </c>
      <c r="H22" s="297"/>
      <c r="I22" s="92">
        <f>_xlfn.XLOOKUP(_xlfn.XLOOKUP($AS$6&amp;$B22,公表[班別+時段],公表[救護1],""),$AX$9:$AX$25,$AY$9:$AY$25,"")</f>
        <v>23</v>
      </c>
      <c r="J22" s="92">
        <f>_xlfn.XLOOKUP(_xlfn.XLOOKUP($AS$6&amp;$B22,公表[班別+時段],公表[救護2],""),$AX$9:$AX$25,$AY$9:$AY$25,"")</f>
        <v>8</v>
      </c>
      <c r="K22" s="92"/>
      <c r="L22" s="87" t="s">
        <v>212</v>
      </c>
      <c r="M22" s="312"/>
      <c r="N22" s="87">
        <v>28</v>
      </c>
      <c r="O22" s="87">
        <f>_xlfn.XLOOKUP(_xlfn.XLOOKUP($AS$6&amp;$B22,公表[班別+時段],公表[備勤2],""),$AX$9:$AX$25,$AY$9:$AY$25,"")</f>
        <v>18</v>
      </c>
      <c r="P22" s="87"/>
      <c r="Q22" s="87">
        <v>5</v>
      </c>
      <c r="R22" s="87">
        <f>_xlfn.XLOOKUP(_xlfn.XLOOKUP($AS$6&amp;$B22,公表[班別+時段],公表[備勤4],""),$AX$9:$AX$25,$AY$9:$AY$25,"")</f>
        <v>0</v>
      </c>
      <c r="S22" s="87"/>
      <c r="T22" s="87"/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87"/>
      <c r="AC22" s="87"/>
      <c r="AD22" s="87"/>
      <c r="AE22" s="88">
        <f>_xlfn.XLOOKUP(_xlfn.XLOOKUP($AS$6&amp;$B22,公表[班別+時段],公表[指揮官],""),$AX$9:$AX$25,$AY$9:$AY$25,"")</f>
        <v>4</v>
      </c>
      <c r="AF22" s="57" t="s">
        <v>213</v>
      </c>
      <c r="AG22" s="305" t="str" cm="1">
        <f t="array" ref="AG22">_xlfn.TEXTJOIN(".",1,_xlfn._xlws.FILTER($AO$9:$AO$40,$AQ$9:$AQ$40="上班",""))</f>
        <v>4.5.8.18.19.21.23.25.28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27">
        <v>14</v>
      </c>
      <c r="AP22" s="127" t="str">
        <v>王浩任</v>
      </c>
      <c r="AQ22" s="127" t="str" cm="1">
        <f t="array" ref="AQ22">IFERROR(_xlfn.XLOOKUP(_xlfn.XLOOKUP($AQ$3,輪休基準表!$C$6:$C$36,_xlfn.XLOOKUP(AP22,輪休基準表!$E$5:$AF$5,輪休基準表!$E$6:$AF$36,""),""),班別參數!$A$4:$A$20,班別參數!$B$4:$B$20,""),"")</f>
        <v>月補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/>
      </c>
      <c r="AT22" s="180" t="str">
        <f t="shared" si="0"/>
        <v/>
      </c>
      <c r="AU22" s="180" t="str">
        <f t="shared" si="1"/>
        <v/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27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19</v>
      </c>
      <c r="D23" s="106"/>
      <c r="E23" s="96"/>
      <c r="F23" s="96"/>
      <c r="G23" s="122" t="s">
        <v>406</v>
      </c>
      <c r="H23" s="107"/>
      <c r="I23" s="216">
        <f>_xlfn.XLOOKUP(_xlfn.XLOOKUP($AS$6&amp;$B23,公表[班別+時段],公表[救護1],""),$AX$9:$AX$25,$AY$9:$AY$25,"")</f>
        <v>23</v>
      </c>
      <c r="J23" s="216">
        <f>_xlfn.XLOOKUP(_xlfn.XLOOKUP($AS$6&amp;$B23,公表[班別+時段],公表[救護2],""),$AX$9:$AX$25,$AY$9:$AY$25,"")</f>
        <v>8</v>
      </c>
      <c r="K23" s="105"/>
      <c r="L23" s="93" t="s">
        <v>212</v>
      </c>
      <c r="M23" s="312"/>
      <c r="N23" s="89">
        <v>28</v>
      </c>
      <c r="O23" s="89">
        <f>_xlfn.XLOOKUP(_xlfn.XLOOKUP($AS$6&amp;$B23,公表[班別+時段],公表[備勤2],""),$AX$9:$AX$25,$AY$9:$AY$25,"")</f>
        <v>18</v>
      </c>
      <c r="P23" s="89"/>
      <c r="Q23" s="89">
        <v>5</v>
      </c>
      <c r="R23" s="89">
        <f>_xlfn.XLOOKUP(_xlfn.XLOOKUP($AS$6&amp;$B23,公表[班別+時段],公表[備勤4],""),$AX$9:$AX$25,$AY$9:$AY$25,"")</f>
        <v>0</v>
      </c>
      <c r="S23" s="89"/>
      <c r="T23" s="89"/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89"/>
      <c r="AC23" s="89"/>
      <c r="AD23" s="89"/>
      <c r="AE23" s="104">
        <f>_xlfn.XLOOKUP(_xlfn.XLOOKUP($AS$6&amp;$B23,公表[班別+時段],公表[指揮官],""),$AX$9:$AX$25,$AY$9:$AY$25,"")</f>
        <v>4</v>
      </c>
      <c r="AF23" s="57" t="s">
        <v>6</v>
      </c>
      <c r="AG23" s="305" t="str" cm="1">
        <f t="array" ref="AG23">_xlfn.TEXTJOIN(".",1,_xlfn._xlws.FILTER($AO$9:$AO$40,$AQ$9:$AQ$40=$AF$23,""))</f>
        <v>1.2.3.6.7.9.10.11.12.13.15.16.27</v>
      </c>
      <c r="AH23" s="400"/>
      <c r="AI23" s="400"/>
      <c r="AJ23" s="400"/>
      <c r="AK23" s="400"/>
      <c r="AL23" s="400"/>
      <c r="AM23" s="401"/>
      <c r="AN23" s="214"/>
      <c r="AO23" s="127">
        <v>15</v>
      </c>
      <c r="AP23" s="127" t="str">
        <v>李仕詮</v>
      </c>
      <c r="AQ23" s="127" t="str" cm="1">
        <f t="array" ref="AQ23">IFERROR(_xlfn.XLOOKUP(_xlfn.XLOOKUP($AQ$3,輪休基準表!$C$6:$C$36,_xlfn.XLOOKUP(AP23,輪休基準表!$E$5:$AF$5,輪休基準表!$E$6:$AF$36,""),""),班別參數!$A$4:$A$20,班別參數!$B$4:$B$20,""),"")</f>
        <v>輪休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/>
      </c>
      <c r="AT23" s="180" t="str">
        <f t="shared" si="0"/>
        <v/>
      </c>
      <c r="AU23" s="180" t="str">
        <f t="shared" si="1"/>
        <v/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27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21</v>
      </c>
      <c r="D24" s="97"/>
      <c r="E24" s="97"/>
      <c r="F24" s="97"/>
      <c r="G24" s="121">
        <v>18</v>
      </c>
      <c r="H24" s="55"/>
      <c r="I24" s="94">
        <f>_xlfn.XLOOKUP(_xlfn.XLOOKUP($AS$6&amp;$B24,公表[班別+時段],公表[救護1],""),$AX$9:$AX$25,$AY$9:$AY$25,"")</f>
        <v>19</v>
      </c>
      <c r="J24" s="94">
        <f>_xlfn.XLOOKUP(_xlfn.XLOOKUP($AS$6&amp;$B24,公表[班別+時段],公表[救護2],""),$AX$9:$AX$25,$AY$9:$AY$25,"")</f>
        <v>28</v>
      </c>
      <c r="K24" s="90"/>
      <c r="L24" s="90" t="s">
        <v>212</v>
      </c>
      <c r="M24" s="312"/>
      <c r="N24" s="90">
        <f>_xlfn.XLOOKUP(_xlfn.XLOOKUP($AS$6&amp;$B24,公表[班別+時段],公表[備勤1],""),$AX$9:$AX$25,$AY$9:$AY$25,"")</f>
        <v>23</v>
      </c>
      <c r="O24" s="90">
        <f>_xlfn.XLOOKUP(_xlfn.XLOOKUP($AS$6&amp;$B24,公表[班別+時段],公表[備勤2],""),$AX$9:$AX$25,$AY$9:$AY$25,"")</f>
        <v>8</v>
      </c>
      <c r="P24" s="90"/>
      <c r="Q24" s="90">
        <f>_xlfn.XLOOKUP(_xlfn.XLOOKUP($AS$6&amp;$B24,公表[班別+時段],公表[備勤3],""),$AX$9:$AX$25,$AY$9:$AY$25,"")</f>
        <v>25</v>
      </c>
      <c r="R24" s="90"/>
      <c r="S24" s="90"/>
      <c r="T24" s="90">
        <f>_xlfn.XLOOKUP(_xlfn.XLOOKUP($AS$6&amp;$B24,公表[班別+時段],公表[備勤5],""),$AX$9:$AX$25,$AY$9:$AY$25,"")</f>
        <v>5</v>
      </c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90"/>
      <c r="AC24" s="90"/>
      <c r="AD24" s="90"/>
      <c r="AE24" s="91">
        <f>_xlfn.XLOOKUP(_xlfn.XLOOKUP($AS$6&amp;$B24,公表[班別+時段],公表[指揮官],""),$AX$9:$AX$25,$AY$9:$AY$25,"")</f>
        <v>4</v>
      </c>
      <c r="AF24" s="57" t="s">
        <v>17</v>
      </c>
      <c r="AG24" s="305" t="str" cm="1">
        <f t="array" ref="AG24">_xlfn.TEXTJOIN(".",1,_xlfn._xlws.FILTER($AO$9:$AO$40,$AQ$9:$AQ$40=$AF$24,""))</f>
        <v>14.17.26</v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>24</v>
      </c>
      <c r="AL24" s="400"/>
      <c r="AM24" s="401"/>
      <c r="AN24" s="214"/>
      <c r="AO24" s="127">
        <v>16</v>
      </c>
      <c r="AP24" s="127" t="str">
        <v>楊弘宇</v>
      </c>
      <c r="AQ24" s="127" t="str" cm="1">
        <f t="array" ref="AQ24">IFERROR(_xlfn.XLOOKUP(_xlfn.XLOOKUP($AQ$3,輪休基準表!$C$6:$C$36,_xlfn.XLOOKUP(AP24,輪休基準表!$E$5:$AF$5,輪休基準表!$E$6:$AF$36,""),""),班別參數!$A$4:$A$20,班別參數!$B$4:$B$20,""),"")</f>
        <v>輪休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/>
      </c>
      <c r="AT24" s="180" t="str">
        <f t="shared" si="0"/>
        <v/>
      </c>
      <c r="AU24" s="180" t="str">
        <f t="shared" si="1"/>
        <v/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27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21</v>
      </c>
      <c r="D25" s="95"/>
      <c r="E25" s="95"/>
      <c r="F25" s="95"/>
      <c r="G25" s="122">
        <v>18</v>
      </c>
      <c r="H25" s="37"/>
      <c r="I25" s="92">
        <f>_xlfn.XLOOKUP(_xlfn.XLOOKUP($AS$6&amp;$B25,公表[班別+時段],公表[救護1],""),$AX$9:$AX$25,$AY$9:$AY$25,"")</f>
        <v>19</v>
      </c>
      <c r="J25" s="92">
        <f>_xlfn.XLOOKUP(_xlfn.XLOOKUP($AS$6&amp;$B25,公表[班別+時段],公表[救護2],""),$AX$9:$AX$25,$AY$9:$AY$25,"")</f>
        <v>28</v>
      </c>
      <c r="K25" s="87"/>
      <c r="L25" s="87" t="s">
        <v>212</v>
      </c>
      <c r="M25" s="312"/>
      <c r="N25" s="87">
        <f>_xlfn.XLOOKUP(_xlfn.XLOOKUP($AS$6&amp;$B25,公表[班別+時段],公表[備勤1],""),$AX$9:$AX$25,$AY$9:$AY$25,"")</f>
        <v>23</v>
      </c>
      <c r="O25" s="87">
        <f>_xlfn.XLOOKUP(_xlfn.XLOOKUP($AS$6&amp;$B25,公表[班別+時段],公表[備勤2],""),$AX$9:$AX$25,$AY$9:$AY$25,"")</f>
        <v>8</v>
      </c>
      <c r="P25" s="87"/>
      <c r="Q25" s="87">
        <f>_xlfn.XLOOKUP(_xlfn.XLOOKUP($AS$6&amp;$B25,公表[班別+時段],公表[備勤3],""),$AX$9:$AX$25,$AY$9:$AY$25,"")</f>
        <v>25</v>
      </c>
      <c r="R25" s="87"/>
      <c r="S25" s="87"/>
      <c r="T25" s="87">
        <f>_xlfn.XLOOKUP(_xlfn.XLOOKUP($AS$6&amp;$B25,公表[班別+時段],公表[備勤5],""),$AX$9:$AX$25,$AY$9:$AY$25,"")</f>
        <v>5</v>
      </c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87"/>
      <c r="AC25" s="87"/>
      <c r="AD25" s="87"/>
      <c r="AE25" s="88">
        <f>_xlfn.XLOOKUP(_xlfn.XLOOKUP($AS$6&amp;$B25,公表[班別+時段],公表[指揮官],""),$AX$9:$AX$25,$AY$9:$AY$25,"")</f>
        <v>4</v>
      </c>
      <c r="AF25" s="57" t="s">
        <v>28</v>
      </c>
      <c r="AG25" s="305" t="str" cm="1">
        <f t="array" ref="AG25">_xlfn.TEXTJOIN(".",1,_xlfn._xlws.FILTER($AO$9:$AO$40,$AQ$9:$AQ$40=$AF$25,""))</f>
        <v/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>20.22</v>
      </c>
      <c r="AL25" s="309"/>
      <c r="AM25" s="310"/>
      <c r="AN25" s="214"/>
      <c r="AO25" s="127">
        <v>17</v>
      </c>
      <c r="AP25" s="127" t="str">
        <v>楊仲豪</v>
      </c>
      <c r="AQ25" s="127" t="str" cm="1">
        <f t="array" ref="AQ25">IFERROR(_xlfn.XLOOKUP(_xlfn.XLOOKUP($AQ$3,輪休基準表!$C$6:$C$36,_xlfn.XLOOKUP(AP25,輪休基準表!$E$5:$AF$5,輪休基準表!$E$6:$AF$36,""),""),班別參數!$A$4:$A$20,班別參數!$B$4:$B$20,""),"")</f>
        <v>月補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/>
      </c>
      <c r="AT25" s="180" t="str">
        <f t="shared" si="0"/>
        <v/>
      </c>
      <c r="AU25" s="180" t="str">
        <f t="shared" si="1"/>
        <v/>
      </c>
      <c r="AW25" s="33"/>
      <c r="AX25" s="45"/>
      <c r="AY25" s="25"/>
      <c r="AZ25" s="28"/>
      <c r="BA25" s="33"/>
      <c r="BB25" s="25"/>
      <c r="BD25" s="127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21</v>
      </c>
      <c r="D26" s="95"/>
      <c r="E26" s="95"/>
      <c r="F26" s="95"/>
      <c r="G26" s="122"/>
      <c r="H26" s="37"/>
      <c r="I26" s="92">
        <f>_xlfn.XLOOKUP(_xlfn.XLOOKUP($AS$6&amp;$B26,公表[班別+時段],公表[救護1],""),$AX$9:$AX$25,$AY$9:$AY$25,"")</f>
        <v>25</v>
      </c>
      <c r="J26" s="92">
        <f>_xlfn.XLOOKUP(_xlfn.XLOOKUP($AS$6&amp;$B26,公表[班別+時段],公表[救護2],""),$AX$9:$AX$25,$AY$9:$AY$25,"")</f>
        <v>23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8</v>
      </c>
      <c r="O26" s="87">
        <f>_xlfn.XLOOKUP(_xlfn.XLOOKUP($AS$6&amp;$B26,公表[班別+時段],公表[備勤2],""),$AX$9:$AX$25,$AY$9:$AY$25,"")</f>
        <v>19</v>
      </c>
      <c r="P26" s="87"/>
      <c r="Q26" s="87">
        <f>_xlfn.XLOOKUP(_xlfn.XLOOKUP($AS$6&amp;$B26,公表[班別+時段],公表[備勤3],""),$AX$9:$AX$25,$AY$9:$AY$25,"")</f>
        <v>18</v>
      </c>
      <c r="R26" s="87">
        <f>_xlfn.XLOOKUP(_xlfn.XLOOKUP($AS$6&amp;$B26,公表[班別+時段],公表[備勤4],""),$AX$9:$AX$25,$AY$9:$AY$25,"")</f>
        <v>28</v>
      </c>
      <c r="S26" s="87"/>
      <c r="T26" s="87">
        <f>_xlfn.XLOOKUP(_xlfn.XLOOKUP($AS$6&amp;$B26,公表[班別+時段],公表[備勤5],""),$AX$9:$AX$25,$AY$9:$AY$25,"")</f>
        <v>5</v>
      </c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87"/>
      <c r="AC26" s="87"/>
      <c r="AD26" s="87"/>
      <c r="AE26" s="88">
        <f>_xlfn.XLOOKUP(_xlfn.XLOOKUP($AS$6&amp;$B26,公表[班別+時段],公表[指揮官],""),$AX$9:$AX$25,$AY$9:$AY$25,"")</f>
        <v>4</v>
      </c>
      <c r="AF26" s="57" t="s">
        <v>289</v>
      </c>
      <c r="AG26" s="178" t="str" cm="1">
        <f t="array" ref="AG26">_xlfn.TEXTJOIN(".",1,_xlfn._xlws.FILTER($AO$9:$AO$40,$AQ$9:$AQ$40=$AF$26,""))</f>
        <v/>
      </c>
      <c r="AH26" s="168" t="s">
        <v>290</v>
      </c>
      <c r="AI26" s="179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/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27">
        <v>18</v>
      </c>
      <c r="AP26" s="127" t="str">
        <v>林志偉</v>
      </c>
      <c r="AQ26" s="127" t="str" cm="1">
        <f t="array" ref="AQ26">IFERROR(_xlfn.XLOOKUP(_xlfn.XLOOKUP($AQ$3,輪休基準表!$C$6:$C$36,_xlfn.XLOOKUP(AP26,輪休基準表!$E$5:$AF$5,輪休基準表!$E$6:$AF$36,""),""),班別參數!$A$4:$A$20,班別參數!$B$4:$B$20,""),"")</f>
        <v>上班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>已排</v>
      </c>
      <c r="AT26" s="180">
        <f t="shared" si="0"/>
        <v>6</v>
      </c>
      <c r="AU26" s="180">
        <f t="shared" si="1"/>
        <v>8</v>
      </c>
      <c r="AV26" s="10"/>
      <c r="AW26" s="46"/>
      <c r="AX26" s="45"/>
      <c r="AY26" s="25"/>
      <c r="AZ26" s="28"/>
      <c r="BA26" s="33"/>
      <c r="BB26" s="25"/>
      <c r="BD26" s="127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21</v>
      </c>
      <c r="D27" s="95"/>
      <c r="E27" s="95"/>
      <c r="F27" s="95"/>
      <c r="G27" s="122"/>
      <c r="H27" s="37"/>
      <c r="I27" s="92">
        <f>_xlfn.XLOOKUP(_xlfn.XLOOKUP($AS$6&amp;$B27,公表[班別+時段],公表[救護1],""),$AX$9:$AX$25,$AY$9:$AY$25,"")</f>
        <v>25</v>
      </c>
      <c r="J27" s="92">
        <f>_xlfn.XLOOKUP(_xlfn.XLOOKUP($AS$6&amp;$B27,公表[班別+時段],公表[救護2],""),$AX$9:$AX$25,$AY$9:$AY$25,"")</f>
        <v>23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8</v>
      </c>
      <c r="O27" s="87">
        <f>_xlfn.XLOOKUP(_xlfn.XLOOKUP($AS$6&amp;$B27,公表[班別+時段],公表[備勤2],""),$AX$9:$AX$25,$AY$9:$AY$25,"")</f>
        <v>19</v>
      </c>
      <c r="P27" s="87"/>
      <c r="Q27" s="87">
        <f>_xlfn.XLOOKUP(_xlfn.XLOOKUP($AS$6&amp;$B27,公表[班別+時段],公表[備勤3],""),$AX$9:$AX$25,$AY$9:$AY$25,"")</f>
        <v>18</v>
      </c>
      <c r="R27" s="87">
        <f>_xlfn.XLOOKUP(_xlfn.XLOOKUP($AS$6&amp;$B27,公表[班別+時段],公表[備勤4],""),$AX$9:$AX$25,$AY$9:$AY$25,"")</f>
        <v>28</v>
      </c>
      <c r="S27" s="87"/>
      <c r="T27" s="87">
        <f>_xlfn.XLOOKUP(_xlfn.XLOOKUP($AS$6&amp;$B27,公表[班別+時段],公表[備勤5],""),$AX$9:$AX$25,$AY$9:$AY$25,"")</f>
        <v>5</v>
      </c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87"/>
      <c r="AC27" s="87"/>
      <c r="AD27" s="87"/>
      <c r="AE27" s="88">
        <f>_xlfn.XLOOKUP(_xlfn.XLOOKUP($AS$6&amp;$B27,公表[班別+時段],公表[指揮官],""),$AX$9:$AX$25,$AY$9:$AY$25,"")</f>
        <v>4</v>
      </c>
      <c r="AF27" s="317" t="s">
        <v>215</v>
      </c>
      <c r="AG27" s="319"/>
      <c r="AH27" s="321"/>
      <c r="AI27" s="321"/>
      <c r="AJ27" s="321"/>
      <c r="AK27" s="321"/>
      <c r="AL27" s="321"/>
      <c r="AM27" s="322"/>
      <c r="AN27" s="214"/>
      <c r="AO27" s="127">
        <v>19</v>
      </c>
      <c r="AP27" s="127" t="str">
        <v>劉家誠</v>
      </c>
      <c r="AQ27" s="127" t="str" cm="1">
        <f t="array" ref="AQ27">IFERROR(_xlfn.XLOOKUP(_xlfn.XLOOKUP($AQ$3,輪休基準表!$C$6:$C$36,_xlfn.XLOOKUP(AP27,輪休基準表!$E$5:$AF$5,輪休基準表!$E$6:$AF$36,""),""),班別參數!$A$4:$A$20,班別參數!$B$4:$B$20,""),"")</f>
        <v>上班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>已排</v>
      </c>
      <c r="AT27" s="180">
        <f t="shared" si="0"/>
        <v>8</v>
      </c>
      <c r="AU27" s="180">
        <f t="shared" si="1"/>
        <v>8</v>
      </c>
      <c r="AV27" s="10"/>
      <c r="AW27" s="46"/>
      <c r="AX27" s="45"/>
      <c r="AY27" s="25"/>
      <c r="AZ27" s="28"/>
      <c r="BA27" s="33"/>
      <c r="BB27" s="25"/>
      <c r="BD27" s="127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21</v>
      </c>
      <c r="D28" s="95"/>
      <c r="E28" s="95"/>
      <c r="F28" s="95"/>
      <c r="G28" s="122"/>
      <c r="H28" s="37"/>
      <c r="I28" s="92">
        <f>_xlfn.XLOOKUP(_xlfn.XLOOKUP($AS$6&amp;$B28,公表[班別+時段],公表[救護1],""),$AX$9:$AX$25,$AY$9:$AY$25,"")</f>
        <v>25</v>
      </c>
      <c r="J28" s="92">
        <f>_xlfn.XLOOKUP(_xlfn.XLOOKUP($AS$6&amp;$B28,公表[班別+時段],公表[救護2],""),$AX$9:$AX$25,$AY$9:$AY$25,"")</f>
        <v>23</v>
      </c>
      <c r="K28" s="87"/>
      <c r="L28" s="87" t="s">
        <v>212</v>
      </c>
      <c r="M28" s="312"/>
      <c r="N28" s="87">
        <f>_xlfn.XLOOKUP(_xlfn.XLOOKUP($AS$6&amp;$B28,公表[班別+時段],公表[備勤1],""),$AX$9:$AX$25,$AY$9:$AY$25,"")</f>
        <v>28</v>
      </c>
      <c r="O28" s="87">
        <f>_xlfn.XLOOKUP(_xlfn.XLOOKUP($AS$6&amp;$B28,公表[班別+時段],公表[備勤2],""),$AX$9:$AX$25,$AY$9:$AY$25,"")</f>
        <v>18</v>
      </c>
      <c r="P28" s="87"/>
      <c r="Q28" s="87">
        <f>_xlfn.XLOOKUP(_xlfn.XLOOKUP($AS$6&amp;$B28,公表[班別+時段],公表[備勤3],""),$AX$9:$AX$25,$AY$9:$AY$25,"")</f>
        <v>8</v>
      </c>
      <c r="R28" s="87">
        <f>_xlfn.XLOOKUP(_xlfn.XLOOKUP($AS$6&amp;$B28,公表[班別+時段],公表[備勤4],""),$AX$9:$AX$25,$AY$9:$AY$25,"")</f>
        <v>19</v>
      </c>
      <c r="S28" s="87"/>
      <c r="T28" s="87">
        <f>_xlfn.XLOOKUP(_xlfn.XLOOKUP($AS$6&amp;$B28,公表[班別+時段],公表[備勤5],""),$AX$9:$AX$25,$AY$9:$AY$25,"")</f>
        <v>5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87"/>
      <c r="AC28" s="87"/>
      <c r="AD28" s="87"/>
      <c r="AE28" s="88">
        <f>_xlfn.XLOOKUP(_xlfn.XLOOKUP($AS$6&amp;$B28,公表[班別+時段],公表[指揮官],""),$AX$9:$AX$25,$AY$9:$AY$25,"")</f>
        <v>4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27">
        <v>20</v>
      </c>
      <c r="AP28" s="127" t="str">
        <v>呂奇霈</v>
      </c>
      <c r="AQ28" s="127" t="str" cm="1">
        <f t="array" ref="AQ28">IFERROR(_xlfn.XLOOKUP(_xlfn.XLOOKUP($AQ$3,輪休基準表!$C$6:$C$36,_xlfn.XLOOKUP(AP28,輪休基準表!$E$5:$AF$5,輪休基準表!$E$6:$AF$36,""),""),班別參數!$A$4:$A$20,班別參數!$B$4:$B$20,""),"")</f>
        <v>公假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27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21</v>
      </c>
      <c r="D29" s="95"/>
      <c r="E29" s="95"/>
      <c r="F29" s="95"/>
      <c r="G29" s="122"/>
      <c r="H29" s="37"/>
      <c r="I29" s="92">
        <f>_xlfn.XLOOKUP(_xlfn.XLOOKUP($AS$6&amp;$B29,公表[班別+時段],公表[救護1],""),$AX$9:$AX$25,$AY$9:$AY$25,"")</f>
        <v>25</v>
      </c>
      <c r="J29" s="92">
        <f>_xlfn.XLOOKUP(_xlfn.XLOOKUP($AS$6&amp;$B29,公表[班別+時段],公表[救護2],""),$AX$9:$AX$25,$AY$9:$AY$25,"")</f>
        <v>23</v>
      </c>
      <c r="K29" s="87"/>
      <c r="L29" s="87" t="s">
        <v>212</v>
      </c>
      <c r="M29" s="312"/>
      <c r="N29" s="87">
        <f>_xlfn.XLOOKUP(_xlfn.XLOOKUP($AS$6&amp;$B29,公表[班別+時段],公表[備勤1],""),$AX$9:$AX$25,$AY$9:$AY$25,"")</f>
        <v>28</v>
      </c>
      <c r="O29" s="87">
        <f>_xlfn.XLOOKUP(_xlfn.XLOOKUP($AS$6&amp;$B29,公表[班別+時段],公表[備勤2],""),$AX$9:$AX$25,$AY$9:$AY$25,"")</f>
        <v>18</v>
      </c>
      <c r="P29" s="87"/>
      <c r="Q29" s="87">
        <f>_xlfn.XLOOKUP(_xlfn.XLOOKUP($AS$6&amp;$B29,公表[班別+時段],公表[備勤3],""),$AX$9:$AX$25,$AY$9:$AY$25,"")</f>
        <v>8</v>
      </c>
      <c r="R29" s="87">
        <f>_xlfn.XLOOKUP(_xlfn.XLOOKUP($AS$6&amp;$B29,公表[班別+時段],公表[備勤4],""),$AX$9:$AX$25,$AY$9:$AY$25,"")</f>
        <v>19</v>
      </c>
      <c r="S29" s="87"/>
      <c r="T29" s="87">
        <f>_xlfn.XLOOKUP(_xlfn.XLOOKUP($AS$6&amp;$B29,公表[班別+時段],公表[備勤5],""),$AX$9:$AX$25,$AY$9:$AY$25,"")</f>
        <v>5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87"/>
      <c r="AC29" s="87"/>
      <c r="AD29" s="87"/>
      <c r="AE29" s="88">
        <f>_xlfn.XLOOKUP(_xlfn.XLOOKUP($AS$6&amp;$B29,公表[班別+時段],公表[指揮官],""),$AX$9:$AX$25,$AY$9:$AY$25,"")</f>
        <v>4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27">
        <v>21</v>
      </c>
      <c r="AP29" s="127" t="str">
        <v>張家和</v>
      </c>
      <c r="AQ29" s="127" t="str" cm="1">
        <f t="array" ref="AQ29">IFERROR(_xlfn.XLOOKUP(_xlfn.XLOOKUP($AQ$3,輪休基準表!$C$6:$C$36,_xlfn.XLOOKUP(AP29,輪休基準表!$E$5:$AF$5,輪休基準表!$E$6:$AF$36,""),""),班別參數!$A$4:$A$20,班別參數!$B$4:$B$20,""),"")</f>
        <v>上班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>已排</v>
      </c>
      <c r="AT29" s="180">
        <f t="shared" si="0"/>
        <v>6</v>
      </c>
      <c r="AU29" s="180">
        <f t="shared" si="1"/>
        <v>4</v>
      </c>
      <c r="AV29" s="10"/>
      <c r="AW29" s="47"/>
      <c r="AX29" s="45"/>
      <c r="AY29" s="25"/>
      <c r="AZ29" s="28"/>
      <c r="BA29" s="33"/>
      <c r="BB29" s="25"/>
      <c r="BD29" s="127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21</v>
      </c>
      <c r="D30" s="95"/>
      <c r="E30" s="95"/>
      <c r="F30" s="95"/>
      <c r="G30" s="122" t="str">
        <f>IF(BC19="","",BC19)</f>
        <v/>
      </c>
      <c r="H30" s="37"/>
      <c r="I30" s="92">
        <f>_xlfn.XLOOKUP(_xlfn.XLOOKUP($AS$6&amp;$B30,公表[班別+時段],公表[救護1],""),$AX$9:$AX$25,$AY$9:$AY$25,"")</f>
        <v>28</v>
      </c>
      <c r="J30" s="92">
        <f>_xlfn.XLOOKUP(_xlfn.XLOOKUP($AS$6&amp;$B30,公表[班別+時段],公表[救護2],""),$AX$9:$AX$25,$AY$9:$AY$25,"")</f>
        <v>18</v>
      </c>
      <c r="K30" s="87"/>
      <c r="L30" s="87" t="s">
        <v>212</v>
      </c>
      <c r="M30" s="312"/>
      <c r="N30" s="87">
        <f>_xlfn.XLOOKUP(_xlfn.XLOOKUP($AS$6&amp;$B30,公表[班別+時段],公表[備勤1],""),$AX$9:$AX$25,$AY$9:$AY$25,"")</f>
        <v>25</v>
      </c>
      <c r="O30" s="87">
        <f>_xlfn.XLOOKUP(_xlfn.XLOOKUP($AS$6&amp;$B30,公表[班別+時段],公表[備勤2],""),$AX$9:$AX$25,$AY$9:$AY$25,"")</f>
        <v>19</v>
      </c>
      <c r="P30" s="87"/>
      <c r="Q30" s="87">
        <f>_xlfn.XLOOKUP(_xlfn.XLOOKUP($AS$6&amp;$B30,公表[班別+時段],公表[備勤3],""),$AX$9:$AX$25,$AY$9:$AY$25,"")</f>
        <v>23</v>
      </c>
      <c r="R30" s="87">
        <f>_xlfn.XLOOKUP(_xlfn.XLOOKUP($AS$6&amp;$B30,公表[班別+時段],公表[備勤4],""),$AX$9:$AX$25,$AY$9:$AY$25,"")</f>
        <v>8</v>
      </c>
      <c r="S30" s="87"/>
      <c r="T30" s="87">
        <f>_xlfn.XLOOKUP(_xlfn.XLOOKUP($AS$6&amp;$B30,公表[班別+時段],公表[備勤5],""),$AX$9:$AX$25,$AY$9:$AY$25,"")</f>
        <v>5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87"/>
      <c r="AC30" s="87"/>
      <c r="AD30" s="87"/>
      <c r="AE30" s="88">
        <f>_xlfn.XLOOKUP(_xlfn.XLOOKUP($AS$6&amp;$B30,公表[班別+時段],公表[指揮官],""),$AX$9:$AX$25,$AY$9:$AY$25,"")</f>
        <v>4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27">
        <v>22</v>
      </c>
      <c r="AP30" s="127" t="str">
        <v>陳俊瑋</v>
      </c>
      <c r="AQ30" s="127" t="str" cm="1">
        <f t="array" ref="AQ30">IFERROR(_xlfn.XLOOKUP(_xlfn.XLOOKUP($AQ$3,輪休基準表!$C$6:$C$36,_xlfn.XLOOKUP(AP30,輪休基準表!$E$5:$AF$5,輪休基準表!$E$6:$AF$36,""),""),班別參數!$A$4:$A$20,班別參數!$B$4:$B$20,""),"")</f>
        <v>公假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27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21</v>
      </c>
      <c r="D31" s="106"/>
      <c r="E31" s="96"/>
      <c r="F31" s="96"/>
      <c r="G31" s="123" t="str">
        <f>IF(BC19="","",BC19)</f>
        <v/>
      </c>
      <c r="H31" s="109"/>
      <c r="I31" s="216">
        <f>_xlfn.XLOOKUP(_xlfn.XLOOKUP($AS$6&amp;$B31,公表[班別+時段],公表[救護1],""),$AX$9:$AX$25,$AY$9:$AY$25,"")</f>
        <v>28</v>
      </c>
      <c r="J31" s="216">
        <f>_xlfn.XLOOKUP(_xlfn.XLOOKUP($AS$6&amp;$B31,公表[班別+時段],公表[救護2],""),$AX$9:$AX$25,$AY$9:$AY$25,"")</f>
        <v>18</v>
      </c>
      <c r="K31" s="108"/>
      <c r="L31" s="93" t="s">
        <v>212</v>
      </c>
      <c r="M31" s="312"/>
      <c r="N31" s="89">
        <f>_xlfn.XLOOKUP(_xlfn.XLOOKUP($AS$6&amp;$B31,公表[班別+時段],公表[備勤1],""),$AX$9:$AX$25,$AY$9:$AY$25,"")</f>
        <v>25</v>
      </c>
      <c r="O31" s="89">
        <f>_xlfn.XLOOKUP(_xlfn.XLOOKUP($AS$6&amp;$B31,公表[班別+時段],公表[備勤2],""),$AX$9:$AX$25,$AY$9:$AY$25,"")</f>
        <v>19</v>
      </c>
      <c r="P31" s="89"/>
      <c r="Q31" s="89">
        <f>_xlfn.XLOOKUP(_xlfn.XLOOKUP($AS$6&amp;$B31,公表[班別+時段],公表[備勤3],""),$AX$9:$AX$25,$AY$9:$AY$25,"")</f>
        <v>23</v>
      </c>
      <c r="R31" s="89">
        <f>_xlfn.XLOOKUP(_xlfn.XLOOKUP($AS$6&amp;$B31,公表[班別+時段],公表[備勤4],""),$AX$9:$AX$25,$AY$9:$AY$25,"")</f>
        <v>8</v>
      </c>
      <c r="S31" s="89"/>
      <c r="T31" s="89">
        <f>_xlfn.XLOOKUP(_xlfn.XLOOKUP($AS$6&amp;$B31,公表[班別+時段],公表[備勤5],""),$AX$9:$AX$25,$AY$9:$AY$25,"")</f>
        <v>5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89"/>
      <c r="AC31" s="89"/>
      <c r="AD31" s="89"/>
      <c r="AE31" s="104">
        <f>_xlfn.XLOOKUP(_xlfn.XLOOKUP($AS$6&amp;$B31,公表[班別+時段],公表[指揮官],""),$AX$9:$AX$25,$AY$9:$AY$25,"")</f>
        <v>4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27">
        <v>23</v>
      </c>
      <c r="AP31" s="127" t="str">
        <v>陳俊翰</v>
      </c>
      <c r="AQ31" s="127" t="str" cm="1">
        <f t="array" ref="AQ31">IFERROR(_xlfn.XLOOKUP(_xlfn.XLOOKUP($AQ$3,輪休基準表!$C$6:$C$36,_xlfn.XLOOKUP(AP31,輪休基準表!$E$5:$AF$5,輪休基準表!$E$6:$AF$36,""),""),班別參數!$A$4:$A$20,班別參數!$B$4:$B$20,""),"")</f>
        <v>上班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>已排</v>
      </c>
      <c r="AT31" s="180">
        <f t="shared" si="0"/>
        <v>8</v>
      </c>
      <c r="AU31" s="180">
        <f t="shared" si="1"/>
        <v>6</v>
      </c>
      <c r="AW31" s="47"/>
      <c r="AX31" s="45"/>
      <c r="AY31" s="25"/>
      <c r="AZ31" s="28"/>
      <c r="BA31" s="33"/>
      <c r="BB31" s="25"/>
      <c r="BD31" s="127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21</v>
      </c>
      <c r="D32" s="97"/>
      <c r="E32" s="97"/>
      <c r="F32" s="97"/>
      <c r="G32" s="121" t="str">
        <f>IF(BC20="","",BC20)</f>
        <v>8,5</v>
      </c>
      <c r="H32" s="56"/>
      <c r="I32" s="94">
        <f>_xlfn.XLOOKUP(_xlfn.XLOOKUP($AS$6&amp;$B32,公表[班別+時段],公表[救護1],""),$AX$9:$AX$25,$AY$9:$AY$25,"")</f>
        <v>28</v>
      </c>
      <c r="J32" s="94">
        <f>_xlfn.XLOOKUP(_xlfn.XLOOKUP($AS$6&amp;$B32,公表[班別+時段],公表[救護2],""),$AX$9:$AX$25,$AY$9:$AY$25,"")</f>
        <v>18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19</v>
      </c>
      <c r="O32" s="90">
        <f>_xlfn.XLOOKUP(_xlfn.XLOOKUP($AS$6&amp;$B32,公表[班別+時段],公表[備勤2],""),$AX$9:$AX$25,$AY$9:$AY$25,"")</f>
        <v>23</v>
      </c>
      <c r="P32" s="90"/>
      <c r="Q32" s="90">
        <f>_xlfn.XLOOKUP(_xlfn.XLOOKUP($AS$6&amp;$B32,公表[班別+時段],公表[備勤3],""),$AX$9:$AX$25,$AY$9:$AY$25,"")</f>
        <v>25</v>
      </c>
      <c r="R32" s="90">
        <f>_xlfn.XLOOKUP(_xlfn.XLOOKUP($AS$6&amp;$B32,公表[班別+時段],公表[備勤4],""),$AX$9:$AX$25,$AY$9:$AY$25,"")</f>
        <v>0</v>
      </c>
      <c r="S32" s="90"/>
      <c r="T32" s="90">
        <f>_xlfn.XLOOKUP(_xlfn.XLOOKUP($AS$6&amp;$B32,公表[班別+時段],公表[備勤5],""),$AX$9:$AX$25,$AY$9:$AY$25,"")</f>
        <v>0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90"/>
      <c r="AC32" s="90"/>
      <c r="AD32" s="90"/>
      <c r="AE32" s="91">
        <f>_xlfn.XLOOKUP(_xlfn.XLOOKUP($AS$6&amp;$B32,公表[班別+時段],公表[指揮官],""),$AX$9:$AX$25,$AY$9:$AY$25,"")</f>
        <v>4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27">
        <v>24</v>
      </c>
      <c r="AP32" s="127" t="str">
        <v>賴俊豪</v>
      </c>
      <c r="AQ32" s="127" t="str" cm="1">
        <f t="array" ref="AQ32">IFERROR(_xlfn.XLOOKUP(_xlfn.XLOOKUP($AQ$3,輪休基準表!$C$6:$C$36,_xlfn.XLOOKUP(AP32,輪休基準表!$E$5:$AF$5,輪休基準表!$E$6:$AF$36,""),""),班別參數!$A$4:$A$20,班別參數!$B$4:$B$20,""),"")</f>
        <v>補休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/>
      </c>
      <c r="AT32" s="180" t="str">
        <f t="shared" si="0"/>
        <v/>
      </c>
      <c r="AU32" s="180" t="str">
        <f t="shared" si="1"/>
        <v/>
      </c>
      <c r="AW32" s="47"/>
      <c r="AX32" s="45"/>
      <c r="AY32" s="25"/>
      <c r="AZ32" s="28"/>
      <c r="BA32" s="33"/>
      <c r="BB32" s="25"/>
      <c r="BD32" s="127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21</v>
      </c>
      <c r="D33" s="95"/>
      <c r="E33" s="95"/>
      <c r="F33" s="95"/>
      <c r="G33" s="122" t="str">
        <f>IF(BC20="","",BC20)</f>
        <v>8,5</v>
      </c>
      <c r="H33" s="48"/>
      <c r="I33" s="92">
        <f>_xlfn.XLOOKUP(_xlfn.XLOOKUP($AS$6&amp;$B33,公表[班別+時段],公表[救護1],""),$AX$9:$AX$25,$AY$9:$AY$25,"")</f>
        <v>28</v>
      </c>
      <c r="J33" s="92">
        <f>_xlfn.XLOOKUP(_xlfn.XLOOKUP($AS$6&amp;$B33,公表[班別+時段],公表[救護2],""),$AX$9:$AX$25,$AY$9:$AY$25,"")</f>
        <v>18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19</v>
      </c>
      <c r="O33" s="87">
        <f>_xlfn.XLOOKUP(_xlfn.XLOOKUP($AS$6&amp;$B33,公表[班別+時段],公表[備勤2],""),$AX$9:$AX$25,$AY$9:$AY$25,"")</f>
        <v>23</v>
      </c>
      <c r="P33" s="87"/>
      <c r="Q33" s="87">
        <f>_xlfn.XLOOKUP(_xlfn.XLOOKUP($AS$6&amp;$B33,公表[班別+時段],公表[備勤3],""),$AX$9:$AX$25,$AY$9:$AY$25,"")</f>
        <v>25</v>
      </c>
      <c r="R33" s="87">
        <f>_xlfn.XLOOKUP(_xlfn.XLOOKUP($AS$6&amp;$B33,公表[班別+時段],公表[備勤4],""),$AX$9:$AX$25,$AY$9:$AY$25,"")</f>
        <v>0</v>
      </c>
      <c r="S33" s="87"/>
      <c r="T33" s="87">
        <f>_xlfn.XLOOKUP(_xlfn.XLOOKUP($AS$6&amp;$B33,公表[班別+時段],公表[備勤5],""),$AX$9:$AX$25,$AY$9:$AY$25,"")</f>
        <v>0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87"/>
      <c r="AC33" s="87"/>
      <c r="AD33" s="87"/>
      <c r="AE33" s="88">
        <f>_xlfn.XLOOKUP(_xlfn.XLOOKUP($AS$6&amp;$B33,公表[班別+時段],公表[指揮官],""),$AX$9:$AX$25,$AY$9:$AY$25,"")</f>
        <v>4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27">
        <v>25</v>
      </c>
      <c r="AP33" s="127" t="str">
        <v>郭國偵</v>
      </c>
      <c r="AQ33" s="127" t="str" cm="1">
        <f t="array" ref="AQ33">IFERROR(_xlfn.XLOOKUP(_xlfn.XLOOKUP($AQ$3,輪休基準表!$C$6:$C$36,_xlfn.XLOOKUP(AP33,輪休基準表!$E$5:$AF$5,輪休基準表!$E$6:$AF$36,""),""),班別參數!$A$4:$A$20,班別參數!$B$4:$B$20,""),"")</f>
        <v>上班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>已排</v>
      </c>
      <c r="AT33" s="180">
        <f t="shared" si="0"/>
        <v>6</v>
      </c>
      <c r="AU33" s="180">
        <f t="shared" si="1"/>
        <v>6</v>
      </c>
      <c r="AW33" s="47"/>
      <c r="AX33" s="45"/>
      <c r="AY33" s="25"/>
      <c r="AZ33" s="28"/>
      <c r="BA33" s="25"/>
      <c r="BB33" s="25"/>
      <c r="BD33" s="127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一、本日主管輪休，職務由小隊長簡永豐代理。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27">
        <v>26</v>
      </c>
      <c r="AP34" s="127" t="str">
        <v>楊紹文</v>
      </c>
      <c r="AQ34" s="127" t="str" cm="1">
        <f t="array" ref="AQ34">IFERROR(_xlfn.XLOOKUP(_xlfn.XLOOKUP($AQ$3,輪休基準表!$C$6:$C$36,_xlfn.XLOOKUP(AP34,輪休基準表!$E$5:$AF$5,輪休基準表!$E$6:$AF$36,""),""),班別參數!$A$4:$A$20,班別參數!$B$4:$B$20,""),"")</f>
        <v>月補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/>
      </c>
      <c r="AT34" s="180" t="str">
        <f t="shared" si="0"/>
        <v/>
      </c>
      <c r="AU34" s="180" t="str">
        <f t="shared" si="1"/>
        <v/>
      </c>
      <c r="AW34" s="47"/>
      <c r="AX34" s="45"/>
      <c r="AY34" s="25"/>
      <c r="AZ34" s="28"/>
      <c r="BA34" s="25"/>
      <c r="BB34" s="25"/>
      <c r="BD34" s="127"/>
    </row>
    <row r="35" spans="2:56" ht="30" customHeight="1">
      <c r="B35" s="349"/>
      <c r="C35" s="359" t="str">
        <f>CONCATENATE("二、在隊訓練:09-12時:",H11,";14-17時:",H16,";19-21時:",H21,"。")</f>
        <v>二、在隊訓練:09-12時:車輛裝備基礎保養維護;14-17時:戰術體能訓練;19-21時:救護訓練。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27">
        <v>27</v>
      </c>
      <c r="AP35" s="127" t="str">
        <v>林宏為</v>
      </c>
      <c r="AQ35" s="127" t="str" cm="1">
        <f t="array" ref="AQ35">IFERROR(_xlfn.XLOOKUP(_xlfn.XLOOKUP($AQ$3,輪休基準表!$C$6:$C$36,_xlfn.XLOOKUP(AP35,輪休基準表!$E$5:$AF$5,輪休基準表!$E$6:$AF$36,""),""),班別參數!$A$4:$A$20,班別參數!$B$4:$B$20,""),"")</f>
        <v>輪休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/>
      </c>
      <c r="AT35" s="180" t="str">
        <f t="shared" si="0"/>
        <v/>
      </c>
      <c r="AU35" s="180" t="str">
        <f t="shared" si="1"/>
        <v/>
      </c>
      <c r="AW35" s="47"/>
      <c r="AX35" s="45"/>
      <c r="AY35" s="25"/>
      <c r="AZ35" s="28"/>
      <c r="BA35" s="25"/>
      <c r="BB35" s="25"/>
      <c r="BD35" s="127"/>
    </row>
    <row r="36" spans="2:56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27">
        <v>28</v>
      </c>
      <c r="AP36" s="127" t="str">
        <v>林宸彥</v>
      </c>
      <c r="AQ36" s="127" t="str" cm="1">
        <f t="array" ref="AQ36">IFERROR(_xlfn.XLOOKUP(_xlfn.XLOOKUP($AQ$3,輪休基準表!$C$6:$C$36,_xlfn.XLOOKUP(AP36,輪休基準表!$E$5:$AF$5,輪休基準表!$E$6:$AF$36,""),""),班別參數!$A$4:$A$20,班別參數!$B$4:$B$20,""),"")</f>
        <v>上班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>已排</v>
      </c>
      <c r="AT36" s="180">
        <f t="shared" si="0"/>
        <v>8</v>
      </c>
      <c r="AU36" s="180">
        <f t="shared" si="1"/>
        <v>8</v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27"/>
      <c r="AP37" s="127"/>
      <c r="AQ37" s="127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27"/>
      <c r="BD37" s="10"/>
    </row>
    <row r="38" spans="2:56" ht="15" customHeight="1">
      <c r="AQ38" s="127"/>
      <c r="AR38" s="118"/>
      <c r="AS38" s="119"/>
      <c r="AT38" s="119"/>
    </row>
    <row r="39" spans="2:56" ht="15" customHeight="1">
      <c r="AR39" s="118"/>
      <c r="AS39" s="119"/>
      <c r="AT39" s="119"/>
    </row>
    <row r="40" spans="2:56" ht="15" customHeight="1">
      <c r="AR40" s="118"/>
      <c r="AS40" s="119"/>
      <c r="AT40" s="119"/>
    </row>
  </sheetData>
  <mergeCells count="73">
    <mergeCell ref="AG22:AK22"/>
    <mergeCell ref="AG23:AM23"/>
    <mergeCell ref="AG24:AI24"/>
    <mergeCell ref="AK24:AM24"/>
    <mergeCell ref="AF33:AG33"/>
    <mergeCell ref="AH33:AI33"/>
    <mergeCell ref="AJ33:AK33"/>
    <mergeCell ref="AF31:AG31"/>
    <mergeCell ref="AH31:AI31"/>
    <mergeCell ref="AJ31:AK31"/>
    <mergeCell ref="AF32:AG32"/>
    <mergeCell ref="AH32:AI32"/>
    <mergeCell ref="AJ32:AK32"/>
    <mergeCell ref="AF27:AF28"/>
    <mergeCell ref="AG27:AM27"/>
    <mergeCell ref="AG28:AM28"/>
    <mergeCell ref="B34:B36"/>
    <mergeCell ref="C34:AE34"/>
    <mergeCell ref="AF34:AM34"/>
    <mergeCell ref="C35:AE35"/>
    <mergeCell ref="AF35:AM35"/>
    <mergeCell ref="C36:AE36"/>
    <mergeCell ref="AF36:AM36"/>
    <mergeCell ref="AF29:AM29"/>
    <mergeCell ref="AF30:AG30"/>
    <mergeCell ref="AH30:AI30"/>
    <mergeCell ref="AJ30:AK30"/>
    <mergeCell ref="AG25:AI25"/>
    <mergeCell ref="AK25:AM25"/>
    <mergeCell ref="C8:AE8"/>
    <mergeCell ref="C9:AE9"/>
    <mergeCell ref="M10:M33"/>
    <mergeCell ref="H11:H13"/>
    <mergeCell ref="H16:H18"/>
    <mergeCell ref="H21:H22"/>
    <mergeCell ref="D11:D13"/>
    <mergeCell ref="E16:E18"/>
    <mergeCell ref="I6:J6"/>
    <mergeCell ref="K6:L6"/>
    <mergeCell ref="N6:P6"/>
    <mergeCell ref="Q6:S6"/>
    <mergeCell ref="T6:V6"/>
    <mergeCell ref="AF5:AM6"/>
    <mergeCell ref="AO5:AO6"/>
    <mergeCell ref="T7:V7"/>
    <mergeCell ref="AR5:AR6"/>
    <mergeCell ref="AS5:AT5"/>
    <mergeCell ref="W6:Y6"/>
    <mergeCell ref="AE6:AE7"/>
    <mergeCell ref="AS6:AT6"/>
    <mergeCell ref="AP5:AQ6"/>
    <mergeCell ref="G5:G7"/>
    <mergeCell ref="B3:AM3"/>
    <mergeCell ref="AW3:AX3"/>
    <mergeCell ref="AY3:BB3"/>
    <mergeCell ref="B4:AI4"/>
    <mergeCell ref="AJ4:AM4"/>
    <mergeCell ref="AW4:AX4"/>
    <mergeCell ref="AY4:BB4"/>
    <mergeCell ref="B5:B7"/>
    <mergeCell ref="C5:C7"/>
    <mergeCell ref="D5:D7"/>
    <mergeCell ref="E5:E7"/>
    <mergeCell ref="F5:F7"/>
    <mergeCell ref="H5:H7"/>
    <mergeCell ref="I5:L5"/>
    <mergeCell ref="M5:AE5"/>
    <mergeCell ref="AY2:BB2"/>
    <mergeCell ref="B1:AE1"/>
    <mergeCell ref="AP1:AQ1"/>
    <mergeCell ref="B2:AE2"/>
    <mergeCell ref="AG2:AM2"/>
    <mergeCell ref="AW2:AX2"/>
  </mergeCells>
  <phoneticPr fontId="9" type="noConversion"/>
  <conditionalFormatting sqref="AO9:AQ36 AO37:AP37 AQ37:AQ38">
    <cfRule type="expression" dxfId="101" priority="16">
      <formula>COUNTIF($AQ9,"上班")&gt;=1</formula>
    </cfRule>
  </conditionalFormatting>
  <conditionalFormatting sqref="AF8:AF13 AH8:AH21 AJ8:AJ21 AL8:AM21">
    <cfRule type="expression" dxfId="100" priority="11">
      <formula>OR(VLOOKUP(AF8,$AO$9:$AQ$40,3,0)="上班",VLOOKUP(AF8,$AO$9:$AQ$40,3,0)="外宿")</formula>
    </cfRule>
  </conditionalFormatting>
  <conditionalFormatting sqref="AL8">
    <cfRule type="expression" dxfId="99" priority="10">
      <formula>OR(VLOOKUP(AL8,$AO$9:$AQ$36,3,0)="上班",VLOOKUP(AL8,$AO$9:$AQ$36,3,0)="外宿")</formula>
    </cfRule>
  </conditionalFormatting>
  <conditionalFormatting sqref="AR9:AR36">
    <cfRule type="notContainsText" dxfId="98" priority="2" operator="notContains" text="已排">
      <formula>ISERROR(SEARCH("已排",AR9))</formula>
    </cfRule>
  </conditionalFormatting>
  <conditionalFormatting sqref="AS9:AS36">
    <cfRule type="notContainsText" dxfId="97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9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C0B98-1C54-4EF0-8CB8-C7C309B87BBA}">
  <sheetPr codeName="工作表19">
    <pageSetUpPr fitToPage="1"/>
  </sheetPr>
  <dimension ref="B1:BE40"/>
  <sheetViews>
    <sheetView showZeros="0" view="pageBreakPreview" topLeftCell="A3" zoomScale="55" zoomScaleNormal="55" zoomScaleSheetLayoutView="55" workbookViewId="0">
      <selection activeCell="R18" sqref="R18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5" width="5.375" style="126" customWidth="1"/>
    <col min="6" max="6" width="6.5" style="283" customWidth="1"/>
    <col min="7" max="7" width="5.375" style="126" customWidth="1"/>
    <col min="8" max="9" width="8.625" style="126" customWidth="1"/>
    <col min="10" max="13" width="5.375" style="126" customWidth="1"/>
    <col min="14" max="14" width="6.625" style="126" customWidth="1"/>
    <col min="15" max="32" width="5.375" style="126" customWidth="1"/>
    <col min="33" max="33" width="7.625" style="126" customWidth="1"/>
    <col min="34" max="34" width="10.625" style="126" customWidth="1"/>
    <col min="35" max="35" width="7.625" style="126" customWidth="1"/>
    <col min="36" max="36" width="10.625" style="126" customWidth="1"/>
    <col min="37" max="37" width="7.625" style="126" customWidth="1"/>
    <col min="38" max="38" width="10.625" style="126" customWidth="1"/>
    <col min="39" max="39" width="7.625" style="126" customWidth="1"/>
    <col min="40" max="40" width="10.625" style="126" customWidth="1"/>
    <col min="41" max="41" width="4.125" style="213" customWidth="1"/>
    <col min="42" max="48" width="11.625" style="126" customWidth="1"/>
    <col min="49" max="49" width="4.125" style="126" customWidth="1"/>
    <col min="50" max="50" width="16" style="126" customWidth="1"/>
    <col min="51" max="52" width="8.25" style="126" customWidth="1"/>
    <col min="53" max="53" width="4.125" style="126" customWidth="1"/>
    <col min="54" max="54" width="16" style="126" customWidth="1"/>
    <col min="55" max="55" width="8.25" style="126" customWidth="1"/>
    <col min="56" max="56" width="10.875" style="126" customWidth="1"/>
    <col min="57" max="59" width="4.125" style="126" customWidth="1"/>
    <col min="60" max="16384" width="11.25" style="126"/>
  </cols>
  <sheetData>
    <row r="1" spans="2:57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F1" s="366"/>
      <c r="AO1" s="215"/>
      <c r="AP1" s="127"/>
      <c r="AQ1" s="399"/>
      <c r="AR1" s="399"/>
      <c r="AS1" s="127"/>
      <c r="AT1" s="127"/>
      <c r="AU1" s="127"/>
    </row>
    <row r="2" spans="2:57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287"/>
      <c r="AG2" s="12"/>
      <c r="AH2" s="366"/>
      <c r="AI2" s="287"/>
      <c r="AJ2" s="287"/>
      <c r="AK2" s="287"/>
      <c r="AL2" s="287"/>
      <c r="AM2" s="287"/>
      <c r="AN2" s="287"/>
      <c r="AO2" s="215"/>
      <c r="AP2" s="13" t="s">
        <v>0</v>
      </c>
      <c r="AQ2" s="13" t="s">
        <v>1</v>
      </c>
      <c r="AR2" s="13" t="s">
        <v>178</v>
      </c>
      <c r="AS2" s="146" t="s">
        <v>228</v>
      </c>
      <c r="AT2" s="142"/>
      <c r="AU2" s="140"/>
      <c r="AV2" s="127"/>
      <c r="AW2" s="127"/>
      <c r="AX2" s="362" t="s">
        <v>127</v>
      </c>
      <c r="AY2" s="287"/>
      <c r="AZ2" s="367" t="str">
        <f>_xlfn.XLOOKUP($AS$3,訓練!$L$13:$L$19,訓練!$M$13:$M$19,"")</f>
        <v>救生艇拆裝組合訓練</v>
      </c>
      <c r="BA2" s="364"/>
      <c r="BB2" s="364"/>
      <c r="BC2" s="365"/>
    </row>
    <row r="3" spans="2:57" ht="39.950000000000003" customHeight="1" thickBot="1">
      <c r="B3" s="369" t="str">
        <f>CONCATENATE("桃園市政府消防局第三救災救護大隊新坡分隊（",$AQ$5,"人）勤務分配表 ",$AP$3,"年",$AQ$3,"月",$AR$3,"日","星期",$AS$3)</f>
        <v>桃園市政府消防局第三救災救護大隊新坡分隊（28人）勤務分配表 115年5月15日星期五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0"/>
      <c r="AN3" s="371"/>
      <c r="AO3" s="27"/>
      <c r="AP3" s="14">
        <f>班別參數!D2</f>
        <v>115</v>
      </c>
      <c r="AQ3" s="15">
        <f>班別參數!E2</f>
        <v>5</v>
      </c>
      <c r="AR3" s="143">
        <v>15</v>
      </c>
      <c r="AS3" s="141" t="str">
        <f>RIGHT(TEXT(1911+$AP$3&amp;"/"&amp;$AQ$3&amp;"/"&amp;$AR$3,"aaaa"),1)</f>
        <v>五</v>
      </c>
      <c r="AT3" s="145"/>
      <c r="AU3" s="145"/>
      <c r="AV3" s="127"/>
      <c r="AW3" s="127"/>
      <c r="AX3" s="362" t="s">
        <v>128</v>
      </c>
      <c r="AY3" s="287"/>
      <c r="AZ3" s="368" t="str">
        <f>_xlfn.XLOOKUP($AS$3,訓練!$L$13:$L$19,訓練!$N$13:$N$19,"")</f>
        <v>船外機與橡皮艇</v>
      </c>
      <c r="BA3" s="364"/>
      <c r="BB3" s="364"/>
      <c r="BC3" s="365"/>
    </row>
    <row r="4" spans="2:57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3"/>
      <c r="AJ4" s="374"/>
      <c r="AK4" s="377" t="s">
        <v>185</v>
      </c>
      <c r="AL4" s="373"/>
      <c r="AM4" s="373"/>
      <c r="AN4" s="378"/>
      <c r="AO4" s="16"/>
      <c r="AP4" s="17"/>
      <c r="AQ4" s="17"/>
      <c r="AR4" s="17"/>
      <c r="AU4" s="127"/>
      <c r="AV4" s="127"/>
      <c r="AW4" s="127"/>
      <c r="AX4" s="362" t="s">
        <v>129</v>
      </c>
      <c r="AY4" s="287"/>
      <c r="AZ4" s="363" t="str">
        <f>_xlfn.XLOOKUP($AS$3,訓練!$L$13:$L$19,訓練!$O$13:$O$19,"")</f>
        <v>個人水域防護裝備介紹</v>
      </c>
      <c r="BA4" s="364"/>
      <c r="BB4" s="364"/>
      <c r="BC4" s="365"/>
    </row>
    <row r="5" spans="2:57" ht="24.75" customHeight="1">
      <c r="B5" s="390" t="s">
        <v>224</v>
      </c>
      <c r="C5" s="392" t="s">
        <v>7</v>
      </c>
      <c r="D5" s="392" t="s">
        <v>366</v>
      </c>
      <c r="E5" s="340" t="s">
        <v>368</v>
      </c>
      <c r="F5" s="340" t="s">
        <v>412</v>
      </c>
      <c r="G5" s="340" t="s">
        <v>409</v>
      </c>
      <c r="H5" s="340" t="s">
        <v>73</v>
      </c>
      <c r="I5" s="398" t="s">
        <v>186</v>
      </c>
      <c r="J5" s="331" t="s">
        <v>187</v>
      </c>
      <c r="K5" s="332"/>
      <c r="L5" s="332"/>
      <c r="M5" s="333"/>
      <c r="N5" s="331" t="s">
        <v>188</v>
      </c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32"/>
      <c r="AA5" s="395"/>
      <c r="AB5" s="395"/>
      <c r="AC5" s="395"/>
      <c r="AD5" s="332"/>
      <c r="AE5" s="332"/>
      <c r="AF5" s="332"/>
      <c r="AG5" s="379" t="s">
        <v>189</v>
      </c>
      <c r="AH5" s="380"/>
      <c r="AI5" s="380"/>
      <c r="AJ5" s="380"/>
      <c r="AK5" s="380"/>
      <c r="AL5" s="380"/>
      <c r="AM5" s="380"/>
      <c r="AN5" s="381"/>
      <c r="AO5" s="16"/>
      <c r="AP5" s="385" t="s">
        <v>190</v>
      </c>
      <c r="AQ5" s="386">
        <v>28</v>
      </c>
      <c r="AR5" s="387"/>
      <c r="AS5" s="385" t="s">
        <v>191</v>
      </c>
      <c r="AT5" s="389" t="s">
        <v>126</v>
      </c>
      <c r="AU5" s="387"/>
      <c r="AV5" s="13"/>
      <c r="AW5" s="13"/>
      <c r="AX5" s="19"/>
      <c r="AY5" s="20"/>
      <c r="AZ5" s="21"/>
      <c r="BA5" s="21"/>
      <c r="BB5" s="21"/>
      <c r="BC5" s="21"/>
      <c r="BD5" s="21"/>
    </row>
    <row r="6" spans="2:57" ht="42" customHeight="1" thickBot="1">
      <c r="B6" s="391"/>
      <c r="C6" s="341"/>
      <c r="D6" s="341"/>
      <c r="E6" s="341"/>
      <c r="F6" s="432"/>
      <c r="G6" s="341"/>
      <c r="H6" s="312"/>
      <c r="I6" s="312"/>
      <c r="J6" s="334" t="s">
        <v>227</v>
      </c>
      <c r="K6" s="335"/>
      <c r="L6" s="334" t="s">
        <v>192</v>
      </c>
      <c r="M6" s="336"/>
      <c r="N6" s="86" t="s">
        <v>193</v>
      </c>
      <c r="O6" s="342" t="s">
        <v>194</v>
      </c>
      <c r="P6" s="324"/>
      <c r="Q6" s="327"/>
      <c r="R6" s="342" t="s">
        <v>195</v>
      </c>
      <c r="S6" s="324"/>
      <c r="T6" s="327"/>
      <c r="U6" s="343" t="s">
        <v>196</v>
      </c>
      <c r="V6" s="344"/>
      <c r="W6" s="345"/>
      <c r="X6" s="342" t="s">
        <v>197</v>
      </c>
      <c r="Y6" s="324"/>
      <c r="Z6" s="324"/>
      <c r="AA6" s="113"/>
      <c r="AB6" s="114"/>
      <c r="AC6" s="114"/>
      <c r="AD6" s="115"/>
      <c r="AE6" s="23"/>
      <c r="AF6" s="396" t="s">
        <v>56</v>
      </c>
      <c r="AG6" s="382"/>
      <c r="AH6" s="383"/>
      <c r="AI6" s="383"/>
      <c r="AJ6" s="383"/>
      <c r="AK6" s="383"/>
      <c r="AL6" s="383"/>
      <c r="AM6" s="383"/>
      <c r="AN6" s="384"/>
      <c r="AO6" s="16"/>
      <c r="AP6" s="287"/>
      <c r="AQ6" s="388"/>
      <c r="AR6" s="376"/>
      <c r="AS6" s="287"/>
      <c r="AT6" s="375" t="str">
        <f>_xlfn.XLOOKUP($AR$3,輪休基準表!$C$6:$C$36,輪休基準表!$AH$6:$AH$36,"")</f>
        <v>2+7</v>
      </c>
      <c r="AU6" s="376"/>
      <c r="AV6" s="13"/>
      <c r="AW6" s="13"/>
      <c r="AX6" s="19"/>
      <c r="AY6" s="20"/>
      <c r="BB6" s="25"/>
      <c r="BC6" s="25"/>
    </row>
    <row r="7" spans="2:57" ht="42" customHeight="1" thickBot="1">
      <c r="B7" s="391"/>
      <c r="C7" s="341"/>
      <c r="D7" s="341"/>
      <c r="E7" s="341"/>
      <c r="F7" s="433"/>
      <c r="G7" s="341"/>
      <c r="H7" s="312"/>
      <c r="I7" s="312"/>
      <c r="J7" s="50" t="s">
        <v>198</v>
      </c>
      <c r="K7" s="50" t="s">
        <v>199</v>
      </c>
      <c r="L7" s="50" t="s">
        <v>198</v>
      </c>
      <c r="M7" s="50" t="s">
        <v>199</v>
      </c>
      <c r="N7" s="85" t="s">
        <v>200</v>
      </c>
      <c r="O7" s="50" t="s">
        <v>198</v>
      </c>
      <c r="P7" s="50" t="s">
        <v>201</v>
      </c>
      <c r="Q7" s="50" t="s">
        <v>202</v>
      </c>
      <c r="R7" s="50" t="s">
        <v>198</v>
      </c>
      <c r="S7" s="50" t="s">
        <v>201</v>
      </c>
      <c r="T7" s="111" t="s">
        <v>202</v>
      </c>
      <c r="U7" s="337" t="s">
        <v>346</v>
      </c>
      <c r="V7" s="338"/>
      <c r="W7" s="339"/>
      <c r="X7" s="112"/>
      <c r="Y7" s="51"/>
      <c r="Z7" s="51"/>
      <c r="AA7" s="116"/>
      <c r="AB7" s="117"/>
      <c r="AC7" s="117"/>
      <c r="AD7" s="52"/>
      <c r="AE7" s="52"/>
      <c r="AF7" s="397"/>
      <c r="AG7" s="57" t="s">
        <v>203</v>
      </c>
      <c r="AH7" s="31" t="s">
        <v>225</v>
      </c>
      <c r="AI7" s="31" t="s">
        <v>203</v>
      </c>
      <c r="AJ7" s="31" t="s">
        <v>225</v>
      </c>
      <c r="AK7" s="31" t="s">
        <v>203</v>
      </c>
      <c r="AL7" s="31" t="s">
        <v>225</v>
      </c>
      <c r="AM7" s="31" t="s">
        <v>203</v>
      </c>
      <c r="AN7" s="58" t="s">
        <v>225</v>
      </c>
      <c r="AO7" s="27"/>
      <c r="AP7" s="18"/>
      <c r="AW7" s="29" t="str">
        <f t="array" ref="AW7">IFERROR(INDEX(班別參數!$B$66:$G$75,MATCH(#REF!,班別參數!$B$66:$B$75,0),MATCH(#REF!,班別參數!$B$66:$G$66,0)),"")</f>
        <v/>
      </c>
      <c r="AX7" s="25"/>
      <c r="AZ7" s="30"/>
      <c r="BA7" s="28"/>
      <c r="BB7" s="25"/>
      <c r="BC7" s="25"/>
      <c r="BE7" s="127"/>
    </row>
    <row r="8" spans="2:57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299"/>
      <c r="U8" s="300"/>
      <c r="V8" s="300"/>
      <c r="W8" s="300"/>
      <c r="X8" s="299"/>
      <c r="Y8" s="299"/>
      <c r="Z8" s="299"/>
      <c r="AA8" s="299"/>
      <c r="AB8" s="299"/>
      <c r="AC8" s="299"/>
      <c r="AD8" s="299"/>
      <c r="AE8" s="299"/>
      <c r="AF8" s="301"/>
      <c r="AG8" s="57" cm="1">
        <f t="array" ref="AG8:AH12">_xlfn._xlws.FILTER(輪休基準表!AK6:$AL$36,輪休基準表!$AM$6:$AM$36="幹部","")</f>
        <v>1</v>
      </c>
      <c r="AH8" s="31" t="str">
        <v>鄧力嘉</v>
      </c>
      <c r="AI8" s="31" cm="1">
        <f t="array" ref="AI8:AJ18">_xlfn._xlws.FILTER(輪休基準表!AK6:$AL$36,輪休基準表!$AM$6:$AM$36="A班","")</f>
        <v>6</v>
      </c>
      <c r="AJ8" s="31" t="str">
        <v>吳宗耕</v>
      </c>
      <c r="AK8" s="31" cm="1">
        <f t="array" ref="AK8:AL19">_xlfn._xlws.FILTER(輪休基準表!AK6:$AL$36,輪休基準表!$AM$6:$AM$36="B班","")</f>
        <v>17</v>
      </c>
      <c r="AL8" s="31" t="str">
        <v>楊仲豪</v>
      </c>
      <c r="AM8" s="31" t="str" cm="1">
        <f t="array" ref="AM8">_xlfn._xlws.FILTER(輪休基準表!AK6:$AL$36,輪休基準表!$AM$6:$AM$36="實習生","")</f>
        <v/>
      </c>
      <c r="AN8" s="31"/>
      <c r="AP8" s="13" t="s">
        <v>205</v>
      </c>
      <c r="AQ8" s="13" t="s">
        <v>206</v>
      </c>
      <c r="AR8" s="13" t="s">
        <v>301</v>
      </c>
      <c r="AS8" s="13" t="s">
        <v>302</v>
      </c>
      <c r="AT8" s="13" t="s">
        <v>292</v>
      </c>
      <c r="AU8" s="13" t="s">
        <v>207</v>
      </c>
      <c r="AV8" s="13" t="s">
        <v>208</v>
      </c>
      <c r="AW8" s="13"/>
      <c r="AX8" s="13" t="s">
        <v>7</v>
      </c>
      <c r="AY8" s="13" t="s">
        <v>191</v>
      </c>
      <c r="AZ8" s="13" t="s">
        <v>205</v>
      </c>
      <c r="BA8" s="13"/>
      <c r="BB8" s="13" t="s">
        <v>63</v>
      </c>
      <c r="BC8" s="13" t="s">
        <v>209</v>
      </c>
      <c r="BD8" s="13" t="s">
        <v>205</v>
      </c>
      <c r="BE8" s="127"/>
    </row>
    <row r="9" spans="2:57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2"/>
      <c r="N9" s="303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2"/>
      <c r="AF9" s="304"/>
      <c r="AG9" s="57">
        <v>2</v>
      </c>
      <c r="AH9" s="31" t="str">
        <v>莊勝斌</v>
      </c>
      <c r="AI9" s="31">
        <v>7</v>
      </c>
      <c r="AJ9" s="31" t="str">
        <v>包華先</v>
      </c>
      <c r="AK9" s="31">
        <v>18</v>
      </c>
      <c r="AL9" s="4" t="str">
        <v>林志偉</v>
      </c>
      <c r="AM9" s="101"/>
      <c r="AN9" s="102"/>
      <c r="AP9" s="127" cm="1">
        <f t="array" ref="AP9:AQ36">TRANSPOSE(輪休基準表!E4:AF5)</f>
        <v>1</v>
      </c>
      <c r="AQ9" s="127" t="str">
        <v>鄧力嘉</v>
      </c>
      <c r="AR9" s="127" t="str" cm="1">
        <f t="array" ref="AR9">IFERROR(_xlfn.XLOOKUP(_xlfn.XLOOKUP($AR$3,輪休基準表!$C$6:$C$36,_xlfn.XLOOKUP(AQ9,輪休基準表!$E$5:$AF$5,輪休基準表!$E$6:$AF$36,""),""),班別參數!$A$4:$A$20,班別參數!$B$4:$B$20,""),"")</f>
        <v>請休</v>
      </c>
      <c r="AS9" s="120" t="str" cm="1">
        <f t="array" ref="AS9">_xlfn.LET(
    _xlpm.番號, COUNTIF($AZ$9:$AZ$24, $AP9),
    _xlpm.已排, _xlpm.番號 &gt; 0,
    _xlpm.上班, (AR9="上班"),
    _xlfn.IFS(
        _xlpm.番號 &gt; 1, "重複",
        AND(_xlpm.上班, NOT(_xlpm.已排)), "未排",
        AND(NOT(_xlpm.上班),_xlpm.已排), "沒上班",
        _xlpm.已排, "已排",
        TRUE, ""
    )
)</f>
        <v/>
      </c>
      <c r="AT9" s="170" t="str" cm="1">
        <f t="array" ref="AT9">IF(AR9="上班",
    IF(SUMPRODUCT(--ISNUMBER(SEARCH(","&amp;AP9&amp;",", ","&amp;$H$10:$H$33&amp;",")))&gt;=2, "已排",
        IF(SUMPRODUCT(--ISNUMBER(SEARCH(","&amp;AP9&amp;",", ","&amp;$H$10:$H$33&amp;",")))=1, "缺1小時", "未排")
    ),
    IF(SUMPRODUCT(--ISNUMBER(SEARCH(","&amp;AP9&amp;",", ","&amp;$H$10:$H$33&amp;",")))&gt;0, "沒上班", "")
)</f>
        <v/>
      </c>
      <c r="AU9" s="180" t="str">
        <f>IF(COUNTIF($J$10:$K$33,AP9)=0,"",COUNTIF($J$10:$K$33,AP9))</f>
        <v/>
      </c>
      <c r="AV9" s="180" t="str">
        <f>IF(COUNTIF($O$10:$P$33,AP9)=0,"",COUNTIF($O$10:$P$33,AP9))</f>
        <v/>
      </c>
      <c r="AW9" s="25"/>
      <c r="AX9" s="33" t="str">
        <f t="array" ref="AX9">INDEX(班別參數!$D$4:$D$20,ROW()-7,MATCH($AX$8,班別參數!$D$4:$D$20,0))</f>
        <v>08-10</v>
      </c>
      <c r="AY9" s="34" t="str">
        <f t="array" ref="AY9">IFERROR(INDEX(班別參數!$D$4:$S$20,MATCH(AX9,班別參數!$D$4:$D$20,0),MATCH($AT$6,班別參數!$D$4:$S$4,0)),"")</f>
        <v>A</v>
      </c>
      <c r="AZ9" s="35">
        <v>16</v>
      </c>
      <c r="BA9" s="13"/>
      <c r="BB9" s="33" t="s">
        <v>18</v>
      </c>
      <c r="BC9" s="34" t="str">
        <f t="array" ref="BC9">IFERROR(INDEX(班別參數!$D$23:$S$35,MATCH(BB9,班別參數!$D$23:$D$35,0),MATCH($AT$6,班別參數!$D$23:$S$23,0)),"")</f>
        <v>H,K</v>
      </c>
      <c r="BD9" s="36" t="str">
        <f>IFERROR(_xlfn.LET(
    _xlpm.對照, BC9,
    _xlpm.拆分1, IF(LEN(_xlpm.對照)=3, LEFT(_xlpm.對照,1), _xlpm.對照),
    _xlpm.拆分2, IF(LEN(_xlpm.對照)=3, RIGHT(_xlpm.對照,1), ""),
    _xlpm.查詢1, _xlfn.XLOOKUP(_xlpm.拆分1, $AY$9:$AY$24, $AZ$9:$AZ$24, ""),
    _xlpm.查詢2, _xlfn.XLOOKUP(_xlpm.拆分2, $AY$9:$AY$24, $AZ$9:$AZ$24, ""),
    _xlfn.TEXTJOIN(",", TRUE, IF(_xlpm.查詢1=0, "", _xlpm.查詢1), IF(_xlpm.查詢2=0, "", _xlpm.查詢2))
),"")</f>
        <v>15,2</v>
      </c>
      <c r="BE9" s="127"/>
    </row>
    <row r="10" spans="2:57" ht="30" customHeight="1">
      <c r="B10" s="81" t="s">
        <v>70</v>
      </c>
      <c r="C10" s="87">
        <f>_xlfn.XLOOKUP(_xlfn.XLOOKUP($AT$6&amp;$B10,公表[班別+時段],公表[值班],""),$AY$9:$AY$25,$AZ$9:$AZ$25,"")</f>
        <v>16</v>
      </c>
      <c r="D10" s="95"/>
      <c r="E10" s="95"/>
      <c r="F10" s="95"/>
      <c r="G10" s="95"/>
      <c r="H10" s="122">
        <v>15</v>
      </c>
      <c r="I10" s="37"/>
      <c r="J10" s="92">
        <f>_xlfn.XLOOKUP(_xlfn.XLOOKUP($AT$6&amp;$B10,公表[班別+時段],公表[救護1],""),$AY$9:$AY$25,$AZ$9:$AZ$25,"")</f>
        <v>11</v>
      </c>
      <c r="K10" s="92">
        <f>_xlfn.XLOOKUP(_xlfn.XLOOKUP($AT$6&amp;$B10,公表[班別+時段],公表[救護2],""),$AY$9:$AY$25,$AZ$9:$AZ$25,"")</f>
        <v>10</v>
      </c>
      <c r="L10" s="87"/>
      <c r="M10" s="87" t="s">
        <v>212</v>
      </c>
      <c r="N10" s="311"/>
      <c r="O10" s="87">
        <f>_xlfn.XLOOKUP(_xlfn.XLOOKUP($AT$6&amp;$B10,公表[班別+時段],公表[備勤1],""),$AY$9:$AY$25,$AZ$9:$AZ$25,"")</f>
        <v>7</v>
      </c>
      <c r="P10" s="87">
        <f>_xlfn.XLOOKUP(_xlfn.XLOOKUP($AT$6&amp;$B10,公表[班別+時段],公表[備勤2],""),$AY$9:$AY$25,$AZ$9:$AZ$25,"")</f>
        <v>6</v>
      </c>
      <c r="Q10" s="87"/>
      <c r="R10" s="87">
        <f>_xlfn.XLOOKUP(_xlfn.XLOOKUP($AT$6&amp;$B10,公表[班別+時段],公表[備勤3],""),$AY$9:$AY$25,$AZ$9:$AZ$25,"")</f>
        <v>12</v>
      </c>
      <c r="S10" s="87">
        <f>_xlfn.XLOOKUP(_xlfn.XLOOKUP($AT$6&amp;$B10,公表[班別+時段],公表[備勤4],""),$AY$9:$AY$25,$AZ$9:$AZ$25,"")</f>
        <v>0</v>
      </c>
      <c r="T10" s="87"/>
      <c r="U10" s="87">
        <v>5</v>
      </c>
      <c r="V10" s="87">
        <f>_xlfn.XLOOKUP(_xlfn.XLOOKUP($AT$6&amp;$B10,公表[班別+時段],公表[備勤6],""),$AY$9:$AY$25,$AZ$9:$AZ$25,"")</f>
        <v>0</v>
      </c>
      <c r="W10" s="87"/>
      <c r="X10" s="87">
        <f>_xlfn.XLOOKUP(_xlfn.XLOOKUP($AT$6&amp;$B10,公表[班別+時段],公表[備勤7],""),$AY$9:$AY$25,$AZ$9:$AZ$25,"")</f>
        <v>0</v>
      </c>
      <c r="Y10" s="87">
        <f>_xlfn.XLOOKUP(_xlfn.XLOOKUP($AT$6&amp;$B10,公表[班別+時段],公表[備勤8],""),$AY$9:$AY$25,$AZ$9:$AZ$25,"")</f>
        <v>0</v>
      </c>
      <c r="Z10" s="87"/>
      <c r="AA10" s="87"/>
      <c r="AB10" s="87"/>
      <c r="AC10" s="87"/>
      <c r="AD10" s="87"/>
      <c r="AE10" s="87"/>
      <c r="AF10" s="88">
        <v>2</v>
      </c>
      <c r="AG10" s="57">
        <v>3</v>
      </c>
      <c r="AH10" s="31" t="str">
        <v>孫子翔</v>
      </c>
      <c r="AI10" s="31">
        <v>8</v>
      </c>
      <c r="AJ10" s="31" t="str">
        <v>曾彥綸</v>
      </c>
      <c r="AK10" s="31">
        <v>19</v>
      </c>
      <c r="AL10" s="31" t="str">
        <v>劉家誠</v>
      </c>
      <c r="AM10" s="101"/>
      <c r="AN10" s="102"/>
      <c r="AO10" s="214"/>
      <c r="AP10" s="127">
        <v>2</v>
      </c>
      <c r="AQ10" s="127" t="str">
        <v>莊勝斌</v>
      </c>
      <c r="AR10" s="127" t="str" cm="1">
        <f t="array" ref="AR10">IFERROR(_xlfn.XLOOKUP(_xlfn.XLOOKUP($AR$3,輪休基準表!$C$6:$C$36,_xlfn.XLOOKUP(AQ10,輪休基準表!$E$5:$AF$5,輪休基準表!$E$6:$AF$36,""),""),班別參數!$A$4:$A$20,班別參數!$B$4:$B$20,""),"")</f>
        <v>上班</v>
      </c>
      <c r="AS10" s="120" t="str" cm="1">
        <f t="array" ref="AS10">_xlfn.LET(
    _xlpm.番號, COUNTIF($AZ$9:$AZ$24, $AP10),
    _xlpm.已排, _xlpm.番號 &gt; 0,
    _xlpm.上班, (AR10="上班"),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T10" s="170" t="str" cm="1">
        <f t="array" ref="AT10">IF(AR10="上班",
    IF(SUMPRODUCT(--ISNUMBER(SEARCH(","&amp;AP10&amp;",", ","&amp;$H$10:$H$33&amp;",")))&gt;=2, "已排",
        IF(SUMPRODUCT(--ISNUMBER(SEARCH(","&amp;AP10&amp;",", ","&amp;$H$10:$H$33&amp;",")))=1, "缺1小時", "未排")
    ),
    IF(SUMPRODUCT(--ISNUMBER(SEARCH(","&amp;AP10&amp;",", ","&amp;$H$10:$H$33&amp;",")))&gt;0, "沒上班", "")
)</f>
        <v>已排</v>
      </c>
      <c r="AU10" s="180" t="str">
        <f t="shared" ref="AU10:AU36" si="0">IF(COUNTIF($J$10:$K$33,AP10)=0,"",COUNTIF($J$10:$K$33,AP10))</f>
        <v/>
      </c>
      <c r="AV10" s="180" t="str">
        <f t="shared" ref="AV10:AV36" si="1">IF(COUNTIF($O$10:$P$33,AP10)=0,"",COUNTIF($O$10:$P$33,AP10))</f>
        <v/>
      </c>
      <c r="AW10" s="25"/>
      <c r="AX10" s="33" t="str">
        <f t="array" ref="AX10">INDEX(班別參數!$D$4:$D$20,ROW()-7,MATCH($AX$8,班別參數!$D$4:$D$20,0))</f>
        <v>10-12</v>
      </c>
      <c r="AY10" s="34" t="str">
        <f t="array" ref="AY10">IFERROR(INDEX(班別參數!$D$4:$S$20,MATCH(AX10,班別參數!$D$4:$D$20,0),MATCH($AT$6,班別參數!$D$4:$S$4,0)),"")</f>
        <v>B</v>
      </c>
      <c r="AZ10" s="38">
        <v>12</v>
      </c>
      <c r="BA10" s="13"/>
      <c r="BB10" s="33" t="s">
        <v>22</v>
      </c>
      <c r="BC10" s="34" t="str">
        <f t="array" ref="BC10">IFERROR(INDEX(班別參數!$D$23:$S$35,MATCH(BB10,班別參數!$D$23:$D$35,0),MATCH($AT$6,班別參數!$D$23:$S$23,0)),"")</f>
        <v>D</v>
      </c>
      <c r="BD10" s="39" t="str">
        <f t="shared" ref="BD10:BD20" si="2">IFERROR(_xlfn.LET(
    _xlpm.對照, BC10,
    _xlpm.拆分1, IF(LEN(_xlpm.對照)=3, LEFT(_xlpm.對照,1), _xlpm.對照),
    _xlpm.拆分2, IF(LEN(_xlpm.對照)=3, RIGHT(_xlpm.對照,1), ""),
    _xlpm.查詢1, _xlfn.XLOOKUP(_xlpm.拆分1, $AY$9:$AY$24, $AZ$9:$AZ$24, ""),
    _xlpm.查詢2, _xlfn.XLOOKUP(_xlpm.拆分2, $AY$9:$AY$24, $AZ$9:$AZ$24, ""),
    _xlfn.TEXTJOIN(",", TRUE, IF(_xlpm.查詢1=0, "", _xlpm.查詢1), IF(_xlpm.查詢2=0, "", _xlpm.查詢2))
),"")</f>
        <v>6</v>
      </c>
      <c r="BE10" s="127"/>
    </row>
    <row r="11" spans="2:57" ht="30" customHeight="1">
      <c r="B11" s="81" t="s">
        <v>74</v>
      </c>
      <c r="C11" s="87">
        <f>_xlfn.XLOOKUP(_xlfn.XLOOKUP($AT$6&amp;$B11,公表[班別+時段],公表[值班],""),$AY$9:$AY$25,$AZ$9:$AZ$25,"")</f>
        <v>16</v>
      </c>
      <c r="D11" s="95"/>
      <c r="E11" s="95"/>
      <c r="F11" s="95"/>
      <c r="G11" s="292">
        <v>2</v>
      </c>
      <c r="H11" s="122">
        <v>15</v>
      </c>
      <c r="I11" s="296" t="str">
        <f>AZ2</f>
        <v>救生艇拆裝組合訓練</v>
      </c>
      <c r="J11" s="92">
        <f>_xlfn.XLOOKUP(_xlfn.XLOOKUP($AT$6&amp;$B11,公表[班別+時段],公表[救護1],""),$AY$9:$AY$25,$AZ$9:$AZ$25,"")</f>
        <v>11</v>
      </c>
      <c r="K11" s="92">
        <f>_xlfn.XLOOKUP(_xlfn.XLOOKUP($AT$6&amp;$B11,公表[班別+時段],公表[救護2],""),$AY$9:$AY$25,$AZ$9:$AZ$25,"")</f>
        <v>10</v>
      </c>
      <c r="L11" s="87"/>
      <c r="M11" s="87" t="s">
        <v>212</v>
      </c>
      <c r="N11" s="312"/>
      <c r="O11" s="87">
        <f>_xlfn.XLOOKUP(_xlfn.XLOOKUP($AT$6&amp;$B11,公表[班別+時段],公表[備勤1],""),$AY$9:$AY$25,$AZ$9:$AZ$25,"")</f>
        <v>7</v>
      </c>
      <c r="P11" s="87">
        <f>_xlfn.XLOOKUP(_xlfn.XLOOKUP($AT$6&amp;$B11,公表[班別+時段],公表[備勤2],""),$AY$9:$AY$25,$AZ$9:$AZ$25,"")</f>
        <v>6</v>
      </c>
      <c r="Q11" s="87"/>
      <c r="R11" s="87">
        <f>_xlfn.XLOOKUP(_xlfn.XLOOKUP($AT$6&amp;$B11,公表[班別+時段],公表[備勤3],""),$AY$9:$AY$25,$AZ$9:$AZ$25,"")</f>
        <v>12</v>
      </c>
      <c r="S11" s="87">
        <f>_xlfn.XLOOKUP(_xlfn.XLOOKUP($AT$6&amp;$B11,公表[班別+時段],公表[備勤4],""),$AY$9:$AY$25,$AZ$9:$AZ$25,"")</f>
        <v>0</v>
      </c>
      <c r="T11" s="87"/>
      <c r="U11" s="87"/>
      <c r="V11" s="87">
        <f>_xlfn.XLOOKUP(_xlfn.XLOOKUP($AT$6&amp;$B11,公表[班別+時段],公表[備勤6],""),$AY$9:$AY$25,$AZ$9:$AZ$25,"")</f>
        <v>0</v>
      </c>
      <c r="W11" s="87"/>
      <c r="X11" s="87">
        <f>_xlfn.XLOOKUP(_xlfn.XLOOKUP($AT$6&amp;$B11,公表[班別+時段],公表[備勤7],""),$AY$9:$AY$25,$AZ$9:$AZ$25,"")</f>
        <v>0</v>
      </c>
      <c r="Y11" s="87">
        <f>_xlfn.XLOOKUP(_xlfn.XLOOKUP($AT$6&amp;$B11,公表[班別+時段],公表[備勤8],""),$AY$9:$AY$25,$AZ$9:$AZ$25,"")</f>
        <v>0</v>
      </c>
      <c r="Z11" s="87"/>
      <c r="AA11" s="87"/>
      <c r="AB11" s="87"/>
      <c r="AC11" s="87"/>
      <c r="AD11" s="87"/>
      <c r="AE11" s="87"/>
      <c r="AF11" s="88">
        <v>5</v>
      </c>
      <c r="AG11" s="57">
        <v>4</v>
      </c>
      <c r="AH11" s="31" t="str">
        <v>簡永豐</v>
      </c>
      <c r="AI11" s="31">
        <v>9</v>
      </c>
      <c r="AJ11" s="31" t="str">
        <v>鍾佳諭</v>
      </c>
      <c r="AK11" s="31">
        <v>20</v>
      </c>
      <c r="AL11" s="31" t="str">
        <v>呂奇霈</v>
      </c>
      <c r="AM11" s="101"/>
      <c r="AN11" s="102"/>
      <c r="AO11" s="214"/>
      <c r="AP11" s="127">
        <v>3</v>
      </c>
      <c r="AQ11" s="127" t="str">
        <v>孫子翔</v>
      </c>
      <c r="AR11" s="127" t="str" cm="1">
        <f t="array" ref="AR11">IFERROR(_xlfn.XLOOKUP(_xlfn.XLOOKUP($AR$3,輪休基準表!$C$6:$C$36,_xlfn.XLOOKUP(AQ11,輪休基準表!$E$5:$AF$5,輪休基準表!$E$6:$AF$36,""),""),班別參數!$A$4:$A$20,班別參數!$B$4:$B$20,""),"")</f>
        <v>月補</v>
      </c>
      <c r="AS11" s="120" t="str" cm="1">
        <f t="array" ref="AS11">_xlfn.LET(
    _xlpm.番號, COUNTIF($AZ$9:$AZ$24, $AP11),
    _xlpm.已排, _xlpm.番號 &gt; 0,
    _xlpm.上班, (AR11="上班"),
    _xlfn.IFS(
        _xlpm.番號 &gt; 1, "重複",
        AND(_xlpm.上班, NOT(_xlpm.已排)), "未排",
        AND(NOT(_xlpm.上班),_xlpm.已排), "沒上班",
        _xlpm.已排, "已排",
        TRUE, ""
    )
)</f>
        <v/>
      </c>
      <c r="AT11" s="170" t="str" cm="1">
        <f t="array" ref="AT11">IF(AR11="上班",
    IF(SUMPRODUCT(--ISNUMBER(SEARCH(","&amp;AP11&amp;",", ","&amp;$H$10:$H$33&amp;",")))&gt;=2, "已排",
        IF(SUMPRODUCT(--ISNUMBER(SEARCH(","&amp;AP11&amp;",", ","&amp;$H$10:$H$33&amp;",")))=1, "缺1小時", "未排")
    ),
    IF(SUMPRODUCT(--ISNUMBER(SEARCH(","&amp;AP11&amp;",", ","&amp;$H$10:$H$33&amp;",")))&gt;0, "沒上班", "")
)</f>
        <v/>
      </c>
      <c r="AU11" s="180" t="str">
        <f t="shared" si="0"/>
        <v/>
      </c>
      <c r="AV11" s="180" t="str">
        <f t="shared" si="1"/>
        <v/>
      </c>
      <c r="AW11" s="25"/>
      <c r="AX11" s="33" t="str">
        <f t="array" ref="AX11">INDEX(班別參數!$D$4:$D$20,ROW()-7,MATCH($AX$8,班別參數!$D$4:$D$20,0))</f>
        <v>12-14</v>
      </c>
      <c r="AY11" s="34" t="str">
        <f t="array" ref="AY11">IFERROR(INDEX(班別參數!$D$4:$S$20,MATCH(AX11,班別參數!$D$4:$D$20,0),MATCH($AT$6,班別參數!$D$4:$S$4,0)),"")</f>
        <v>G</v>
      </c>
      <c r="AZ11" s="38">
        <v>10</v>
      </c>
      <c r="BA11" s="13"/>
      <c r="BB11" s="33" t="s">
        <v>25</v>
      </c>
      <c r="BC11" s="34" t="str">
        <f t="array" ref="BC11">IFERROR(INDEX(班別參數!$D$23:$S$35,MATCH(BB11,班別參數!$D$23:$D$35,0),MATCH($AT$6,班別參數!$D$23:$S$23,0)),"")</f>
        <v>F</v>
      </c>
      <c r="BD11" s="39" t="str">
        <f t="shared" si="2"/>
        <v>11</v>
      </c>
      <c r="BE11" s="127"/>
    </row>
    <row r="12" spans="2:57" ht="30" customHeight="1">
      <c r="B12" s="81" t="s">
        <v>75</v>
      </c>
      <c r="C12" s="87">
        <f>_xlfn.XLOOKUP(_xlfn.XLOOKUP($AT$6&amp;$B12,公表[班別+時段],公表[值班],""),$AY$9:$AY$25,$AZ$9:$AZ$25,"")</f>
        <v>12</v>
      </c>
      <c r="D12" s="95"/>
      <c r="E12" s="292">
        <v>10</v>
      </c>
      <c r="F12" s="284"/>
      <c r="G12" s="422"/>
      <c r="H12" s="122">
        <v>15</v>
      </c>
      <c r="I12" s="314"/>
      <c r="J12" s="92">
        <f>_xlfn.XLOOKUP(_xlfn.XLOOKUP($AT$6&amp;$B12,公表[班別+時段],公表[救護1],""),$AY$9:$AY$25,$AZ$9:$AZ$25,"")</f>
        <v>16</v>
      </c>
      <c r="K12" s="92">
        <f>_xlfn.XLOOKUP(_xlfn.XLOOKUP($AT$6&amp;$B12,公表[班別+時段],公表[救護2],""),$AY$9:$AY$25,$AZ$9:$AZ$25,"")</f>
        <v>7</v>
      </c>
      <c r="L12" s="92"/>
      <c r="M12" s="87" t="s">
        <v>212</v>
      </c>
      <c r="N12" s="312"/>
      <c r="O12" s="87">
        <v>6</v>
      </c>
      <c r="P12" s="87">
        <f>_xlfn.XLOOKUP(_xlfn.XLOOKUP($AT$6&amp;$B12,公表[班別+時段],公表[備勤2],""),$AY$9:$AY$25,$AZ$9:$AZ$25,"")</f>
        <v>11</v>
      </c>
      <c r="Q12" s="87"/>
      <c r="R12" s="87"/>
      <c r="S12" s="87">
        <f>_xlfn.XLOOKUP(_xlfn.XLOOKUP($AT$6&amp;$B12,公表[班別+時段],公表[備勤4],""),$AY$9:$AY$25,$AZ$9:$AZ$25,"")</f>
        <v>0</v>
      </c>
      <c r="T12" s="87"/>
      <c r="U12" s="87"/>
      <c r="V12" s="87">
        <f>_xlfn.XLOOKUP(_xlfn.XLOOKUP($AT$6&amp;$B12,公表[班別+時段],公表[備勤6],""),$AY$9:$AY$25,$AZ$9:$AZ$25,"")</f>
        <v>0</v>
      </c>
      <c r="W12" s="87"/>
      <c r="X12" s="87">
        <f>_xlfn.XLOOKUP(_xlfn.XLOOKUP($AT$6&amp;$B12,公表[班別+時段],公表[備勤7],""),$AY$9:$AY$25,$AZ$9:$AZ$25,"")</f>
        <v>0</v>
      </c>
      <c r="Y12" s="87">
        <f>_xlfn.XLOOKUP(_xlfn.XLOOKUP($AT$6&amp;$B12,公表[班別+時段],公表[備勤8],""),$AY$9:$AY$25,$AZ$9:$AZ$25,"")</f>
        <v>0</v>
      </c>
      <c r="Z12" s="87"/>
      <c r="AA12" s="87"/>
      <c r="AB12" s="87"/>
      <c r="AC12" s="87"/>
      <c r="AD12" s="87"/>
      <c r="AE12" s="87"/>
      <c r="AF12" s="88">
        <v>5</v>
      </c>
      <c r="AG12" s="57">
        <v>5</v>
      </c>
      <c r="AH12" s="31" t="str">
        <v>張鴻志</v>
      </c>
      <c r="AI12" s="31">
        <v>10</v>
      </c>
      <c r="AJ12" s="31" t="str">
        <v>林宏澤</v>
      </c>
      <c r="AK12" s="31">
        <v>21</v>
      </c>
      <c r="AL12" s="31" t="str">
        <v>張家和</v>
      </c>
      <c r="AM12" s="101"/>
      <c r="AN12" s="102"/>
      <c r="AO12" s="214"/>
      <c r="AP12" s="127">
        <v>4</v>
      </c>
      <c r="AQ12" s="127" t="str">
        <v>簡永豐</v>
      </c>
      <c r="AR12" s="127" t="str" cm="1">
        <f t="array" ref="AR12">IFERROR(_xlfn.XLOOKUP(_xlfn.XLOOKUP($AR$3,輪休基準表!$C$6:$C$36,_xlfn.XLOOKUP(AQ12,輪休基準表!$E$5:$AF$5,輪休基準表!$E$6:$AF$36,""),""),班別參數!$A$4:$A$20,班別參數!$B$4:$B$20,""),"")</f>
        <v>輪休</v>
      </c>
      <c r="AS12" s="120" t="str" cm="1">
        <f t="array" ref="AS12">_xlfn.LET(
    _xlpm.番號, COUNTIF($AZ$9:$AZ$24, $AP12),
    _xlpm.已排, _xlpm.番號 &gt; 0,
    _xlpm.上班, (AR12="上班"),
    _xlfn.IFS(
        _xlpm.番號 &gt; 1, "重複",
        AND(_xlpm.上班, NOT(_xlpm.已排)), "未排",
        AND(NOT(_xlpm.上班),_xlpm.已排), "沒上班",
        _xlpm.已排, "已排",
        TRUE, ""
    )
)</f>
        <v/>
      </c>
      <c r="AT12" s="170" t="str" cm="1">
        <f t="array" ref="AT12">IF(AR12="上班",
    IF(SUMPRODUCT(--ISNUMBER(SEARCH(","&amp;AP12&amp;",", ","&amp;$H$10:$H$33&amp;",")))&gt;=2, "已排",
        IF(SUMPRODUCT(--ISNUMBER(SEARCH(","&amp;AP12&amp;",", ","&amp;$H$10:$H$33&amp;",")))=1, "缺1小時", "未排")
    ),
    IF(SUMPRODUCT(--ISNUMBER(SEARCH(","&amp;AP12&amp;",", ","&amp;$H$10:$H$33&amp;",")))&gt;0, "沒上班", "")
)</f>
        <v/>
      </c>
      <c r="AU12" s="180" t="str">
        <f t="shared" si="0"/>
        <v/>
      </c>
      <c r="AV12" s="180" t="str">
        <f t="shared" si="1"/>
        <v/>
      </c>
      <c r="AW12" s="25"/>
      <c r="AX12" s="33" t="str">
        <f t="array" ref="AX12">INDEX(班別參數!$D$4:$D$20,ROW()-7,MATCH($AX$8,班別參數!$D$4:$D$20,0))</f>
        <v>14-16</v>
      </c>
      <c r="AY12" s="34" t="str">
        <f t="array" ref="AY12">IFERROR(INDEX(班別參數!$D$4:$S$20,MATCH(AX12,班別參數!$D$4:$D$20,0),MATCH($AT$6,班別參數!$D$4:$S$4,0)),"")</f>
        <v>C</v>
      </c>
      <c r="AZ12" s="38">
        <v>7</v>
      </c>
      <c r="BA12" s="13"/>
      <c r="BB12" s="33" t="s">
        <v>29</v>
      </c>
      <c r="BC12" s="34" t="str">
        <f t="array" ref="BC12">IFERROR(INDEX(班別參數!$D$23:$S$35,MATCH(BB12,班別參數!$D$23:$D$35,0),MATCH($AT$6,班別參數!$D$23:$S$23,0)),"")</f>
        <v/>
      </c>
      <c r="BD12" s="39" t="str">
        <f t="shared" si="2"/>
        <v/>
      </c>
      <c r="BE12" s="127"/>
    </row>
    <row r="13" spans="2:57" ht="30" customHeight="1" thickBot="1">
      <c r="B13" s="82" t="s">
        <v>76</v>
      </c>
      <c r="C13" s="89">
        <f>_xlfn.XLOOKUP(_xlfn.XLOOKUP($AT$6&amp;$B13,公表[班別+時段],公表[值班],""),$AY$9:$AY$25,$AZ$9:$AZ$25,"")</f>
        <v>12</v>
      </c>
      <c r="D13" s="233"/>
      <c r="E13" s="293"/>
      <c r="F13" s="106"/>
      <c r="G13" s="293"/>
      <c r="H13" s="123">
        <v>15</v>
      </c>
      <c r="I13" s="315"/>
      <c r="J13" s="216">
        <f>_xlfn.XLOOKUP(_xlfn.XLOOKUP($AT$6&amp;$B13,公表[班別+時段],公表[救護1],""),$AY$9:$AY$25,$AZ$9:$AZ$25,"")</f>
        <v>16</v>
      </c>
      <c r="K13" s="216">
        <f>_xlfn.XLOOKUP(_xlfn.XLOOKUP($AT$6&amp;$B13,公表[班別+時段],公表[救護2],""),$AY$9:$AY$25,$AZ$9:$AZ$25,"")</f>
        <v>7</v>
      </c>
      <c r="L13" s="105"/>
      <c r="M13" s="93" t="s">
        <v>212</v>
      </c>
      <c r="N13" s="312"/>
      <c r="O13" s="89">
        <v>6</v>
      </c>
      <c r="P13" s="89">
        <f>_xlfn.XLOOKUP(_xlfn.XLOOKUP($AT$6&amp;$B13,公表[班別+時段],公表[備勤2],""),$AY$9:$AY$25,$AZ$9:$AZ$25,"")</f>
        <v>11</v>
      </c>
      <c r="Q13" s="89"/>
      <c r="R13" s="89"/>
      <c r="S13" s="89">
        <f>_xlfn.XLOOKUP(_xlfn.XLOOKUP($AT$6&amp;$B13,公表[班別+時段],公表[備勤4],""),$AY$9:$AY$25,$AZ$9:$AZ$25,"")</f>
        <v>0</v>
      </c>
      <c r="T13" s="89"/>
      <c r="U13" s="89"/>
      <c r="V13" s="89">
        <f>_xlfn.XLOOKUP(_xlfn.XLOOKUP($AT$6&amp;$B13,公表[班別+時段],公表[備勤6],""),$AY$9:$AY$25,$AZ$9:$AZ$25,"")</f>
        <v>0</v>
      </c>
      <c r="W13" s="89"/>
      <c r="X13" s="89">
        <f>_xlfn.XLOOKUP(_xlfn.XLOOKUP($AT$6&amp;$B13,公表[班別+時段],公表[備勤7],""),$AY$9:$AY$25,$AZ$9:$AZ$25,"")</f>
        <v>0</v>
      </c>
      <c r="Y13" s="89">
        <f>_xlfn.XLOOKUP(_xlfn.XLOOKUP($AT$6&amp;$B13,公表[班別+時段],公表[備勤8],""),$AY$9:$AY$25,$AZ$9:$AZ$25,"")</f>
        <v>0</v>
      </c>
      <c r="Z13" s="89"/>
      <c r="AA13" s="89"/>
      <c r="AB13" s="89"/>
      <c r="AC13" s="89"/>
      <c r="AD13" s="89"/>
      <c r="AE13" s="89"/>
      <c r="AF13" s="104">
        <v>5</v>
      </c>
      <c r="AG13" s="103"/>
      <c r="AH13" s="101"/>
      <c r="AI13" s="31">
        <v>11</v>
      </c>
      <c r="AJ13" s="31" t="str">
        <v>簡君諺</v>
      </c>
      <c r="AK13" s="31">
        <v>22</v>
      </c>
      <c r="AL13" s="31" t="str">
        <v>陳俊瑋</v>
      </c>
      <c r="AM13" s="101"/>
      <c r="AN13" s="102"/>
      <c r="AO13" s="214"/>
      <c r="AP13" s="127">
        <v>5</v>
      </c>
      <c r="AQ13" s="127" t="str">
        <v>張鴻志</v>
      </c>
      <c r="AR13" s="127" t="str" cm="1">
        <f t="array" ref="AR13">IFERROR(_xlfn.XLOOKUP(_xlfn.XLOOKUP($AR$3,輪休基準表!$C$6:$C$36,_xlfn.XLOOKUP(AQ13,輪休基準表!$E$5:$AF$5,輪休基準表!$E$6:$AF$36,""),""),班別參數!$A$4:$A$20,班別參數!$B$4:$B$20,""),"")</f>
        <v>上班</v>
      </c>
      <c r="AS13" s="120" t="str" cm="1">
        <f t="array" ref="AS13">_xlfn.LET(
    _xlpm.番號, COUNTIF($AZ$9:$AZ$24, $AP13),
    _xlpm.已排, _xlpm.番號 &gt; 0,
    _xlpm.上班, (AR13="上班"),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T13" s="170" t="str" cm="1">
        <f t="array" ref="AT13">IF(AR13="上班",
    IF(SUMPRODUCT(--ISNUMBER(SEARCH(","&amp;AP13&amp;",", ","&amp;$H$10:$H$33&amp;",")))&gt;=2, "已排",
        IF(SUMPRODUCT(--ISNUMBER(SEARCH(","&amp;AP13&amp;",", ","&amp;$H$10:$H$33&amp;",")))=1, "缺1小時", "未排")
    ),
    IF(SUMPRODUCT(--ISNUMBER(SEARCH(","&amp;AP13&amp;",", ","&amp;$H$10:$H$33&amp;",")))&gt;0, "沒上班", "")
)</f>
        <v>已排</v>
      </c>
      <c r="AU13" s="180" t="str">
        <f t="shared" si="0"/>
        <v/>
      </c>
      <c r="AV13" s="180" t="str">
        <f t="shared" si="1"/>
        <v/>
      </c>
      <c r="AW13" s="25"/>
      <c r="AX13" s="33" t="str">
        <f t="array" ref="AX13">INDEX(班別參數!$D$4:$D$20,ROW()-7,MATCH($AX$8,班別參數!$D$4:$D$20,0))</f>
        <v>16-18</v>
      </c>
      <c r="AY13" s="34" t="str">
        <f t="array" ref="AY13">IFERROR(INDEX(班別參數!$D$4:$S$20,MATCH(AX13,班別參數!$D$4:$D$20,0),MATCH($AT$6,班別參數!$D$4:$S$4,0)),"")</f>
        <v>D</v>
      </c>
      <c r="AZ13" s="38">
        <v>6</v>
      </c>
      <c r="BA13" s="13"/>
      <c r="BB13" s="33" t="s">
        <v>33</v>
      </c>
      <c r="BC13" s="34" t="str">
        <f t="array" ref="BC13">IFERROR(INDEX(班別參數!$D$23:$S$35,MATCH(BB13,班別參數!$D$23:$D$35,0),MATCH($AT$6,班別參數!$D$23:$S$23,0)),"")</f>
        <v>A</v>
      </c>
      <c r="BD13" s="39" t="str">
        <f t="shared" si="2"/>
        <v>16</v>
      </c>
      <c r="BE13" s="127"/>
    </row>
    <row r="14" spans="2:57" ht="30" customHeight="1">
      <c r="B14" s="83" t="s">
        <v>77</v>
      </c>
      <c r="C14" s="90">
        <f>_xlfn.XLOOKUP(_xlfn.XLOOKUP($AT$6&amp;$B14,公表[班別+時段],公表[值班],""),$AY$9:$AY$25,$AZ$9:$AZ$25,"")</f>
        <v>10</v>
      </c>
      <c r="D14" s="234"/>
      <c r="E14" s="97"/>
      <c r="F14" s="284"/>
      <c r="G14" s="97"/>
      <c r="H14" s="121" t="str">
        <f>IF(BD11="","",BD11)</f>
        <v>11</v>
      </c>
      <c r="I14" s="55"/>
      <c r="J14" s="94">
        <f>_xlfn.XLOOKUP(_xlfn.XLOOKUP($AT$6&amp;$B14,公表[班別+時段],公表[救護1],""),$AY$9:$AY$25,$AZ$9:$AZ$25,"")</f>
        <v>12</v>
      </c>
      <c r="K14" s="94">
        <f>_xlfn.XLOOKUP(_xlfn.XLOOKUP($AT$6&amp;$B14,公表[班別+時段],公表[救護2],""),$AY$9:$AY$25,$AZ$9:$AZ$25,"")</f>
        <v>15</v>
      </c>
      <c r="L14" s="94"/>
      <c r="M14" s="90" t="s">
        <v>212</v>
      </c>
      <c r="N14" s="312"/>
      <c r="O14" s="90">
        <f>_xlfn.XLOOKUP(_xlfn.XLOOKUP($AT$6&amp;$B14,公表[班別+時段],公表[備勤1],""),$AY$9:$AY$25,$AZ$9:$AZ$25,"")</f>
        <v>16</v>
      </c>
      <c r="P14" s="90">
        <f>_xlfn.XLOOKUP(_xlfn.XLOOKUP($AT$6&amp;$B14,公表[班別+時段],公表[備勤2],""),$AY$9:$AY$25,$AZ$9:$AZ$25,"")</f>
        <v>6</v>
      </c>
      <c r="Q14" s="90"/>
      <c r="R14" s="90">
        <f>_xlfn.XLOOKUP(_xlfn.XLOOKUP($AT$6&amp;$B14,公表[班別+時段],公表[備勤3],""),$AY$9:$AY$25,$AZ$9:$AZ$25,"")</f>
        <v>7</v>
      </c>
      <c r="S14" s="90">
        <f>_xlfn.XLOOKUP(_xlfn.XLOOKUP($AT$6&amp;$B14,公表[班別+時段],公表[備勤4],""),$AY$9:$AY$25,$AZ$9:$AZ$25,"")</f>
        <v>0</v>
      </c>
      <c r="T14" s="90"/>
      <c r="U14" s="90">
        <f>_xlfn.XLOOKUP(_xlfn.XLOOKUP($AT$6&amp;$B14,公表[班別+時段],公表[備勤5],""),$AY$9:$AY$25,$AZ$9:$AZ$25,"")</f>
        <v>5</v>
      </c>
      <c r="V14" s="90">
        <f>_xlfn.XLOOKUP(_xlfn.XLOOKUP($AT$6&amp;$B14,公表[班別+時段],公表[備勤6],""),$AY$9:$AY$25,$AZ$9:$AZ$25,"")</f>
        <v>0</v>
      </c>
      <c r="W14" s="90"/>
      <c r="X14" s="90">
        <f>_xlfn.XLOOKUP(_xlfn.XLOOKUP($AT$6&amp;$B14,公表[班別+時段],公表[備勤7],""),$AY$9:$AY$25,$AZ$9:$AZ$25,"")</f>
        <v>0</v>
      </c>
      <c r="Y14" s="90">
        <f>_xlfn.XLOOKUP(_xlfn.XLOOKUP($AT$6&amp;$B14,公表[班別+時段],公表[備勤8],""),$AY$9:$AY$25,$AZ$9:$AZ$25,"")</f>
        <v>0</v>
      </c>
      <c r="Z14" s="90"/>
      <c r="AA14" s="90"/>
      <c r="AB14" s="90"/>
      <c r="AC14" s="90"/>
      <c r="AD14" s="90"/>
      <c r="AE14" s="90"/>
      <c r="AF14" s="91">
        <f>_xlfn.XLOOKUP(_xlfn.XLOOKUP($AT$6&amp;$B14,公表[班別+時段],公表[指揮官],""),$AY$9:$AY$25,$AZ$9:$AZ$25,"")</f>
        <v>2</v>
      </c>
      <c r="AG14" s="103"/>
      <c r="AH14" s="101"/>
      <c r="AI14" s="31">
        <v>12</v>
      </c>
      <c r="AJ14" s="31" t="str">
        <v>王昱勛</v>
      </c>
      <c r="AK14" s="31">
        <v>23</v>
      </c>
      <c r="AL14" s="31" t="str">
        <v>陳俊翰</v>
      </c>
      <c r="AM14" s="101"/>
      <c r="AN14" s="102"/>
      <c r="AO14" s="214"/>
      <c r="AP14" s="127">
        <v>6</v>
      </c>
      <c r="AQ14" s="127" t="str">
        <v>吳宗耕</v>
      </c>
      <c r="AR14" s="127" t="str" cm="1">
        <f t="array" ref="AR14">IFERROR(_xlfn.XLOOKUP(_xlfn.XLOOKUP($AR$3,輪休基準表!$C$6:$C$36,_xlfn.XLOOKUP(AQ14,輪休基準表!$E$5:$AF$5,輪休基準表!$E$6:$AF$36,""),""),班別參數!$A$4:$A$20,班別參數!$B$4:$B$20,""),"")</f>
        <v>上班</v>
      </c>
      <c r="AS14" s="120" t="str" cm="1">
        <f t="array" ref="AS14">_xlfn.LET(
    _xlpm.番號, COUNTIF($AZ$9:$AZ$24, $AP14),
    _xlpm.已排, _xlpm.番號 &gt; 0,
    _xlpm.上班, (AR14="上班"),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T14" s="170" t="str" cm="1">
        <f t="array" ref="AT14">IF(AR14="上班",
    IF(SUMPRODUCT(--ISNUMBER(SEARCH(","&amp;AP14&amp;",", ","&amp;$H$10:$H$33&amp;",")))&gt;=2, "已排",
        IF(SUMPRODUCT(--ISNUMBER(SEARCH(","&amp;AP14&amp;",", ","&amp;$H$10:$H$33&amp;",")))=1, "缺1小時", "未排")
    ),
    IF(SUMPRODUCT(--ISNUMBER(SEARCH(","&amp;AP14&amp;",", ","&amp;$H$10:$H$33&amp;",")))&gt;0, "沒上班", "")
)</f>
        <v>已排</v>
      </c>
      <c r="AU14" s="180">
        <f t="shared" si="0"/>
        <v>6</v>
      </c>
      <c r="AV14" s="180">
        <f t="shared" si="1"/>
        <v>10</v>
      </c>
      <c r="AW14" s="25"/>
      <c r="AX14" s="33" t="str">
        <f t="array" ref="AX14">INDEX(班別參數!$D$4:$D$20,ROW()-7,MATCH($AX$8,班別參數!$D$4:$D$20,0))</f>
        <v>18-20</v>
      </c>
      <c r="AY14" s="34">
        <f t="array" ref="AY14">IFERROR(INDEX(班別參數!$D$4:$S$20,MATCH(AX14,班別參數!$D$4:$D$20,0),MATCH($AT$6,班別參數!$D$4:$S$4,0)),"")</f>
        <v>0</v>
      </c>
      <c r="AZ14" s="38"/>
      <c r="BA14" s="13"/>
      <c r="BB14" s="33" t="s">
        <v>37</v>
      </c>
      <c r="BC14" s="34" t="str">
        <f t="array" ref="BC14">IFERROR(INDEX(班別參數!$D$23:$S$35,MATCH(BB14,班別參數!$D$23:$D$35,0),MATCH($AT$6,班別參數!$D$23:$S$23,0)),"")</f>
        <v>B</v>
      </c>
      <c r="BD14" s="39" t="str">
        <f t="shared" si="2"/>
        <v>12</v>
      </c>
      <c r="BE14" s="127"/>
    </row>
    <row r="15" spans="2:57" ht="30" customHeight="1" thickBot="1">
      <c r="B15" s="82" t="s">
        <v>78</v>
      </c>
      <c r="C15" s="89">
        <f>_xlfn.XLOOKUP(_xlfn.XLOOKUP($AT$6&amp;$B15,公表[班別+時段],公表[值班],""),$AY$9:$AY$25,$AZ$9:$AZ$25,"")</f>
        <v>10</v>
      </c>
      <c r="D15" s="235"/>
      <c r="E15" s="106"/>
      <c r="F15" s="106"/>
      <c r="G15" s="96"/>
      <c r="H15" s="123" t="str">
        <f>IF(BD11="","",BD11)</f>
        <v>11</v>
      </c>
      <c r="I15" s="40"/>
      <c r="J15" s="216">
        <f>_xlfn.XLOOKUP(_xlfn.XLOOKUP($AT$6&amp;$B15,公表[班別+時段],公表[救護1],""),$AY$9:$AY$25,$AZ$9:$AZ$25,"")</f>
        <v>12</v>
      </c>
      <c r="K15" s="216">
        <f>_xlfn.XLOOKUP(_xlfn.XLOOKUP($AT$6&amp;$B15,公表[班別+時段],公表[救護2],""),$AY$9:$AY$25,$AZ$9:$AZ$25,"")</f>
        <v>15</v>
      </c>
      <c r="L15" s="105"/>
      <c r="M15" s="93" t="s">
        <v>212</v>
      </c>
      <c r="N15" s="312"/>
      <c r="O15" s="89">
        <f>_xlfn.XLOOKUP(_xlfn.XLOOKUP($AT$6&amp;$B15,公表[班別+時段],公表[備勤1],""),$AY$9:$AY$25,$AZ$9:$AZ$25,"")</f>
        <v>16</v>
      </c>
      <c r="P15" s="89">
        <f>_xlfn.XLOOKUP(_xlfn.XLOOKUP($AT$6&amp;$B15,公表[班別+時段],公表[備勤2],""),$AY$9:$AY$25,$AZ$9:$AZ$25,"")</f>
        <v>6</v>
      </c>
      <c r="Q15" s="89"/>
      <c r="R15" s="89">
        <f>_xlfn.XLOOKUP(_xlfn.XLOOKUP($AT$6&amp;$B15,公表[班別+時段],公表[備勤3],""),$AY$9:$AY$25,$AZ$9:$AZ$25,"")</f>
        <v>7</v>
      </c>
      <c r="S15" s="89">
        <f>_xlfn.XLOOKUP(_xlfn.XLOOKUP($AT$6&amp;$B15,公表[班別+時段],公表[備勤4],""),$AY$9:$AY$25,$AZ$9:$AZ$25,"")</f>
        <v>0</v>
      </c>
      <c r="T15" s="89"/>
      <c r="U15" s="89">
        <f>_xlfn.XLOOKUP(_xlfn.XLOOKUP($AT$6&amp;$B15,公表[班別+時段],公表[備勤5],""),$AY$9:$AY$25,$AZ$9:$AZ$25,"")</f>
        <v>5</v>
      </c>
      <c r="V15" s="89">
        <f>_xlfn.XLOOKUP(_xlfn.XLOOKUP($AT$6&amp;$B15,公表[班別+時段],公表[備勤6],""),$AY$9:$AY$25,$AZ$9:$AZ$25,"")</f>
        <v>0</v>
      </c>
      <c r="W15" s="89"/>
      <c r="X15" s="89">
        <f>_xlfn.XLOOKUP(_xlfn.XLOOKUP($AT$6&amp;$B15,公表[班別+時段],公表[備勤7],""),$AY$9:$AY$25,$AZ$9:$AZ$25,"")</f>
        <v>0</v>
      </c>
      <c r="Y15" s="89">
        <f>_xlfn.XLOOKUP(_xlfn.XLOOKUP($AT$6&amp;$B15,公表[班別+時段],公表[備勤8],""),$AY$9:$AY$25,$AZ$9:$AZ$25,"")</f>
        <v>0</v>
      </c>
      <c r="Z15" s="89"/>
      <c r="AA15" s="89"/>
      <c r="AB15" s="89"/>
      <c r="AC15" s="89"/>
      <c r="AD15" s="89"/>
      <c r="AE15" s="89"/>
      <c r="AF15" s="104">
        <f>_xlfn.XLOOKUP(_xlfn.XLOOKUP($AT$6&amp;$B15,公表[班別+時段],公表[指揮官],""),$AY$9:$AY$25,$AZ$9:$AZ$25,"")</f>
        <v>2</v>
      </c>
      <c r="AG15" s="103"/>
      <c r="AH15" s="101"/>
      <c r="AI15" s="31">
        <v>13</v>
      </c>
      <c r="AJ15" s="31" t="str">
        <v>葉宗哲</v>
      </c>
      <c r="AK15" s="31">
        <v>24</v>
      </c>
      <c r="AL15" s="31" t="str">
        <v>賴俊豪</v>
      </c>
      <c r="AM15" s="101"/>
      <c r="AN15" s="102"/>
      <c r="AO15" s="214"/>
      <c r="AP15" s="127">
        <v>7</v>
      </c>
      <c r="AQ15" s="127" t="str">
        <v>包華先</v>
      </c>
      <c r="AR15" s="127" t="str" cm="1">
        <f t="array" ref="AR15">IFERROR(_xlfn.XLOOKUP(_xlfn.XLOOKUP($AR$3,輪休基準表!$C$6:$C$36,_xlfn.XLOOKUP(AQ15,輪休基準表!$E$5:$AF$5,輪休基準表!$E$6:$AF$36,""),""),班別參數!$A$4:$A$20,班別參數!$B$4:$B$20,""),"")</f>
        <v>上班</v>
      </c>
      <c r="AS15" s="120" t="str" cm="1">
        <f t="array" ref="AS15">_xlfn.LET(
    _xlpm.番號, COUNTIF($AZ$9:$AZ$24, $AP15),
    _xlpm.已排, _xlpm.番號 &gt; 0,
    _xlpm.上班, (AR15="上班"),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T15" s="170" t="str" cm="1">
        <f t="array" ref="AT15">IF(AR15="上班",
    IF(SUMPRODUCT(--ISNUMBER(SEARCH(","&amp;AP15&amp;",", ","&amp;$H$10:$H$33&amp;",")))&gt;=2, "已排",
        IF(SUMPRODUCT(--ISNUMBER(SEARCH(","&amp;AP15&amp;",", ","&amp;$H$10:$H$33&amp;",")))=1, "缺1小時", "未排")
    ),
    IF(SUMPRODUCT(--ISNUMBER(SEARCH(","&amp;AP15&amp;",", ","&amp;$H$10:$H$33&amp;",")))&gt;0, "沒上班", "")
)</f>
        <v>已排</v>
      </c>
      <c r="AU15" s="180">
        <f t="shared" si="0"/>
        <v>8</v>
      </c>
      <c r="AV15" s="180">
        <f t="shared" si="1"/>
        <v>6</v>
      </c>
      <c r="AW15" s="25"/>
      <c r="AX15" s="33" t="str">
        <f t="array" ref="AX15">INDEX(班別參數!$D$4:$D$20,ROW()-7,MATCH($AX$8,班別參數!$D$4:$D$20,0))</f>
        <v>20-22</v>
      </c>
      <c r="AY15" s="34" t="str">
        <f t="array" ref="AY15">IFERROR(INDEX(班別參數!$D$4:$S$20,MATCH(AX15,班別參數!$D$4:$D$20,0),MATCH($AT$6,班別參數!$D$4:$S$4,0)),"")</f>
        <v>F</v>
      </c>
      <c r="AZ15" s="38">
        <v>11</v>
      </c>
      <c r="BA15" s="13"/>
      <c r="BB15" s="33" t="s">
        <v>41</v>
      </c>
      <c r="BC15" s="34" t="str">
        <f t="array" ref="BC15">IFERROR(INDEX(班別參數!$D$23:$S$35,MATCH(BB15,班別參數!$D$23:$D$35,0),MATCH($AT$6,班別參數!$D$23:$S$23,0)),"")</f>
        <v>C</v>
      </c>
      <c r="BD15" s="39" t="str">
        <f t="shared" si="2"/>
        <v>7</v>
      </c>
      <c r="BE15" s="127"/>
    </row>
    <row r="16" spans="2:57" ht="30" customHeight="1">
      <c r="B16" s="83" t="s">
        <v>79</v>
      </c>
      <c r="C16" s="90">
        <f>_xlfn.XLOOKUP(_xlfn.XLOOKUP($AT$6&amp;$B16,公表[班別+時段],公表[值班],""),$AY$9:$AY$25,$AZ$9:$AZ$25,"")</f>
        <v>7</v>
      </c>
      <c r="D16" s="98"/>
      <c r="E16" s="99"/>
      <c r="F16" s="285"/>
      <c r="G16" s="98"/>
      <c r="H16" s="121" t="str">
        <f>IF(BD12="","",BD12)</f>
        <v/>
      </c>
      <c r="I16" s="316" t="str">
        <f>AZ3</f>
        <v>船外機與橡皮艇</v>
      </c>
      <c r="J16" s="94">
        <f>_xlfn.XLOOKUP(_xlfn.XLOOKUP($AT$6&amp;$B16,公表[班別+時段],公表[救護1],""),$AY$9:$AY$25,$AZ$9:$AZ$25,"")</f>
        <v>11</v>
      </c>
      <c r="K16" s="94">
        <f>_xlfn.XLOOKUP(_xlfn.XLOOKUP($AT$6&amp;$B16,公表[班別+時段],公表[救護2],""),$AY$9:$AY$25,$AZ$9:$AZ$25,"")</f>
        <v>15</v>
      </c>
      <c r="L16" s="94"/>
      <c r="M16" s="90" t="s">
        <v>212</v>
      </c>
      <c r="N16" s="312"/>
      <c r="O16" s="90">
        <f>_xlfn.XLOOKUP(_xlfn.XLOOKUP($AT$6&amp;$B16,公表[班別+時段],公表[備勤1],""),$AY$9:$AY$25,$AZ$9:$AZ$25,"")</f>
        <v>12</v>
      </c>
      <c r="P16" s="90">
        <f>_xlfn.XLOOKUP(_xlfn.XLOOKUP($AT$6&amp;$B16,公表[班別+時段],公表[備勤2],""),$AY$9:$AY$25,$AZ$9:$AZ$25,"")</f>
        <v>10</v>
      </c>
      <c r="Q16" s="90"/>
      <c r="R16" s="90">
        <f>_xlfn.XLOOKUP(_xlfn.XLOOKUP($AT$6&amp;$B16,公表[班別+時段],公表[備勤3],""),$AY$9:$AY$25,$AZ$9:$AZ$25,"")</f>
        <v>16</v>
      </c>
      <c r="S16" s="90">
        <f>_xlfn.XLOOKUP(_xlfn.XLOOKUP($AT$6&amp;$B16,公表[班別+時段],公表[備勤4],""),$AY$9:$AY$25,$AZ$9:$AZ$25,"")</f>
        <v>6</v>
      </c>
      <c r="T16" s="90"/>
      <c r="U16" s="90">
        <f>_xlfn.XLOOKUP(_xlfn.XLOOKUP($AT$6&amp;$B16,公表[班別+時段],公表[備勤5],""),$AY$9:$AY$25,$AZ$9:$AZ$25,"")</f>
        <v>5</v>
      </c>
      <c r="V16" s="90">
        <f>_xlfn.XLOOKUP(_xlfn.XLOOKUP($AT$6&amp;$B16,公表[班別+時段],公表[備勤6],""),$AY$9:$AY$25,$AZ$9:$AZ$25,"")</f>
        <v>0</v>
      </c>
      <c r="W16" s="90"/>
      <c r="X16" s="90">
        <f>_xlfn.XLOOKUP(_xlfn.XLOOKUP($AT$6&amp;$B16,公表[班別+時段],公表[備勤7],""),$AY$9:$AY$25,$AZ$9:$AZ$25,"")</f>
        <v>0</v>
      </c>
      <c r="Y16" s="90">
        <f>_xlfn.XLOOKUP(_xlfn.XLOOKUP($AT$6&amp;$B16,公表[班別+時段],公表[備勤8],""),$AY$9:$AY$25,$AZ$9:$AZ$25,"")</f>
        <v>0</v>
      </c>
      <c r="Z16" s="90"/>
      <c r="AA16" s="90"/>
      <c r="AB16" s="90"/>
      <c r="AC16" s="90"/>
      <c r="AD16" s="90"/>
      <c r="AE16" s="90"/>
      <c r="AF16" s="91">
        <f>_xlfn.XLOOKUP(_xlfn.XLOOKUP($AT$6&amp;$B16,公表[班別+時段],公表[指揮官],""),$AY$9:$AY$25,$AZ$9:$AZ$25,"")</f>
        <v>2</v>
      </c>
      <c r="AG16" s="103"/>
      <c r="AH16" s="101"/>
      <c r="AI16" s="31">
        <v>14</v>
      </c>
      <c r="AJ16" s="31" t="str">
        <v>王浩任</v>
      </c>
      <c r="AK16" s="31">
        <v>25</v>
      </c>
      <c r="AL16" s="31" t="str">
        <v>郭國偵</v>
      </c>
      <c r="AM16" s="101"/>
      <c r="AN16" s="102"/>
      <c r="AO16" s="214"/>
      <c r="AP16" s="127">
        <v>8</v>
      </c>
      <c r="AQ16" s="127" t="str">
        <v>曾彥綸</v>
      </c>
      <c r="AR16" s="127" t="str" cm="1">
        <f t="array" ref="AR16">IFERROR(_xlfn.XLOOKUP(_xlfn.XLOOKUP($AR$3,輪休基準表!$C$6:$C$36,_xlfn.XLOOKUP(AQ16,輪休基準表!$E$5:$AF$5,輪休基準表!$E$6:$AF$36,""),""),班別參數!$A$4:$A$20,班別參數!$B$4:$B$20,""),"")</f>
        <v>輪休</v>
      </c>
      <c r="AS16" s="120" t="str" cm="1">
        <f t="array" ref="AS16">_xlfn.LET(
    _xlpm.番號, COUNTIF($AZ$9:$AZ$24, $AP16),
    _xlpm.已排, _xlpm.番號 &gt; 0,
    _xlpm.上班, (AR16="上班"),
    _xlfn.IFS(
        _xlpm.番號 &gt; 1, "重複",
        AND(_xlpm.上班, NOT(_xlpm.已排)), "未排",
        AND(NOT(_xlpm.上班),_xlpm.已排), "沒上班",
        _xlpm.已排, "已排",
        TRUE, ""
    )
)</f>
        <v/>
      </c>
      <c r="AT16" s="170" t="str" cm="1">
        <f t="array" ref="AT16">IF(AR16="上班",
    IF(SUMPRODUCT(--ISNUMBER(SEARCH(","&amp;AP16&amp;",", ","&amp;$H$10:$H$33&amp;",")))&gt;=2, "已排",
        IF(SUMPRODUCT(--ISNUMBER(SEARCH(","&amp;AP16&amp;",", ","&amp;$H$10:$H$33&amp;",")))=1, "缺1小時", "未排")
    ),
    IF(SUMPRODUCT(--ISNUMBER(SEARCH(","&amp;AP16&amp;",", ","&amp;$H$10:$H$33&amp;",")))&gt;0, "沒上班", "")
)</f>
        <v/>
      </c>
      <c r="AU16" s="180" t="str">
        <f t="shared" si="0"/>
        <v/>
      </c>
      <c r="AV16" s="180" t="str">
        <f t="shared" si="1"/>
        <v/>
      </c>
      <c r="AW16" s="25"/>
      <c r="AX16" s="33" t="str">
        <f t="array" ref="AX16">INDEX(班別參數!$D$4:$D$20,ROW()-7,MATCH($AX$8,班別參數!$D$4:$D$20,0))</f>
        <v>22-08</v>
      </c>
      <c r="AY16" s="34" t="str">
        <f t="array" ref="AY16">IFERROR(INDEX(班別參數!$D$4:$S$20,MATCH(AX16,班別參數!$D$4:$D$20,0),MATCH($AT$6,班別參數!$D$4:$S$4,0)),"")</f>
        <v>H</v>
      </c>
      <c r="AZ16" s="38">
        <v>15</v>
      </c>
      <c r="BA16" s="13"/>
      <c r="BB16" s="33" t="s">
        <v>64</v>
      </c>
      <c r="BC16" s="34" t="str">
        <f t="array" ref="BC16">IFERROR(INDEX(班別參數!$D$23:$S$35,MATCH(BB16,班別參數!$D$23:$D$35,0),MATCH($AT$6,班別參數!$D$23:$S$23,0)),"")</f>
        <v/>
      </c>
      <c r="BD16" s="39" t="str">
        <f t="shared" si="2"/>
        <v/>
      </c>
      <c r="BE16" s="127"/>
    </row>
    <row r="17" spans="2:57" ht="30" customHeight="1">
      <c r="B17" s="81" t="s">
        <v>80</v>
      </c>
      <c r="C17" s="87">
        <f>_xlfn.XLOOKUP(_xlfn.XLOOKUP($AT$6&amp;$B17,公表[班別+時段],公表[值班],""),$AY$9:$AY$25,$AZ$9:$AZ$25,"")</f>
        <v>7</v>
      </c>
      <c r="D17" s="95"/>
      <c r="E17" s="95"/>
      <c r="F17" s="292">
        <v>2</v>
      </c>
      <c r="G17" s="100"/>
      <c r="H17" s="122" t="str">
        <f>IF(BD12="","",BD12)</f>
        <v/>
      </c>
      <c r="I17" s="314"/>
      <c r="J17" s="92">
        <f>_xlfn.XLOOKUP(_xlfn.XLOOKUP($AT$6&amp;$B17,公表[班別+時段],公表[救護1],""),$AY$9:$AY$25,$AZ$9:$AZ$25,"")</f>
        <v>11</v>
      </c>
      <c r="K17" s="92">
        <f>_xlfn.XLOOKUP(_xlfn.XLOOKUP($AT$6&amp;$B17,公表[班別+時段],公表[救護2],""),$AY$9:$AY$25,$AZ$9:$AZ$25,"")</f>
        <v>15</v>
      </c>
      <c r="L17" s="92"/>
      <c r="M17" s="87" t="s">
        <v>212</v>
      </c>
      <c r="N17" s="312"/>
      <c r="O17" s="87">
        <f>_xlfn.XLOOKUP(_xlfn.XLOOKUP($AT$6&amp;$B17,公表[班別+時段],公表[備勤1],""),$AY$9:$AY$25,$AZ$9:$AZ$25,"")</f>
        <v>12</v>
      </c>
      <c r="P17" s="87">
        <f>_xlfn.XLOOKUP(_xlfn.XLOOKUP($AT$6&amp;$B17,公表[班別+時段],公表[備勤2],""),$AY$9:$AY$25,$AZ$9:$AZ$25,"")</f>
        <v>10</v>
      </c>
      <c r="Q17" s="87"/>
      <c r="R17" s="87">
        <f>_xlfn.XLOOKUP(_xlfn.XLOOKUP($AT$6&amp;$B17,公表[班別+時段],公表[備勤3],""),$AY$9:$AY$25,$AZ$9:$AZ$25,"")</f>
        <v>16</v>
      </c>
      <c r="S17" s="87">
        <f>_xlfn.XLOOKUP(_xlfn.XLOOKUP($AT$6&amp;$B17,公表[班別+時段],公表[備勤4],""),$AY$9:$AY$25,$AZ$9:$AZ$25,"")</f>
        <v>6</v>
      </c>
      <c r="T17" s="87"/>
      <c r="U17" s="87"/>
      <c r="V17" s="87">
        <f>_xlfn.XLOOKUP(_xlfn.XLOOKUP($AT$6&amp;$B17,公表[班別+時段],公表[備勤6],""),$AY$9:$AY$25,$AZ$9:$AZ$25,"")</f>
        <v>0</v>
      </c>
      <c r="W17" s="87"/>
      <c r="X17" s="87">
        <f>_xlfn.XLOOKUP(_xlfn.XLOOKUP($AT$6&amp;$B17,公表[班別+時段],公表[備勤7],""),$AY$9:$AY$25,$AZ$9:$AZ$25,"")</f>
        <v>0</v>
      </c>
      <c r="Y17" s="87">
        <f>_xlfn.XLOOKUP(_xlfn.XLOOKUP($AT$6&amp;$B17,公表[班別+時段],公表[備勤8],""),$AY$9:$AY$25,$AZ$9:$AZ$25,"")</f>
        <v>0</v>
      </c>
      <c r="Z17" s="87"/>
      <c r="AA17" s="87"/>
      <c r="AB17" s="87"/>
      <c r="AC17" s="87"/>
      <c r="AD17" s="87"/>
      <c r="AE17" s="87"/>
      <c r="AF17" s="88">
        <v>5</v>
      </c>
      <c r="AG17" s="103"/>
      <c r="AH17" s="101"/>
      <c r="AI17" s="31">
        <v>15</v>
      </c>
      <c r="AJ17" s="31" t="str">
        <v>李仕詮</v>
      </c>
      <c r="AK17" s="31">
        <v>26</v>
      </c>
      <c r="AL17" s="31" t="str">
        <v>楊紹文</v>
      </c>
      <c r="AM17" s="101"/>
      <c r="AN17" s="102"/>
      <c r="AO17" s="214"/>
      <c r="AP17" s="127">
        <v>9</v>
      </c>
      <c r="AQ17" s="127" t="str">
        <v>鍾佳諭</v>
      </c>
      <c r="AR17" s="127" t="str" cm="1">
        <f t="array" ref="AR17">IFERROR(_xlfn.XLOOKUP(_xlfn.XLOOKUP($AR$3,輪休基準表!$C$6:$C$36,_xlfn.XLOOKUP(AQ17,輪休基準表!$E$5:$AF$5,輪休基準表!$E$6:$AF$36,""),""),班別參數!$A$4:$A$20,班別參數!$B$4:$B$20,""),"")</f>
        <v>月補</v>
      </c>
      <c r="AS17" s="120" t="str" cm="1">
        <f t="array" ref="AS17">_xlfn.LET(
    _xlpm.番號, COUNTIF($AZ$9:$AZ$24, $AP17),
    _xlpm.已排, _xlpm.番號 &gt; 0,
    _xlpm.上班, (AR17="上班"),
    _xlfn.IFS(
        _xlpm.番號 &gt; 1, "重複",
        AND(_xlpm.上班, NOT(_xlpm.已排)), "未排",
        AND(NOT(_xlpm.上班),_xlpm.已排), "沒上班",
        _xlpm.已排, "已排",
        TRUE, ""
    )
)</f>
        <v/>
      </c>
      <c r="AT17" s="170" t="str" cm="1">
        <f t="array" ref="AT17">IF(AR17="上班",
    IF(SUMPRODUCT(--ISNUMBER(SEARCH(","&amp;AP17&amp;",", ","&amp;$H$10:$H$33&amp;",")))&gt;=2, "已排",
        IF(SUMPRODUCT(--ISNUMBER(SEARCH(","&amp;AP17&amp;",", ","&amp;$H$10:$H$33&amp;",")))=1, "缺1小時", "未排")
    ),
    IF(SUMPRODUCT(--ISNUMBER(SEARCH(","&amp;AP17&amp;",", ","&amp;$H$10:$H$33&amp;",")))&gt;0, "沒上班", "")
)</f>
        <v/>
      </c>
      <c r="AU17" s="180" t="str">
        <f t="shared" si="0"/>
        <v/>
      </c>
      <c r="AV17" s="180" t="str">
        <f t="shared" si="1"/>
        <v/>
      </c>
      <c r="AW17" s="25"/>
      <c r="AX17" s="33" t="str">
        <f t="array" ref="AX17">INDEX(班別參數!$D$4:$D$20,ROW()-7,MATCH($AX$8,班別參數!$D$4:$D$20,0))</f>
        <v>無班1</v>
      </c>
      <c r="AY17" s="34">
        <f t="array" ref="AY17">IFERROR(INDEX(班別參數!$D$4:$S$20,MATCH(AX17,班別參數!$D$4:$D$20,0),MATCH($AT$6,班別參數!$D$4:$S$4,0)),"")</f>
        <v>0</v>
      </c>
      <c r="AZ17" s="38"/>
      <c r="BA17" s="13"/>
      <c r="BB17" s="33" t="s">
        <v>356</v>
      </c>
      <c r="BC17" s="34" t="str">
        <f t="array" ref="BC17">IFERROR(INDEX(班別參數!$D$23:$S$35,MATCH(BB17,班別參數!$D$23:$D$35,0),MATCH($AT$6,班別參數!$D$23:$S$23,0)),"")</f>
        <v/>
      </c>
      <c r="BD17" s="39" t="str">
        <f t="shared" si="2"/>
        <v/>
      </c>
      <c r="BE17" s="127"/>
    </row>
    <row r="18" spans="2:57" ht="30" customHeight="1">
      <c r="B18" s="81" t="s">
        <v>81</v>
      </c>
      <c r="C18" s="87">
        <f>_xlfn.XLOOKUP(_xlfn.XLOOKUP($AT$6&amp;$B18,公表[班別+時段],公表[值班],""),$AY$9:$AY$25,$AZ$9:$AZ$25,"")</f>
        <v>6</v>
      </c>
      <c r="D18" s="294">
        <v>15</v>
      </c>
      <c r="E18" s="95"/>
      <c r="F18" s="439"/>
      <c r="G18" s="100"/>
      <c r="H18" s="122" t="str">
        <f>IF(BD13="","",BD13)</f>
        <v>16</v>
      </c>
      <c r="I18" s="297"/>
      <c r="J18" s="92">
        <f>_xlfn.XLOOKUP(_xlfn.XLOOKUP($AT$6&amp;$B18,公表[班別+時段],公表[救護1],""),$AY$9:$AY$25,$AZ$9:$AZ$25,"")</f>
        <v>11</v>
      </c>
      <c r="K18" s="92">
        <f>_xlfn.XLOOKUP(_xlfn.XLOOKUP($AT$6&amp;$B18,公表[班別+時段],公表[救護2],""),$AY$9:$AY$25,$AZ$9:$AZ$25,"")</f>
        <v>10</v>
      </c>
      <c r="L18" s="92"/>
      <c r="M18" s="87" t="s">
        <v>212</v>
      </c>
      <c r="N18" s="312"/>
      <c r="O18" s="87">
        <f>_xlfn.XLOOKUP(_xlfn.XLOOKUP($AT$6&amp;$B18,公表[班別+時段],公表[備勤1],""),$AY$9:$AY$25,$AZ$9:$AZ$25,"")</f>
        <v>7</v>
      </c>
      <c r="P18" s="87">
        <v>12</v>
      </c>
      <c r="Q18" s="87"/>
      <c r="R18" s="87"/>
      <c r="S18" s="87"/>
      <c r="T18" s="87"/>
      <c r="U18" s="87"/>
      <c r="V18" s="87">
        <f>_xlfn.XLOOKUP(_xlfn.XLOOKUP($AT$6&amp;$B18,公表[班別+時段],公表[備勤6],""),$AY$9:$AY$25,$AZ$9:$AZ$25,"")</f>
        <v>0</v>
      </c>
      <c r="W18" s="87"/>
      <c r="X18" s="87">
        <f>_xlfn.XLOOKUP(_xlfn.XLOOKUP($AT$6&amp;$B18,公表[班別+時段],公表[備勤7],""),$AY$9:$AY$25,$AZ$9:$AZ$25,"")</f>
        <v>0</v>
      </c>
      <c r="Y18" s="87">
        <f>_xlfn.XLOOKUP(_xlfn.XLOOKUP($AT$6&amp;$B18,公表[班別+時段],公表[備勤8],""),$AY$9:$AY$25,$AZ$9:$AZ$25,"")</f>
        <v>0</v>
      </c>
      <c r="Z18" s="87"/>
      <c r="AA18" s="87"/>
      <c r="AB18" s="87"/>
      <c r="AC18" s="87"/>
      <c r="AD18" s="87"/>
      <c r="AE18" s="87"/>
      <c r="AF18" s="88">
        <v>5</v>
      </c>
      <c r="AG18" s="103"/>
      <c r="AH18" s="101"/>
      <c r="AI18" s="31">
        <v>16</v>
      </c>
      <c r="AJ18" s="31" t="str">
        <v>楊弘宇</v>
      </c>
      <c r="AK18" s="31">
        <v>27</v>
      </c>
      <c r="AL18" s="31" t="str">
        <v>林宏為</v>
      </c>
      <c r="AM18" s="101"/>
      <c r="AN18" s="102"/>
      <c r="AO18" s="214"/>
      <c r="AP18" s="127">
        <v>10</v>
      </c>
      <c r="AQ18" s="127" t="str">
        <v>林宏澤</v>
      </c>
      <c r="AR18" s="127" t="str" cm="1">
        <f t="array" ref="AR18">IFERROR(_xlfn.XLOOKUP(_xlfn.XLOOKUP($AR$3,輪休基準表!$C$6:$C$36,_xlfn.XLOOKUP(AQ18,輪休基準表!$E$5:$AF$5,輪休基準表!$E$6:$AF$36,""),""),班別參數!$A$4:$A$20,班別參數!$B$4:$B$20,""),"")</f>
        <v>上班</v>
      </c>
      <c r="AS18" s="120" t="str" cm="1">
        <f t="array" ref="AS18">_xlfn.LET(
    _xlpm.番號, COUNTIF($AZ$9:$AZ$24, $AP18),
    _xlpm.已排, _xlpm.番號 &gt; 0,
    _xlpm.上班, (AR18="上班"),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T18" s="170" t="str" cm="1">
        <f t="array" ref="AT18">IF(AR18="上班",
    IF(SUMPRODUCT(--ISNUMBER(SEARCH(","&amp;AP18&amp;",", ","&amp;$H$10:$H$33&amp;",")))&gt;=2, "已排",
        IF(SUMPRODUCT(--ISNUMBER(SEARCH(","&amp;AP18&amp;",", ","&amp;$H$10:$H$33&amp;",")))=1, "缺1小時", "未排")
    ),
    IF(SUMPRODUCT(--ISNUMBER(SEARCH(","&amp;AP18&amp;",", ","&amp;$H$10:$H$33&amp;",")))&gt;0, "沒上班", "")
)</f>
        <v>已排</v>
      </c>
      <c r="AU18" s="180">
        <f t="shared" si="0"/>
        <v>6</v>
      </c>
      <c r="AV18" s="180">
        <f t="shared" si="1"/>
        <v>8</v>
      </c>
      <c r="AW18" s="25"/>
      <c r="AX18" s="33" t="str">
        <f t="array" ref="AX18">INDEX(班別參數!$D$4:$D$20,ROW()-7,MATCH($AX$8,班別參數!$D$4:$D$20,0))</f>
        <v>無班2</v>
      </c>
      <c r="AY18" s="34">
        <f t="array" ref="AY18">IFERROR(INDEX(班別參數!$D$4:$S$20,MATCH(AX18,班別參數!$D$4:$D$20,0),MATCH($AT$6,班別參數!$D$4:$S$4,0)),"")</f>
        <v>0</v>
      </c>
      <c r="AZ18" s="38"/>
      <c r="BA18" s="13"/>
      <c r="BB18" s="33" t="s">
        <v>65</v>
      </c>
      <c r="BC18" s="34" t="str">
        <f t="array" ref="BC18">IFERROR(INDEX(班別參數!$D$23:$S$35,MATCH(BB18,班別參數!$D$23:$D$35,0),MATCH($AT$6,班別參數!$D$23:$S$23,0)),"")</f>
        <v/>
      </c>
      <c r="BD18" s="39" t="str">
        <f t="shared" si="2"/>
        <v/>
      </c>
      <c r="BE18" s="127"/>
    </row>
    <row r="19" spans="2:57" ht="30" customHeight="1" thickBot="1">
      <c r="B19" s="110" t="s">
        <v>82</v>
      </c>
      <c r="C19" s="89">
        <f>_xlfn.XLOOKUP(_xlfn.XLOOKUP($AT$6&amp;$B19,公表[班別+時段],公表[值班],""),$AY$9:$AY$25,$AZ$9:$AZ$25,"")</f>
        <v>6</v>
      </c>
      <c r="D19" s="295"/>
      <c r="E19" s="96"/>
      <c r="F19" s="96"/>
      <c r="G19" s="236"/>
      <c r="H19" s="123" t="str">
        <f>IF(BD13="","",BD13)</f>
        <v>16</v>
      </c>
      <c r="I19" s="107"/>
      <c r="J19" s="216">
        <f>_xlfn.XLOOKUP(_xlfn.XLOOKUP($AT$6&amp;$B19,公表[班別+時段],公表[救護1],""),$AY$9:$AY$25,$AZ$9:$AZ$25,"")</f>
        <v>11</v>
      </c>
      <c r="K19" s="216">
        <f>_xlfn.XLOOKUP(_xlfn.XLOOKUP($AT$6&amp;$B19,公表[班別+時段],公表[救護2],""),$AY$9:$AY$25,$AZ$9:$AZ$25,"")</f>
        <v>10</v>
      </c>
      <c r="L19" s="105"/>
      <c r="M19" s="93" t="s">
        <v>212</v>
      </c>
      <c r="N19" s="312"/>
      <c r="O19" s="89">
        <f>_xlfn.XLOOKUP(_xlfn.XLOOKUP($AT$6&amp;$B19,公表[班別+時段],公表[備勤1],""),$AY$9:$AY$25,$AZ$9:$AZ$25,"")</f>
        <v>7</v>
      </c>
      <c r="P19" s="89">
        <v>12</v>
      </c>
      <c r="Q19" s="89"/>
      <c r="R19" s="89">
        <v>5</v>
      </c>
      <c r="S19" s="89"/>
      <c r="T19" s="89"/>
      <c r="U19" s="89"/>
      <c r="V19" s="89">
        <f>_xlfn.XLOOKUP(_xlfn.XLOOKUP($AT$6&amp;$B19,公表[班別+時段],公表[備勤6],""),$AY$9:$AY$25,$AZ$9:$AZ$25,"")</f>
        <v>0</v>
      </c>
      <c r="W19" s="89"/>
      <c r="X19" s="89">
        <f>_xlfn.XLOOKUP(_xlfn.XLOOKUP($AT$6&amp;$B19,公表[班別+時段],公表[備勤7],""),$AY$9:$AY$25,$AZ$9:$AZ$25,"")</f>
        <v>0</v>
      </c>
      <c r="Y19" s="89">
        <f>_xlfn.XLOOKUP(_xlfn.XLOOKUP($AT$6&amp;$B19,公表[班別+時段],公表[備勤8],""),$AY$9:$AY$25,$AZ$9:$AZ$25,"")</f>
        <v>0</v>
      </c>
      <c r="Z19" s="89"/>
      <c r="AA19" s="89"/>
      <c r="AB19" s="89"/>
      <c r="AC19" s="89"/>
      <c r="AD19" s="89"/>
      <c r="AE19" s="89"/>
      <c r="AF19" s="104">
        <f>_xlfn.XLOOKUP(_xlfn.XLOOKUP($AT$6&amp;$B19,公表[班別+時段],公表[指揮官],""),$AY$9:$AY$25,$AZ$9:$AZ$25,"")</f>
        <v>2</v>
      </c>
      <c r="AG19" s="103"/>
      <c r="AH19" s="101"/>
      <c r="AI19" s="101"/>
      <c r="AJ19" s="101"/>
      <c r="AK19" s="31">
        <v>28</v>
      </c>
      <c r="AL19" s="31" t="str">
        <v>林宸彥</v>
      </c>
      <c r="AM19" s="101"/>
      <c r="AN19" s="102"/>
      <c r="AO19" s="214"/>
      <c r="AP19" s="127">
        <v>11</v>
      </c>
      <c r="AQ19" s="127" t="str">
        <v>簡君諺</v>
      </c>
      <c r="AR19" s="127" t="str" cm="1">
        <f t="array" ref="AR19">IFERROR(_xlfn.XLOOKUP(_xlfn.XLOOKUP($AR$3,輪休基準表!$C$6:$C$36,_xlfn.XLOOKUP(AQ19,輪休基準表!$E$5:$AF$5,輪休基準表!$E$6:$AF$36,""),""),班別參數!$A$4:$A$20,班別參數!$B$4:$B$20,""),"")</f>
        <v>上班</v>
      </c>
      <c r="AS19" s="120" t="str" cm="1">
        <f t="array" ref="AS19">_xlfn.LET(
    _xlpm.番號, COUNTIF($AZ$9:$AZ$24, $AP19),
    _xlpm.已排, _xlpm.番號 &gt; 0,
    _xlpm.上班, (AR19="上班"),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T19" s="170" t="str" cm="1">
        <f t="array" ref="AT19">IF(AR19="上班",
    IF(SUMPRODUCT(--ISNUMBER(SEARCH(","&amp;AP19&amp;",", ","&amp;$H$10:$H$33&amp;",")))&gt;=2, "已排",
        IF(SUMPRODUCT(--ISNUMBER(SEARCH(","&amp;AP19&amp;",", ","&amp;$H$10:$H$33&amp;",")))=1, "缺1小時", "未排")
    ),
    IF(SUMPRODUCT(--ISNUMBER(SEARCH(","&amp;AP19&amp;",", ","&amp;$H$10:$H$33&amp;",")))&gt;0, "沒上班", "")
)</f>
        <v>已排</v>
      </c>
      <c r="AU19" s="180">
        <f t="shared" si="0"/>
        <v>8</v>
      </c>
      <c r="AV19" s="180">
        <f t="shared" si="1"/>
        <v>8</v>
      </c>
      <c r="AW19" s="25"/>
      <c r="AX19" s="33" t="str">
        <f t="array" ref="AX19">INDEX(班別參數!$D$4:$D$20,ROW()-7,MATCH($AX$8,班別參數!$D$4:$D$20,0))</f>
        <v>指揮官</v>
      </c>
      <c r="AY19" s="34" t="str">
        <f t="array" ref="AY19">IFERROR(INDEX(班別參數!$D$4:$S$20,MATCH(AX19,班別參數!$D$4:$D$20,0),MATCH($AT$6,班別參數!$D$4:$S$4,0)),"")</f>
        <v>K</v>
      </c>
      <c r="AZ19" s="38" cm="1">
        <f t="array" ref="AZ19:AZ20">IF(AY19="","",_xlfn._xlws.FILTER($AP$9:$AP$13,$AR$9:$AR$13="上班",""))</f>
        <v>2</v>
      </c>
      <c r="BA19" s="13"/>
      <c r="BB19" s="33" t="s">
        <v>66</v>
      </c>
      <c r="BC19" s="34" t="str">
        <f t="array" ref="BC19">IFERROR(INDEX(班別參數!$D$23:$S$35,MATCH(BB19,班別參數!$D$23:$D$35,0),MATCH($AT$6,班別參數!$D$23:$S$23,0)),"")</f>
        <v/>
      </c>
      <c r="BD19" s="39" t="str">
        <f t="shared" si="2"/>
        <v/>
      </c>
      <c r="BE19" s="127"/>
    </row>
    <row r="20" spans="2:57" ht="30" customHeight="1" thickBot="1">
      <c r="B20" s="83" t="s">
        <v>83</v>
      </c>
      <c r="C20" s="90">
        <f>_xlfn.XLOOKUP(_xlfn.XLOOKUP($AT$6&amp;$B20,公表[班別+時段],公表[值班],""),$AY$9:$AY$25,$AZ$9:$AZ$25,"")</f>
        <v>5</v>
      </c>
      <c r="D20" s="97"/>
      <c r="E20" s="97"/>
      <c r="F20" s="284"/>
      <c r="G20" s="97"/>
      <c r="H20" s="121" t="s">
        <v>404</v>
      </c>
      <c r="I20" s="55"/>
      <c r="J20" s="94">
        <f>_xlfn.XLOOKUP(_xlfn.XLOOKUP($AT$6&amp;$B20,公表[班別+時段],公表[救護1],""),$AY$9:$AY$25,$AZ$9:$AZ$25,"")</f>
        <v>6</v>
      </c>
      <c r="K20" s="94">
        <f>_xlfn.XLOOKUP(_xlfn.XLOOKUP($AT$6&amp;$B20,公表[班別+時段],公表[救護2],""),$AY$9:$AY$25,$AZ$9:$AZ$25,"")</f>
        <v>15</v>
      </c>
      <c r="L20" s="94"/>
      <c r="M20" s="90" t="s">
        <v>212</v>
      </c>
      <c r="N20" s="312"/>
      <c r="O20" s="90">
        <f>_xlfn.XLOOKUP(_xlfn.XLOOKUP($AT$6&amp;$B20,公表[班別+時段],公表[備勤1],""),$AY$9:$AY$25,$AZ$9:$AZ$25,"")</f>
        <v>10</v>
      </c>
      <c r="P20" s="90">
        <f>_xlfn.XLOOKUP(_xlfn.XLOOKUP($AT$6&amp;$B20,公表[班別+時段],公表[備勤2],""),$AY$9:$AY$25,$AZ$9:$AZ$25,"")</f>
        <v>16</v>
      </c>
      <c r="Q20" s="90"/>
      <c r="R20" s="90">
        <v>11</v>
      </c>
      <c r="S20" s="90"/>
      <c r="T20" s="90"/>
      <c r="U20" s="90">
        <f>_xlfn.XLOOKUP(_xlfn.XLOOKUP($AT$6&amp;$B20,公表[班別+時段],公表[備勤5],""),$AY$9:$AY$25,$AZ$9:$AZ$25,"")</f>
        <v>0</v>
      </c>
      <c r="V20" s="90">
        <f>_xlfn.XLOOKUP(_xlfn.XLOOKUP($AT$6&amp;$B20,公表[班別+時段],公表[備勤6],""),$AY$9:$AY$25,$AZ$9:$AZ$25,"")</f>
        <v>0</v>
      </c>
      <c r="W20" s="90"/>
      <c r="X20" s="90">
        <f>_xlfn.XLOOKUP(_xlfn.XLOOKUP($AT$6&amp;$B20,公表[班別+時段],公表[備勤7],""),$AY$9:$AY$25,$AZ$9:$AZ$25,"")</f>
        <v>0</v>
      </c>
      <c r="Y20" s="90">
        <f>_xlfn.XLOOKUP(_xlfn.XLOOKUP($AT$6&amp;$B20,公表[班別+時段],公表[備勤8],""),$AY$9:$AY$25,$AZ$9:$AZ$25,"")</f>
        <v>0</v>
      </c>
      <c r="Z20" s="90"/>
      <c r="AA20" s="90"/>
      <c r="AB20" s="90"/>
      <c r="AC20" s="90"/>
      <c r="AD20" s="90"/>
      <c r="AE20" s="90"/>
      <c r="AF20" s="91">
        <f>_xlfn.XLOOKUP(_xlfn.XLOOKUP($AT$6&amp;$B20,公表[班別+時段],公表[指揮官],""),$AY$9:$AY$25,$AZ$9:$AZ$25,"")</f>
        <v>2</v>
      </c>
      <c r="AG20" s="103"/>
      <c r="AH20" s="101"/>
      <c r="AI20" s="101"/>
      <c r="AJ20" s="101"/>
      <c r="AK20" s="101"/>
      <c r="AL20" s="101"/>
      <c r="AM20" s="101"/>
      <c r="AN20" s="102"/>
      <c r="AO20" s="214"/>
      <c r="AP20" s="127">
        <v>12</v>
      </c>
      <c r="AQ20" s="127" t="str">
        <v>王昱勛</v>
      </c>
      <c r="AR20" s="127" t="str" cm="1">
        <f t="array" ref="AR20">IFERROR(_xlfn.XLOOKUP(_xlfn.XLOOKUP($AR$3,輪休基準表!$C$6:$C$36,_xlfn.XLOOKUP(AQ20,輪休基準表!$E$5:$AF$5,輪休基準表!$E$6:$AF$36,""),""),班別參數!$A$4:$A$20,班別參數!$B$4:$B$20,""),"")</f>
        <v>上班</v>
      </c>
      <c r="AS20" s="120" t="str" cm="1">
        <f t="array" ref="AS20">_xlfn.LET(
    _xlpm.番號, COUNTIF($AZ$9:$AZ$24, $AP20),
    _xlpm.已排, _xlpm.番號 &gt; 0,
    _xlpm.上班, (AR20="上班"),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T20" s="170" t="str" cm="1">
        <f t="array" ref="AT20">IF(AR20="上班",
    IF(SUMPRODUCT(--ISNUMBER(SEARCH(","&amp;AP20&amp;",", ","&amp;$H$10:$H$33&amp;",")))&gt;=2, "已排",
        IF(SUMPRODUCT(--ISNUMBER(SEARCH(","&amp;AP20&amp;",", ","&amp;$H$10:$H$33&amp;",")))=1, "缺1小時", "未排")
    ),
    IF(SUMPRODUCT(--ISNUMBER(SEARCH(","&amp;AP20&amp;",", ","&amp;$H$10:$H$33&amp;",")))&gt;0, "沒上班", "")
)</f>
        <v>已排</v>
      </c>
      <c r="AU20" s="180">
        <f t="shared" si="0"/>
        <v>8</v>
      </c>
      <c r="AV20" s="180">
        <f t="shared" si="1"/>
        <v>8</v>
      </c>
      <c r="AW20" s="25"/>
      <c r="AX20" s="33" t="str">
        <f t="array" ref="AX20">INDEX(班別參數!$D$4:$D$20,ROW()-7,MATCH($AX$8,班別參數!$D$4:$D$20,0))</f>
        <v>帶隊官</v>
      </c>
      <c r="AY20" s="34" t="str">
        <f t="array" ref="AY20">IFERROR(INDEX(班別參數!$D$4:$S$20,MATCH(AX20,班別參數!$D$4:$D$20,0),MATCH($AT$6,班別參數!$D$4:$S$4,0)),"")</f>
        <v>L</v>
      </c>
      <c r="AZ20" s="38">
        <v>5</v>
      </c>
      <c r="BA20" s="32"/>
      <c r="BB20" s="33" t="s">
        <v>67</v>
      </c>
      <c r="BC20" s="34" t="str">
        <f t="array" ref="BC20">IFERROR(INDEX(班別參數!$D$23:$S$35,MATCH(BB20,班別參數!$D$23:$D$35,0),MATCH($AT$6,班別參數!$D$23:$S$23,0)),"")</f>
        <v>G,L</v>
      </c>
      <c r="BD20" s="41" t="str">
        <f t="shared" si="2"/>
        <v>10,5</v>
      </c>
      <c r="BE20" s="127"/>
    </row>
    <row r="21" spans="2:57" ht="30" customHeight="1" thickBot="1">
      <c r="B21" s="81" t="s">
        <v>84</v>
      </c>
      <c r="C21" s="87">
        <f>_xlfn.XLOOKUP(_xlfn.XLOOKUP($AT$6&amp;$B21,公表[班別+時段],公表[值班],""),$AY$9:$AY$25,$AZ$9:$AZ$25,"")</f>
        <v>5</v>
      </c>
      <c r="D21" s="95"/>
      <c r="E21" s="95"/>
      <c r="F21" s="95"/>
      <c r="G21" s="95"/>
      <c r="H21" s="122" t="s">
        <v>404</v>
      </c>
      <c r="I21" s="296" t="str">
        <f>AZ4</f>
        <v>個人水域防護裝備介紹</v>
      </c>
      <c r="J21" s="92">
        <f>_xlfn.XLOOKUP(_xlfn.XLOOKUP($AT$6&amp;$B21,公表[班別+時段],公表[救護1],""),$AY$9:$AY$25,$AZ$9:$AZ$25,"")</f>
        <v>6</v>
      </c>
      <c r="K21" s="92">
        <f>_xlfn.XLOOKUP(_xlfn.XLOOKUP($AT$6&amp;$B21,公表[班別+時段],公表[救護2],""),$AY$9:$AY$25,$AZ$9:$AZ$25,"")</f>
        <v>15</v>
      </c>
      <c r="L21" s="92"/>
      <c r="M21" s="87" t="s">
        <v>212</v>
      </c>
      <c r="N21" s="312"/>
      <c r="O21" s="87">
        <f>_xlfn.XLOOKUP(_xlfn.XLOOKUP($AT$6&amp;$B21,公表[班別+時段],公表[備勤1],""),$AY$9:$AY$25,$AZ$9:$AZ$25,"")</f>
        <v>10</v>
      </c>
      <c r="P21" s="87">
        <f>_xlfn.XLOOKUP(_xlfn.XLOOKUP($AT$6&amp;$B21,公表[班別+時段],公表[備勤2],""),$AY$9:$AY$25,$AZ$9:$AZ$25,"")</f>
        <v>16</v>
      </c>
      <c r="Q21" s="87"/>
      <c r="R21" s="87">
        <v>11</v>
      </c>
      <c r="S21" s="87"/>
      <c r="T21" s="87"/>
      <c r="U21" s="87">
        <f>_xlfn.XLOOKUP(_xlfn.XLOOKUP($AT$6&amp;$B21,公表[班別+時段],公表[備勤5],""),$AY$9:$AY$25,$AZ$9:$AZ$25,"")</f>
        <v>0</v>
      </c>
      <c r="V21" s="87">
        <f>_xlfn.XLOOKUP(_xlfn.XLOOKUP($AT$6&amp;$B21,公表[班別+時段],公表[備勤6],""),$AY$9:$AY$25,$AZ$9:$AZ$25,"")</f>
        <v>0</v>
      </c>
      <c r="W21" s="87"/>
      <c r="X21" s="87">
        <f>_xlfn.XLOOKUP(_xlfn.XLOOKUP($AT$6&amp;$B21,公表[班別+時段],公表[備勤7],""),$AY$9:$AY$25,$AZ$9:$AZ$25,"")</f>
        <v>0</v>
      </c>
      <c r="Y21" s="87">
        <f>_xlfn.XLOOKUP(_xlfn.XLOOKUP($AT$6&amp;$B21,公表[班別+時段],公表[備勤8],""),$AY$9:$AY$25,$AZ$9:$AZ$25,"")</f>
        <v>0</v>
      </c>
      <c r="Z21" s="87"/>
      <c r="AA21" s="87"/>
      <c r="AB21" s="87"/>
      <c r="AC21" s="87"/>
      <c r="AD21" s="87"/>
      <c r="AE21" s="87"/>
      <c r="AF21" s="88">
        <f>_xlfn.XLOOKUP(_xlfn.XLOOKUP($AT$6&amp;$B21,公表[班別+時段],公表[指揮官],""),$AY$9:$AY$25,$AZ$9:$AZ$25,"")</f>
        <v>2</v>
      </c>
      <c r="AG21" s="103"/>
      <c r="AH21" s="101"/>
      <c r="AI21" s="101"/>
      <c r="AJ21" s="101"/>
      <c r="AK21" s="101"/>
      <c r="AL21" s="101"/>
      <c r="AM21" s="101"/>
      <c r="AN21" s="102"/>
      <c r="AO21" s="214"/>
      <c r="AP21" s="127">
        <v>13</v>
      </c>
      <c r="AQ21" s="127" t="str">
        <v>葉宗哲</v>
      </c>
      <c r="AR21" s="127" t="str" cm="1">
        <f t="array" ref="AR21">IFERROR(_xlfn.XLOOKUP(_xlfn.XLOOKUP($AR$3,輪休基準表!$C$6:$C$36,_xlfn.XLOOKUP(AQ21,輪休基準表!$E$5:$AF$5,輪休基準表!$E$6:$AF$36,""),""),班別參數!$A$4:$A$20,班別參數!$B$4:$B$20,""),"")</f>
        <v>請休</v>
      </c>
      <c r="AS21" s="120" t="str" cm="1">
        <f t="array" ref="AS21">_xlfn.LET(
    _xlpm.番號, COUNTIF($AZ$9:$AZ$24, $AP21),
    _xlpm.已排, _xlpm.番號 &gt; 0,
    _xlpm.上班, (AR21="上班"),
    _xlfn.IFS(
        _xlpm.番號 &gt; 1, "重複",
        AND(_xlpm.上班, NOT(_xlpm.已排)), "未排",
        AND(NOT(_xlpm.上班),_xlpm.已排), "沒上班",
        _xlpm.已排, "已排",
        TRUE, ""
    )
)</f>
        <v/>
      </c>
      <c r="AT21" s="170" t="str" cm="1">
        <f t="array" ref="AT21">IF(AR21="上班",
    IF(SUMPRODUCT(--ISNUMBER(SEARCH(","&amp;AP21&amp;",", ","&amp;$H$10:$H$33&amp;",")))&gt;=2, "已排",
        IF(SUMPRODUCT(--ISNUMBER(SEARCH(","&amp;AP21&amp;",", ","&amp;$H$10:$H$33&amp;",")))=1, "缺1小時", "未排")
    ),
    IF(SUMPRODUCT(--ISNUMBER(SEARCH(","&amp;AP21&amp;",", ","&amp;$H$10:$H$33&amp;",")))&gt;0, "沒上班", "")
)</f>
        <v/>
      </c>
      <c r="AU21" s="180" t="str">
        <f t="shared" si="0"/>
        <v/>
      </c>
      <c r="AV21" s="180" t="str">
        <f t="shared" si="1"/>
        <v/>
      </c>
      <c r="AX21" s="33" t="str">
        <f t="array" ref="AX21">INDEX(班別參數!$D$4:$D$20,ROW()-7,MATCH($AX$8,班別參數!$D$4:$D$20,0))</f>
        <v>帶隊官2</v>
      </c>
      <c r="AY21" s="34">
        <f t="array" ref="AY21">IFERROR(INDEX(班別參數!$D$4:$S$20,MATCH(AX21,班別參數!$D$4:$D$20,0),MATCH($AT$6,班別參數!$D$4:$S$4,0)),"")</f>
        <v>0</v>
      </c>
      <c r="AZ21" s="42"/>
      <c r="BA21" s="10"/>
      <c r="BB21" s="33"/>
      <c r="BC21" s="10"/>
      <c r="BE21" s="127"/>
    </row>
    <row r="22" spans="2:57" ht="30" customHeight="1">
      <c r="B22" s="81" t="s">
        <v>85</v>
      </c>
      <c r="C22" s="87">
        <f>_xlfn.XLOOKUP(_xlfn.XLOOKUP($AT$6&amp;$B22,公表[班別+時段],公表[值班],""),$AY$9:$AY$25,$AZ$9:$AZ$25,"")</f>
        <v>11</v>
      </c>
      <c r="D22" s="95"/>
      <c r="E22" s="95"/>
      <c r="F22" s="95"/>
      <c r="G22" s="95"/>
      <c r="H22" s="122" t="str">
        <f>IF(BD15="","",BD15)</f>
        <v>7</v>
      </c>
      <c r="I22" s="297"/>
      <c r="J22" s="92">
        <f>_xlfn.XLOOKUP(_xlfn.XLOOKUP($AT$6&amp;$B22,公表[班別+時段],公表[救護1],""),$AY$9:$AY$25,$AZ$9:$AZ$25,"")</f>
        <v>12</v>
      </c>
      <c r="K22" s="92">
        <f>_xlfn.XLOOKUP(_xlfn.XLOOKUP($AT$6&amp;$B22,公表[班別+時段],公表[救護2],""),$AY$9:$AY$25,$AZ$9:$AZ$25,"")</f>
        <v>10</v>
      </c>
      <c r="L22" s="92"/>
      <c r="M22" s="87" t="s">
        <v>212</v>
      </c>
      <c r="N22" s="312"/>
      <c r="O22" s="87">
        <f>_xlfn.XLOOKUP(_xlfn.XLOOKUP($AT$6&amp;$B22,公表[班別+時段],公表[備勤1],""),$AY$9:$AY$25,$AZ$9:$AZ$25,"")</f>
        <v>16</v>
      </c>
      <c r="P22" s="87">
        <f>_xlfn.XLOOKUP(_xlfn.XLOOKUP($AT$6&amp;$B22,公表[班別+時段],公表[備勤2],""),$AY$9:$AY$25,$AZ$9:$AZ$25,"")</f>
        <v>6</v>
      </c>
      <c r="Q22" s="87"/>
      <c r="R22" s="87">
        <f>_xlfn.XLOOKUP(_xlfn.XLOOKUP($AT$6&amp;$B22,公表[班別+時段],公表[備勤3],""),$AY$9:$AY$25,$AZ$9:$AZ$25,"")</f>
        <v>15</v>
      </c>
      <c r="S22" s="87"/>
      <c r="T22" s="87"/>
      <c r="U22" s="87">
        <f>_xlfn.XLOOKUP(_xlfn.XLOOKUP($AT$6&amp;$B22,公表[班別+時段],公表[備勤5],""),$AY$9:$AY$25,$AZ$9:$AZ$25,"")</f>
        <v>5</v>
      </c>
      <c r="V22" s="87">
        <f>_xlfn.XLOOKUP(_xlfn.XLOOKUP($AT$6&amp;$B22,公表[班別+時段],公表[備勤6],""),$AY$9:$AY$25,$AZ$9:$AZ$25,"")</f>
        <v>0</v>
      </c>
      <c r="W22" s="87"/>
      <c r="X22" s="87">
        <f>_xlfn.XLOOKUP(_xlfn.XLOOKUP($AT$6&amp;$B22,公表[班別+時段],公表[備勤7],""),$AY$9:$AY$25,$AZ$9:$AZ$25,"")</f>
        <v>0</v>
      </c>
      <c r="Y22" s="87">
        <f>_xlfn.XLOOKUP(_xlfn.XLOOKUP($AT$6&amp;$B22,公表[班別+時段],公表[備勤8],""),$AY$9:$AY$25,$AZ$9:$AZ$25,"")</f>
        <v>0</v>
      </c>
      <c r="Z22" s="87"/>
      <c r="AA22" s="87"/>
      <c r="AB22" s="87"/>
      <c r="AC22" s="87"/>
      <c r="AD22" s="87"/>
      <c r="AE22" s="87"/>
      <c r="AF22" s="88">
        <f>_xlfn.XLOOKUP(_xlfn.XLOOKUP($AT$6&amp;$B22,公表[班別+時段],公表[指揮官],""),$AY$9:$AY$25,$AZ$9:$AZ$25,"")</f>
        <v>2</v>
      </c>
      <c r="AG22" s="57" t="s">
        <v>213</v>
      </c>
      <c r="AH22" s="305" t="str" cm="1">
        <f t="array" ref="AH22">_xlfn.TEXTJOIN(".",1,_xlfn._xlws.FILTER($AP$9:$AP$40,$AR$9:$AR$40="上班",""))</f>
        <v>2.5.6.7.10.11.12.15.16</v>
      </c>
      <c r="AI22" s="400"/>
      <c r="AJ22" s="400"/>
      <c r="AK22" s="400"/>
      <c r="AL22" s="307"/>
      <c r="AM22" s="31" t="s">
        <v>214</v>
      </c>
      <c r="AN22" s="58" t="str">
        <f>CONCATENATE(COUNTIF($AR$9:$AR$36,"上班"),"人")</f>
        <v>9人</v>
      </c>
      <c r="AO22" s="214"/>
      <c r="AP22" s="127">
        <v>14</v>
      </c>
      <c r="AQ22" s="127" t="str">
        <v>王浩任</v>
      </c>
      <c r="AR22" s="127" t="str" cm="1">
        <f t="array" ref="AR22">IFERROR(_xlfn.XLOOKUP(_xlfn.XLOOKUP($AR$3,輪休基準表!$C$6:$C$36,_xlfn.XLOOKUP(AQ22,輪休基準表!$E$5:$AF$5,輪休基準表!$E$6:$AF$36,""),""),班別參數!$A$4:$A$20,班別參數!$B$4:$B$20,""),"")</f>
        <v>輪休</v>
      </c>
      <c r="AS22" s="120" t="str" cm="1">
        <f t="array" ref="AS22">_xlfn.LET(
    _xlpm.番號, COUNTIF($AZ$9:$AZ$24, $AP22),
    _xlpm.已排, _xlpm.番號 &gt; 0,
    _xlpm.上班, (AR22="上班"),
    _xlfn.IFS(
        _xlpm.番號 &gt; 1, "重複",
        AND(_xlpm.上班, NOT(_xlpm.已排)), "未排",
        AND(NOT(_xlpm.上班),_xlpm.已排), "沒上班",
        _xlpm.已排, "已排",
        TRUE, ""
    )
)</f>
        <v/>
      </c>
      <c r="AT22" s="170" t="str" cm="1">
        <f t="array" ref="AT22">IF(AR22="上班",
    IF(SUMPRODUCT(--ISNUMBER(SEARCH(","&amp;AP22&amp;",", ","&amp;$H$10:$H$33&amp;",")))&gt;=2, "已排",
        IF(SUMPRODUCT(--ISNUMBER(SEARCH(","&amp;AP22&amp;",", ","&amp;$H$10:$H$33&amp;",")))=1, "缺1小時", "未排")
    ),
    IF(SUMPRODUCT(--ISNUMBER(SEARCH(","&amp;AP22&amp;",", ","&amp;$H$10:$H$33&amp;",")))&gt;0, "沒上班", "")
)</f>
        <v/>
      </c>
      <c r="AU22" s="180" t="str">
        <f t="shared" si="0"/>
        <v/>
      </c>
      <c r="AV22" s="180" t="str">
        <f t="shared" si="1"/>
        <v/>
      </c>
      <c r="AX22" s="33">
        <f t="array" ref="AX22">INDEX(班別參數!$D$4:$D$20,ROW()-7,MATCH($AX$8,班別參數!$D$4:$D$20,0))</f>
        <v>0</v>
      </c>
      <c r="AY22" s="34" t="str">
        <f t="array" ref="AY22">IFERROR(INDEX(班別參數!$D$4:$S$20,MATCH(AX22,班別參數!$D$4:$D$20,0),MATCH($AX$5,班別參數!$D$4:$S$4,0)),"")</f>
        <v/>
      </c>
      <c r="AZ22" s="24"/>
      <c r="BB22" s="33"/>
      <c r="BE22" s="127"/>
    </row>
    <row r="23" spans="2:57" ht="30" customHeight="1" thickBot="1">
      <c r="B23" s="110" t="s">
        <v>86</v>
      </c>
      <c r="C23" s="89">
        <f>_xlfn.XLOOKUP(_xlfn.XLOOKUP($AT$6&amp;$B23,公表[班別+時段],公表[值班],""),$AY$9:$AY$25,$AZ$9:$AZ$25,"")</f>
        <v>11</v>
      </c>
      <c r="D23" s="106"/>
      <c r="E23" s="96"/>
      <c r="F23" s="96"/>
      <c r="G23" s="96"/>
      <c r="H23" s="123" t="str">
        <f>IF(BD15="","",BD15)</f>
        <v>7</v>
      </c>
      <c r="I23" s="107"/>
      <c r="J23" s="216">
        <f>_xlfn.XLOOKUP(_xlfn.XLOOKUP($AT$6&amp;$B23,公表[班別+時段],公表[救護1],""),$AY$9:$AY$25,$AZ$9:$AZ$25,"")</f>
        <v>12</v>
      </c>
      <c r="K23" s="216">
        <f>_xlfn.XLOOKUP(_xlfn.XLOOKUP($AT$6&amp;$B23,公表[班別+時段],公表[救護2],""),$AY$9:$AY$25,$AZ$9:$AZ$25,"")</f>
        <v>10</v>
      </c>
      <c r="L23" s="105"/>
      <c r="M23" s="93" t="s">
        <v>212</v>
      </c>
      <c r="N23" s="312"/>
      <c r="O23" s="89">
        <f>_xlfn.XLOOKUP(_xlfn.XLOOKUP($AT$6&amp;$B23,公表[班別+時段],公表[備勤1],""),$AY$9:$AY$25,$AZ$9:$AZ$25,"")</f>
        <v>16</v>
      </c>
      <c r="P23" s="89">
        <f>_xlfn.XLOOKUP(_xlfn.XLOOKUP($AT$6&amp;$B23,公表[班別+時段],公表[備勤2],""),$AY$9:$AY$25,$AZ$9:$AZ$25,"")</f>
        <v>6</v>
      </c>
      <c r="Q23" s="89"/>
      <c r="R23" s="89">
        <f>_xlfn.XLOOKUP(_xlfn.XLOOKUP($AT$6&amp;$B23,公表[班別+時段],公表[備勤3],""),$AY$9:$AY$25,$AZ$9:$AZ$25,"")</f>
        <v>15</v>
      </c>
      <c r="S23" s="89">
        <f>_xlfn.XLOOKUP(_xlfn.XLOOKUP($AT$6&amp;$B23,公表[班別+時段],公表[備勤4],""),$AY$9:$AY$25,$AZ$9:$AZ$25,"")</f>
        <v>0</v>
      </c>
      <c r="T23" s="89"/>
      <c r="U23" s="89">
        <f>_xlfn.XLOOKUP(_xlfn.XLOOKUP($AT$6&amp;$B23,公表[班別+時段],公表[備勤5],""),$AY$9:$AY$25,$AZ$9:$AZ$25,"")</f>
        <v>5</v>
      </c>
      <c r="V23" s="89">
        <f>_xlfn.XLOOKUP(_xlfn.XLOOKUP($AT$6&amp;$B23,公表[班別+時段],公表[備勤6],""),$AY$9:$AY$25,$AZ$9:$AZ$25,"")</f>
        <v>0</v>
      </c>
      <c r="W23" s="89"/>
      <c r="X23" s="89">
        <f>_xlfn.XLOOKUP(_xlfn.XLOOKUP($AT$6&amp;$B23,公表[班別+時段],公表[備勤7],""),$AY$9:$AY$25,$AZ$9:$AZ$25,"")</f>
        <v>0</v>
      </c>
      <c r="Y23" s="89">
        <f>_xlfn.XLOOKUP(_xlfn.XLOOKUP($AT$6&amp;$B23,公表[班別+時段],公表[備勤8],""),$AY$9:$AY$25,$AZ$9:$AZ$25,"")</f>
        <v>0</v>
      </c>
      <c r="Z23" s="89"/>
      <c r="AA23" s="89"/>
      <c r="AB23" s="89"/>
      <c r="AC23" s="89"/>
      <c r="AD23" s="89"/>
      <c r="AE23" s="89"/>
      <c r="AF23" s="104">
        <f>_xlfn.XLOOKUP(_xlfn.XLOOKUP($AT$6&amp;$B23,公表[班別+時段],公表[指揮官],""),$AY$9:$AY$25,$AZ$9:$AZ$25,"")</f>
        <v>2</v>
      </c>
      <c r="AG23" s="57" t="s">
        <v>6</v>
      </c>
      <c r="AH23" s="305" t="str" cm="1">
        <f t="array" ref="AH23">_xlfn.TEXTJOIN(".",1,_xlfn._xlws.FILTER($AP$9:$AP$40,$AR$9:$AR$40=$AG$23,""))</f>
        <v>4.8.14.17.18.19.21.23.25.26.28</v>
      </c>
      <c r="AI23" s="400"/>
      <c r="AJ23" s="400"/>
      <c r="AK23" s="400"/>
      <c r="AL23" s="400"/>
      <c r="AM23" s="400"/>
      <c r="AN23" s="401"/>
      <c r="AO23" s="214"/>
      <c r="AP23" s="127">
        <v>15</v>
      </c>
      <c r="AQ23" s="127" t="str">
        <v>李仕詮</v>
      </c>
      <c r="AR23" s="127" t="str" cm="1">
        <f t="array" ref="AR23">IFERROR(_xlfn.XLOOKUP(_xlfn.XLOOKUP($AR$3,輪休基準表!$C$6:$C$36,_xlfn.XLOOKUP(AQ23,輪休基準表!$E$5:$AF$5,輪休基準表!$E$6:$AF$36,""),""),班別參數!$A$4:$A$20,班別參數!$B$4:$B$20,""),"")</f>
        <v>上班</v>
      </c>
      <c r="AS23" s="120" t="str" cm="1">
        <f t="array" ref="AS23">_xlfn.LET(
    _xlpm.番號, COUNTIF($AZ$9:$AZ$24, $AP23),
    _xlpm.已排, _xlpm.番號 &gt; 0,
    _xlpm.上班, (AR23="上班"),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T23" s="170" t="str" cm="1">
        <f t="array" ref="AT23">IF(AR23="上班",
    IF(SUMPRODUCT(--ISNUMBER(SEARCH(","&amp;AP23&amp;",", ","&amp;$H$10:$H$33&amp;",")))&gt;=2, "已排",
        IF(SUMPRODUCT(--ISNUMBER(SEARCH(","&amp;AP23&amp;",", ","&amp;$H$10:$H$33&amp;",")))=1, "缺1小時", "未排")
    ),
    IF(SUMPRODUCT(--ISNUMBER(SEARCH(","&amp;AP23&amp;",", ","&amp;$H$10:$H$33&amp;",")))&gt;0, "沒上班", "")
)</f>
        <v>已排</v>
      </c>
      <c r="AU23" s="180">
        <f t="shared" si="0"/>
        <v>6</v>
      </c>
      <c r="AV23" s="180" t="str">
        <f t="shared" si="1"/>
        <v/>
      </c>
      <c r="AX23" s="33">
        <f t="array" ref="AX23">INDEX(班別參數!$D$4:$D$20,ROW()-7,MATCH($AX$8,班別參數!$D$4:$D$20,0))</f>
        <v>0</v>
      </c>
      <c r="AY23" s="43" t="str">
        <f t="array" ref="AY23">IFERROR(INDEX(班別參數!$D$4:$S$20,MATCH(AX23,班別參數!$D$4:$D$20,0),MATCH($AX$5,班別參數!$D$4:$S$4,0)),"")</f>
        <v/>
      </c>
      <c r="AZ23" s="24"/>
      <c r="BB23" s="33"/>
      <c r="BC23" s="25"/>
      <c r="BE23" s="127"/>
    </row>
    <row r="24" spans="2:57" ht="30" customHeight="1">
      <c r="B24" s="84" t="s">
        <v>87</v>
      </c>
      <c r="C24" s="90">
        <f>_xlfn.XLOOKUP(_xlfn.XLOOKUP($AT$6&amp;$B24,公表[班別+時段],公表[值班],""),$AY$9:$AY$25,$AZ$9:$AZ$25,"")</f>
        <v>15</v>
      </c>
      <c r="D24" s="97"/>
      <c r="E24" s="97"/>
      <c r="F24" s="284"/>
      <c r="G24" s="97"/>
      <c r="H24" s="121">
        <v>6</v>
      </c>
      <c r="I24" s="55"/>
      <c r="J24" s="94">
        <f>_xlfn.XLOOKUP(_xlfn.XLOOKUP($AT$6&amp;$B24,公表[班別+時段],公表[救護1],""),$AY$9:$AY$25,$AZ$9:$AZ$25,"")</f>
        <v>11</v>
      </c>
      <c r="K24" s="94">
        <f>_xlfn.XLOOKUP(_xlfn.XLOOKUP($AT$6&amp;$B24,公表[班別+時段],公表[救護2],""),$AY$9:$AY$25,$AZ$9:$AZ$25,"")</f>
        <v>7</v>
      </c>
      <c r="L24" s="90"/>
      <c r="M24" s="90" t="s">
        <v>212</v>
      </c>
      <c r="N24" s="312"/>
      <c r="O24" s="90">
        <f>_xlfn.XLOOKUP(_xlfn.XLOOKUP($AT$6&amp;$B24,公表[班別+時段],公表[備勤1],""),$AY$9:$AY$25,$AZ$9:$AZ$25,"")</f>
        <v>12</v>
      </c>
      <c r="P24" s="90">
        <f>_xlfn.XLOOKUP(_xlfn.XLOOKUP($AT$6&amp;$B24,公表[班別+時段],公表[備勤2],""),$AY$9:$AY$25,$AZ$9:$AZ$25,"")</f>
        <v>10</v>
      </c>
      <c r="Q24" s="90"/>
      <c r="R24" s="90">
        <f>_xlfn.XLOOKUP(_xlfn.XLOOKUP($AT$6&amp;$B24,公表[班別+時段],公表[備勤3],""),$AY$9:$AY$25,$AZ$9:$AZ$25,"")</f>
        <v>16</v>
      </c>
      <c r="S24" s="90"/>
      <c r="T24" s="90"/>
      <c r="U24" s="90">
        <f>_xlfn.XLOOKUP(_xlfn.XLOOKUP($AT$6&amp;$B24,公表[班別+時段],公表[備勤5],""),$AY$9:$AY$25,$AZ$9:$AZ$25,"")</f>
        <v>5</v>
      </c>
      <c r="V24" s="90">
        <f>_xlfn.XLOOKUP(_xlfn.XLOOKUP($AT$6&amp;$B24,公表[班別+時段],公表[備勤6],""),$AY$9:$AY$25,$AZ$9:$AZ$25,"")</f>
        <v>0</v>
      </c>
      <c r="W24" s="90"/>
      <c r="X24" s="90">
        <f>_xlfn.XLOOKUP(_xlfn.XLOOKUP($AT$6&amp;$B24,公表[班別+時段],公表[備勤7],""),$AY$9:$AY$25,$AZ$9:$AZ$25,"")</f>
        <v>0</v>
      </c>
      <c r="Y24" s="90">
        <f>_xlfn.XLOOKUP(_xlfn.XLOOKUP($AT$6&amp;$B24,公表[班別+時段],公表[備勤8],""),$AY$9:$AY$25,$AZ$9:$AZ$25,"")</f>
        <v>0</v>
      </c>
      <c r="Z24" s="90"/>
      <c r="AA24" s="90"/>
      <c r="AB24" s="90"/>
      <c r="AC24" s="90"/>
      <c r="AD24" s="90"/>
      <c r="AE24" s="90"/>
      <c r="AF24" s="91">
        <f>_xlfn.XLOOKUP(_xlfn.XLOOKUP($AT$6&amp;$B24,公表[班別+時段],公表[指揮官],""),$AY$9:$AY$25,$AZ$9:$AZ$25,"")</f>
        <v>2</v>
      </c>
      <c r="AG24" s="57" t="s">
        <v>17</v>
      </c>
      <c r="AH24" s="305" t="str" cm="1">
        <f t="array" ref="AH24">_xlfn.TEXTJOIN(".",1,_xlfn._xlws.FILTER($AP$9:$AP$40,$AR$9:$AR$40=$AG$24,""))</f>
        <v>3.9.27</v>
      </c>
      <c r="AI24" s="400"/>
      <c r="AJ24" s="307"/>
      <c r="AK24" s="31" t="s">
        <v>21</v>
      </c>
      <c r="AL24" s="305" t="str" cm="1">
        <f t="array" ref="AL24">_xlfn.TEXTJOIN(".",1,_xlfn._xlws.FILTER($AP$9:$AP$40,$AR$9:$AR$40=$AK$24,""))</f>
        <v>24</v>
      </c>
      <c r="AM24" s="400"/>
      <c r="AN24" s="401"/>
      <c r="AO24" s="214"/>
      <c r="AP24" s="127">
        <v>16</v>
      </c>
      <c r="AQ24" s="127" t="str">
        <v>楊弘宇</v>
      </c>
      <c r="AR24" s="127" t="str" cm="1">
        <f t="array" ref="AR24">IFERROR(_xlfn.XLOOKUP(_xlfn.XLOOKUP($AR$3,輪休基準表!$C$6:$C$36,_xlfn.XLOOKUP(AQ24,輪休基準表!$E$5:$AF$5,輪休基準表!$E$6:$AF$36,""),""),班別參數!$A$4:$A$20,班別參數!$B$4:$B$20,""),"")</f>
        <v>上班</v>
      </c>
      <c r="AS24" s="120" t="str" cm="1">
        <f t="array" ref="AS24">_xlfn.LET(
    _xlpm.番號, COUNTIF($AZ$9:$AZ$24, $AP24),
    _xlpm.已排, _xlpm.番號 &gt; 0,
    _xlpm.上班, (AR24="上班"),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T24" s="170" t="str" cm="1">
        <f t="array" ref="AT24">IF(AR24="上班",
    IF(SUMPRODUCT(--ISNUMBER(SEARCH(","&amp;AP24&amp;",", ","&amp;$H$10:$H$33&amp;",")))&gt;=2, "已排",
        IF(SUMPRODUCT(--ISNUMBER(SEARCH(","&amp;AP24&amp;",", ","&amp;$H$10:$H$33&amp;",")))=1, "缺1小時", "未排")
    ),
    IF(SUMPRODUCT(--ISNUMBER(SEARCH(","&amp;AP24&amp;",", ","&amp;$H$10:$H$33&amp;",")))&gt;0, "沒上班", "")
)</f>
        <v>已排</v>
      </c>
      <c r="AU24" s="180">
        <f t="shared" si="0"/>
        <v>6</v>
      </c>
      <c r="AV24" s="180">
        <f t="shared" si="1"/>
        <v>8</v>
      </c>
      <c r="AX24" s="33">
        <f t="array" ref="AX24">INDEX(班別參數!$D$4:$D$20,ROW()-7,MATCH($AX$8,班別參數!$D$4:$D$20,0))</f>
        <v>0</v>
      </c>
      <c r="AY24" s="43" t="str">
        <f t="array" ref="AY24">IFERROR(INDEX(班別參數!$D$4:$S$20,MATCH(AX24,班別參數!$D$4:$D$20,0),MATCH($AX$5,班別參數!$D$4:$S$4,0)),"")</f>
        <v/>
      </c>
      <c r="AZ24" s="24"/>
      <c r="BA24" s="28"/>
      <c r="BB24" s="33"/>
      <c r="BC24" s="25"/>
      <c r="BE24" s="127"/>
    </row>
    <row r="25" spans="2:57" ht="30" customHeight="1">
      <c r="B25" s="81" t="s">
        <v>88</v>
      </c>
      <c r="C25" s="87">
        <f>_xlfn.XLOOKUP(_xlfn.XLOOKUP($AT$6&amp;$B25,公表[班別+時段],公表[值班],""),$AY$9:$AY$25,$AZ$9:$AZ$25,"")</f>
        <v>15</v>
      </c>
      <c r="D25" s="95"/>
      <c r="E25" s="95"/>
      <c r="F25" s="95"/>
      <c r="G25" s="95"/>
      <c r="H25" s="122">
        <v>6</v>
      </c>
      <c r="I25" s="37"/>
      <c r="J25" s="92">
        <f>_xlfn.XLOOKUP(_xlfn.XLOOKUP($AT$6&amp;$B25,公表[班別+時段],公表[救護1],""),$AY$9:$AY$25,$AZ$9:$AZ$25,"")</f>
        <v>11</v>
      </c>
      <c r="K25" s="92">
        <f>_xlfn.XLOOKUP(_xlfn.XLOOKUP($AT$6&amp;$B25,公表[班別+時段],公表[救護2],""),$AY$9:$AY$25,$AZ$9:$AZ$25,"")</f>
        <v>7</v>
      </c>
      <c r="L25" s="87"/>
      <c r="M25" s="87" t="s">
        <v>212</v>
      </c>
      <c r="N25" s="312"/>
      <c r="O25" s="87">
        <f>_xlfn.XLOOKUP(_xlfn.XLOOKUP($AT$6&amp;$B25,公表[班別+時段],公表[備勤1],""),$AY$9:$AY$25,$AZ$9:$AZ$25,"")</f>
        <v>12</v>
      </c>
      <c r="P25" s="87">
        <f>_xlfn.XLOOKUP(_xlfn.XLOOKUP($AT$6&amp;$B25,公表[班別+時段],公表[備勤2],""),$AY$9:$AY$25,$AZ$9:$AZ$25,"")</f>
        <v>10</v>
      </c>
      <c r="Q25" s="87"/>
      <c r="R25" s="87">
        <f>_xlfn.XLOOKUP(_xlfn.XLOOKUP($AT$6&amp;$B25,公表[班別+時段],公表[備勤3],""),$AY$9:$AY$25,$AZ$9:$AZ$25,"")</f>
        <v>16</v>
      </c>
      <c r="S25" s="87"/>
      <c r="T25" s="87"/>
      <c r="U25" s="87">
        <f>_xlfn.XLOOKUP(_xlfn.XLOOKUP($AT$6&amp;$B25,公表[班別+時段],公表[備勤5],""),$AY$9:$AY$25,$AZ$9:$AZ$25,"")</f>
        <v>5</v>
      </c>
      <c r="V25" s="87">
        <f>_xlfn.XLOOKUP(_xlfn.XLOOKUP($AT$6&amp;$B25,公表[班別+時段],公表[備勤6],""),$AY$9:$AY$25,$AZ$9:$AZ$25,"")</f>
        <v>0</v>
      </c>
      <c r="W25" s="87"/>
      <c r="X25" s="87">
        <f>_xlfn.XLOOKUP(_xlfn.XLOOKUP($AT$6&amp;$B25,公表[班別+時段],公表[備勤7],""),$AY$9:$AY$25,$AZ$9:$AZ$25,"")</f>
        <v>0</v>
      </c>
      <c r="Y25" s="87">
        <f>_xlfn.XLOOKUP(_xlfn.XLOOKUP($AT$6&amp;$B25,公表[班別+時段],公表[備勤8],""),$AY$9:$AY$25,$AZ$9:$AZ$25,"")</f>
        <v>0</v>
      </c>
      <c r="Z25" s="87"/>
      <c r="AA25" s="87"/>
      <c r="AB25" s="87"/>
      <c r="AC25" s="87"/>
      <c r="AD25" s="87"/>
      <c r="AE25" s="87"/>
      <c r="AF25" s="88">
        <f>_xlfn.XLOOKUP(_xlfn.XLOOKUP($AT$6&amp;$B25,公表[班別+時段],公表[指揮官],""),$AY$9:$AY$25,$AZ$9:$AZ$25,"")</f>
        <v>2</v>
      </c>
      <c r="AG25" s="57" t="s">
        <v>28</v>
      </c>
      <c r="AH25" s="305" t="str" cm="1">
        <f t="array" ref="AH25">_xlfn.TEXTJOIN(".",1,_xlfn._xlws.FILTER($AP$9:$AP$40,$AR$9:$AR$40=$AG$25,""))</f>
        <v>1.13</v>
      </c>
      <c r="AI25" s="306"/>
      <c r="AJ25" s="307"/>
      <c r="AK25" s="50" t="s">
        <v>44</v>
      </c>
      <c r="AL25" s="308" t="str" cm="1">
        <f t="array" ref="AL25">_xlfn.TEXTJOIN(".",1,_xlfn._xlws.FILTER($AP$9:$AP$40,$AR$9:$AR$40=$AK$25,""))</f>
        <v>20.22</v>
      </c>
      <c r="AM25" s="309"/>
      <c r="AN25" s="310"/>
      <c r="AO25" s="214"/>
      <c r="AP25" s="127">
        <v>17</v>
      </c>
      <c r="AQ25" s="127" t="str">
        <v>楊仲豪</v>
      </c>
      <c r="AR25" s="127" t="str" cm="1">
        <f t="array" ref="AR25">IFERROR(_xlfn.XLOOKUP(_xlfn.XLOOKUP($AR$3,輪休基準表!$C$6:$C$36,_xlfn.XLOOKUP(AQ25,輪休基準表!$E$5:$AF$5,輪休基準表!$E$6:$AF$36,""),""),班別參數!$A$4:$A$20,班別參數!$B$4:$B$20,""),"")</f>
        <v>輪休</v>
      </c>
      <c r="AS25" s="120" t="str" cm="1">
        <f t="array" ref="AS25">_xlfn.LET(
    _xlpm.番號, COUNTIF($AZ$9:$AZ$24, $AP25),
    _xlpm.已排, _xlpm.番號 &gt; 0,
    _xlpm.上班, (AR25="上班"),
    _xlfn.IFS(
        _xlpm.番號 &gt; 1, "重複",
        AND(_xlpm.上班, NOT(_xlpm.已排)), "未排",
        AND(NOT(_xlpm.上班),_xlpm.已排), "沒上班",
        _xlpm.已排, "已排",
        TRUE, ""
    )
)</f>
        <v/>
      </c>
      <c r="AT25" s="170" t="str" cm="1">
        <f t="array" ref="AT25">IF(AR25="上班",
    IF(SUMPRODUCT(--ISNUMBER(SEARCH(","&amp;AP25&amp;",", ","&amp;$H$10:$H$33&amp;",")))&gt;=2, "已排",
        IF(SUMPRODUCT(--ISNUMBER(SEARCH(","&amp;AP25&amp;",", ","&amp;$H$10:$H$33&amp;",")))=1, "缺1小時", "未排")
    ),
    IF(SUMPRODUCT(--ISNUMBER(SEARCH(","&amp;AP25&amp;",", ","&amp;$H$10:$H$33&amp;",")))&gt;0, "沒上班", "")
)</f>
        <v/>
      </c>
      <c r="AU25" s="180" t="str">
        <f t="shared" si="0"/>
        <v/>
      </c>
      <c r="AV25" s="180" t="str">
        <f t="shared" si="1"/>
        <v/>
      </c>
      <c r="AX25" s="33"/>
      <c r="AY25" s="45"/>
      <c r="AZ25" s="25"/>
      <c r="BA25" s="28"/>
      <c r="BB25" s="33"/>
      <c r="BC25" s="25"/>
      <c r="BE25" s="127"/>
    </row>
    <row r="26" spans="2:57" ht="30" customHeight="1">
      <c r="B26" s="81" t="s">
        <v>89</v>
      </c>
      <c r="C26" s="87">
        <f>_xlfn.XLOOKUP(_xlfn.XLOOKUP($AT$6&amp;$B26,公表[班別+時段],公表[值班],""),$AY$9:$AY$25,$AZ$9:$AZ$25,"")</f>
        <v>15</v>
      </c>
      <c r="D26" s="95"/>
      <c r="E26" s="95"/>
      <c r="F26" s="95"/>
      <c r="G26" s="95"/>
      <c r="H26" s="122">
        <v>2</v>
      </c>
      <c r="I26" s="37"/>
      <c r="J26" s="92">
        <f>_xlfn.XLOOKUP(_xlfn.XLOOKUP($AT$6&amp;$B26,公表[班別+時段],公表[救護1],""),$AY$9:$AY$25,$AZ$9:$AZ$25,"")</f>
        <v>16</v>
      </c>
      <c r="K26" s="92">
        <f>_xlfn.XLOOKUP(_xlfn.XLOOKUP($AT$6&amp;$B26,公表[班別+時段],公表[救護2],""),$AY$9:$AY$25,$AZ$9:$AZ$25,"")</f>
        <v>12</v>
      </c>
      <c r="L26" s="87"/>
      <c r="M26" s="87" t="s">
        <v>212</v>
      </c>
      <c r="N26" s="312"/>
      <c r="O26" s="87">
        <f>_xlfn.XLOOKUP(_xlfn.XLOOKUP($AT$6&amp;$B26,公表[班別+時段],公表[備勤1],""),$AY$9:$AY$25,$AZ$9:$AZ$25,"")</f>
        <v>10</v>
      </c>
      <c r="P26" s="87">
        <f>_xlfn.XLOOKUP(_xlfn.XLOOKUP($AT$6&amp;$B26,公表[班別+時段],公表[備勤2],""),$AY$9:$AY$25,$AZ$9:$AZ$25,"")</f>
        <v>11</v>
      </c>
      <c r="Q26" s="87"/>
      <c r="R26" s="87">
        <f>_xlfn.XLOOKUP(_xlfn.XLOOKUP($AT$6&amp;$B26,公表[班別+時段],公表[備勤3],""),$AY$9:$AY$25,$AZ$9:$AZ$25,"")</f>
        <v>6</v>
      </c>
      <c r="S26" s="87">
        <f>_xlfn.XLOOKUP(_xlfn.XLOOKUP($AT$6&amp;$B26,公表[班別+時段],公表[備勤4],""),$AY$9:$AY$25,$AZ$9:$AZ$25,"")</f>
        <v>7</v>
      </c>
      <c r="T26" s="87"/>
      <c r="U26" s="87"/>
      <c r="V26" s="87">
        <f>_xlfn.XLOOKUP(_xlfn.XLOOKUP($AT$6&amp;$B26,公表[班別+時段],公表[備勤6],""),$AY$9:$AY$25,$AZ$9:$AZ$25,"")</f>
        <v>0</v>
      </c>
      <c r="W26" s="87"/>
      <c r="X26" s="87">
        <f>_xlfn.XLOOKUP(_xlfn.XLOOKUP($AT$6&amp;$B26,公表[班別+時段],公表[備勤7],""),$AY$9:$AY$25,$AZ$9:$AZ$25,"")</f>
        <v>0</v>
      </c>
      <c r="Y26" s="87">
        <f>_xlfn.XLOOKUP(_xlfn.XLOOKUP($AT$6&amp;$B26,公表[班別+時段],公表[備勤8],""),$AY$9:$AY$25,$AZ$9:$AZ$25,"")</f>
        <v>0</v>
      </c>
      <c r="Z26" s="87"/>
      <c r="AA26" s="87"/>
      <c r="AB26" s="87"/>
      <c r="AC26" s="87"/>
      <c r="AD26" s="87"/>
      <c r="AE26" s="87"/>
      <c r="AF26" s="88">
        <v>5</v>
      </c>
      <c r="AG26" s="57" t="s">
        <v>289</v>
      </c>
      <c r="AH26" s="178" t="str" cm="1">
        <f t="array" ref="AH26">_xlfn.TEXTJOIN(".",1,_xlfn._xlws.FILTER($AP$9:$AP$40,$AR$9:$AR$40=$AG$26,""))</f>
        <v/>
      </c>
      <c r="AI26" s="168" t="s">
        <v>290</v>
      </c>
      <c r="AJ26" s="179" t="str" cm="1">
        <f t="array" ref="AJ26">_xlfn.TEXTJOIN(".",1,_xlfn._xlws.FILTER($AP$9:$AP$40,$AR$9:$AR$40=$AI$26,""))</f>
        <v/>
      </c>
      <c r="AK26" s="169" t="s">
        <v>287</v>
      </c>
      <c r="AL26" s="171" t="str" cm="1">
        <f t="array" ref="AL26">_xlfn.TEXTJOIN(".",1,_xlfn._xlws.FILTER($AP$9:$AP$40,$AR$9:$AR$40=$AK$26,""))</f>
        <v/>
      </c>
      <c r="AM26" s="169" t="s">
        <v>291</v>
      </c>
      <c r="AN26" s="172" t="str" cm="1">
        <f t="array" ref="AN26">_xlfn.TEXTJOIN(".",1,_xlfn._xlws.FILTER($AP$9:$AP$40,$AR$9:$AR$40=$AM$26,""))</f>
        <v/>
      </c>
      <c r="AO26" s="214"/>
      <c r="AP26" s="127">
        <v>18</v>
      </c>
      <c r="AQ26" s="127" t="str">
        <v>林志偉</v>
      </c>
      <c r="AR26" s="127" t="str" cm="1">
        <f t="array" ref="AR26">IFERROR(_xlfn.XLOOKUP(_xlfn.XLOOKUP($AR$3,輪休基準表!$C$6:$C$36,_xlfn.XLOOKUP(AQ26,輪休基準表!$E$5:$AF$5,輪休基準表!$E$6:$AF$36,""),""),班別參數!$A$4:$A$20,班別參數!$B$4:$B$20,""),"")</f>
        <v>輪休</v>
      </c>
      <c r="AS26" s="120" t="str" cm="1">
        <f t="array" ref="AS26">_xlfn.LET(
    _xlpm.番號, COUNTIF($AZ$9:$AZ$24, $AP26),
    _xlpm.已排, _xlpm.番號 &gt; 0,
    _xlpm.上班, (AR26="上班"),
    _xlfn.IFS(
        _xlpm.番號 &gt; 1, "重複",
        AND(_xlpm.上班, NOT(_xlpm.已排)), "未排",
        AND(NOT(_xlpm.上班),_xlpm.已排), "沒上班",
        _xlpm.已排, "已排",
        TRUE, ""
    )
)</f>
        <v/>
      </c>
      <c r="AT26" s="170" t="str" cm="1">
        <f t="array" ref="AT26">IF(AR26="上班",
    IF(SUMPRODUCT(--ISNUMBER(SEARCH(","&amp;AP26&amp;",", ","&amp;$H$10:$H$33&amp;",")))&gt;=2, "已排",
        IF(SUMPRODUCT(--ISNUMBER(SEARCH(","&amp;AP26&amp;",", ","&amp;$H$10:$H$33&amp;",")))=1, "缺1小時", "未排")
    ),
    IF(SUMPRODUCT(--ISNUMBER(SEARCH(","&amp;AP26&amp;",", ","&amp;$H$10:$H$33&amp;",")))&gt;0, "沒上班", "")
)</f>
        <v/>
      </c>
      <c r="AU26" s="180" t="str">
        <f t="shared" si="0"/>
        <v/>
      </c>
      <c r="AV26" s="180" t="str">
        <f t="shared" si="1"/>
        <v/>
      </c>
      <c r="AW26" s="10"/>
      <c r="AX26" s="46"/>
      <c r="AY26" s="45"/>
      <c r="AZ26" s="25"/>
      <c r="BA26" s="28"/>
      <c r="BB26" s="33"/>
      <c r="BC26" s="25"/>
      <c r="BE26" s="127"/>
    </row>
    <row r="27" spans="2:57" ht="30" customHeight="1">
      <c r="B27" s="81" t="s">
        <v>90</v>
      </c>
      <c r="C27" s="87">
        <f>_xlfn.XLOOKUP(_xlfn.XLOOKUP($AT$6&amp;$B27,公表[班別+時段],公表[值班],""),$AY$9:$AY$25,$AZ$9:$AZ$25,"")</f>
        <v>15</v>
      </c>
      <c r="D27" s="95"/>
      <c r="E27" s="95"/>
      <c r="F27" s="95"/>
      <c r="G27" s="95"/>
      <c r="H27" s="122">
        <v>2</v>
      </c>
      <c r="I27" s="37"/>
      <c r="J27" s="92">
        <f>_xlfn.XLOOKUP(_xlfn.XLOOKUP($AT$6&amp;$B27,公表[班別+時段],公表[救護1],""),$AY$9:$AY$25,$AZ$9:$AZ$25,"")</f>
        <v>16</v>
      </c>
      <c r="K27" s="92">
        <f>_xlfn.XLOOKUP(_xlfn.XLOOKUP($AT$6&amp;$B27,公表[班別+時段],公表[救護2],""),$AY$9:$AY$25,$AZ$9:$AZ$25,"")</f>
        <v>12</v>
      </c>
      <c r="L27" s="87"/>
      <c r="M27" s="87" t="s">
        <v>212</v>
      </c>
      <c r="N27" s="312"/>
      <c r="O27" s="87">
        <f>_xlfn.XLOOKUP(_xlfn.XLOOKUP($AT$6&amp;$B27,公表[班別+時段],公表[備勤1],""),$AY$9:$AY$25,$AZ$9:$AZ$25,"")</f>
        <v>10</v>
      </c>
      <c r="P27" s="87">
        <f>_xlfn.XLOOKUP(_xlfn.XLOOKUP($AT$6&amp;$B27,公表[班別+時段],公表[備勤2],""),$AY$9:$AY$25,$AZ$9:$AZ$25,"")</f>
        <v>11</v>
      </c>
      <c r="Q27" s="87"/>
      <c r="R27" s="87">
        <f>_xlfn.XLOOKUP(_xlfn.XLOOKUP($AT$6&amp;$B27,公表[班別+時段],公表[備勤3],""),$AY$9:$AY$25,$AZ$9:$AZ$25,"")</f>
        <v>6</v>
      </c>
      <c r="S27" s="87">
        <f>_xlfn.XLOOKUP(_xlfn.XLOOKUP($AT$6&amp;$B27,公表[班別+時段],公表[備勤4],""),$AY$9:$AY$25,$AZ$9:$AZ$25,"")</f>
        <v>7</v>
      </c>
      <c r="T27" s="87"/>
      <c r="U27" s="87"/>
      <c r="V27" s="87">
        <f>_xlfn.XLOOKUP(_xlfn.XLOOKUP($AT$6&amp;$B27,公表[班別+時段],公表[備勤6],""),$AY$9:$AY$25,$AZ$9:$AZ$25,"")</f>
        <v>0</v>
      </c>
      <c r="W27" s="87"/>
      <c r="X27" s="87">
        <f>_xlfn.XLOOKUP(_xlfn.XLOOKUP($AT$6&amp;$B27,公表[班別+時段],公表[備勤7],""),$AY$9:$AY$25,$AZ$9:$AZ$25,"")</f>
        <v>0</v>
      </c>
      <c r="Y27" s="87">
        <f>_xlfn.XLOOKUP(_xlfn.XLOOKUP($AT$6&amp;$B27,公表[班別+時段],公表[備勤8],""),$AY$9:$AY$25,$AZ$9:$AZ$25,"")</f>
        <v>0</v>
      </c>
      <c r="Z27" s="87"/>
      <c r="AA27" s="87"/>
      <c r="AB27" s="87"/>
      <c r="AC27" s="87"/>
      <c r="AD27" s="87"/>
      <c r="AE27" s="87"/>
      <c r="AF27" s="88">
        <v>5</v>
      </c>
      <c r="AG27" s="317" t="s">
        <v>215</v>
      </c>
      <c r="AH27" s="319"/>
      <c r="AI27" s="321"/>
      <c r="AJ27" s="321"/>
      <c r="AK27" s="321"/>
      <c r="AL27" s="321"/>
      <c r="AM27" s="321"/>
      <c r="AN27" s="322"/>
      <c r="AO27" s="214"/>
      <c r="AP27" s="127">
        <v>19</v>
      </c>
      <c r="AQ27" s="127" t="str">
        <v>劉家誠</v>
      </c>
      <c r="AR27" s="127" t="str" cm="1">
        <f t="array" ref="AR27">IFERROR(_xlfn.XLOOKUP(_xlfn.XLOOKUP($AR$3,輪休基準表!$C$6:$C$36,_xlfn.XLOOKUP(AQ27,輪休基準表!$E$5:$AF$5,輪休基準表!$E$6:$AF$36,""),""),班別參數!$A$4:$A$20,班別參數!$B$4:$B$20,""),"")</f>
        <v>輪休</v>
      </c>
      <c r="AS27" s="120" t="str" cm="1">
        <f t="array" ref="AS27">_xlfn.LET(
    _xlpm.番號, COUNTIF($AZ$9:$AZ$24, $AP27),
    _xlpm.已排, _xlpm.番號 &gt; 0,
    _xlpm.上班, (AR27="上班"),
    _xlfn.IFS(
        _xlpm.番號 &gt; 1, "重複",
        AND(_xlpm.上班, NOT(_xlpm.已排)), "未排",
        AND(NOT(_xlpm.上班),_xlpm.已排), "沒上班",
        _xlpm.已排, "已排",
        TRUE, ""
    )
)</f>
        <v/>
      </c>
      <c r="AT27" s="170" t="str" cm="1">
        <f t="array" ref="AT27">IF(AR27="上班",
    IF(SUMPRODUCT(--ISNUMBER(SEARCH(","&amp;AP27&amp;",", ","&amp;$H$10:$H$33&amp;",")))&gt;=2, "已排",
        IF(SUMPRODUCT(--ISNUMBER(SEARCH(","&amp;AP27&amp;",", ","&amp;$H$10:$H$33&amp;",")))=1, "缺1小時", "未排")
    ),
    IF(SUMPRODUCT(--ISNUMBER(SEARCH(","&amp;AP27&amp;",", ","&amp;$H$10:$H$33&amp;",")))&gt;0, "沒上班", "")
)</f>
        <v/>
      </c>
      <c r="AU27" s="180" t="str">
        <f t="shared" si="0"/>
        <v/>
      </c>
      <c r="AV27" s="180" t="str">
        <f t="shared" si="1"/>
        <v/>
      </c>
      <c r="AW27" s="10"/>
      <c r="AX27" s="46"/>
      <c r="AY27" s="45"/>
      <c r="AZ27" s="25"/>
      <c r="BA27" s="28"/>
      <c r="BB27" s="33"/>
      <c r="BC27" s="25"/>
      <c r="BE27" s="127"/>
    </row>
    <row r="28" spans="2:57" ht="30" customHeight="1">
      <c r="B28" s="81" t="s">
        <v>91</v>
      </c>
      <c r="C28" s="87">
        <f>_xlfn.XLOOKUP(_xlfn.XLOOKUP($AT$6&amp;$B28,公表[班別+時段],公表[值班],""),$AY$9:$AY$25,$AZ$9:$AZ$25,"")</f>
        <v>15</v>
      </c>
      <c r="D28" s="95"/>
      <c r="E28" s="95"/>
      <c r="F28" s="95"/>
      <c r="G28" s="95"/>
      <c r="H28" s="122" t="str">
        <f>IF(BD18="","",BD18)</f>
        <v/>
      </c>
      <c r="I28" s="37"/>
      <c r="J28" s="92">
        <f>_xlfn.XLOOKUP(_xlfn.XLOOKUP($AT$6&amp;$B28,公表[班別+時段],公表[救護1],""),$AY$9:$AY$25,$AZ$9:$AZ$25,"")</f>
        <v>16</v>
      </c>
      <c r="K28" s="92">
        <f>_xlfn.XLOOKUP(_xlfn.XLOOKUP($AT$6&amp;$B28,公表[班別+時段],公表[救護2],""),$AY$9:$AY$25,$AZ$9:$AZ$25,"")</f>
        <v>12</v>
      </c>
      <c r="L28" s="87"/>
      <c r="M28" s="87" t="s">
        <v>212</v>
      </c>
      <c r="N28" s="312"/>
      <c r="O28" s="87">
        <f>_xlfn.XLOOKUP(_xlfn.XLOOKUP($AT$6&amp;$B28,公表[班別+時段],公表[備勤1],""),$AY$9:$AY$25,$AZ$9:$AZ$25,"")</f>
        <v>7</v>
      </c>
      <c r="P28" s="87">
        <f>_xlfn.XLOOKUP(_xlfn.XLOOKUP($AT$6&amp;$B28,公表[班別+時段],公表[備勤2],""),$AY$9:$AY$25,$AZ$9:$AZ$25,"")</f>
        <v>6</v>
      </c>
      <c r="Q28" s="87"/>
      <c r="R28" s="87">
        <f>_xlfn.XLOOKUP(_xlfn.XLOOKUP($AT$6&amp;$B28,公表[班別+時段],公表[備勤3],""),$AY$9:$AY$25,$AZ$9:$AZ$25,"")</f>
        <v>10</v>
      </c>
      <c r="S28" s="87">
        <f>_xlfn.XLOOKUP(_xlfn.XLOOKUP($AT$6&amp;$B28,公表[班別+時段],公表[備勤4],""),$AY$9:$AY$25,$AZ$9:$AZ$25,"")</f>
        <v>11</v>
      </c>
      <c r="T28" s="87"/>
      <c r="U28" s="87">
        <f>_xlfn.XLOOKUP(_xlfn.XLOOKUP($AT$6&amp;$B28,公表[班別+時段],公表[備勤5],""),$AY$9:$AY$25,$AZ$9:$AZ$25,"")</f>
        <v>5</v>
      </c>
      <c r="V28" s="87">
        <f>_xlfn.XLOOKUP(_xlfn.XLOOKUP($AT$6&amp;$B28,公表[班別+時段],公表[備勤6],""),$AY$9:$AY$25,$AZ$9:$AZ$25,"")</f>
        <v>0</v>
      </c>
      <c r="W28" s="87"/>
      <c r="X28" s="87">
        <f>_xlfn.XLOOKUP(_xlfn.XLOOKUP($AT$6&amp;$B28,公表[班別+時段],公表[備勤7],""),$AY$9:$AY$25,$AZ$9:$AZ$25,"")</f>
        <v>0</v>
      </c>
      <c r="Y28" s="87">
        <f>_xlfn.XLOOKUP(_xlfn.XLOOKUP($AT$6&amp;$B28,公表[班別+時段],公表[備勤8],""),$AY$9:$AY$25,$AZ$9:$AZ$25,"")</f>
        <v>0</v>
      </c>
      <c r="Z28" s="87"/>
      <c r="AA28" s="87"/>
      <c r="AB28" s="87"/>
      <c r="AC28" s="87"/>
      <c r="AD28" s="87"/>
      <c r="AE28" s="87"/>
      <c r="AF28" s="88">
        <f>_xlfn.XLOOKUP(_xlfn.XLOOKUP($AT$6&amp;$B28,公表[班別+時段],公表[指揮官],""),$AY$9:$AY$25,$AZ$9:$AZ$25,"")</f>
        <v>2</v>
      </c>
      <c r="AG28" s="318"/>
      <c r="AH28" s="319"/>
      <c r="AI28" s="321"/>
      <c r="AJ28" s="321"/>
      <c r="AK28" s="321"/>
      <c r="AL28" s="321"/>
      <c r="AM28" s="321"/>
      <c r="AN28" s="322"/>
      <c r="AO28" s="214"/>
      <c r="AP28" s="127">
        <v>20</v>
      </c>
      <c r="AQ28" s="127" t="str">
        <v>呂奇霈</v>
      </c>
      <c r="AR28" s="127" t="str" cm="1">
        <f t="array" ref="AR28">IFERROR(_xlfn.XLOOKUP(_xlfn.XLOOKUP($AR$3,輪休基準表!$C$6:$C$36,_xlfn.XLOOKUP(AQ28,輪休基準表!$E$5:$AF$5,輪休基準表!$E$6:$AF$36,""),""),班別參數!$A$4:$A$20,班別參數!$B$4:$B$20,""),"")</f>
        <v>公假</v>
      </c>
      <c r="AS28" s="120" t="str" cm="1">
        <f t="array" ref="AS28">_xlfn.LET(
    _xlpm.番號, COUNTIF($AZ$9:$AZ$24, $AP28),
    _xlpm.已排, _xlpm.番號 &gt; 0,
    _xlpm.上班, (AR28="上班"),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T28" s="170" t="str" cm="1">
        <f t="array" ref="AT28">IF(AR28="上班",
    IF(SUMPRODUCT(--ISNUMBER(SEARCH(","&amp;AP28&amp;",", ","&amp;$H$10:$H$33&amp;",")))&gt;=2, "已排",
        IF(SUMPRODUCT(--ISNUMBER(SEARCH(","&amp;AP28&amp;",", ","&amp;$H$10:$H$33&amp;",")))=1, "缺1小時", "未排")
    ),
    IF(SUMPRODUCT(--ISNUMBER(SEARCH(","&amp;AP28&amp;",", ","&amp;$H$10:$H$33&amp;",")))&gt;0, "沒上班", "")
)</f>
        <v/>
      </c>
      <c r="AU28" s="180" t="str">
        <f t="shared" si="0"/>
        <v/>
      </c>
      <c r="AV28" s="180" t="str">
        <f t="shared" si="1"/>
        <v/>
      </c>
      <c r="AW28" s="10"/>
      <c r="AX28" s="47"/>
      <c r="AY28" s="45"/>
      <c r="AZ28" s="25"/>
      <c r="BA28" s="28"/>
      <c r="BB28" s="33"/>
      <c r="BC28" s="25"/>
      <c r="BE28" s="127"/>
    </row>
    <row r="29" spans="2:57" ht="30" customHeight="1">
      <c r="B29" s="81" t="s">
        <v>92</v>
      </c>
      <c r="C29" s="87">
        <f>_xlfn.XLOOKUP(_xlfn.XLOOKUP($AT$6&amp;$B29,公表[班別+時段],公表[值班],""),$AY$9:$AY$25,$AZ$9:$AZ$25,"")</f>
        <v>15</v>
      </c>
      <c r="D29" s="95"/>
      <c r="E29" s="95"/>
      <c r="F29" s="95"/>
      <c r="G29" s="95"/>
      <c r="H29" s="122" t="str">
        <f>IF(BD18="","",BD18)</f>
        <v/>
      </c>
      <c r="I29" s="37"/>
      <c r="J29" s="92">
        <f>_xlfn.XLOOKUP(_xlfn.XLOOKUP($AT$6&amp;$B29,公表[班別+時段],公表[救護1],""),$AY$9:$AY$25,$AZ$9:$AZ$25,"")</f>
        <v>16</v>
      </c>
      <c r="K29" s="92">
        <f>_xlfn.XLOOKUP(_xlfn.XLOOKUP($AT$6&amp;$B29,公表[班別+時段],公表[救護2],""),$AY$9:$AY$25,$AZ$9:$AZ$25,"")</f>
        <v>12</v>
      </c>
      <c r="L29" s="87"/>
      <c r="M29" s="87" t="s">
        <v>212</v>
      </c>
      <c r="N29" s="312"/>
      <c r="O29" s="87">
        <f>_xlfn.XLOOKUP(_xlfn.XLOOKUP($AT$6&amp;$B29,公表[班別+時段],公表[備勤1],""),$AY$9:$AY$25,$AZ$9:$AZ$25,"")</f>
        <v>7</v>
      </c>
      <c r="P29" s="87">
        <f>_xlfn.XLOOKUP(_xlfn.XLOOKUP($AT$6&amp;$B29,公表[班別+時段],公表[備勤2],""),$AY$9:$AY$25,$AZ$9:$AZ$25,"")</f>
        <v>6</v>
      </c>
      <c r="Q29" s="87"/>
      <c r="R29" s="87">
        <f>_xlfn.XLOOKUP(_xlfn.XLOOKUP($AT$6&amp;$B29,公表[班別+時段],公表[備勤3],""),$AY$9:$AY$25,$AZ$9:$AZ$25,"")</f>
        <v>10</v>
      </c>
      <c r="S29" s="87">
        <f>_xlfn.XLOOKUP(_xlfn.XLOOKUP($AT$6&amp;$B29,公表[班別+時段],公表[備勤4],""),$AY$9:$AY$25,$AZ$9:$AZ$25,"")</f>
        <v>11</v>
      </c>
      <c r="T29" s="87"/>
      <c r="U29" s="87">
        <f>_xlfn.XLOOKUP(_xlfn.XLOOKUP($AT$6&amp;$B29,公表[班別+時段],公表[備勤5],""),$AY$9:$AY$25,$AZ$9:$AZ$25,"")</f>
        <v>5</v>
      </c>
      <c r="V29" s="87">
        <f>_xlfn.XLOOKUP(_xlfn.XLOOKUP($AT$6&amp;$B29,公表[班別+時段],公表[備勤6],""),$AY$9:$AY$25,$AZ$9:$AZ$25,"")</f>
        <v>0</v>
      </c>
      <c r="W29" s="87"/>
      <c r="X29" s="87">
        <f>_xlfn.XLOOKUP(_xlfn.XLOOKUP($AT$6&amp;$B29,公表[班別+時段],公表[備勤7],""),$AY$9:$AY$25,$AZ$9:$AZ$25,"")</f>
        <v>0</v>
      </c>
      <c r="Y29" s="87">
        <f>_xlfn.XLOOKUP(_xlfn.XLOOKUP($AT$6&amp;$B29,公表[班別+時段],公表[備勤8],""),$AY$9:$AY$25,$AZ$9:$AZ$25,"")</f>
        <v>0</v>
      </c>
      <c r="Z29" s="87"/>
      <c r="AA29" s="87"/>
      <c r="AB29" s="87"/>
      <c r="AC29" s="87"/>
      <c r="AD29" s="87"/>
      <c r="AE29" s="87"/>
      <c r="AF29" s="88">
        <f>_xlfn.XLOOKUP(_xlfn.XLOOKUP($AT$6&amp;$B29,公表[班別+時段],公表[指揮官],""),$AY$9:$AY$25,$AZ$9:$AZ$25,"")</f>
        <v>2</v>
      </c>
      <c r="AG29" s="323" t="s">
        <v>216</v>
      </c>
      <c r="AH29" s="324"/>
      <c r="AI29" s="324"/>
      <c r="AJ29" s="324"/>
      <c r="AK29" s="324"/>
      <c r="AL29" s="324"/>
      <c r="AM29" s="324"/>
      <c r="AN29" s="325"/>
      <c r="AO29" s="214"/>
      <c r="AP29" s="127">
        <v>21</v>
      </c>
      <c r="AQ29" s="127" t="str">
        <v>張家和</v>
      </c>
      <c r="AR29" s="127" t="str" cm="1">
        <f t="array" ref="AR29">IFERROR(_xlfn.XLOOKUP(_xlfn.XLOOKUP($AR$3,輪休基準表!$C$6:$C$36,_xlfn.XLOOKUP(AQ29,輪休基準表!$E$5:$AF$5,輪休基準表!$E$6:$AF$36,""),""),班別參數!$A$4:$A$20,班別參數!$B$4:$B$20,""),"")</f>
        <v>輪休</v>
      </c>
      <c r="AS29" s="120" t="str" cm="1">
        <f t="array" ref="AS29">_xlfn.LET(
    _xlpm.番號, COUNTIF($AZ$9:$AZ$24, $AP29),
    _xlpm.已排, _xlpm.番號 &gt; 0,
    _xlpm.上班, (AR29="上班"),
    _xlfn.IFS(
        _xlpm.番號 &gt; 1, "重複",
        AND(_xlpm.上班, NOT(_xlpm.已排)), "未排",
        AND(NOT(_xlpm.上班),_xlpm.已排), "沒上班",
        _xlpm.已排, "已排",
        TRUE, ""
    )
)</f>
        <v/>
      </c>
      <c r="AT29" s="170" t="str" cm="1">
        <f t="array" ref="AT29">IF(AR29="上班",
    IF(SUMPRODUCT(--ISNUMBER(SEARCH(","&amp;AP29&amp;",", ","&amp;$H$10:$H$33&amp;",")))&gt;=2, "已排",
        IF(SUMPRODUCT(--ISNUMBER(SEARCH(","&amp;AP29&amp;",", ","&amp;$H$10:$H$33&amp;",")))=1, "缺1小時", "未排")
    ),
    IF(SUMPRODUCT(--ISNUMBER(SEARCH(","&amp;AP29&amp;",", ","&amp;$H$10:$H$33&amp;",")))&gt;0, "沒上班", "")
)</f>
        <v/>
      </c>
      <c r="AU29" s="180" t="str">
        <f t="shared" si="0"/>
        <v/>
      </c>
      <c r="AV29" s="180" t="str">
        <f t="shared" si="1"/>
        <v/>
      </c>
      <c r="AW29" s="10"/>
      <c r="AX29" s="47"/>
      <c r="AY29" s="45"/>
      <c r="AZ29" s="25"/>
      <c r="BA29" s="28"/>
      <c r="BB29" s="33"/>
      <c r="BC29" s="25"/>
      <c r="BE29" s="127"/>
    </row>
    <row r="30" spans="2:57" ht="30" customHeight="1">
      <c r="B30" s="81" t="s">
        <v>93</v>
      </c>
      <c r="C30" s="87">
        <f>_xlfn.XLOOKUP(_xlfn.XLOOKUP($AT$6&amp;$B30,公表[班別+時段],公表[值班],""),$AY$9:$AY$25,$AZ$9:$AZ$25,"")</f>
        <v>15</v>
      </c>
      <c r="D30" s="95"/>
      <c r="E30" s="95"/>
      <c r="F30" s="95"/>
      <c r="G30" s="95"/>
      <c r="H30" s="122" t="str">
        <f>IF(BD19="","",BD19)</f>
        <v/>
      </c>
      <c r="I30" s="37"/>
      <c r="J30" s="92">
        <f>_xlfn.XLOOKUP(_xlfn.XLOOKUP($AT$6&amp;$B30,公表[班別+時段],公表[救護1],""),$AY$9:$AY$25,$AZ$9:$AZ$25,"")</f>
        <v>7</v>
      </c>
      <c r="K30" s="92">
        <f>_xlfn.XLOOKUP(_xlfn.XLOOKUP($AT$6&amp;$B30,公表[班別+時段],公表[救護2],""),$AY$9:$AY$25,$AZ$9:$AZ$25,"")</f>
        <v>6</v>
      </c>
      <c r="L30" s="87"/>
      <c r="M30" s="87" t="s">
        <v>212</v>
      </c>
      <c r="N30" s="312"/>
      <c r="O30" s="87">
        <f>_xlfn.XLOOKUP(_xlfn.XLOOKUP($AT$6&amp;$B30,公表[班別+時段],公表[備勤1],""),$AY$9:$AY$25,$AZ$9:$AZ$25,"")</f>
        <v>16</v>
      </c>
      <c r="P30" s="87">
        <f>_xlfn.XLOOKUP(_xlfn.XLOOKUP($AT$6&amp;$B30,公表[班別+時段],公表[備勤2],""),$AY$9:$AY$25,$AZ$9:$AZ$25,"")</f>
        <v>11</v>
      </c>
      <c r="Q30" s="87"/>
      <c r="R30" s="87">
        <f>_xlfn.XLOOKUP(_xlfn.XLOOKUP($AT$6&amp;$B30,公表[班別+時段],公表[備勤3],""),$AY$9:$AY$25,$AZ$9:$AZ$25,"")</f>
        <v>12</v>
      </c>
      <c r="S30" s="87">
        <f>_xlfn.XLOOKUP(_xlfn.XLOOKUP($AT$6&amp;$B30,公表[班別+時段],公表[備勤4],""),$AY$9:$AY$25,$AZ$9:$AZ$25,"")</f>
        <v>10</v>
      </c>
      <c r="T30" s="87"/>
      <c r="U30" s="87">
        <f>_xlfn.XLOOKUP(_xlfn.XLOOKUP($AT$6&amp;$B30,公表[班別+時段],公表[備勤5],""),$AY$9:$AY$25,$AZ$9:$AZ$25,"")</f>
        <v>5</v>
      </c>
      <c r="V30" s="87">
        <f>_xlfn.XLOOKUP(_xlfn.XLOOKUP($AT$6&amp;$B30,公表[班別+時段],公表[備勤6],""),$AY$9:$AY$25,$AZ$9:$AZ$25,"")</f>
        <v>0</v>
      </c>
      <c r="W30" s="87"/>
      <c r="X30" s="87">
        <f>_xlfn.XLOOKUP(_xlfn.XLOOKUP($AT$6&amp;$B30,公表[班別+時段],公表[備勤7],""),$AY$9:$AY$25,$AZ$9:$AZ$25,"")</f>
        <v>0</v>
      </c>
      <c r="Y30" s="87">
        <f>_xlfn.XLOOKUP(_xlfn.XLOOKUP($AT$6&amp;$B30,公表[班別+時段],公表[備勤8],""),$AY$9:$AY$25,$AZ$9:$AZ$25,"")</f>
        <v>0</v>
      </c>
      <c r="Z30" s="87"/>
      <c r="AA30" s="87"/>
      <c r="AB30" s="87"/>
      <c r="AC30" s="87"/>
      <c r="AD30" s="87"/>
      <c r="AE30" s="87"/>
      <c r="AF30" s="88">
        <f>_xlfn.XLOOKUP(_xlfn.XLOOKUP($AT$6&amp;$B30,公表[班別+時段],公表[指揮官],""),$AY$9:$AY$25,$AZ$9:$AZ$25,"")</f>
        <v>2</v>
      </c>
      <c r="AG30" s="323" t="s">
        <v>217</v>
      </c>
      <c r="AH30" s="327"/>
      <c r="AI30" s="326" t="s">
        <v>218</v>
      </c>
      <c r="AJ30" s="327"/>
      <c r="AK30" s="326" t="s">
        <v>219</v>
      </c>
      <c r="AL30" s="327"/>
      <c r="AM30" s="26" t="s">
        <v>220</v>
      </c>
      <c r="AN30" s="124" t="s">
        <v>221</v>
      </c>
      <c r="AO30" s="214"/>
      <c r="AP30" s="127">
        <v>22</v>
      </c>
      <c r="AQ30" s="127" t="str">
        <v>陳俊瑋</v>
      </c>
      <c r="AR30" s="127" t="str" cm="1">
        <f t="array" ref="AR30">IFERROR(_xlfn.XLOOKUP(_xlfn.XLOOKUP($AR$3,輪休基準表!$C$6:$C$36,_xlfn.XLOOKUP(AQ30,輪休基準表!$E$5:$AF$5,輪休基準表!$E$6:$AF$36,""),""),班別參數!$A$4:$A$20,班別參數!$B$4:$B$20,""),"")</f>
        <v>公假</v>
      </c>
      <c r="AS30" s="120" t="str" cm="1">
        <f t="array" ref="AS30">_xlfn.LET(
    _xlpm.番號, COUNTIF($AZ$9:$AZ$24, $AP30),
    _xlpm.已排, _xlpm.番號 &gt; 0,
    _xlpm.上班, (AR30="上班"),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T30" s="170" t="str" cm="1">
        <f t="array" ref="AT30">IF(AR30="上班",
    IF(SUMPRODUCT(--ISNUMBER(SEARCH(","&amp;AP30&amp;",", ","&amp;$H$10:$H$33&amp;",")))&gt;=2, "已排",
        IF(SUMPRODUCT(--ISNUMBER(SEARCH(","&amp;AP30&amp;",", ","&amp;$H$10:$H$33&amp;",")))=1, "缺1小時", "未排")
    ),
    IF(SUMPRODUCT(--ISNUMBER(SEARCH(","&amp;AP30&amp;",", ","&amp;$H$10:$H$33&amp;",")))&gt;0, "沒上班", "")
)</f>
        <v/>
      </c>
      <c r="AU30" s="180" t="str">
        <f t="shared" si="0"/>
        <v/>
      </c>
      <c r="AV30" s="180" t="str">
        <f t="shared" si="1"/>
        <v/>
      </c>
      <c r="AW30" s="10"/>
      <c r="AX30" s="47"/>
      <c r="AY30" s="45"/>
      <c r="AZ30" s="25"/>
      <c r="BA30" s="28"/>
      <c r="BB30" s="33"/>
      <c r="BC30" s="25"/>
      <c r="BE30" s="127"/>
    </row>
    <row r="31" spans="2:57" ht="30" customHeight="1" thickBot="1">
      <c r="B31" s="110" t="s">
        <v>94</v>
      </c>
      <c r="C31" s="89">
        <f>_xlfn.XLOOKUP(_xlfn.XLOOKUP($AT$6&amp;$B31,公表[班別+時段],公表[值班],""),$AY$9:$AY$25,$AZ$9:$AZ$25,"")</f>
        <v>15</v>
      </c>
      <c r="D31" s="106"/>
      <c r="E31" s="96"/>
      <c r="F31" s="96"/>
      <c r="G31" s="96"/>
      <c r="H31" s="123" t="str">
        <f>IF(BD19="","",BD19)</f>
        <v/>
      </c>
      <c r="I31" s="109"/>
      <c r="J31" s="216">
        <f>_xlfn.XLOOKUP(_xlfn.XLOOKUP($AT$6&amp;$B31,公表[班別+時段],公表[救護1],""),$AY$9:$AY$25,$AZ$9:$AZ$25,"")</f>
        <v>7</v>
      </c>
      <c r="K31" s="216">
        <f>_xlfn.XLOOKUP(_xlfn.XLOOKUP($AT$6&amp;$B31,公表[班別+時段],公表[救護2],""),$AY$9:$AY$25,$AZ$9:$AZ$25,"")</f>
        <v>6</v>
      </c>
      <c r="L31" s="108"/>
      <c r="M31" s="93" t="s">
        <v>212</v>
      </c>
      <c r="N31" s="312"/>
      <c r="O31" s="89">
        <f>_xlfn.XLOOKUP(_xlfn.XLOOKUP($AT$6&amp;$B31,公表[班別+時段],公表[備勤1],""),$AY$9:$AY$25,$AZ$9:$AZ$25,"")</f>
        <v>16</v>
      </c>
      <c r="P31" s="89">
        <f>_xlfn.XLOOKUP(_xlfn.XLOOKUP($AT$6&amp;$B31,公表[班別+時段],公表[備勤2],""),$AY$9:$AY$25,$AZ$9:$AZ$25,"")</f>
        <v>11</v>
      </c>
      <c r="Q31" s="89"/>
      <c r="R31" s="89">
        <f>_xlfn.XLOOKUP(_xlfn.XLOOKUP($AT$6&amp;$B31,公表[班別+時段],公表[備勤3],""),$AY$9:$AY$25,$AZ$9:$AZ$25,"")</f>
        <v>12</v>
      </c>
      <c r="S31" s="89">
        <f>_xlfn.XLOOKUP(_xlfn.XLOOKUP($AT$6&amp;$B31,公表[班別+時段],公表[備勤4],""),$AY$9:$AY$25,$AZ$9:$AZ$25,"")</f>
        <v>10</v>
      </c>
      <c r="T31" s="89"/>
      <c r="U31" s="89">
        <f>_xlfn.XLOOKUP(_xlfn.XLOOKUP($AT$6&amp;$B31,公表[班別+時段],公表[備勤5],""),$AY$9:$AY$25,$AZ$9:$AZ$25,"")</f>
        <v>5</v>
      </c>
      <c r="V31" s="89">
        <f>_xlfn.XLOOKUP(_xlfn.XLOOKUP($AT$6&amp;$B31,公表[班別+時段],公表[備勤6],""),$AY$9:$AY$25,$AZ$9:$AZ$25,"")</f>
        <v>0</v>
      </c>
      <c r="W31" s="89"/>
      <c r="X31" s="89">
        <f>_xlfn.XLOOKUP(_xlfn.XLOOKUP($AT$6&amp;$B31,公表[班別+時段],公表[備勤7],""),$AY$9:$AY$25,$AZ$9:$AZ$25,"")</f>
        <v>0</v>
      </c>
      <c r="Y31" s="89">
        <f>_xlfn.XLOOKUP(_xlfn.XLOOKUP($AT$6&amp;$B31,公表[班別+時段],公表[備勤8],""),$AY$9:$AY$25,$AZ$9:$AZ$25,"")</f>
        <v>0</v>
      </c>
      <c r="Z31" s="89"/>
      <c r="AA31" s="89"/>
      <c r="AB31" s="89"/>
      <c r="AC31" s="89"/>
      <c r="AD31" s="89"/>
      <c r="AE31" s="89"/>
      <c r="AF31" s="104">
        <f>_xlfn.XLOOKUP(_xlfn.XLOOKUP($AT$6&amp;$B31,公表[班別+時段],公表[指揮官],""),$AY$9:$AY$25,$AZ$9:$AZ$25,"")</f>
        <v>2</v>
      </c>
      <c r="AG31" s="330"/>
      <c r="AH31" s="327"/>
      <c r="AI31" s="346"/>
      <c r="AJ31" s="327"/>
      <c r="AK31" s="346"/>
      <c r="AL31" s="327"/>
      <c r="AM31" s="22"/>
      <c r="AN31" s="59"/>
      <c r="AO31" s="214"/>
      <c r="AP31" s="127">
        <v>23</v>
      </c>
      <c r="AQ31" s="127" t="str">
        <v>陳俊翰</v>
      </c>
      <c r="AR31" s="127" t="str" cm="1">
        <f t="array" ref="AR31">IFERROR(_xlfn.XLOOKUP(_xlfn.XLOOKUP($AR$3,輪休基準表!$C$6:$C$36,_xlfn.XLOOKUP(AQ31,輪休基準表!$E$5:$AF$5,輪休基準表!$E$6:$AF$36,""),""),班別參數!$A$4:$A$20,班別參數!$B$4:$B$20,""),"")</f>
        <v>輪休</v>
      </c>
      <c r="AS31" s="120" t="str" cm="1">
        <f t="array" ref="AS31">_xlfn.LET(
    _xlpm.番號, COUNTIF($AZ$9:$AZ$24, $AP31),
    _xlpm.已排, _xlpm.番號 &gt; 0,
    _xlpm.上班, (AR31="上班"),
    _xlfn.IFS(
        _xlpm.番號 &gt; 1, "重複",
        AND(_xlpm.上班, NOT(_xlpm.已排)), "未排",
        AND(NOT(_xlpm.上班),_xlpm.已排), "沒上班",
        _xlpm.已排, "已排",
        TRUE, ""
    )
)</f>
        <v/>
      </c>
      <c r="AT31" s="170" t="str" cm="1">
        <f t="array" ref="AT31">IF(AR31="上班",
    IF(SUMPRODUCT(--ISNUMBER(SEARCH(","&amp;AP31&amp;",", ","&amp;$H$10:$H$33&amp;",")))&gt;=2, "已排",
        IF(SUMPRODUCT(--ISNUMBER(SEARCH(","&amp;AP31&amp;",", ","&amp;$H$10:$H$33&amp;",")))=1, "缺1小時", "未排")
    ),
    IF(SUMPRODUCT(--ISNUMBER(SEARCH(","&amp;AP31&amp;",", ","&amp;$H$10:$H$33&amp;",")))&gt;0, "沒上班", "")
)</f>
        <v/>
      </c>
      <c r="AU31" s="180" t="str">
        <f t="shared" si="0"/>
        <v/>
      </c>
      <c r="AV31" s="180" t="str">
        <f t="shared" si="1"/>
        <v/>
      </c>
      <c r="AX31" s="47"/>
      <c r="AY31" s="45"/>
      <c r="AZ31" s="25"/>
      <c r="BA31" s="28"/>
      <c r="BB31" s="33"/>
      <c r="BC31" s="25"/>
      <c r="BE31" s="127"/>
    </row>
    <row r="32" spans="2:57" ht="30" customHeight="1">
      <c r="B32" s="84" t="s">
        <v>95</v>
      </c>
      <c r="C32" s="90">
        <f>_xlfn.XLOOKUP(_xlfn.XLOOKUP($AT$6&amp;$B32,公表[班別+時段],公表[值班],""),$AY$9:$AY$25,$AZ$9:$AZ$25,"")</f>
        <v>15</v>
      </c>
      <c r="D32" s="97"/>
      <c r="E32" s="97"/>
      <c r="F32" s="284"/>
      <c r="G32" s="97"/>
      <c r="H32" s="121" t="str">
        <f>IF(BD20="","",BD20)</f>
        <v>10,5</v>
      </c>
      <c r="I32" s="56"/>
      <c r="J32" s="94">
        <f>_xlfn.XLOOKUP(_xlfn.XLOOKUP($AT$6&amp;$B32,公表[班別+時段],公表[救護1],""),$AY$9:$AY$25,$AZ$9:$AZ$25,"")</f>
        <v>7</v>
      </c>
      <c r="K32" s="94">
        <f>_xlfn.XLOOKUP(_xlfn.XLOOKUP($AT$6&amp;$B32,公表[班別+時段],公表[救護2],""),$AY$9:$AY$25,$AZ$9:$AZ$25,"")</f>
        <v>6</v>
      </c>
      <c r="L32" s="90"/>
      <c r="M32" s="90" t="s">
        <v>212</v>
      </c>
      <c r="N32" s="312"/>
      <c r="O32" s="90">
        <f>_xlfn.XLOOKUP(_xlfn.XLOOKUP($AT$6&amp;$B32,公表[班別+時段],公表[備勤1],""),$AY$9:$AY$25,$AZ$9:$AZ$25,"")</f>
        <v>11</v>
      </c>
      <c r="P32" s="90">
        <f>_xlfn.XLOOKUP(_xlfn.XLOOKUP($AT$6&amp;$B32,公表[班別+時段],公表[備勤2],""),$AY$9:$AY$25,$AZ$9:$AZ$25,"")</f>
        <v>12</v>
      </c>
      <c r="Q32" s="90"/>
      <c r="R32" s="90">
        <f>_xlfn.XLOOKUP(_xlfn.XLOOKUP($AT$6&amp;$B32,公表[班別+時段],公表[備勤3],""),$AY$9:$AY$25,$AZ$9:$AZ$25,"")</f>
        <v>16</v>
      </c>
      <c r="S32" s="90">
        <f>_xlfn.XLOOKUP(_xlfn.XLOOKUP($AT$6&amp;$B32,公表[班別+時段],公表[備勤4],""),$AY$9:$AY$25,$AZ$9:$AZ$25,"")</f>
        <v>0</v>
      </c>
      <c r="T32" s="90"/>
      <c r="U32" s="90">
        <f>_xlfn.XLOOKUP(_xlfn.XLOOKUP($AT$6&amp;$B32,公表[班別+時段],公表[備勤5],""),$AY$9:$AY$25,$AZ$9:$AZ$25,"")</f>
        <v>0</v>
      </c>
      <c r="V32" s="90">
        <f>_xlfn.XLOOKUP(_xlfn.XLOOKUP($AT$6&amp;$B32,公表[班別+時段],公表[備勤6],""),$AY$9:$AY$25,$AZ$9:$AZ$25,"")</f>
        <v>0</v>
      </c>
      <c r="W32" s="90"/>
      <c r="X32" s="90">
        <f>_xlfn.XLOOKUP(_xlfn.XLOOKUP($AT$6&amp;$B32,公表[班別+時段],公表[備勤7],""),$AY$9:$AY$25,$AZ$9:$AZ$25,"")</f>
        <v>0</v>
      </c>
      <c r="Y32" s="90">
        <f>_xlfn.XLOOKUP(_xlfn.XLOOKUP($AT$6&amp;$B32,公表[班別+時段],公表[備勤8],""),$AY$9:$AY$25,$AZ$9:$AZ$25,"")</f>
        <v>0</v>
      </c>
      <c r="Z32" s="90"/>
      <c r="AA32" s="90"/>
      <c r="AB32" s="90"/>
      <c r="AC32" s="90"/>
      <c r="AD32" s="90"/>
      <c r="AE32" s="90"/>
      <c r="AF32" s="91">
        <f>_xlfn.XLOOKUP(_xlfn.XLOOKUP($AT$6&amp;$B32,公表[班別+時段],公表[指揮官],""),$AY$9:$AY$25,$AZ$9:$AZ$25,"")</f>
        <v>2</v>
      </c>
      <c r="AG32" s="347"/>
      <c r="AH32" s="327"/>
      <c r="AI32" s="329"/>
      <c r="AJ32" s="327"/>
      <c r="AK32" s="329"/>
      <c r="AL32" s="327"/>
      <c r="AM32" s="22"/>
      <c r="AN32" s="60"/>
      <c r="AO32" s="214"/>
      <c r="AP32" s="127">
        <v>24</v>
      </c>
      <c r="AQ32" s="127" t="str">
        <v>賴俊豪</v>
      </c>
      <c r="AR32" s="127" t="str" cm="1">
        <f t="array" ref="AR32">IFERROR(_xlfn.XLOOKUP(_xlfn.XLOOKUP($AR$3,輪休基準表!$C$6:$C$36,_xlfn.XLOOKUP(AQ32,輪休基準表!$E$5:$AF$5,輪休基準表!$E$6:$AF$36,""),""),班別參數!$A$4:$A$20,班別參數!$B$4:$B$20,""),"")</f>
        <v>補休</v>
      </c>
      <c r="AS32" s="120" t="str" cm="1">
        <f t="array" ref="AS32">_xlfn.LET(
    _xlpm.番號, COUNTIF($AZ$9:$AZ$24, $AP32),
    _xlpm.已排, _xlpm.番號 &gt; 0,
    _xlpm.上班, (AR32="上班"),
    _xlfn.IFS(
        _xlpm.番號 &gt; 1, "重複",
        AND(_xlpm.上班, NOT(_xlpm.已排)), "未排",
        AND(NOT(_xlpm.上班),_xlpm.已排), "沒上班",
        _xlpm.已排, "已排",
        TRUE, ""
    )
)</f>
        <v/>
      </c>
      <c r="AT32" s="170" t="str" cm="1">
        <f t="array" ref="AT32">IF(AR32="上班",
    IF(SUMPRODUCT(--ISNUMBER(SEARCH(","&amp;AP32&amp;",", ","&amp;$H$10:$H$33&amp;",")))&gt;=2, "已排",
        IF(SUMPRODUCT(--ISNUMBER(SEARCH(","&amp;AP32&amp;",", ","&amp;$H$10:$H$33&amp;",")))=1, "缺1小時", "未排")
    ),
    IF(SUMPRODUCT(--ISNUMBER(SEARCH(","&amp;AP32&amp;",", ","&amp;$H$10:$H$33&amp;",")))&gt;0, "沒上班", "")
)</f>
        <v/>
      </c>
      <c r="AU32" s="180" t="str">
        <f t="shared" si="0"/>
        <v/>
      </c>
      <c r="AV32" s="180" t="str">
        <f t="shared" si="1"/>
        <v/>
      </c>
      <c r="AX32" s="47"/>
      <c r="AY32" s="45"/>
      <c r="AZ32" s="25"/>
      <c r="BA32" s="28"/>
      <c r="BB32" s="33"/>
      <c r="BC32" s="25"/>
      <c r="BE32" s="127"/>
    </row>
    <row r="33" spans="2:57" ht="30" customHeight="1">
      <c r="B33" s="81" t="s">
        <v>96</v>
      </c>
      <c r="C33" s="87">
        <f>_xlfn.XLOOKUP(_xlfn.XLOOKUP($AT$6&amp;$B33,公表[班別+時段],公表[值班],""),$AY$9:$AY$25,$AZ$9:$AZ$25,"")</f>
        <v>15</v>
      </c>
      <c r="D33" s="95"/>
      <c r="E33" s="95"/>
      <c r="F33" s="95"/>
      <c r="G33" s="95"/>
      <c r="H33" s="122" t="str">
        <f>IF(BD20="","",BD20)</f>
        <v>10,5</v>
      </c>
      <c r="I33" s="48"/>
      <c r="J33" s="92">
        <f>_xlfn.XLOOKUP(_xlfn.XLOOKUP($AT$6&amp;$B33,公表[班別+時段],公表[救護1],""),$AY$9:$AY$25,$AZ$9:$AZ$25,"")</f>
        <v>7</v>
      </c>
      <c r="K33" s="92">
        <f>_xlfn.XLOOKUP(_xlfn.XLOOKUP($AT$6&amp;$B33,公表[班別+時段],公表[救護2],""),$AY$9:$AY$25,$AZ$9:$AZ$25,"")</f>
        <v>6</v>
      </c>
      <c r="L33" s="87"/>
      <c r="M33" s="87" t="s">
        <v>212</v>
      </c>
      <c r="N33" s="313"/>
      <c r="O33" s="87">
        <f>_xlfn.XLOOKUP(_xlfn.XLOOKUP($AT$6&amp;$B33,公表[班別+時段],公表[備勤1],""),$AY$9:$AY$25,$AZ$9:$AZ$25,"")</f>
        <v>11</v>
      </c>
      <c r="P33" s="87">
        <f>_xlfn.XLOOKUP(_xlfn.XLOOKUP($AT$6&amp;$B33,公表[班別+時段],公表[備勤2],""),$AY$9:$AY$25,$AZ$9:$AZ$25,"")</f>
        <v>12</v>
      </c>
      <c r="Q33" s="87"/>
      <c r="R33" s="87">
        <f>_xlfn.XLOOKUP(_xlfn.XLOOKUP($AT$6&amp;$B33,公表[班別+時段],公表[備勤3],""),$AY$9:$AY$25,$AZ$9:$AZ$25,"")</f>
        <v>16</v>
      </c>
      <c r="S33" s="87">
        <f>_xlfn.XLOOKUP(_xlfn.XLOOKUP($AT$6&amp;$B33,公表[班別+時段],公表[備勤4],""),$AY$9:$AY$25,$AZ$9:$AZ$25,"")</f>
        <v>0</v>
      </c>
      <c r="T33" s="87"/>
      <c r="U33" s="87">
        <f>_xlfn.XLOOKUP(_xlfn.XLOOKUP($AT$6&amp;$B33,公表[班別+時段],公表[備勤5],""),$AY$9:$AY$25,$AZ$9:$AZ$25,"")</f>
        <v>0</v>
      </c>
      <c r="V33" s="87">
        <f>_xlfn.XLOOKUP(_xlfn.XLOOKUP($AT$6&amp;$B33,公表[班別+時段],公表[備勤6],""),$AY$9:$AY$25,$AZ$9:$AZ$25,"")</f>
        <v>0</v>
      </c>
      <c r="W33" s="87"/>
      <c r="X33" s="87">
        <f>_xlfn.XLOOKUP(_xlfn.XLOOKUP($AT$6&amp;$B33,公表[班別+時段],公表[備勤7],""),$AY$9:$AY$25,$AZ$9:$AZ$25,"")</f>
        <v>0</v>
      </c>
      <c r="Y33" s="87">
        <f>_xlfn.XLOOKUP(_xlfn.XLOOKUP($AT$6&amp;$B33,公表[班別+時段],公表[備勤8],""),$AY$9:$AY$25,$AZ$9:$AZ$25,"")</f>
        <v>0</v>
      </c>
      <c r="Z33" s="87"/>
      <c r="AA33" s="87"/>
      <c r="AB33" s="87"/>
      <c r="AC33" s="87"/>
      <c r="AD33" s="87"/>
      <c r="AE33" s="87"/>
      <c r="AF33" s="88">
        <f>_xlfn.XLOOKUP(_xlfn.XLOOKUP($AT$6&amp;$B33,公表[班別+時段],公表[指揮官],""),$AY$9:$AY$25,$AZ$9:$AZ$25,"")</f>
        <v>2</v>
      </c>
      <c r="AG33" s="328"/>
      <c r="AH33" s="327"/>
      <c r="AI33" s="329"/>
      <c r="AJ33" s="327"/>
      <c r="AK33" s="329"/>
      <c r="AL33" s="327"/>
      <c r="AM33" s="22"/>
      <c r="AN33" s="61"/>
      <c r="AO33" s="214"/>
      <c r="AP33" s="127">
        <v>25</v>
      </c>
      <c r="AQ33" s="127" t="str">
        <v>郭國偵</v>
      </c>
      <c r="AR33" s="127" t="str" cm="1">
        <f t="array" ref="AR33">IFERROR(_xlfn.XLOOKUP(_xlfn.XLOOKUP($AR$3,輪休基準表!$C$6:$C$36,_xlfn.XLOOKUP(AQ33,輪休基準表!$E$5:$AF$5,輪休基準表!$E$6:$AF$36,""),""),班別參數!$A$4:$A$20,班別參數!$B$4:$B$20,""),"")</f>
        <v>輪休</v>
      </c>
      <c r="AS33" s="120" t="str" cm="1">
        <f t="array" ref="AS33">_xlfn.LET(
    _xlpm.番號, COUNTIF($AZ$9:$AZ$24, $AP33),
    _xlpm.已排, _xlpm.番號 &gt; 0,
    _xlpm.上班, (AR33="上班"),
    _xlfn.IFS(
        _xlpm.番號 &gt; 1, "重複",
        AND(_xlpm.上班, NOT(_xlpm.已排)), "未排",
        AND(NOT(_xlpm.上班),_xlpm.已排), "沒上班",
        _xlpm.已排, "已排",
        TRUE, ""
    )
)</f>
        <v/>
      </c>
      <c r="AT33" s="170" t="str" cm="1">
        <f t="array" ref="AT33">IF(AR33="上班",
    IF(SUMPRODUCT(--ISNUMBER(SEARCH(","&amp;AP33&amp;",", ","&amp;$H$10:$H$33&amp;",")))&gt;=2, "已排",
        IF(SUMPRODUCT(--ISNUMBER(SEARCH(","&amp;AP33&amp;",", ","&amp;$H$10:$H$33&amp;",")))=1, "缺1小時", "未排")
    ),
    IF(SUMPRODUCT(--ISNUMBER(SEARCH(","&amp;AP33&amp;",", ","&amp;$H$10:$H$33&amp;",")))&gt;0, "沒上班", "")
)</f>
        <v/>
      </c>
      <c r="AU33" s="180" t="str">
        <f t="shared" si="0"/>
        <v/>
      </c>
      <c r="AV33" s="180" t="str">
        <f t="shared" si="1"/>
        <v/>
      </c>
      <c r="AX33" s="47"/>
      <c r="AY33" s="45"/>
      <c r="AZ33" s="25"/>
      <c r="BA33" s="28"/>
      <c r="BB33" s="25"/>
      <c r="BC33" s="25"/>
      <c r="BE33" s="127"/>
    </row>
    <row r="34" spans="2:57" ht="30" customHeight="1">
      <c r="B34" s="348" t="s">
        <v>215</v>
      </c>
      <c r="C34" s="351" t="str" cm="1">
        <f t="array" ref="C34">_xlfn.IFS(
  $AR$9="上班", "一、本日主管上班。",
  $AR$10="上班", "一、本日主管"&amp;$AR$9&amp;"，職務由小隊長"&amp;$AQ$10&amp;"代理。",
  $AR$11="上班", "一、本日主管"&amp;$AR$9&amp;"，職務由小隊長"&amp;$AQ$11&amp;"代理。",
  $AR$12="上班", "一、本日主管"&amp;$AR$9&amp;"，職務由小隊長"&amp;$AQ$12&amp;"代理。",
  $AR$13="上班", "一、本日主管"&amp;$AR$9&amp;"，職務由小隊長"&amp;$AQ$13&amp;"代理。",
  TRUE, "一、本日主管"&amp;$AR$9&amp;"，目前無人代理。"
)</f>
        <v>一、本日主管請休，職務由小隊長莊勝斌代理。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2"/>
      <c r="AG34" s="355"/>
      <c r="AH34" s="324"/>
      <c r="AI34" s="324"/>
      <c r="AJ34" s="324"/>
      <c r="AK34" s="324"/>
      <c r="AL34" s="324"/>
      <c r="AM34" s="324"/>
      <c r="AN34" s="325"/>
      <c r="AP34" s="127">
        <v>26</v>
      </c>
      <c r="AQ34" s="127" t="str">
        <v>楊紹文</v>
      </c>
      <c r="AR34" s="127" t="str" cm="1">
        <f t="array" ref="AR34">IFERROR(_xlfn.XLOOKUP(_xlfn.XLOOKUP($AR$3,輪休基準表!$C$6:$C$36,_xlfn.XLOOKUP(AQ34,輪休基準表!$E$5:$AF$5,輪休基準表!$E$6:$AF$36,""),""),班別參數!$A$4:$A$20,班別參數!$B$4:$B$20,""),"")</f>
        <v>輪休</v>
      </c>
      <c r="AS34" s="120" t="str" cm="1">
        <f t="array" ref="AS34">_xlfn.LET(
    _xlpm.番號, COUNTIF($AZ$9:$AZ$24, $AP34),
    _xlpm.已排, _xlpm.番號 &gt; 0,
    _xlpm.上班, (AR34="上班"),
    _xlfn.IFS(
        _xlpm.番號 &gt; 1, "重複",
        AND(_xlpm.上班, NOT(_xlpm.已排)), "未排",
        AND(NOT(_xlpm.上班),_xlpm.已排), "沒上班",
        _xlpm.已排, "已排",
        TRUE, ""
    )
)</f>
        <v/>
      </c>
      <c r="AT34" s="170" t="str" cm="1">
        <f t="array" ref="AT34">IF(AR34="上班",
    IF(SUMPRODUCT(--ISNUMBER(SEARCH(","&amp;AP34&amp;",", ","&amp;$H$10:$H$33&amp;",")))&gt;=2, "已排",
        IF(SUMPRODUCT(--ISNUMBER(SEARCH(","&amp;AP34&amp;",", ","&amp;$H$10:$H$33&amp;",")))=1, "缺1小時", "未排")
    ),
    IF(SUMPRODUCT(--ISNUMBER(SEARCH(","&amp;AP34&amp;",", ","&amp;$H$10:$H$33&amp;",")))&gt;0, "沒上班", "")
)</f>
        <v/>
      </c>
      <c r="AU34" s="180" t="str">
        <f t="shared" si="0"/>
        <v/>
      </c>
      <c r="AV34" s="180" t="str">
        <f t="shared" si="1"/>
        <v/>
      </c>
      <c r="AX34" s="47"/>
      <c r="AY34" s="45"/>
      <c r="AZ34" s="25"/>
      <c r="BA34" s="28"/>
      <c r="BB34" s="25"/>
      <c r="BC34" s="25"/>
      <c r="BE34" s="127"/>
    </row>
    <row r="35" spans="2:57" ht="30" customHeight="1">
      <c r="B35" s="349"/>
      <c r="C35" s="359" t="str">
        <f>CONCATENATE("二、在隊訓練:09-12時:",I11,";14-17時:",I16,";19-21時:",I21,"。")</f>
        <v>二、在隊訓練:09-12時:救生艇拆裝組合訓練;14-17時:船外機與橡皮艇;19-21時:個人水域防護裝備介紹。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2"/>
      <c r="AG35" s="356"/>
      <c r="AH35" s="324"/>
      <c r="AI35" s="324"/>
      <c r="AJ35" s="324"/>
      <c r="AK35" s="324"/>
      <c r="AL35" s="324"/>
      <c r="AM35" s="324"/>
      <c r="AN35" s="325"/>
      <c r="AO35" s="44"/>
      <c r="AP35" s="127">
        <v>27</v>
      </c>
      <c r="AQ35" s="127" t="str">
        <v>林宏為</v>
      </c>
      <c r="AR35" s="127" t="str" cm="1">
        <f t="array" ref="AR35">IFERROR(_xlfn.XLOOKUP(_xlfn.XLOOKUP($AR$3,輪休基準表!$C$6:$C$36,_xlfn.XLOOKUP(AQ35,輪休基準表!$E$5:$AF$5,輪休基準表!$E$6:$AF$36,""),""),班別參數!$A$4:$A$20,班別參數!$B$4:$B$20,""),"")</f>
        <v>月補</v>
      </c>
      <c r="AS35" s="120" t="str" cm="1">
        <f t="array" ref="AS35">_xlfn.LET(
    _xlpm.番號, COUNTIF($AZ$9:$AZ$24, $AP35),
    _xlpm.已排, _xlpm.番號 &gt; 0,
    _xlpm.上班, (AR35="上班"),
    _xlfn.IFS(
        _xlpm.番號 &gt; 1, "重複",
        AND(_xlpm.上班, NOT(_xlpm.已排)), "未排",
        AND(NOT(_xlpm.上班),_xlpm.已排), "沒上班",
        _xlpm.已排, "已排",
        TRUE, ""
    )
)</f>
        <v/>
      </c>
      <c r="AT35" s="170" t="str" cm="1">
        <f t="array" ref="AT35">IF(AR35="上班",
    IF(SUMPRODUCT(--ISNUMBER(SEARCH(","&amp;AP35&amp;",", ","&amp;$H$10:$H$33&amp;",")))&gt;=2, "已排",
        IF(SUMPRODUCT(--ISNUMBER(SEARCH(","&amp;AP35&amp;",", ","&amp;$H$10:$H$33&amp;",")))=1, "缺1小時", "未排")
    ),
    IF(SUMPRODUCT(--ISNUMBER(SEARCH(","&amp;AP35&amp;",", ","&amp;$H$10:$H$33&amp;",")))&gt;0, "沒上班", "")
)</f>
        <v/>
      </c>
      <c r="AU35" s="180" t="str">
        <f t="shared" si="0"/>
        <v/>
      </c>
      <c r="AV35" s="180" t="str">
        <f t="shared" si="1"/>
        <v/>
      </c>
      <c r="AX35" s="47"/>
      <c r="AY35" s="45"/>
      <c r="AZ35" s="25"/>
      <c r="BA35" s="28"/>
      <c r="BB35" s="25"/>
      <c r="BC35" s="25"/>
      <c r="BE35" s="127"/>
    </row>
    <row r="36" spans="2:57" ht="30" customHeight="1" thickBot="1">
      <c r="B36" s="350"/>
      <c r="C36" s="360" t="s">
        <v>400</v>
      </c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38"/>
      <c r="AG36" s="357"/>
      <c r="AH36" s="338"/>
      <c r="AI36" s="338"/>
      <c r="AJ36" s="338"/>
      <c r="AK36" s="338"/>
      <c r="AL36" s="338"/>
      <c r="AM36" s="338"/>
      <c r="AN36" s="358"/>
      <c r="AP36" s="127">
        <v>28</v>
      </c>
      <c r="AQ36" s="127" t="str">
        <v>林宸彥</v>
      </c>
      <c r="AR36" s="127" t="str" cm="1">
        <f t="array" ref="AR36">IFERROR(_xlfn.XLOOKUP(_xlfn.XLOOKUP($AR$3,輪休基準表!$C$6:$C$36,_xlfn.XLOOKUP(AQ36,輪休基準表!$E$5:$AF$5,輪休基準表!$E$6:$AF$36,""),""),班別參數!$A$4:$A$20,班別參數!$B$4:$B$20,""),"")</f>
        <v>輪休</v>
      </c>
      <c r="AS36" s="120" t="str" cm="1">
        <f t="array" ref="AS36">_xlfn.LET(
    _xlpm.番號, COUNTIF($AZ$9:$AZ$24, $AP36),
    _xlpm.已排, _xlpm.番號 &gt; 0,
    _xlpm.上班, (AR36="上班"),
    _xlfn.IFS(
        _xlpm.番號 &gt; 1, "重複",
        AND(_xlpm.上班, NOT(_xlpm.已排)), "未排",
        AND(NOT(_xlpm.上班),_xlpm.已排), "沒上班",
        _xlpm.已排, "已排",
        TRUE, ""
    )
)</f>
        <v/>
      </c>
      <c r="AT36" s="170" t="str" cm="1">
        <f t="array" ref="AT36">IF(AR36="上班",
    IF(SUMPRODUCT(--ISNUMBER(SEARCH(","&amp;AP36&amp;",", ","&amp;$H$10:$H$33&amp;",")))&gt;=2, "已排",
        IF(SUMPRODUCT(--ISNUMBER(SEARCH(","&amp;AP36&amp;",", ","&amp;$H$10:$H$33&amp;",")))=1, "缺1小時", "未排")
    ),
    IF(SUMPRODUCT(--ISNUMBER(SEARCH(","&amp;AP36&amp;",", ","&amp;$H$10:$H$33&amp;",")))&gt;0, "沒上班", "")
)</f>
        <v/>
      </c>
      <c r="AU36" s="180" t="str">
        <f t="shared" si="0"/>
        <v/>
      </c>
      <c r="AV36" s="180" t="str">
        <f t="shared" si="1"/>
        <v/>
      </c>
      <c r="BE36" s="10"/>
    </row>
    <row r="37" spans="2:57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17"/>
      <c r="AH37" s="17"/>
      <c r="AI37" s="17"/>
      <c r="AJ37" s="17"/>
      <c r="AK37" s="17"/>
      <c r="AL37" s="17"/>
      <c r="AM37" s="17"/>
      <c r="AN37" s="17"/>
      <c r="AP37" s="127"/>
      <c r="AQ37" s="127"/>
      <c r="AR37" s="127" t="str" cm="1">
        <f t="array" ref="AR37">IFERROR(_xlfn.XLOOKUP(_xlfn.XLOOKUP($AR$3,輪休基準表!$C$6:$C$36,_xlfn.XLOOKUP(AQ37,輪休基準表!$E$5:$AF$5,輪休基準表!$E$6:$AF$36,""),""),班別參數!$A$4:$A$20,班別參數!$B$4:$B$20,""),"")</f>
        <v/>
      </c>
      <c r="AS37" s="118" t="str">
        <f>IFERROR(IF(VLOOKUP($AP37,$AZ$9:$AZ$24,1,0)&lt;&gt;"0","已排",""),"")</f>
        <v/>
      </c>
      <c r="AT37" s="119" t="str">
        <f>IF(COUNTIF($AZ$9:$AZ$23,$AP37)&gt;1,"重複","")</f>
        <v/>
      </c>
      <c r="AU37" s="119" t="str">
        <f>IF(AND(AR37&lt;&gt;"上班",AS37="已排"),"沒上班","")</f>
        <v/>
      </c>
      <c r="AV37" s="127"/>
      <c r="BE37" s="10"/>
    </row>
    <row r="38" spans="2:57" ht="15" customHeight="1">
      <c r="AR38" s="127"/>
      <c r="AS38" s="118"/>
      <c r="AT38" s="119"/>
      <c r="AU38" s="119"/>
    </row>
    <row r="39" spans="2:57" ht="15" customHeight="1">
      <c r="AS39" s="118"/>
      <c r="AT39" s="119"/>
      <c r="AU39" s="119"/>
    </row>
    <row r="40" spans="2:57" ht="15" customHeight="1">
      <c r="AS40" s="118"/>
      <c r="AT40" s="119"/>
      <c r="AU40" s="119"/>
    </row>
  </sheetData>
  <mergeCells count="76">
    <mergeCell ref="H5:H7"/>
    <mergeCell ref="I5:I7"/>
    <mergeCell ref="J5:M5"/>
    <mergeCell ref="J6:K6"/>
    <mergeCell ref="L6:M6"/>
    <mergeCell ref="O6:Q6"/>
    <mergeCell ref="R6:T6"/>
    <mergeCell ref="U6:W6"/>
    <mergeCell ref="F17:F18"/>
    <mergeCell ref="AH22:AL22"/>
    <mergeCell ref="AH23:AN23"/>
    <mergeCell ref="AH24:AJ24"/>
    <mergeCell ref="AL24:AN24"/>
    <mergeCell ref="AI30:AJ30"/>
    <mergeCell ref="AK30:AL30"/>
    <mergeCell ref="AG33:AH33"/>
    <mergeCell ref="AI33:AJ33"/>
    <mergeCell ref="AK33:AL33"/>
    <mergeCell ref="AG31:AH31"/>
    <mergeCell ref="AI31:AJ31"/>
    <mergeCell ref="AK31:AL31"/>
    <mergeCell ref="AG32:AH32"/>
    <mergeCell ref="AI32:AJ32"/>
    <mergeCell ref="AK32:AL32"/>
    <mergeCell ref="B34:B36"/>
    <mergeCell ref="C34:AF34"/>
    <mergeCell ref="AG34:AN34"/>
    <mergeCell ref="C35:AF35"/>
    <mergeCell ref="AG35:AN35"/>
    <mergeCell ref="C36:AF36"/>
    <mergeCell ref="AG36:AN36"/>
    <mergeCell ref="AH25:AJ25"/>
    <mergeCell ref="AL25:AN25"/>
    <mergeCell ref="C8:AF8"/>
    <mergeCell ref="C9:AF9"/>
    <mergeCell ref="N10:N33"/>
    <mergeCell ref="I11:I13"/>
    <mergeCell ref="I16:I18"/>
    <mergeCell ref="I21:I22"/>
    <mergeCell ref="D18:D19"/>
    <mergeCell ref="E12:E13"/>
    <mergeCell ref="G11:G13"/>
    <mergeCell ref="AG27:AG28"/>
    <mergeCell ref="AH27:AN27"/>
    <mergeCell ref="AH28:AN28"/>
    <mergeCell ref="AG29:AN29"/>
    <mergeCell ref="AG30:AH30"/>
    <mergeCell ref="AP5:AP6"/>
    <mergeCell ref="U7:W7"/>
    <mergeCell ref="AS5:AS6"/>
    <mergeCell ref="AT5:AU5"/>
    <mergeCell ref="X6:Z6"/>
    <mergeCell ref="AF6:AF7"/>
    <mergeCell ref="AT6:AU6"/>
    <mergeCell ref="AQ5:AR6"/>
    <mergeCell ref="N5:AF5"/>
    <mergeCell ref="AG5:AN6"/>
    <mergeCell ref="B3:AN3"/>
    <mergeCell ref="AX3:AY3"/>
    <mergeCell ref="AZ3:BC3"/>
    <mergeCell ref="B4:AJ4"/>
    <mergeCell ref="AK4:AN4"/>
    <mergeCell ref="AX4:AY4"/>
    <mergeCell ref="AZ4:BC4"/>
    <mergeCell ref="B5:B7"/>
    <mergeCell ref="C5:C7"/>
    <mergeCell ref="D5:D7"/>
    <mergeCell ref="E5:E7"/>
    <mergeCell ref="G5:G7"/>
    <mergeCell ref="F5:F7"/>
    <mergeCell ref="AZ2:BC2"/>
    <mergeCell ref="B1:AF1"/>
    <mergeCell ref="AQ1:AR1"/>
    <mergeCell ref="B2:AF2"/>
    <mergeCell ref="AH2:AN2"/>
    <mergeCell ref="AX2:AY2"/>
  </mergeCells>
  <phoneticPr fontId="9" type="noConversion"/>
  <conditionalFormatting sqref="AP9:AR36 AP37:AQ37 AR37:AR38">
    <cfRule type="expression" dxfId="96" priority="16">
      <formula>COUNTIF($AR9,"上班")&gt;=1</formula>
    </cfRule>
  </conditionalFormatting>
  <conditionalFormatting sqref="AG8:AG13 AI8:AI21 AK8:AK21 AM8:AN21">
    <cfRule type="expression" dxfId="95" priority="11">
      <formula>OR(VLOOKUP(AG8,$AP$9:$AR$40,3,0)="上班",VLOOKUP(AG8,$AP$9:$AR$40,3,0)="外宿")</formula>
    </cfRule>
  </conditionalFormatting>
  <conditionalFormatting sqref="AM8">
    <cfRule type="expression" dxfId="94" priority="10">
      <formula>OR(VLOOKUP(AM8,$AP$9:$AR$36,3,0)="上班",VLOOKUP(AM8,$AP$9:$AR$36,3,0)="外宿")</formula>
    </cfRule>
  </conditionalFormatting>
  <conditionalFormatting sqref="AS9:AS36">
    <cfRule type="notContainsText" dxfId="93" priority="2" operator="notContains" text="已排">
      <formula>ISERROR(SEARCH("已排",AS9))</formula>
    </cfRule>
  </conditionalFormatting>
  <conditionalFormatting sqref="AT9:AT36">
    <cfRule type="notContainsText" dxfId="92" priority="1" operator="notContains" text="已排">
      <formula>ISERROR(SEARCH("已排",AT9))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3" r:id="rId4" name="btn_CheckAll">
              <controlPr defaultSize="0" print="0" autoFill="0" autoPict="0" macro="[0]!執行檢查_重複與漏排">
                <anchor moveWithCells="1">
                  <from>
                    <xdr:col>49</xdr:col>
                    <xdr:colOff>0</xdr:colOff>
                    <xdr:row>5</xdr:row>
                    <xdr:rowOff>0</xdr:rowOff>
                  </from>
                  <to>
                    <xdr:col>51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CDA61-0444-4B71-ACB4-827517CF2F7C}">
  <sheetPr codeName="工作表20">
    <pageSetUpPr fitToPage="1"/>
  </sheetPr>
  <dimension ref="B1:BD40"/>
  <sheetViews>
    <sheetView showZeros="0" view="pageBreakPreview" zoomScale="55" zoomScaleNormal="55" zoomScaleSheetLayoutView="55" workbookViewId="0">
      <selection activeCell="R24" sqref="R24:R25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3" width="5.375" style="126" customWidth="1"/>
    <col min="4" max="4" width="6.25" style="126" customWidth="1"/>
    <col min="5" max="5" width="8" style="126" customWidth="1"/>
    <col min="6" max="6" width="5.375" style="126" customWidth="1"/>
    <col min="7" max="8" width="8.625" style="126" customWidth="1"/>
    <col min="9" max="12" width="5.375" style="126" customWidth="1"/>
    <col min="13" max="13" width="6.625" style="126" customWidth="1"/>
    <col min="14" max="31" width="5.375" style="126" customWidth="1"/>
    <col min="32" max="32" width="7.625" style="126" customWidth="1"/>
    <col min="33" max="33" width="10.625" style="126" customWidth="1"/>
    <col min="34" max="34" width="7.625" style="126" customWidth="1"/>
    <col min="35" max="35" width="10.625" style="126" customWidth="1"/>
    <col min="36" max="36" width="7.625" style="126" customWidth="1"/>
    <col min="37" max="37" width="10.625" style="126" customWidth="1"/>
    <col min="38" max="38" width="7.625" style="126" customWidth="1"/>
    <col min="39" max="39" width="10.625" style="126" customWidth="1"/>
    <col min="40" max="40" width="4.125" style="213" customWidth="1"/>
    <col min="41" max="47" width="11.625" style="126" customWidth="1"/>
    <col min="48" max="48" width="4.125" style="126" customWidth="1"/>
    <col min="49" max="49" width="16" style="126" customWidth="1"/>
    <col min="50" max="51" width="8.25" style="126" customWidth="1"/>
    <col min="52" max="52" width="4.125" style="126" customWidth="1"/>
    <col min="53" max="53" width="16" style="126" customWidth="1"/>
    <col min="54" max="54" width="8.25" style="126" customWidth="1"/>
    <col min="55" max="55" width="10.875" style="126" customWidth="1"/>
    <col min="56" max="58" width="4.125" style="126" customWidth="1"/>
    <col min="59" max="16384" width="11.25" style="126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27"/>
      <c r="AP1" s="399"/>
      <c r="AQ1" s="399"/>
      <c r="AR1" s="127"/>
      <c r="AS1" s="127"/>
      <c r="AT1" s="127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3" t="s">
        <v>178</v>
      </c>
      <c r="AR2" s="146" t="s">
        <v>228</v>
      </c>
      <c r="AS2" s="142"/>
      <c r="AT2" s="140"/>
      <c r="AU2" s="127"/>
      <c r="AV2" s="127"/>
      <c r="AW2" s="362" t="s">
        <v>127</v>
      </c>
      <c r="AX2" s="287"/>
      <c r="AY2" s="367" t="str">
        <f>_xlfn.XLOOKUP($AR$3,訓練!$L$13:$L$19,訓練!$M$13:$M$19,"")</f>
        <v>破壞器材操作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115年5月16日星期六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16</v>
      </c>
      <c r="AR3" s="141" t="str">
        <f>RIGHT(TEXT(1911+$AO$3&amp;"/"&amp;$AP$3&amp;"/"&amp;$AQ$3,"aaaa"),1)</f>
        <v>六</v>
      </c>
      <c r="AS3" s="145"/>
      <c r="AT3" s="145"/>
      <c r="AU3" s="127"/>
      <c r="AV3" s="127"/>
      <c r="AW3" s="362" t="s">
        <v>128</v>
      </c>
      <c r="AX3" s="287"/>
      <c r="AY3" s="368" t="str">
        <f>_xlfn.XLOOKUP($AR$3,訓練!$L$13:$L$19,訓練!$N$13:$N$19,"")</f>
        <v>入室搜救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27"/>
      <c r="AU4" s="127"/>
      <c r="AV4" s="127"/>
      <c r="AW4" s="362" t="s">
        <v>129</v>
      </c>
      <c r="AX4" s="287"/>
      <c r="AY4" s="363" t="str">
        <f>_xlfn.XLOOKUP($AR$3,訓練!$L$13:$L$19,訓練!$O$13:$O$19,"")</f>
        <v>五用氣體檢知器及CO探測器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3" t="s">
        <v>344</v>
      </c>
      <c r="E5" s="340" t="s">
        <v>401</v>
      </c>
      <c r="F5" s="340"/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394"/>
      <c r="E6" s="341"/>
      <c r="F6" s="341"/>
      <c r="G6" s="312"/>
      <c r="H6" s="312"/>
      <c r="I6" s="334" t="s">
        <v>227</v>
      </c>
      <c r="J6" s="335"/>
      <c r="K6" s="334" t="s">
        <v>192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2+7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394"/>
      <c r="E7" s="341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346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27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27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27" cm="1">
        <f t="array" ref="AO9:AP36">TRANSPOSE(輪休基準表!E4:AF5)</f>
        <v>1</v>
      </c>
      <c r="AP9" s="127" t="str">
        <v>鄧力嘉</v>
      </c>
      <c r="AQ9" s="127" t="str" cm="1">
        <f t="array" ref="AQ9">IFERROR(_xlfn.XLOOKUP(_xlfn.XLOOKUP($AQ$3,輪休基準表!$C$6:$C$36,_xlfn.XLOOKUP(AP9,輪休基準表!$E$5:$AF$5,輪休基準表!$E$6:$AF$36,""),""),班別參數!$A$4:$A$20,班別參數!$B$4:$B$20,""),"")</f>
        <v>輪休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/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 t="array" ref="AX9">IFERROR(INDEX(班別參數!$D$4:$S$20,MATCH(AW9,班別參數!$D$4:$D$20,0),MATCH($AS$6,班別參數!$D$4:$S$4,0)),"")</f>
        <v>A</v>
      </c>
      <c r="AY9" s="35">
        <v>11</v>
      </c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H,K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17,2</v>
      </c>
      <c r="BD9" s="127"/>
    </row>
    <row r="10" spans="2:56" ht="30" customHeight="1">
      <c r="B10" s="81" t="s">
        <v>70</v>
      </c>
      <c r="C10" s="87">
        <f>_xlfn.XLOOKUP(_xlfn.XLOOKUP($AS$6&amp;$B10,公表[班別+時段],公表[值班],""),$AX$9:$AX$25,$AY$9:$AY$25,"")</f>
        <v>11</v>
      </c>
      <c r="D10" s="95"/>
      <c r="E10" s="95"/>
      <c r="F10" s="95"/>
      <c r="G10" s="122">
        <v>17</v>
      </c>
      <c r="H10" s="37"/>
      <c r="I10" s="92">
        <v>23</v>
      </c>
      <c r="J10" s="92">
        <f>_xlfn.XLOOKUP(_xlfn.XLOOKUP($AS$6&amp;$B10,公表[班別+時段],公表[救護2],""),$AX$9:$AX$25,$AY$9:$AY$25,"")</f>
        <v>25</v>
      </c>
      <c r="K10" s="87"/>
      <c r="L10" s="87" t="s">
        <v>212</v>
      </c>
      <c r="M10" s="311"/>
      <c r="N10" s="87">
        <v>8</v>
      </c>
      <c r="O10" s="87">
        <f>_xlfn.XLOOKUP(_xlfn.XLOOKUP($AS$6&amp;$B10,公表[班別+時段],公表[備勤2],""),$AX$9:$AX$25,$AY$9:$AY$25,"")</f>
        <v>28</v>
      </c>
      <c r="P10" s="87"/>
      <c r="Q10" s="87">
        <v>21</v>
      </c>
      <c r="R10" s="87">
        <f>_xlfn.XLOOKUP(_xlfn.XLOOKUP($AS$6&amp;$B10,公表[班別+時段],公表[備勤4],""),$AX$9:$AX$25,$AY$9:$AY$25,"")</f>
        <v>0</v>
      </c>
      <c r="S10" s="87"/>
      <c r="T10" s="87">
        <v>4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87"/>
      <c r="AB10" s="87"/>
      <c r="AC10" s="87"/>
      <c r="AD10" s="87"/>
      <c r="AE10" s="88">
        <v>2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27">
        <v>2</v>
      </c>
      <c r="AP10" s="127" t="str">
        <v>莊勝斌</v>
      </c>
      <c r="AQ10" s="127" t="str" cm="1">
        <f t="array" ref="AQ10">IFERROR(_xlfn.XLOOKUP(_xlfn.XLOOKUP($AQ$3,輪休基準表!$C$6:$C$36,_xlfn.XLOOKUP(AP10,輪休基準表!$E$5:$AF$5,輪休基準表!$E$6:$AF$36,""),""),班別參數!$A$4:$A$20,班別參數!$B$4:$B$20,""),"")</f>
        <v>上班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>已排</v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>
        <v>8</v>
      </c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28</v>
      </c>
      <c r="BD10" s="127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11</v>
      </c>
      <c r="D11" s="95"/>
      <c r="E11" s="282" t="s">
        <v>402</v>
      </c>
      <c r="F11" s="95"/>
      <c r="G11" s="122">
        <v>17</v>
      </c>
      <c r="H11" s="296" t="str">
        <f>AY2</f>
        <v>破壞器材操作</v>
      </c>
      <c r="I11" s="92">
        <v>23</v>
      </c>
      <c r="J11" s="92">
        <f>_xlfn.XLOOKUP(_xlfn.XLOOKUP($AS$6&amp;$B11,公表[班別+時段],公表[救護2],""),$AX$9:$AX$25,$AY$9:$AY$25,"")</f>
        <v>25</v>
      </c>
      <c r="K11" s="87"/>
      <c r="L11" s="87" t="s">
        <v>212</v>
      </c>
      <c r="M11" s="312"/>
      <c r="N11" s="87">
        <v>8</v>
      </c>
      <c r="O11" s="87">
        <f>_xlfn.XLOOKUP(_xlfn.XLOOKUP($AS$6&amp;$B11,公表[班別+時段],公表[備勤2],""),$AX$9:$AX$25,$AY$9:$AY$25,"")</f>
        <v>28</v>
      </c>
      <c r="P11" s="87"/>
      <c r="Q11" s="87"/>
      <c r="R11" s="87">
        <f>_xlfn.XLOOKUP(_xlfn.XLOOKUP($AS$6&amp;$B11,公表[班別+時段],公表[備勤4],""),$AX$9:$AX$25,$AY$9:$AY$25,"")</f>
        <v>0</v>
      </c>
      <c r="S11" s="87"/>
      <c r="T11" s="87">
        <f>_xlfn.XLOOKUP(_xlfn.XLOOKUP($AS$6&amp;$B11,公表[班別+時段],公表[備勤5],""),$AX$9:$AX$25,$AY$9:$AY$25,"")</f>
        <v>0</v>
      </c>
      <c r="U11" s="87">
        <f>_xlfn.XLOOKUP(_xlfn.XLOOKUP($AS$6&amp;$B11,公表[班別+時段],公表[備勤6],""),$AX$9:$AX$25,$AY$9:$AY$25,"")</f>
        <v>0</v>
      </c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87"/>
      <c r="AB11" s="87"/>
      <c r="AC11" s="87"/>
      <c r="AD11" s="87"/>
      <c r="AE11" s="88">
        <f>_xlfn.XLOOKUP(_xlfn.XLOOKUP($AS$6&amp;$B11,公表[班別+時段],公表[指揮官],""),$AX$9:$AX$25,$AY$9:$AY$25,"")</f>
        <v>4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27">
        <v>3</v>
      </c>
      <c r="AP11" s="127" t="str">
        <v>孫子翔</v>
      </c>
      <c r="AQ11" s="127" t="str" cm="1">
        <f t="array" ref="AQ11">IFERROR(_xlfn.XLOOKUP(_xlfn.XLOOKUP($AQ$3,輪休基準表!$C$6:$C$36,_xlfn.XLOOKUP(AP11,輪休基準表!$E$5:$AF$5,輪休基準表!$E$6:$AF$36,""),""),班別參數!$A$4:$A$20,班別參數!$B$4:$B$20,""),"")</f>
        <v>輪休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/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>
        <v>25</v>
      </c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F</v>
      </c>
      <c r="BC11" s="39" t="str">
        <f t="shared" si="2"/>
        <v>21</v>
      </c>
      <c r="BD11" s="127"/>
    </row>
    <row r="12" spans="2:56" ht="30" customHeight="1">
      <c r="B12" s="81" t="s">
        <v>75</v>
      </c>
      <c r="C12" s="87">
        <f>_xlfn.XLOOKUP(_xlfn.XLOOKUP($AS$6&amp;$B12,公表[班別+時段],公表[值班],""),$AX$9:$AX$25,$AY$9:$AY$25,"")</f>
        <v>8</v>
      </c>
      <c r="D12" s="95"/>
      <c r="E12" s="95"/>
      <c r="F12" s="95"/>
      <c r="G12" s="122">
        <v>17</v>
      </c>
      <c r="H12" s="314"/>
      <c r="I12" s="92">
        <f>_xlfn.XLOOKUP(_xlfn.XLOOKUP($AS$6&amp;$B12,公表[班別+時段],公表[救護1],""),$AX$9:$AX$25,$AY$9:$AY$25,"")</f>
        <v>11</v>
      </c>
      <c r="J12" s="92">
        <v>21</v>
      </c>
      <c r="K12" s="92"/>
      <c r="L12" s="87" t="s">
        <v>212</v>
      </c>
      <c r="M12" s="312"/>
      <c r="N12" s="87">
        <v>28</v>
      </c>
      <c r="O12" s="87">
        <v>23</v>
      </c>
      <c r="P12" s="87"/>
      <c r="Q12" s="87">
        <f>_xlfn.XLOOKUP(_xlfn.XLOOKUP($AS$6&amp;$B12,公表[班別+時段],公表[備勤3],""),$AX$9:$AX$25,$AY$9:$AY$25,"")</f>
        <v>25</v>
      </c>
      <c r="R12" s="87">
        <f>_xlfn.XLOOKUP(_xlfn.XLOOKUP($AS$6&amp;$B12,公表[班別+時段],公表[備勤4],""),$AX$9:$AX$25,$AY$9:$AY$25,"")</f>
        <v>0</v>
      </c>
      <c r="S12" s="87"/>
      <c r="T12" s="87">
        <f>_xlfn.XLOOKUP(_xlfn.XLOOKUP($AS$6&amp;$B12,公表[班別+時段],公表[備勤5],""),$AX$9:$AX$25,$AY$9:$AY$25,"")</f>
        <v>4</v>
      </c>
      <c r="U12" s="87">
        <f>_xlfn.XLOOKUP(_xlfn.XLOOKUP($AS$6&amp;$B12,公表[班別+時段],公表[備勤6],""),$AX$9:$AX$25,$AY$9:$AY$25,"")</f>
        <v>0</v>
      </c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87"/>
      <c r="AC12" s="87"/>
      <c r="AD12" s="87"/>
      <c r="AE12" s="88">
        <f>_xlfn.XLOOKUP(_xlfn.XLOOKUP($AS$6&amp;$B12,公表[班別+時段],公表[指揮官],""),$AX$9:$AX$25,$AY$9:$AY$25,"")</f>
        <v>2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27">
        <v>4</v>
      </c>
      <c r="AP12" s="127" t="str">
        <v>簡永豐</v>
      </c>
      <c r="AQ12" s="127" t="str" cm="1">
        <f t="array" ref="AQ12">IFERROR(_xlfn.XLOOKUP(_xlfn.XLOOKUP($AQ$3,輪休基準表!$C$6:$C$36,_xlfn.XLOOKUP(AP12,輪休基準表!$E$5:$AF$5,輪休基準表!$E$6:$AF$36,""),""),班別參數!$A$4:$A$20,班別參數!$B$4:$B$20,""),"")</f>
        <v>上班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>已排</v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>
        <v>23</v>
      </c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27"/>
    </row>
    <row r="13" spans="2:56" ht="30" customHeight="1" thickBot="1">
      <c r="B13" s="82" t="s">
        <v>76</v>
      </c>
      <c r="C13" s="89">
        <f>_xlfn.XLOOKUP(_xlfn.XLOOKUP($AS$6&amp;$B13,公表[班別+時段],公表[值班],""),$AX$9:$AX$25,$AY$9:$AY$25,"")</f>
        <v>8</v>
      </c>
      <c r="D13" s="233"/>
      <c r="E13" s="96"/>
      <c r="F13" s="96"/>
      <c r="G13" s="123">
        <v>17</v>
      </c>
      <c r="H13" s="315"/>
      <c r="I13" s="216">
        <f>_xlfn.XLOOKUP(_xlfn.XLOOKUP($AS$6&amp;$B13,公表[班別+時段],公表[救護1],""),$AX$9:$AX$25,$AY$9:$AY$25,"")</f>
        <v>11</v>
      </c>
      <c r="J13" s="216">
        <v>21</v>
      </c>
      <c r="K13" s="105"/>
      <c r="L13" s="93" t="s">
        <v>212</v>
      </c>
      <c r="M13" s="312"/>
      <c r="N13" s="89">
        <v>28</v>
      </c>
      <c r="O13" s="89">
        <v>23</v>
      </c>
      <c r="P13" s="89"/>
      <c r="Q13" s="89">
        <f>_xlfn.XLOOKUP(_xlfn.XLOOKUP($AS$6&amp;$B13,公表[班別+時段],公表[備勤3],""),$AX$9:$AX$25,$AY$9:$AY$25,"")</f>
        <v>25</v>
      </c>
      <c r="R13" s="89">
        <f>_xlfn.XLOOKUP(_xlfn.XLOOKUP($AS$6&amp;$B13,公表[班別+時段],公表[備勤4],""),$AX$9:$AX$25,$AY$9:$AY$25,"")</f>
        <v>0</v>
      </c>
      <c r="S13" s="89"/>
      <c r="T13" s="89">
        <f>_xlfn.XLOOKUP(_xlfn.XLOOKUP($AS$6&amp;$B13,公表[班別+時段],公表[備勤5],""),$AX$9:$AX$25,$AY$9:$AY$25,"")</f>
        <v>4</v>
      </c>
      <c r="U13" s="89">
        <f>_xlfn.XLOOKUP(_xlfn.XLOOKUP($AS$6&amp;$B13,公表[班別+時段],公表[備勤6],""),$AX$9:$AX$25,$AY$9:$AY$25,"")</f>
        <v>0</v>
      </c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89"/>
      <c r="AC13" s="89"/>
      <c r="AD13" s="89"/>
      <c r="AE13" s="104">
        <f>_xlfn.XLOOKUP(_xlfn.XLOOKUP($AS$6&amp;$B13,公表[班別+時段],公表[指揮官],""),$AX$9:$AX$25,$AY$9:$AY$25,"")</f>
        <v>2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27">
        <v>5</v>
      </c>
      <c r="AP13" s="127" t="str">
        <v>張鴻志</v>
      </c>
      <c r="AQ13" s="127" t="str" cm="1">
        <f t="array" ref="AQ13">IFERROR(_xlfn.XLOOKUP(_xlfn.XLOOKUP($AQ$3,輪休基準表!$C$6:$C$36,_xlfn.XLOOKUP(AP13,輪休基準表!$E$5:$AF$5,輪休基準表!$E$6:$AF$36,""),""),班別參數!$A$4:$A$20,班別參數!$B$4:$B$20,""),"")</f>
        <v>輪休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/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>
        <v>28</v>
      </c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>11</v>
      </c>
      <c r="BD13" s="127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25</v>
      </c>
      <c r="D14" s="234"/>
      <c r="E14" s="97"/>
      <c r="F14" s="97"/>
      <c r="G14" s="121" t="str">
        <f>IF(BC11="","",BC11)</f>
        <v>21</v>
      </c>
      <c r="H14" s="55"/>
      <c r="I14" s="94">
        <f>_xlfn.XLOOKUP(_xlfn.XLOOKUP($AS$6&amp;$B14,公表[班別+時段],公表[救護1],""),$AX$9:$AX$25,$AY$9:$AY$25,"")</f>
        <v>8</v>
      </c>
      <c r="J14" s="94">
        <f>_xlfn.XLOOKUP(_xlfn.XLOOKUP($AS$6&amp;$B14,公表[班別+時段],公表[救護2],""),$AX$9:$AX$25,$AY$9:$AY$25,"")</f>
        <v>17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11</v>
      </c>
      <c r="O14" s="90">
        <f>_xlfn.XLOOKUP(_xlfn.XLOOKUP($AS$6&amp;$B14,公表[班別+時段],公表[備勤2],""),$AX$9:$AX$25,$AY$9:$AY$25,"")</f>
        <v>28</v>
      </c>
      <c r="P14" s="90"/>
      <c r="Q14" s="90">
        <f>_xlfn.XLOOKUP(_xlfn.XLOOKUP($AS$6&amp;$B14,公表[班別+時段],公表[備勤3],""),$AX$9:$AX$25,$AY$9:$AY$25,"")</f>
        <v>23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4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90"/>
      <c r="AC14" s="90"/>
      <c r="AD14" s="90"/>
      <c r="AE14" s="91">
        <f>_xlfn.XLOOKUP(_xlfn.XLOOKUP($AS$6&amp;$B14,公表[班別+時段],公表[指揮官],""),$AX$9:$AX$25,$AY$9:$AY$25,"")</f>
        <v>2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27">
        <v>6</v>
      </c>
      <c r="AP14" s="127" t="str">
        <v>吳宗耕</v>
      </c>
      <c r="AQ14" s="127" t="str" cm="1">
        <f t="array" ref="AQ14">IFERROR(_xlfn.XLOOKUP(_xlfn.XLOOKUP($AQ$3,輪休基準表!$C$6:$C$36,_xlfn.XLOOKUP(AP14,輪休基準表!$E$5:$AF$5,輪休基準表!$E$6:$AF$36,""),""),班別參數!$A$4:$A$20,班別參數!$B$4:$B$20,""),"")</f>
        <v>輪休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/>
      </c>
      <c r="AT14" s="180" t="str">
        <f t="shared" si="0"/>
        <v/>
      </c>
      <c r="AU14" s="180" t="str">
        <f t="shared" si="1"/>
        <v/>
      </c>
      <c r="AV14" s="25"/>
      <c r="AW14" s="33" t="str">
        <f t="array" ref="AW14">INDEX(班別參數!$D$4:$D$20,ROW()-7,MATCH($AW$8,班別參數!$D$4:$D$20,0))</f>
        <v>18-20</v>
      </c>
      <c r="AX14" s="34">
        <f t="array" ref="AX14">IFERROR(INDEX(班別參數!$D$4:$S$20,MATCH(AW14,班別參數!$D$4:$D$20,0),MATCH($AS$6,班別參數!$D$4:$S$4,0)),"")</f>
        <v>0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</v>
      </c>
      <c r="BC14" s="39" t="str">
        <f t="shared" si="2"/>
        <v>8</v>
      </c>
      <c r="BD14" s="127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25</v>
      </c>
      <c r="D15" s="235"/>
      <c r="E15" s="106"/>
      <c r="F15" s="96"/>
      <c r="G15" s="123" t="str">
        <f>IF(BC11="","",BC11)</f>
        <v>21</v>
      </c>
      <c r="H15" s="40"/>
      <c r="I15" s="216">
        <f>_xlfn.XLOOKUP(_xlfn.XLOOKUP($AS$6&amp;$B15,公表[班別+時段],公表[救護1],""),$AX$9:$AX$25,$AY$9:$AY$25,"")</f>
        <v>8</v>
      </c>
      <c r="J15" s="216">
        <f>_xlfn.XLOOKUP(_xlfn.XLOOKUP($AS$6&amp;$B15,公表[班別+時段],公表[救護2],""),$AX$9:$AX$25,$AY$9:$AY$25,"")</f>
        <v>17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11</v>
      </c>
      <c r="O15" s="89">
        <f>_xlfn.XLOOKUP(_xlfn.XLOOKUP($AS$6&amp;$B15,公表[班別+時段],公表[備勤2],""),$AX$9:$AX$25,$AY$9:$AY$25,"")</f>
        <v>28</v>
      </c>
      <c r="P15" s="89"/>
      <c r="Q15" s="89">
        <f>_xlfn.XLOOKUP(_xlfn.XLOOKUP($AS$6&amp;$B15,公表[班別+時段],公表[備勤3],""),$AX$9:$AX$25,$AY$9:$AY$25,"")</f>
        <v>23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4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89"/>
      <c r="AC15" s="89"/>
      <c r="AD15" s="89"/>
      <c r="AE15" s="104">
        <f>_xlfn.XLOOKUP(_xlfn.XLOOKUP($AS$6&amp;$B15,公表[班別+時段],公表[指揮官],""),$AX$9:$AX$25,$AY$9:$AY$25,"")</f>
        <v>2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27">
        <v>7</v>
      </c>
      <c r="AP15" s="127" t="str">
        <v>包華先</v>
      </c>
      <c r="AQ15" s="127" t="str" cm="1">
        <f t="array" ref="AQ15">IFERROR(_xlfn.XLOOKUP(_xlfn.XLOOKUP($AQ$3,輪休基準表!$C$6:$C$36,_xlfn.XLOOKUP(AP15,輪休基準表!$E$5:$AF$5,輪休基準表!$E$6:$AF$36,""),""),班別參數!$A$4:$A$20,班別參數!$B$4:$B$20,""),"")</f>
        <v>輪休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/>
      </c>
      <c r="AT15" s="180" t="str">
        <f t="shared" si="0"/>
        <v/>
      </c>
      <c r="AU15" s="180" t="str">
        <f t="shared" si="1"/>
        <v/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>
        <v>21</v>
      </c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>23</v>
      </c>
      <c r="BD15" s="127"/>
    </row>
    <row r="16" spans="2:56" ht="30" customHeight="1">
      <c r="B16" s="83" t="s">
        <v>79</v>
      </c>
      <c r="C16" s="90">
        <f>_xlfn.XLOOKUP(_xlfn.XLOOKUP($AS$6&amp;$B16,公表[班別+時段],公表[值班],""),$AX$9:$AX$25,$AY$9:$AY$25,"")</f>
        <v>23</v>
      </c>
      <c r="D16" s="446" t="s">
        <v>403</v>
      </c>
      <c r="E16" s="99"/>
      <c r="F16" s="98"/>
      <c r="G16" s="121" t="str">
        <f>IF(BC12="","",BC12)</f>
        <v/>
      </c>
      <c r="H16" s="316" t="str">
        <f>AY3</f>
        <v>入室搜救</v>
      </c>
      <c r="I16" s="94">
        <f>_xlfn.XLOOKUP(_xlfn.XLOOKUP($AS$6&amp;$B16,公表[班別+時段],公表[救護1],""),$AX$9:$AX$25,$AY$9:$AY$25,"")</f>
        <v>21</v>
      </c>
      <c r="J16" s="94">
        <f>_xlfn.XLOOKUP(_xlfn.XLOOKUP($AS$6&amp;$B16,公表[班別+時段],公表[救護2],""),$AX$9:$AX$25,$AY$9:$AY$25,"")</f>
        <v>17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8</v>
      </c>
      <c r="O16" s="90">
        <f>_xlfn.XLOOKUP(_xlfn.XLOOKUP($AS$6&amp;$B16,公表[班別+時段],公表[備勤2],""),$AX$9:$AX$25,$AY$9:$AY$25,"")</f>
        <v>25</v>
      </c>
      <c r="P16" s="90"/>
      <c r="Q16" s="90">
        <f>_xlfn.XLOOKUP(_xlfn.XLOOKUP($AS$6&amp;$B16,公表[班別+時段],公表[備勤3],""),$AX$9:$AX$25,$AY$9:$AY$25,"")</f>
        <v>11</v>
      </c>
      <c r="R16" s="90"/>
      <c r="S16" s="90"/>
      <c r="T16" s="90"/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90"/>
      <c r="AC16" s="90"/>
      <c r="AD16" s="90"/>
      <c r="AE16" s="91">
        <f>_xlfn.XLOOKUP(_xlfn.XLOOKUP($AS$6&amp;$B16,公表[班別+時段],公表[指揮官],""),$AX$9:$AX$25,$AY$9:$AY$25,"")</f>
        <v>2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27">
        <v>8</v>
      </c>
      <c r="AP16" s="127" t="str">
        <v>曾彥綸</v>
      </c>
      <c r="AQ16" s="127" t="str" cm="1">
        <f t="array" ref="AQ16">IFERROR(_xlfn.XLOOKUP(_xlfn.XLOOKUP($AQ$3,輪休基準表!$C$6:$C$36,_xlfn.XLOOKUP(AP16,輪休基準表!$E$5:$AF$5,輪休基準表!$E$6:$AF$36,""),""),班別參數!$A$4:$A$20,班別參數!$B$4:$B$20,""),"")</f>
        <v>上班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>已排</v>
      </c>
      <c r="AT16" s="180">
        <f t="shared" si="0"/>
        <v>8</v>
      </c>
      <c r="AU16" s="180">
        <f t="shared" si="1"/>
        <v>8</v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>
        <v>17</v>
      </c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27"/>
    </row>
    <row r="17" spans="2:56" ht="30" customHeight="1">
      <c r="B17" s="81" t="s">
        <v>80</v>
      </c>
      <c r="C17" s="87">
        <f>_xlfn.XLOOKUP(_xlfn.XLOOKUP($AS$6&amp;$B17,公表[班別+時段],公表[值班],""),$AX$9:$AX$25,$AY$9:$AY$25,"")</f>
        <v>23</v>
      </c>
      <c r="D17" s="410"/>
      <c r="E17" s="95"/>
      <c r="F17" s="100"/>
      <c r="G17" s="122" t="str">
        <f>IF(BC12="","",BC12)</f>
        <v/>
      </c>
      <c r="H17" s="314"/>
      <c r="I17" s="92">
        <f>_xlfn.XLOOKUP(_xlfn.XLOOKUP($AS$6&amp;$B17,公表[班別+時段],公表[救護1],""),$AX$9:$AX$25,$AY$9:$AY$25,"")</f>
        <v>21</v>
      </c>
      <c r="J17" s="92">
        <f>_xlfn.XLOOKUP(_xlfn.XLOOKUP($AS$6&amp;$B17,公表[班別+時段],公表[救護2],""),$AX$9:$AX$25,$AY$9:$AY$25,"")</f>
        <v>17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8</v>
      </c>
      <c r="O17" s="87">
        <f>_xlfn.XLOOKUP(_xlfn.XLOOKUP($AS$6&amp;$B17,公表[班別+時段],公表[備勤2],""),$AX$9:$AX$25,$AY$9:$AY$25,"")</f>
        <v>25</v>
      </c>
      <c r="P17" s="87"/>
      <c r="Q17" s="87">
        <f>_xlfn.XLOOKUP(_xlfn.XLOOKUP($AS$6&amp;$B17,公表[班別+時段],公表[備勤3],""),$AX$9:$AX$25,$AY$9:$AY$25,"")</f>
        <v>11</v>
      </c>
      <c r="R17" s="87"/>
      <c r="S17" s="87"/>
      <c r="T17" s="87"/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87"/>
      <c r="AC17" s="87"/>
      <c r="AD17" s="87"/>
      <c r="AE17" s="88">
        <f>_xlfn.XLOOKUP(_xlfn.XLOOKUP($AS$6&amp;$B17,公表[班別+時段],公表[指揮官],""),$AX$9:$AX$25,$AY$9:$AY$25,"")</f>
        <v>2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27">
        <v>9</v>
      </c>
      <c r="AP17" s="127" t="str">
        <v>鍾佳諭</v>
      </c>
      <c r="AQ17" s="127" t="str" cm="1">
        <f t="array" ref="AQ17">IFERROR(_xlfn.XLOOKUP(_xlfn.XLOOKUP($AQ$3,輪休基準表!$C$6:$C$36,_xlfn.XLOOKUP(AP17,輪休基準表!$E$5:$AF$5,輪休基準表!$E$6:$AF$36,""),""),班別參數!$A$4:$A$20,班別參數!$B$4:$B$20,""),"")</f>
        <v>輪休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/>
      </c>
      <c r="AT17" s="180" t="str">
        <f t="shared" si="0"/>
        <v/>
      </c>
      <c r="AU17" s="180" t="str">
        <f t="shared" si="1"/>
        <v/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27"/>
    </row>
    <row r="18" spans="2:56" ht="30" customHeight="1">
      <c r="B18" s="81" t="s">
        <v>81</v>
      </c>
      <c r="C18" s="87">
        <f>_xlfn.XLOOKUP(_xlfn.XLOOKUP($AS$6&amp;$B18,公表[班別+時段],公表[值班],""),$AX$9:$AX$25,$AY$9:$AY$25,"")</f>
        <v>28</v>
      </c>
      <c r="D18" s="100"/>
      <c r="E18" s="95"/>
      <c r="F18" s="100"/>
      <c r="G18" s="122" t="str">
        <f>IF(BC13="","",BC13)</f>
        <v>11</v>
      </c>
      <c r="H18" s="297"/>
      <c r="I18" s="92">
        <f>_xlfn.XLOOKUP(_xlfn.XLOOKUP($AS$6&amp;$B18,公表[班別+時段],公表[救護1],""),$AX$9:$AX$25,$AY$9:$AY$25,"")</f>
        <v>21</v>
      </c>
      <c r="J18" s="92">
        <f>_xlfn.XLOOKUP(_xlfn.XLOOKUP($AS$6&amp;$B18,公表[班別+時段],公表[救護2],""),$AX$9:$AX$25,$AY$9:$AY$25,"")</f>
        <v>25</v>
      </c>
      <c r="K18" s="92"/>
      <c r="L18" s="87" t="s">
        <v>212</v>
      </c>
      <c r="M18" s="312"/>
      <c r="N18" s="87">
        <f>_xlfn.XLOOKUP(_xlfn.XLOOKUP($AS$6&amp;$B18,公表[班別+時段],公表[備勤1],""),$AX$9:$AX$25,$AY$9:$AY$25,"")</f>
        <v>23</v>
      </c>
      <c r="O18" s="87">
        <f>_xlfn.XLOOKUP(_xlfn.XLOOKUP($AS$6&amp;$B18,公表[班別+時段],公表[備勤2],""),$AX$9:$AX$25,$AY$9:$AY$25,"")</f>
        <v>17</v>
      </c>
      <c r="P18" s="87"/>
      <c r="Q18" s="87">
        <f>_xlfn.XLOOKUP(_xlfn.XLOOKUP($AS$6&amp;$B18,公表[班別+時段],公表[備勤3],""),$AX$9:$AX$25,$AY$9:$AY$25,"")</f>
        <v>8</v>
      </c>
      <c r="R18" s="87">
        <f>_xlfn.XLOOKUP(_xlfn.XLOOKUP($AS$6&amp;$B18,公表[班別+時段],公表[備勤4],""),$AX$9:$AX$25,$AY$9:$AY$25,"")</f>
        <v>0</v>
      </c>
      <c r="S18" s="87"/>
      <c r="T18" s="87">
        <f>_xlfn.XLOOKUP(_xlfn.XLOOKUP($AS$6&amp;$B18,公表[班別+時段],公表[備勤5],""),$AX$9:$AX$25,$AY$9:$AY$25,"")</f>
        <v>4</v>
      </c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87"/>
      <c r="AC18" s="87"/>
      <c r="AD18" s="87"/>
      <c r="AE18" s="88">
        <f>_xlfn.XLOOKUP(_xlfn.XLOOKUP($AS$6&amp;$B18,公表[班別+時段],公表[指揮官],""),$AX$9:$AX$25,$AY$9:$AY$25,"")</f>
        <v>2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27">
        <v>10</v>
      </c>
      <c r="AP18" s="127" t="str">
        <v>林宏澤</v>
      </c>
      <c r="AQ18" s="127" t="str" cm="1">
        <f t="array" ref="AQ18">IFERROR(_xlfn.XLOOKUP(_xlfn.XLOOKUP($AQ$3,輪休基準表!$C$6:$C$36,_xlfn.XLOOKUP(AP18,輪休基準表!$E$5:$AF$5,輪休基準表!$E$6:$AF$36,""),""),班別參數!$A$4:$A$20,班別參數!$B$4:$B$20,""),"")</f>
        <v>輪休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/>
      </c>
      <c r="AT18" s="180" t="str">
        <f t="shared" si="0"/>
        <v/>
      </c>
      <c r="AU18" s="180" t="str">
        <f t="shared" si="1"/>
        <v/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27"/>
    </row>
    <row r="19" spans="2:56" ht="30" customHeight="1" thickBot="1">
      <c r="B19" s="110" t="s">
        <v>82</v>
      </c>
      <c r="C19" s="89">
        <f>_xlfn.XLOOKUP(_xlfn.XLOOKUP($AS$6&amp;$B19,公表[班別+時段],公表[值班],""),$AX$9:$AX$25,$AY$9:$AY$25,"")</f>
        <v>28</v>
      </c>
      <c r="D19" s="106"/>
      <c r="E19" s="96"/>
      <c r="F19" s="236"/>
      <c r="G19" s="123" t="str">
        <f>IF(BC13="","",BC13)</f>
        <v>11</v>
      </c>
      <c r="H19" s="107"/>
      <c r="I19" s="216">
        <f>_xlfn.XLOOKUP(_xlfn.XLOOKUP($AS$6&amp;$B19,公表[班別+時段],公表[救護1],""),$AX$9:$AX$25,$AY$9:$AY$25,"")</f>
        <v>21</v>
      </c>
      <c r="J19" s="216">
        <f>_xlfn.XLOOKUP(_xlfn.XLOOKUP($AS$6&amp;$B19,公表[班別+時段],公表[救護2],""),$AX$9:$AX$25,$AY$9:$AY$25,"")</f>
        <v>25</v>
      </c>
      <c r="K19" s="105"/>
      <c r="L19" s="93" t="s">
        <v>212</v>
      </c>
      <c r="M19" s="312"/>
      <c r="N19" s="89">
        <f>_xlfn.XLOOKUP(_xlfn.XLOOKUP($AS$6&amp;$B19,公表[班別+時段],公表[備勤1],""),$AX$9:$AX$25,$AY$9:$AY$25,"")</f>
        <v>23</v>
      </c>
      <c r="O19" s="89">
        <f>_xlfn.XLOOKUP(_xlfn.XLOOKUP($AS$6&amp;$B19,公表[班別+時段],公表[備勤2],""),$AX$9:$AX$25,$AY$9:$AY$25,"")</f>
        <v>17</v>
      </c>
      <c r="P19" s="89"/>
      <c r="Q19" s="89">
        <f>_xlfn.XLOOKUP(_xlfn.XLOOKUP($AS$6&amp;$B19,公表[班別+時段],公表[備勤3],""),$AX$9:$AX$25,$AY$9:$AY$25,"")</f>
        <v>8</v>
      </c>
      <c r="R19" s="89">
        <f>_xlfn.XLOOKUP(_xlfn.XLOOKUP($AS$6&amp;$B19,公表[班別+時段],公表[備勤4],""),$AX$9:$AX$25,$AY$9:$AY$25,"")</f>
        <v>0</v>
      </c>
      <c r="S19" s="89"/>
      <c r="T19" s="89">
        <f>_xlfn.XLOOKUP(_xlfn.XLOOKUP($AS$6&amp;$B19,公表[班別+時段],公表[備勤5],""),$AX$9:$AX$25,$AY$9:$AY$25,"")</f>
        <v>4</v>
      </c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89"/>
      <c r="AC19" s="89"/>
      <c r="AD19" s="89"/>
      <c r="AE19" s="104">
        <f>_xlfn.XLOOKUP(_xlfn.XLOOKUP($AS$6&amp;$B19,公表[班別+時段],公表[指揮官],""),$AX$9:$AX$25,$AY$9:$AY$25,"")</f>
        <v>2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27">
        <v>11</v>
      </c>
      <c r="AP19" s="127" t="str">
        <v>簡君諺</v>
      </c>
      <c r="AQ19" s="127" t="str" cm="1">
        <f t="array" ref="AQ19">IFERROR(_xlfn.XLOOKUP(_xlfn.XLOOKUP($AQ$3,輪休基準表!$C$6:$C$36,_xlfn.XLOOKUP(AP19,輪休基準表!$E$5:$AF$5,輪休基準表!$E$6:$AF$36,""),""),班別參數!$A$4:$A$20,班別參數!$B$4:$B$20,""),"")</f>
        <v>上班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>已排</v>
      </c>
      <c r="AT19" s="180">
        <f t="shared" si="0"/>
        <v>6</v>
      </c>
      <c r="AU19" s="180">
        <f t="shared" si="1"/>
        <v>8</v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:AY20">IF(AX19="","",_xlfn._xlws.FILTER($AO$9:$AO$13,$AQ$9:$AQ$13="上班",""))</f>
        <v>2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27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4</v>
      </c>
      <c r="D20" s="97"/>
      <c r="E20" s="97"/>
      <c r="F20" s="97"/>
      <c r="G20" s="121" t="str">
        <f>IF(BC14="","",BC14)</f>
        <v>8</v>
      </c>
      <c r="H20" s="55"/>
      <c r="I20" s="94">
        <f>_xlfn.XLOOKUP(_xlfn.XLOOKUP($AS$6&amp;$B20,公表[班別+時段],公表[救護1],""),$AX$9:$AX$25,$AY$9:$AY$25,"")</f>
        <v>28</v>
      </c>
      <c r="J20" s="94">
        <f>_xlfn.XLOOKUP(_xlfn.XLOOKUP($AS$6&amp;$B20,公表[班別+時段],公表[救護2],""),$AX$9:$AX$25,$AY$9:$AY$25,"")</f>
        <v>17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25</v>
      </c>
      <c r="O20" s="90">
        <f>_xlfn.XLOOKUP(_xlfn.XLOOKUP($AS$6&amp;$B20,公表[班別+時段],公表[備勤2],""),$AX$9:$AX$25,$AY$9:$AY$25,"")</f>
        <v>11</v>
      </c>
      <c r="P20" s="90"/>
      <c r="Q20" s="90">
        <f>_xlfn.XLOOKUP(_xlfn.XLOOKUP($AS$6&amp;$B20,公表[班別+時段],公表[備勤3],""),$AX$9:$AX$25,$AY$9:$AY$25,"")</f>
        <v>23</v>
      </c>
      <c r="R20" s="90">
        <f>_xlfn.XLOOKUP(_xlfn.XLOOKUP($AS$6&amp;$B20,公表[班別+時段],公表[備勤4],""),$AX$9:$AX$25,$AY$9:$AY$25,"")</f>
        <v>21</v>
      </c>
      <c r="S20" s="90"/>
      <c r="T20" s="90">
        <f>_xlfn.XLOOKUP(_xlfn.XLOOKUP($AS$6&amp;$B20,公表[班別+時段],公表[備勤5],""),$AX$9:$AX$25,$AY$9:$AY$25,"")</f>
        <v>0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90"/>
      <c r="AC20" s="90"/>
      <c r="AD20" s="90"/>
      <c r="AE20" s="91">
        <f>_xlfn.XLOOKUP(_xlfn.XLOOKUP($AS$6&amp;$B20,公表[班別+時段],公表[指揮官],""),$AX$9:$AX$25,$AY$9:$AY$25,"")</f>
        <v>2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27">
        <v>12</v>
      </c>
      <c r="AP20" s="127" t="str">
        <v>王昱勛</v>
      </c>
      <c r="AQ20" s="127" t="str" cm="1">
        <f t="array" ref="AQ20">IFERROR(_xlfn.XLOOKUP(_xlfn.XLOOKUP($AQ$3,輪休基準表!$C$6:$C$36,_xlfn.XLOOKUP(AP20,輪休基準表!$E$5:$AF$5,輪休基準表!$E$6:$AF$36,""),""),班別參數!$A$4:$A$20,班別參數!$B$4:$B$20,""),"")</f>
        <v>輪休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/>
      </c>
      <c r="AT20" s="180" t="str">
        <f t="shared" si="0"/>
        <v/>
      </c>
      <c r="AU20" s="180" t="str">
        <f t="shared" si="1"/>
        <v/>
      </c>
      <c r="AV20" s="25"/>
      <c r="AW20" s="33" t="str">
        <f t="array" ref="AW20">INDEX(班別參數!$D$4:$D$20,ROW()-7,MATCH($AW$8,班別參數!$D$4:$D$20,0))</f>
        <v>帶隊官</v>
      </c>
      <c r="AX20" s="34" t="str">
        <f t="array" ref="AX20">IFERROR(INDEX(班別參數!$D$4:$S$20,MATCH(AW20,班別參數!$D$4:$D$20,0),MATCH($AS$6,班別參數!$D$4:$S$4,0)),"")</f>
        <v>L</v>
      </c>
      <c r="AY20" s="38">
        <v>4</v>
      </c>
      <c r="AZ20" s="32"/>
      <c r="BA20" s="33" t="s">
        <v>67</v>
      </c>
      <c r="BB20" s="34" t="str">
        <f t="array" ref="BB20">IFERROR(INDEX(班別參數!$D$23:$S$35,MATCH(BA20,班別參數!$D$23:$D$35,0),MATCH($AS$6,班別參數!$D$23:$S$23,0)),"")</f>
        <v>G,L</v>
      </c>
      <c r="BC20" s="41" t="str">
        <f t="shared" si="2"/>
        <v>25,4</v>
      </c>
      <c r="BD20" s="127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4</v>
      </c>
      <c r="D21" s="95"/>
      <c r="E21" s="95"/>
      <c r="F21" s="95"/>
      <c r="G21" s="122" t="str">
        <f>IF(BC14="","",BC14)</f>
        <v>8</v>
      </c>
      <c r="H21" s="296" t="str">
        <f>AY4</f>
        <v>五用氣體檢知器及CO探測器</v>
      </c>
      <c r="I21" s="92">
        <f>_xlfn.XLOOKUP(_xlfn.XLOOKUP($AS$6&amp;$B21,公表[班別+時段],公表[救護1],""),$AX$9:$AX$25,$AY$9:$AY$25,"")</f>
        <v>28</v>
      </c>
      <c r="J21" s="92">
        <f>_xlfn.XLOOKUP(_xlfn.XLOOKUP($AS$6&amp;$B21,公表[班別+時段],公表[救護2],""),$AX$9:$AX$25,$AY$9:$AY$25,"")</f>
        <v>17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25</v>
      </c>
      <c r="O21" s="87">
        <f>_xlfn.XLOOKUP(_xlfn.XLOOKUP($AS$6&amp;$B21,公表[班別+時段],公表[備勤2],""),$AX$9:$AX$25,$AY$9:$AY$25,"")</f>
        <v>11</v>
      </c>
      <c r="P21" s="87"/>
      <c r="Q21" s="87">
        <f>_xlfn.XLOOKUP(_xlfn.XLOOKUP($AS$6&amp;$B21,公表[班別+時段],公表[備勤3],""),$AX$9:$AX$25,$AY$9:$AY$25,"")</f>
        <v>23</v>
      </c>
      <c r="R21" s="87">
        <f>_xlfn.XLOOKUP(_xlfn.XLOOKUP($AS$6&amp;$B21,公表[班別+時段],公表[備勤4],""),$AX$9:$AX$25,$AY$9:$AY$25,"")</f>
        <v>21</v>
      </c>
      <c r="S21" s="87"/>
      <c r="T21" s="87">
        <f>_xlfn.XLOOKUP(_xlfn.XLOOKUP($AS$6&amp;$B21,公表[班別+時段],公表[備勤5],""),$AX$9:$AX$25,$AY$9:$AY$25,"")</f>
        <v>0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87"/>
      <c r="AC21" s="87"/>
      <c r="AD21" s="87"/>
      <c r="AE21" s="88">
        <f>_xlfn.XLOOKUP(_xlfn.XLOOKUP($AS$6&amp;$B21,公表[班別+時段],公表[指揮官],""),$AX$9:$AX$25,$AY$9:$AY$25,"")</f>
        <v>2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27">
        <v>13</v>
      </c>
      <c r="AP21" s="127" t="str">
        <v>葉宗哲</v>
      </c>
      <c r="AQ21" s="127" t="str" cm="1">
        <f t="array" ref="AQ21">IFERROR(_xlfn.XLOOKUP(_xlfn.XLOOKUP($AQ$3,輪休基準表!$C$6:$C$36,_xlfn.XLOOKUP(AP21,輪休基準表!$E$5:$AF$5,輪休基準表!$E$6:$AF$36,""),""),班別參數!$A$4:$A$20,班別參數!$B$4:$B$20,""),"")</f>
        <v>輪休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/>
      </c>
      <c r="AT21" s="180" t="str">
        <f t="shared" si="0"/>
        <v/>
      </c>
      <c r="AU21" s="180" t="str">
        <f t="shared" si="1"/>
        <v/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27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21</v>
      </c>
      <c r="D22" s="95"/>
      <c r="E22" s="95"/>
      <c r="F22" s="95"/>
      <c r="G22" s="122" t="str">
        <f>IF(BC15="","",BC15)</f>
        <v>23</v>
      </c>
      <c r="H22" s="297"/>
      <c r="I22" s="92">
        <f>_xlfn.XLOOKUP(_xlfn.XLOOKUP($AS$6&amp;$B22,公表[班別+時段],公表[救護1],""),$AX$9:$AX$25,$AY$9:$AY$25,"")</f>
        <v>8</v>
      </c>
      <c r="J22" s="92">
        <f>_xlfn.XLOOKUP(_xlfn.XLOOKUP($AS$6&amp;$B22,公表[班別+時段],公表[救護2],""),$AX$9:$AX$25,$AY$9:$AY$25,"")</f>
        <v>25</v>
      </c>
      <c r="K22" s="92"/>
      <c r="L22" s="87" t="s">
        <v>212</v>
      </c>
      <c r="M22" s="312"/>
      <c r="N22" s="87">
        <f>_xlfn.XLOOKUP(_xlfn.XLOOKUP($AS$6&amp;$B22,公表[班別+時段],公表[備勤1],""),$AX$9:$AX$25,$AY$9:$AY$25,"")</f>
        <v>11</v>
      </c>
      <c r="O22" s="87">
        <f>_xlfn.XLOOKUP(_xlfn.XLOOKUP($AS$6&amp;$B22,公表[班別+時段],公表[備勤2],""),$AX$9:$AX$25,$AY$9:$AY$25,"")</f>
        <v>28</v>
      </c>
      <c r="P22" s="87"/>
      <c r="Q22" s="87">
        <f>_xlfn.XLOOKUP(_xlfn.XLOOKUP($AS$6&amp;$B22,公表[班別+時段],公表[備勤3],""),$AX$9:$AX$25,$AY$9:$AY$25,"")</f>
        <v>17</v>
      </c>
      <c r="R22" s="87">
        <f>_xlfn.XLOOKUP(_xlfn.XLOOKUP($AS$6&amp;$B22,公表[班別+時段],公表[備勤4],""),$AX$9:$AX$25,$AY$9:$AY$25,"")</f>
        <v>0</v>
      </c>
      <c r="S22" s="87"/>
      <c r="T22" s="87">
        <f>_xlfn.XLOOKUP(_xlfn.XLOOKUP($AS$6&amp;$B22,公表[班別+時段],公表[備勤5],""),$AX$9:$AX$25,$AY$9:$AY$25,"")</f>
        <v>4</v>
      </c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87"/>
      <c r="AC22" s="87"/>
      <c r="AD22" s="87"/>
      <c r="AE22" s="88">
        <f>_xlfn.XLOOKUP(_xlfn.XLOOKUP($AS$6&amp;$B22,公表[班別+時段],公表[指揮官],""),$AX$9:$AX$25,$AY$9:$AY$25,"")</f>
        <v>2</v>
      </c>
      <c r="AF22" s="57" t="s">
        <v>213</v>
      </c>
      <c r="AG22" s="305" t="str" cm="1">
        <f t="array" ref="AG22">_xlfn.TEXTJOIN(".",1,_xlfn._xlws.FILTER($AO$9:$AO$40,$AQ$9:$AQ$40="上班",""))</f>
        <v>2.4.8.11.17.21.23.25.28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27">
        <v>14</v>
      </c>
      <c r="AP22" s="127" t="str">
        <v>王浩任</v>
      </c>
      <c r="AQ22" s="127" t="str" cm="1">
        <f t="array" ref="AQ22">IFERROR(_xlfn.XLOOKUP(_xlfn.XLOOKUP($AQ$3,輪休基準表!$C$6:$C$36,_xlfn.XLOOKUP(AP22,輪休基準表!$E$5:$AF$5,輪休基準表!$E$6:$AF$36,""),""),班別參數!$A$4:$A$20,班別參數!$B$4:$B$20,""),"")</f>
        <v>月補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/>
      </c>
      <c r="AT22" s="180" t="str">
        <f t="shared" si="0"/>
        <v/>
      </c>
      <c r="AU22" s="180" t="str">
        <f t="shared" si="1"/>
        <v/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27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21</v>
      </c>
      <c r="D23" s="106"/>
      <c r="E23" s="96"/>
      <c r="F23" s="96"/>
      <c r="G23" s="123" t="str">
        <f>IF(BC15="","",BC15)</f>
        <v>23</v>
      </c>
      <c r="H23" s="107"/>
      <c r="I23" s="216">
        <f>_xlfn.XLOOKUP(_xlfn.XLOOKUP($AS$6&amp;$B23,公表[班別+時段],公表[救護1],""),$AX$9:$AX$25,$AY$9:$AY$25,"")</f>
        <v>8</v>
      </c>
      <c r="J23" s="216">
        <f>_xlfn.XLOOKUP(_xlfn.XLOOKUP($AS$6&amp;$B23,公表[班別+時段],公表[救護2],""),$AX$9:$AX$25,$AY$9:$AY$25,"")</f>
        <v>25</v>
      </c>
      <c r="K23" s="105"/>
      <c r="L23" s="93" t="s">
        <v>212</v>
      </c>
      <c r="M23" s="312"/>
      <c r="N23" s="89">
        <f>_xlfn.XLOOKUP(_xlfn.XLOOKUP($AS$6&amp;$B23,公表[班別+時段],公表[備勤1],""),$AX$9:$AX$25,$AY$9:$AY$25,"")</f>
        <v>11</v>
      </c>
      <c r="O23" s="89">
        <f>_xlfn.XLOOKUP(_xlfn.XLOOKUP($AS$6&amp;$B23,公表[班別+時段],公表[備勤2],""),$AX$9:$AX$25,$AY$9:$AY$25,"")</f>
        <v>28</v>
      </c>
      <c r="P23" s="89"/>
      <c r="Q23" s="89">
        <f>_xlfn.XLOOKUP(_xlfn.XLOOKUP($AS$6&amp;$B23,公表[班別+時段],公表[備勤3],""),$AX$9:$AX$25,$AY$9:$AY$25,"")</f>
        <v>17</v>
      </c>
      <c r="R23" s="89">
        <f>_xlfn.XLOOKUP(_xlfn.XLOOKUP($AS$6&amp;$B23,公表[班別+時段],公表[備勤4],""),$AX$9:$AX$25,$AY$9:$AY$25,"")</f>
        <v>0</v>
      </c>
      <c r="S23" s="89"/>
      <c r="T23" s="89">
        <f>_xlfn.XLOOKUP(_xlfn.XLOOKUP($AS$6&amp;$B23,公表[班別+時段],公表[備勤5],""),$AX$9:$AX$25,$AY$9:$AY$25,"")</f>
        <v>4</v>
      </c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89"/>
      <c r="AC23" s="89"/>
      <c r="AD23" s="89"/>
      <c r="AE23" s="104">
        <f>_xlfn.XLOOKUP(_xlfn.XLOOKUP($AS$6&amp;$B23,公表[班別+時段],公表[指揮官],""),$AX$9:$AX$25,$AY$9:$AY$25,"")</f>
        <v>2</v>
      </c>
      <c r="AF23" s="57" t="s">
        <v>6</v>
      </c>
      <c r="AG23" s="305" t="str" cm="1">
        <f t="array" ref="AG23">_xlfn.TEXTJOIN(".",1,_xlfn._xlws.FILTER($AO$9:$AO$40,$AQ$9:$AQ$40=$AF$23,""))</f>
        <v>1.3.5.6.7.9.10.12.13.15.16.18.20.22.24.27</v>
      </c>
      <c r="AH23" s="400"/>
      <c r="AI23" s="400"/>
      <c r="AJ23" s="400"/>
      <c r="AK23" s="400"/>
      <c r="AL23" s="400"/>
      <c r="AM23" s="401"/>
      <c r="AN23" s="214"/>
      <c r="AO23" s="127">
        <v>15</v>
      </c>
      <c r="AP23" s="127" t="str">
        <v>李仕詮</v>
      </c>
      <c r="AQ23" s="127" t="str" cm="1">
        <f t="array" ref="AQ23">IFERROR(_xlfn.XLOOKUP(_xlfn.XLOOKUP($AQ$3,輪休基準表!$C$6:$C$36,_xlfn.XLOOKUP(AP23,輪休基準表!$E$5:$AF$5,輪休基準表!$E$6:$AF$36,""),""),班別參數!$A$4:$A$20,班別參數!$B$4:$B$20,""),"")</f>
        <v>輪休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/>
      </c>
      <c r="AT23" s="180" t="str">
        <f t="shared" si="0"/>
        <v/>
      </c>
      <c r="AU23" s="180" t="str">
        <f t="shared" si="1"/>
        <v/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27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17</v>
      </c>
      <c r="D24" s="97"/>
      <c r="E24" s="97"/>
      <c r="F24" s="97"/>
      <c r="G24" s="121">
        <v>28</v>
      </c>
      <c r="H24" s="55"/>
      <c r="I24" s="94">
        <f>_xlfn.XLOOKUP(_xlfn.XLOOKUP($AS$6&amp;$B24,公表[班別+時段],公表[救護1],""),$AX$9:$AX$25,$AY$9:$AY$25,"")</f>
        <v>21</v>
      </c>
      <c r="J24" s="94">
        <f>_xlfn.XLOOKUP(_xlfn.XLOOKUP($AS$6&amp;$B24,公表[班別+時段],公表[救護2],""),$AX$9:$AX$25,$AY$9:$AY$25,"")</f>
        <v>23</v>
      </c>
      <c r="K24" s="90"/>
      <c r="L24" s="90" t="s">
        <v>212</v>
      </c>
      <c r="M24" s="312"/>
      <c r="N24" s="90">
        <f>_xlfn.XLOOKUP(_xlfn.XLOOKUP($AS$6&amp;$B24,公表[班別+時段],公表[備勤1],""),$AX$9:$AX$25,$AY$9:$AY$25,"")</f>
        <v>8</v>
      </c>
      <c r="O24" s="90">
        <f>_xlfn.XLOOKUP(_xlfn.XLOOKUP($AS$6&amp;$B24,公表[班別+時段],公表[備勤2],""),$AX$9:$AX$25,$AY$9:$AY$25,"")</f>
        <v>25</v>
      </c>
      <c r="P24" s="90"/>
      <c r="Q24" s="90">
        <f>_xlfn.XLOOKUP(_xlfn.XLOOKUP($AS$6&amp;$B24,公表[班別+時段],公表[備勤3],""),$AX$9:$AX$25,$AY$9:$AY$25,"")</f>
        <v>11</v>
      </c>
      <c r="R24" s="90"/>
      <c r="S24" s="90"/>
      <c r="T24" s="90">
        <f>_xlfn.XLOOKUP(_xlfn.XLOOKUP($AS$6&amp;$B24,公表[班別+時段],公表[備勤5],""),$AX$9:$AX$25,$AY$9:$AY$25,"")</f>
        <v>4</v>
      </c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90"/>
      <c r="AC24" s="90"/>
      <c r="AD24" s="90"/>
      <c r="AE24" s="91">
        <f>_xlfn.XLOOKUP(_xlfn.XLOOKUP($AS$6&amp;$B24,公表[班別+時段],公表[指揮官],""),$AX$9:$AX$25,$AY$9:$AY$25,"")</f>
        <v>2</v>
      </c>
      <c r="AF24" s="57" t="s">
        <v>17</v>
      </c>
      <c r="AG24" s="305" t="str" cm="1">
        <f t="array" ref="AG24">_xlfn.TEXTJOIN(".",1,_xlfn._xlws.FILTER($AO$9:$AO$40,$AQ$9:$AQ$40=$AF$24,""))</f>
        <v>14.19</v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>26</v>
      </c>
      <c r="AL24" s="400"/>
      <c r="AM24" s="401"/>
      <c r="AN24" s="214"/>
      <c r="AO24" s="127">
        <v>16</v>
      </c>
      <c r="AP24" s="127" t="str">
        <v>楊弘宇</v>
      </c>
      <c r="AQ24" s="127" t="str" cm="1">
        <f t="array" ref="AQ24">IFERROR(_xlfn.XLOOKUP(_xlfn.XLOOKUP($AQ$3,輪休基準表!$C$6:$C$36,_xlfn.XLOOKUP(AP24,輪休基準表!$E$5:$AF$5,輪休基準表!$E$6:$AF$36,""),""),班別參數!$A$4:$A$20,班別參數!$B$4:$B$20,""),"")</f>
        <v>輪休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/>
      </c>
      <c r="AT24" s="180" t="str">
        <f t="shared" si="0"/>
        <v/>
      </c>
      <c r="AU24" s="180" t="str">
        <f t="shared" si="1"/>
        <v/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27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17</v>
      </c>
      <c r="D25" s="95"/>
      <c r="E25" s="95"/>
      <c r="F25" s="95"/>
      <c r="G25" s="122">
        <v>28</v>
      </c>
      <c r="H25" s="37"/>
      <c r="I25" s="92">
        <f>_xlfn.XLOOKUP(_xlfn.XLOOKUP($AS$6&amp;$B25,公表[班別+時段],公表[救護1],""),$AX$9:$AX$25,$AY$9:$AY$25,"")</f>
        <v>21</v>
      </c>
      <c r="J25" s="92">
        <f>_xlfn.XLOOKUP(_xlfn.XLOOKUP($AS$6&amp;$B25,公表[班別+時段],公表[救護2],""),$AX$9:$AX$25,$AY$9:$AY$25,"")</f>
        <v>23</v>
      </c>
      <c r="K25" s="87"/>
      <c r="L25" s="87" t="s">
        <v>212</v>
      </c>
      <c r="M25" s="312"/>
      <c r="N25" s="87">
        <f>_xlfn.XLOOKUP(_xlfn.XLOOKUP($AS$6&amp;$B25,公表[班別+時段],公表[備勤1],""),$AX$9:$AX$25,$AY$9:$AY$25,"")</f>
        <v>8</v>
      </c>
      <c r="O25" s="87">
        <f>_xlfn.XLOOKUP(_xlfn.XLOOKUP($AS$6&amp;$B25,公表[班別+時段],公表[備勤2],""),$AX$9:$AX$25,$AY$9:$AY$25,"")</f>
        <v>25</v>
      </c>
      <c r="P25" s="87"/>
      <c r="Q25" s="87">
        <f>_xlfn.XLOOKUP(_xlfn.XLOOKUP($AS$6&amp;$B25,公表[班別+時段],公表[備勤3],""),$AX$9:$AX$25,$AY$9:$AY$25,"")</f>
        <v>11</v>
      </c>
      <c r="R25" s="87"/>
      <c r="S25" s="87"/>
      <c r="T25" s="87">
        <f>_xlfn.XLOOKUP(_xlfn.XLOOKUP($AS$6&amp;$B25,公表[班別+時段],公表[備勤5],""),$AX$9:$AX$25,$AY$9:$AY$25,"")</f>
        <v>4</v>
      </c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87"/>
      <c r="AC25" s="87"/>
      <c r="AD25" s="87"/>
      <c r="AE25" s="88">
        <f>_xlfn.XLOOKUP(_xlfn.XLOOKUP($AS$6&amp;$B25,公表[班別+時段],公表[指揮官],""),$AX$9:$AX$25,$AY$9:$AY$25,"")</f>
        <v>2</v>
      </c>
      <c r="AF25" s="57" t="s">
        <v>28</v>
      </c>
      <c r="AG25" s="305" t="str" cm="1">
        <f t="array" ref="AG25">_xlfn.TEXTJOIN(".",1,_xlfn._xlws.FILTER($AO$9:$AO$40,$AQ$9:$AQ$40=$AF$25,""))</f>
        <v/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/>
      </c>
      <c r="AL25" s="309"/>
      <c r="AM25" s="310"/>
      <c r="AN25" s="214"/>
      <c r="AO25" s="127">
        <v>17</v>
      </c>
      <c r="AP25" s="127" t="str">
        <v>楊仲豪</v>
      </c>
      <c r="AQ25" s="127" t="str" cm="1">
        <f t="array" ref="AQ25">IFERROR(_xlfn.XLOOKUP(_xlfn.XLOOKUP($AQ$3,輪休基準表!$C$6:$C$36,_xlfn.XLOOKUP(AP25,輪休基準表!$E$5:$AF$5,輪休基準表!$E$6:$AF$36,""),""),班別參數!$A$4:$A$20,班別參數!$B$4:$B$20,""),"")</f>
        <v>上班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>已排</v>
      </c>
      <c r="AT25" s="180">
        <f t="shared" si="0"/>
        <v>6</v>
      </c>
      <c r="AU25" s="180">
        <f t="shared" si="1"/>
        <v>2</v>
      </c>
      <c r="AW25" s="33"/>
      <c r="AX25" s="45"/>
      <c r="AY25" s="25"/>
      <c r="AZ25" s="28"/>
      <c r="BA25" s="33"/>
      <c r="BB25" s="25"/>
      <c r="BD25" s="127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17</v>
      </c>
      <c r="D26" s="95"/>
      <c r="E26" s="95"/>
      <c r="F26" s="95"/>
      <c r="G26" s="122">
        <v>2</v>
      </c>
      <c r="H26" s="37"/>
      <c r="I26" s="92">
        <f>_xlfn.XLOOKUP(_xlfn.XLOOKUP($AS$6&amp;$B26,公表[班別+時段],公表[救護1],""),$AX$9:$AX$25,$AY$9:$AY$25,"")</f>
        <v>11</v>
      </c>
      <c r="J26" s="92">
        <f>_xlfn.XLOOKUP(_xlfn.XLOOKUP($AS$6&amp;$B26,公表[班別+時段],公表[救護2],""),$AX$9:$AX$25,$AY$9:$AY$25,"")</f>
        <v>8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25</v>
      </c>
      <c r="O26" s="87">
        <f>_xlfn.XLOOKUP(_xlfn.XLOOKUP($AS$6&amp;$B26,公表[班別+時段],公表[備勤2],""),$AX$9:$AX$25,$AY$9:$AY$25,"")</f>
        <v>21</v>
      </c>
      <c r="P26" s="87"/>
      <c r="Q26" s="87">
        <f>_xlfn.XLOOKUP(_xlfn.XLOOKUP($AS$6&amp;$B26,公表[班別+時段],公表[備勤3],""),$AX$9:$AX$25,$AY$9:$AY$25,"")</f>
        <v>28</v>
      </c>
      <c r="R26" s="87">
        <f>_xlfn.XLOOKUP(_xlfn.XLOOKUP($AS$6&amp;$B26,公表[班別+時段],公表[備勤4],""),$AX$9:$AX$25,$AY$9:$AY$25,"")</f>
        <v>23</v>
      </c>
      <c r="S26" s="87"/>
      <c r="T26" s="87"/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87"/>
      <c r="AC26" s="87"/>
      <c r="AD26" s="87"/>
      <c r="AE26" s="88">
        <v>4</v>
      </c>
      <c r="AF26" s="57" t="s">
        <v>289</v>
      </c>
      <c r="AG26" s="178" t="str" cm="1">
        <f t="array" ref="AG26">_xlfn.TEXTJOIN(".",1,_xlfn._xlws.FILTER($AO$9:$AO$40,$AQ$9:$AQ$40=$AF$26,""))</f>
        <v/>
      </c>
      <c r="AH26" s="168" t="s">
        <v>290</v>
      </c>
      <c r="AI26" s="179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/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27">
        <v>18</v>
      </c>
      <c r="AP26" s="127" t="str">
        <v>林志偉</v>
      </c>
      <c r="AQ26" s="127" t="str" cm="1">
        <f t="array" ref="AQ26">IFERROR(_xlfn.XLOOKUP(_xlfn.XLOOKUP($AQ$3,輪休基準表!$C$6:$C$36,_xlfn.XLOOKUP(AP26,輪休基準表!$E$5:$AF$5,輪休基準表!$E$6:$AF$36,""),""),班別參數!$A$4:$A$20,班別參數!$B$4:$B$20,""),"")</f>
        <v>輪休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/>
      </c>
      <c r="AT26" s="180" t="str">
        <f t="shared" si="0"/>
        <v/>
      </c>
      <c r="AU26" s="180" t="str">
        <f t="shared" si="1"/>
        <v/>
      </c>
      <c r="AV26" s="10"/>
      <c r="AW26" s="46"/>
      <c r="AX26" s="45"/>
      <c r="AY26" s="25"/>
      <c r="AZ26" s="28"/>
      <c r="BA26" s="33"/>
      <c r="BB26" s="25"/>
      <c r="BD26" s="127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17</v>
      </c>
      <c r="D27" s="95"/>
      <c r="E27" s="95"/>
      <c r="F27" s="95"/>
      <c r="G27" s="122">
        <v>2</v>
      </c>
      <c r="H27" s="37"/>
      <c r="I27" s="92">
        <f>_xlfn.XLOOKUP(_xlfn.XLOOKUP($AS$6&amp;$B27,公表[班別+時段],公表[救護1],""),$AX$9:$AX$25,$AY$9:$AY$25,"")</f>
        <v>11</v>
      </c>
      <c r="J27" s="92">
        <f>_xlfn.XLOOKUP(_xlfn.XLOOKUP($AS$6&amp;$B27,公表[班別+時段],公表[救護2],""),$AX$9:$AX$25,$AY$9:$AY$25,"")</f>
        <v>8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25</v>
      </c>
      <c r="O27" s="87">
        <f>_xlfn.XLOOKUP(_xlfn.XLOOKUP($AS$6&amp;$B27,公表[班別+時段],公表[備勤2],""),$AX$9:$AX$25,$AY$9:$AY$25,"")</f>
        <v>21</v>
      </c>
      <c r="P27" s="87"/>
      <c r="Q27" s="87">
        <f>_xlfn.XLOOKUP(_xlfn.XLOOKUP($AS$6&amp;$B27,公表[班別+時段],公表[備勤3],""),$AX$9:$AX$25,$AY$9:$AY$25,"")</f>
        <v>28</v>
      </c>
      <c r="R27" s="87">
        <f>_xlfn.XLOOKUP(_xlfn.XLOOKUP($AS$6&amp;$B27,公表[班別+時段],公表[備勤4],""),$AX$9:$AX$25,$AY$9:$AY$25,"")</f>
        <v>23</v>
      </c>
      <c r="S27" s="87"/>
      <c r="T27" s="87"/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87"/>
      <c r="AC27" s="87"/>
      <c r="AD27" s="87"/>
      <c r="AE27" s="88">
        <v>4</v>
      </c>
      <c r="AF27" s="317" t="s">
        <v>215</v>
      </c>
      <c r="AG27" s="319"/>
      <c r="AH27" s="321"/>
      <c r="AI27" s="321"/>
      <c r="AJ27" s="321"/>
      <c r="AK27" s="321"/>
      <c r="AL27" s="321"/>
      <c r="AM27" s="322"/>
      <c r="AN27" s="214"/>
      <c r="AO27" s="127">
        <v>19</v>
      </c>
      <c r="AP27" s="127" t="str">
        <v>劉家誠</v>
      </c>
      <c r="AQ27" s="127" t="str" cm="1">
        <f t="array" ref="AQ27">IFERROR(_xlfn.XLOOKUP(_xlfn.XLOOKUP($AQ$3,輪休基準表!$C$6:$C$36,_xlfn.XLOOKUP(AP27,輪休基準表!$E$5:$AF$5,輪休基準表!$E$6:$AF$36,""),""),班別參數!$A$4:$A$20,班別參數!$B$4:$B$20,""),"")</f>
        <v>月補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/>
      </c>
      <c r="AT27" s="180" t="str">
        <f t="shared" si="0"/>
        <v/>
      </c>
      <c r="AU27" s="180" t="str">
        <f t="shared" si="1"/>
        <v/>
      </c>
      <c r="AV27" s="10"/>
      <c r="AW27" s="46"/>
      <c r="AX27" s="45"/>
      <c r="AY27" s="25"/>
      <c r="AZ27" s="28"/>
      <c r="BA27" s="33"/>
      <c r="BB27" s="25"/>
      <c r="BD27" s="127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17</v>
      </c>
      <c r="D28" s="95"/>
      <c r="E28" s="95"/>
      <c r="F28" s="95"/>
      <c r="G28" s="122" t="str">
        <f>IF(BC18="","",BC18)</f>
        <v/>
      </c>
      <c r="H28" s="37"/>
      <c r="I28" s="92">
        <f>_xlfn.XLOOKUP(_xlfn.XLOOKUP($AS$6&amp;$B28,公表[班別+時段],公表[救護1],""),$AX$9:$AX$25,$AY$9:$AY$25,"")</f>
        <v>11</v>
      </c>
      <c r="J28" s="92">
        <f>_xlfn.XLOOKUP(_xlfn.XLOOKUP($AS$6&amp;$B28,公表[班別+時段],公表[救護2],""),$AX$9:$AX$25,$AY$9:$AY$25,"")</f>
        <v>8</v>
      </c>
      <c r="K28" s="87"/>
      <c r="L28" s="87" t="s">
        <v>212</v>
      </c>
      <c r="M28" s="312"/>
      <c r="N28" s="87">
        <f>_xlfn.XLOOKUP(_xlfn.XLOOKUP($AS$6&amp;$B28,公表[班別+時段],公表[備勤1],""),$AX$9:$AX$25,$AY$9:$AY$25,"")</f>
        <v>23</v>
      </c>
      <c r="O28" s="87">
        <f>_xlfn.XLOOKUP(_xlfn.XLOOKUP($AS$6&amp;$B28,公表[班別+時段],公表[備勤2],""),$AX$9:$AX$25,$AY$9:$AY$25,"")</f>
        <v>28</v>
      </c>
      <c r="P28" s="87"/>
      <c r="Q28" s="87">
        <f>_xlfn.XLOOKUP(_xlfn.XLOOKUP($AS$6&amp;$B28,公表[班別+時段],公表[備勤3],""),$AX$9:$AX$25,$AY$9:$AY$25,"")</f>
        <v>25</v>
      </c>
      <c r="R28" s="87">
        <f>_xlfn.XLOOKUP(_xlfn.XLOOKUP($AS$6&amp;$B28,公表[班別+時段],公表[備勤4],""),$AX$9:$AX$25,$AY$9:$AY$25,"")</f>
        <v>21</v>
      </c>
      <c r="S28" s="87"/>
      <c r="T28" s="87">
        <f>_xlfn.XLOOKUP(_xlfn.XLOOKUP($AS$6&amp;$B28,公表[班別+時段],公表[備勤5],""),$AX$9:$AX$25,$AY$9:$AY$25,"")</f>
        <v>4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87"/>
      <c r="AC28" s="87"/>
      <c r="AD28" s="87"/>
      <c r="AE28" s="88">
        <f>_xlfn.XLOOKUP(_xlfn.XLOOKUP($AS$6&amp;$B28,公表[班別+時段],公表[指揮官],""),$AX$9:$AX$25,$AY$9:$AY$25,"")</f>
        <v>2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27">
        <v>20</v>
      </c>
      <c r="AP28" s="127" t="str">
        <v>呂奇霈</v>
      </c>
      <c r="AQ28" s="127" t="str" cm="1">
        <f t="array" ref="AQ28">IFERROR(_xlfn.XLOOKUP(_xlfn.XLOOKUP($AQ$3,輪休基準表!$C$6:$C$36,_xlfn.XLOOKUP(AP28,輪休基準表!$E$5:$AF$5,輪休基準表!$E$6:$AF$36,""),""),班別參數!$A$4:$A$20,班別參數!$B$4:$B$20,""),"")</f>
        <v>輪休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27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17</v>
      </c>
      <c r="D29" s="95"/>
      <c r="E29" s="95"/>
      <c r="F29" s="95"/>
      <c r="G29" s="122" t="str">
        <f>IF(BC18="","",BC18)</f>
        <v/>
      </c>
      <c r="H29" s="37"/>
      <c r="I29" s="92">
        <f>_xlfn.XLOOKUP(_xlfn.XLOOKUP($AS$6&amp;$B29,公表[班別+時段],公表[救護1],""),$AX$9:$AX$25,$AY$9:$AY$25,"")</f>
        <v>11</v>
      </c>
      <c r="J29" s="92">
        <f>_xlfn.XLOOKUP(_xlfn.XLOOKUP($AS$6&amp;$B29,公表[班別+時段],公表[救護2],""),$AX$9:$AX$25,$AY$9:$AY$25,"")</f>
        <v>8</v>
      </c>
      <c r="K29" s="87"/>
      <c r="L29" s="87" t="s">
        <v>212</v>
      </c>
      <c r="M29" s="312"/>
      <c r="N29" s="87">
        <f>_xlfn.XLOOKUP(_xlfn.XLOOKUP($AS$6&amp;$B29,公表[班別+時段],公表[備勤1],""),$AX$9:$AX$25,$AY$9:$AY$25,"")</f>
        <v>23</v>
      </c>
      <c r="O29" s="87">
        <f>_xlfn.XLOOKUP(_xlfn.XLOOKUP($AS$6&amp;$B29,公表[班別+時段],公表[備勤2],""),$AX$9:$AX$25,$AY$9:$AY$25,"")</f>
        <v>28</v>
      </c>
      <c r="P29" s="87"/>
      <c r="Q29" s="87">
        <f>_xlfn.XLOOKUP(_xlfn.XLOOKUP($AS$6&amp;$B29,公表[班別+時段],公表[備勤3],""),$AX$9:$AX$25,$AY$9:$AY$25,"")</f>
        <v>25</v>
      </c>
      <c r="R29" s="87">
        <f>_xlfn.XLOOKUP(_xlfn.XLOOKUP($AS$6&amp;$B29,公表[班別+時段],公表[備勤4],""),$AX$9:$AX$25,$AY$9:$AY$25,"")</f>
        <v>21</v>
      </c>
      <c r="S29" s="87"/>
      <c r="T29" s="87">
        <f>_xlfn.XLOOKUP(_xlfn.XLOOKUP($AS$6&amp;$B29,公表[班別+時段],公表[備勤5],""),$AX$9:$AX$25,$AY$9:$AY$25,"")</f>
        <v>4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87"/>
      <c r="AC29" s="87"/>
      <c r="AD29" s="87"/>
      <c r="AE29" s="88">
        <f>_xlfn.XLOOKUP(_xlfn.XLOOKUP($AS$6&amp;$B29,公表[班別+時段],公表[指揮官],""),$AX$9:$AX$25,$AY$9:$AY$25,"")</f>
        <v>2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27">
        <v>21</v>
      </c>
      <c r="AP29" s="127" t="str">
        <v>張家和</v>
      </c>
      <c r="AQ29" s="127" t="str" cm="1">
        <f t="array" ref="AQ29">IFERROR(_xlfn.XLOOKUP(_xlfn.XLOOKUP($AQ$3,輪休基準表!$C$6:$C$36,_xlfn.XLOOKUP(AP29,輪休基準表!$E$5:$AF$5,輪休基準表!$E$6:$AF$36,""),""),班別參數!$A$4:$A$20,班別參數!$B$4:$B$20,""),"")</f>
        <v>上班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>已排</v>
      </c>
      <c r="AT29" s="180">
        <f t="shared" si="0"/>
        <v>8</v>
      </c>
      <c r="AU29" s="180">
        <f t="shared" si="1"/>
        <v>6</v>
      </c>
      <c r="AV29" s="10"/>
      <c r="AW29" s="47"/>
      <c r="AX29" s="45"/>
      <c r="AY29" s="25"/>
      <c r="AZ29" s="28"/>
      <c r="BA29" s="33"/>
      <c r="BB29" s="25"/>
      <c r="BD29" s="127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17</v>
      </c>
      <c r="D30" s="95"/>
      <c r="E30" s="95"/>
      <c r="F30" s="95"/>
      <c r="G30" s="122" t="str">
        <f>IF(BC19="","",BC19)</f>
        <v/>
      </c>
      <c r="H30" s="37"/>
      <c r="I30" s="92">
        <f>_xlfn.XLOOKUP(_xlfn.XLOOKUP($AS$6&amp;$B30,公表[班別+時段],公表[救護1],""),$AX$9:$AX$25,$AY$9:$AY$25,"")</f>
        <v>23</v>
      </c>
      <c r="J30" s="92">
        <f>_xlfn.XLOOKUP(_xlfn.XLOOKUP($AS$6&amp;$B30,公表[班別+時段],公表[救護2],""),$AX$9:$AX$25,$AY$9:$AY$25,"")</f>
        <v>28</v>
      </c>
      <c r="K30" s="87"/>
      <c r="L30" s="87" t="s">
        <v>212</v>
      </c>
      <c r="M30" s="312"/>
      <c r="N30" s="87">
        <f>_xlfn.XLOOKUP(_xlfn.XLOOKUP($AS$6&amp;$B30,公表[班別+時段],公表[備勤1],""),$AX$9:$AX$25,$AY$9:$AY$25,"")</f>
        <v>11</v>
      </c>
      <c r="O30" s="87">
        <f>_xlfn.XLOOKUP(_xlfn.XLOOKUP($AS$6&amp;$B30,公表[班別+時段],公表[備勤2],""),$AX$9:$AX$25,$AY$9:$AY$25,"")</f>
        <v>21</v>
      </c>
      <c r="P30" s="87"/>
      <c r="Q30" s="87">
        <f>_xlfn.XLOOKUP(_xlfn.XLOOKUP($AS$6&amp;$B30,公表[班別+時段],公表[備勤3],""),$AX$9:$AX$25,$AY$9:$AY$25,"")</f>
        <v>8</v>
      </c>
      <c r="R30" s="87">
        <f>_xlfn.XLOOKUP(_xlfn.XLOOKUP($AS$6&amp;$B30,公表[班別+時段],公表[備勤4],""),$AX$9:$AX$25,$AY$9:$AY$25,"")</f>
        <v>25</v>
      </c>
      <c r="S30" s="87"/>
      <c r="T30" s="87">
        <f>_xlfn.XLOOKUP(_xlfn.XLOOKUP($AS$6&amp;$B30,公表[班別+時段],公表[備勤5],""),$AX$9:$AX$25,$AY$9:$AY$25,"")</f>
        <v>4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87"/>
      <c r="AC30" s="87"/>
      <c r="AD30" s="87"/>
      <c r="AE30" s="88">
        <f>_xlfn.XLOOKUP(_xlfn.XLOOKUP($AS$6&amp;$B30,公表[班別+時段],公表[指揮官],""),$AX$9:$AX$25,$AY$9:$AY$25,"")</f>
        <v>2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27">
        <v>22</v>
      </c>
      <c r="AP30" s="127" t="str">
        <v>陳俊瑋</v>
      </c>
      <c r="AQ30" s="127" t="str" cm="1">
        <f t="array" ref="AQ30">IFERROR(_xlfn.XLOOKUP(_xlfn.XLOOKUP($AQ$3,輪休基準表!$C$6:$C$36,_xlfn.XLOOKUP(AP30,輪休基準表!$E$5:$AF$5,輪休基準表!$E$6:$AF$36,""),""),班別參數!$A$4:$A$20,班別參數!$B$4:$B$20,""),"")</f>
        <v>輪休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27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17</v>
      </c>
      <c r="D31" s="106"/>
      <c r="E31" s="96"/>
      <c r="F31" s="96"/>
      <c r="G31" s="123" t="str">
        <f>IF(BC19="","",BC19)</f>
        <v/>
      </c>
      <c r="H31" s="109"/>
      <c r="I31" s="216">
        <f>_xlfn.XLOOKUP(_xlfn.XLOOKUP($AS$6&amp;$B31,公表[班別+時段],公表[救護1],""),$AX$9:$AX$25,$AY$9:$AY$25,"")</f>
        <v>23</v>
      </c>
      <c r="J31" s="216">
        <f>_xlfn.XLOOKUP(_xlfn.XLOOKUP($AS$6&amp;$B31,公表[班別+時段],公表[救護2],""),$AX$9:$AX$25,$AY$9:$AY$25,"")</f>
        <v>28</v>
      </c>
      <c r="K31" s="108"/>
      <c r="L31" s="93" t="s">
        <v>212</v>
      </c>
      <c r="M31" s="312"/>
      <c r="N31" s="89">
        <f>_xlfn.XLOOKUP(_xlfn.XLOOKUP($AS$6&amp;$B31,公表[班別+時段],公表[備勤1],""),$AX$9:$AX$25,$AY$9:$AY$25,"")</f>
        <v>11</v>
      </c>
      <c r="O31" s="89">
        <f>_xlfn.XLOOKUP(_xlfn.XLOOKUP($AS$6&amp;$B31,公表[班別+時段],公表[備勤2],""),$AX$9:$AX$25,$AY$9:$AY$25,"")</f>
        <v>21</v>
      </c>
      <c r="P31" s="89"/>
      <c r="Q31" s="89">
        <f>_xlfn.XLOOKUP(_xlfn.XLOOKUP($AS$6&amp;$B31,公表[班別+時段],公表[備勤3],""),$AX$9:$AX$25,$AY$9:$AY$25,"")</f>
        <v>8</v>
      </c>
      <c r="R31" s="89">
        <f>_xlfn.XLOOKUP(_xlfn.XLOOKUP($AS$6&amp;$B31,公表[班別+時段],公表[備勤4],""),$AX$9:$AX$25,$AY$9:$AY$25,"")</f>
        <v>25</v>
      </c>
      <c r="S31" s="89"/>
      <c r="T31" s="89">
        <f>_xlfn.XLOOKUP(_xlfn.XLOOKUP($AS$6&amp;$B31,公表[班別+時段],公表[備勤5],""),$AX$9:$AX$25,$AY$9:$AY$25,"")</f>
        <v>4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89"/>
      <c r="AC31" s="89"/>
      <c r="AD31" s="89"/>
      <c r="AE31" s="104">
        <f>_xlfn.XLOOKUP(_xlfn.XLOOKUP($AS$6&amp;$B31,公表[班別+時段],公表[指揮官],""),$AX$9:$AX$25,$AY$9:$AY$25,"")</f>
        <v>2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27">
        <v>23</v>
      </c>
      <c r="AP31" s="127" t="str">
        <v>陳俊翰</v>
      </c>
      <c r="AQ31" s="127" t="str" cm="1">
        <f t="array" ref="AQ31">IFERROR(_xlfn.XLOOKUP(_xlfn.XLOOKUP($AQ$3,輪休基準表!$C$6:$C$36,_xlfn.XLOOKUP(AP31,輪休基準表!$E$5:$AF$5,輪休基準表!$E$6:$AF$36,""),""),班別參數!$A$4:$A$20,班別參數!$B$4:$B$20,""),"")</f>
        <v>上班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>已排</v>
      </c>
      <c r="AT31" s="180">
        <f t="shared" si="0"/>
        <v>8</v>
      </c>
      <c r="AU31" s="180">
        <f t="shared" si="1"/>
        <v>6</v>
      </c>
      <c r="AW31" s="47"/>
      <c r="AX31" s="45"/>
      <c r="AY31" s="25"/>
      <c r="AZ31" s="28"/>
      <c r="BA31" s="33"/>
      <c r="BB31" s="25"/>
      <c r="BD31" s="127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17</v>
      </c>
      <c r="D32" s="97"/>
      <c r="E32" s="97"/>
      <c r="F32" s="97"/>
      <c r="G32" s="121" t="str">
        <f>IF(BC20="","",BC20)</f>
        <v>25,4</v>
      </c>
      <c r="H32" s="56"/>
      <c r="I32" s="94">
        <f>_xlfn.XLOOKUP(_xlfn.XLOOKUP($AS$6&amp;$B32,公表[班別+時段],公表[救護1],""),$AX$9:$AX$25,$AY$9:$AY$25,"")</f>
        <v>23</v>
      </c>
      <c r="J32" s="94">
        <f>_xlfn.XLOOKUP(_xlfn.XLOOKUP($AS$6&amp;$B32,公表[班別+時段],公表[救護2],""),$AX$9:$AX$25,$AY$9:$AY$25,"")</f>
        <v>28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21</v>
      </c>
      <c r="O32" s="90">
        <f>_xlfn.XLOOKUP(_xlfn.XLOOKUP($AS$6&amp;$B32,公表[班別+時段],公表[備勤2],""),$AX$9:$AX$25,$AY$9:$AY$25,"")</f>
        <v>8</v>
      </c>
      <c r="P32" s="90"/>
      <c r="Q32" s="90">
        <f>_xlfn.XLOOKUP(_xlfn.XLOOKUP($AS$6&amp;$B32,公表[班別+時段],公表[備勤3],""),$AX$9:$AX$25,$AY$9:$AY$25,"")</f>
        <v>11</v>
      </c>
      <c r="R32" s="90">
        <f>_xlfn.XLOOKUP(_xlfn.XLOOKUP($AS$6&amp;$B32,公表[班別+時段],公表[備勤4],""),$AX$9:$AX$25,$AY$9:$AY$25,"")</f>
        <v>0</v>
      </c>
      <c r="S32" s="90"/>
      <c r="T32" s="90">
        <f>_xlfn.XLOOKUP(_xlfn.XLOOKUP($AS$6&amp;$B32,公表[班別+時段],公表[備勤5],""),$AX$9:$AX$25,$AY$9:$AY$25,"")</f>
        <v>0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90"/>
      <c r="AC32" s="90"/>
      <c r="AD32" s="90"/>
      <c r="AE32" s="91">
        <f>_xlfn.XLOOKUP(_xlfn.XLOOKUP($AS$6&amp;$B32,公表[班別+時段],公表[指揮官],""),$AX$9:$AX$25,$AY$9:$AY$25,"")</f>
        <v>2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27">
        <v>24</v>
      </c>
      <c r="AP32" s="127" t="str">
        <v>賴俊豪</v>
      </c>
      <c r="AQ32" s="127" t="str" cm="1">
        <f t="array" ref="AQ32">IFERROR(_xlfn.XLOOKUP(_xlfn.XLOOKUP($AQ$3,輪休基準表!$C$6:$C$36,_xlfn.XLOOKUP(AP32,輪休基準表!$E$5:$AF$5,輪休基準表!$E$6:$AF$36,""),""),班別參數!$A$4:$A$20,班別參數!$B$4:$B$20,""),"")</f>
        <v>輪休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/>
      </c>
      <c r="AT32" s="180" t="str">
        <f t="shared" si="0"/>
        <v/>
      </c>
      <c r="AU32" s="180" t="str">
        <f t="shared" si="1"/>
        <v/>
      </c>
      <c r="AW32" s="47"/>
      <c r="AX32" s="45"/>
      <c r="AY32" s="25"/>
      <c r="AZ32" s="28"/>
      <c r="BA32" s="33"/>
      <c r="BB32" s="25"/>
      <c r="BD32" s="127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17</v>
      </c>
      <c r="D33" s="95"/>
      <c r="E33" s="95"/>
      <c r="F33" s="95"/>
      <c r="G33" s="122" t="str">
        <f>IF(BC20="","",BC20)</f>
        <v>25,4</v>
      </c>
      <c r="H33" s="48"/>
      <c r="I33" s="92">
        <f>_xlfn.XLOOKUP(_xlfn.XLOOKUP($AS$6&amp;$B33,公表[班別+時段],公表[救護1],""),$AX$9:$AX$25,$AY$9:$AY$25,"")</f>
        <v>23</v>
      </c>
      <c r="J33" s="92">
        <f>_xlfn.XLOOKUP(_xlfn.XLOOKUP($AS$6&amp;$B33,公表[班別+時段],公表[救護2],""),$AX$9:$AX$25,$AY$9:$AY$25,"")</f>
        <v>28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21</v>
      </c>
      <c r="O33" s="87">
        <f>_xlfn.XLOOKUP(_xlfn.XLOOKUP($AS$6&amp;$B33,公表[班別+時段],公表[備勤2],""),$AX$9:$AX$25,$AY$9:$AY$25,"")</f>
        <v>8</v>
      </c>
      <c r="P33" s="87"/>
      <c r="Q33" s="87">
        <f>_xlfn.XLOOKUP(_xlfn.XLOOKUP($AS$6&amp;$B33,公表[班別+時段],公表[備勤3],""),$AX$9:$AX$25,$AY$9:$AY$25,"")</f>
        <v>11</v>
      </c>
      <c r="R33" s="87">
        <f>_xlfn.XLOOKUP(_xlfn.XLOOKUP($AS$6&amp;$B33,公表[班別+時段],公表[備勤4],""),$AX$9:$AX$25,$AY$9:$AY$25,"")</f>
        <v>0</v>
      </c>
      <c r="S33" s="87"/>
      <c r="T33" s="87">
        <f>_xlfn.XLOOKUP(_xlfn.XLOOKUP($AS$6&amp;$B33,公表[班別+時段],公表[備勤5],""),$AX$9:$AX$25,$AY$9:$AY$25,"")</f>
        <v>0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87"/>
      <c r="AC33" s="87"/>
      <c r="AD33" s="87"/>
      <c r="AE33" s="88">
        <f>_xlfn.XLOOKUP(_xlfn.XLOOKUP($AS$6&amp;$B33,公表[班別+時段],公表[指揮官],""),$AX$9:$AX$25,$AY$9:$AY$25,"")</f>
        <v>2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27">
        <v>25</v>
      </c>
      <c r="AP33" s="127" t="str">
        <v>郭國偵</v>
      </c>
      <c r="AQ33" s="127" t="str" cm="1">
        <f t="array" ref="AQ33">IFERROR(_xlfn.XLOOKUP(_xlfn.XLOOKUP($AQ$3,輪休基準表!$C$6:$C$36,_xlfn.XLOOKUP(AP33,輪休基準表!$E$5:$AF$5,輪休基準表!$E$6:$AF$36,""),""),班別參數!$A$4:$A$20,班別參數!$B$4:$B$20,""),"")</f>
        <v>上班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>已排</v>
      </c>
      <c r="AT33" s="180">
        <f t="shared" si="0"/>
        <v>6</v>
      </c>
      <c r="AU33" s="180">
        <f t="shared" si="1"/>
        <v>8</v>
      </c>
      <c r="AW33" s="47"/>
      <c r="AX33" s="45"/>
      <c r="AY33" s="25"/>
      <c r="AZ33" s="28"/>
      <c r="BA33" s="25"/>
      <c r="BB33" s="25"/>
      <c r="BD33" s="127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一、本日主管輪休，職務由小隊長莊勝斌代理。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27">
        <v>26</v>
      </c>
      <c r="AP34" s="127" t="str">
        <v>楊紹文</v>
      </c>
      <c r="AQ34" s="127" t="str" cm="1">
        <f t="array" ref="AQ34">IFERROR(_xlfn.XLOOKUP(_xlfn.XLOOKUP($AQ$3,輪休基準表!$C$6:$C$36,_xlfn.XLOOKUP(AP34,輪休基準表!$E$5:$AF$5,輪休基準表!$E$6:$AF$36,""),""),班別參數!$A$4:$A$20,班別參數!$B$4:$B$20,""),"")</f>
        <v>補休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/>
      </c>
      <c r="AT34" s="180" t="str">
        <f t="shared" si="0"/>
        <v/>
      </c>
      <c r="AU34" s="180" t="str">
        <f t="shared" si="1"/>
        <v/>
      </c>
      <c r="AW34" s="47"/>
      <c r="AX34" s="45"/>
      <c r="AY34" s="25"/>
      <c r="AZ34" s="28"/>
      <c r="BA34" s="25"/>
      <c r="BB34" s="25"/>
      <c r="BD34" s="127"/>
    </row>
    <row r="35" spans="2:56" ht="30" customHeight="1">
      <c r="B35" s="349"/>
      <c r="C35" s="359" t="str">
        <f>CONCATENATE("二、在隊訓練:09-12時:",H11,";14-17時:",H16,";19-21時:",H21,"。")</f>
        <v>二、在隊訓練:09-12時:破壞器材操作;14-17時:入室搜救;19-21時:五用氣體檢知器及CO探測器。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27">
        <v>27</v>
      </c>
      <c r="AP35" s="127" t="str">
        <v>林宏為</v>
      </c>
      <c r="AQ35" s="127" t="str" cm="1">
        <f t="array" ref="AQ35">IFERROR(_xlfn.XLOOKUP(_xlfn.XLOOKUP($AQ$3,輪休基準表!$C$6:$C$36,_xlfn.XLOOKUP(AP35,輪休基準表!$E$5:$AF$5,輪休基準表!$E$6:$AF$36,""),""),班別參數!$A$4:$A$20,班別參數!$B$4:$B$20,""),"")</f>
        <v>輪休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/>
      </c>
      <c r="AT35" s="180" t="str">
        <f t="shared" si="0"/>
        <v/>
      </c>
      <c r="AU35" s="180" t="str">
        <f t="shared" si="1"/>
        <v/>
      </c>
      <c r="AW35" s="47"/>
      <c r="AX35" s="45"/>
      <c r="AY35" s="25"/>
      <c r="AZ35" s="28"/>
      <c r="BA35" s="25"/>
      <c r="BB35" s="25"/>
      <c r="BD35" s="127"/>
    </row>
    <row r="36" spans="2:56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27">
        <v>28</v>
      </c>
      <c r="AP36" s="127" t="str">
        <v>林宸彥</v>
      </c>
      <c r="AQ36" s="127" t="str" cm="1">
        <f t="array" ref="AQ36">IFERROR(_xlfn.XLOOKUP(_xlfn.XLOOKUP($AQ$3,輪休基準表!$C$6:$C$36,_xlfn.XLOOKUP(AP36,輪休基準表!$E$5:$AF$5,輪休基準表!$E$6:$AF$36,""),""),班別參數!$A$4:$A$20,班別參數!$B$4:$B$20,""),"")</f>
        <v>上班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>已排</v>
      </c>
      <c r="AT36" s="180">
        <f t="shared" si="0"/>
        <v>6</v>
      </c>
      <c r="AU36" s="180">
        <f t="shared" si="1"/>
        <v>10</v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27"/>
      <c r="AP37" s="127"/>
      <c r="AQ37" s="127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27"/>
      <c r="BD37" s="10"/>
    </row>
    <row r="38" spans="2:56" ht="15" customHeight="1">
      <c r="AQ38" s="127"/>
      <c r="AR38" s="118"/>
      <c r="AS38" s="119"/>
      <c r="AT38" s="119"/>
    </row>
    <row r="39" spans="2:56" ht="15" customHeight="1">
      <c r="AR39" s="118"/>
      <c r="AS39" s="119"/>
      <c r="AT39" s="119"/>
    </row>
    <row r="40" spans="2:56" ht="15" customHeight="1">
      <c r="AR40" s="118"/>
      <c r="AS40" s="119"/>
      <c r="AT40" s="119"/>
    </row>
  </sheetData>
  <mergeCells count="72">
    <mergeCell ref="AG22:AK22"/>
    <mergeCell ref="AG23:AM23"/>
    <mergeCell ref="AG24:AI24"/>
    <mergeCell ref="AK24:AM24"/>
    <mergeCell ref="AF33:AG33"/>
    <mergeCell ref="AH33:AI33"/>
    <mergeCell ref="AJ33:AK33"/>
    <mergeCell ref="AF31:AG31"/>
    <mergeCell ref="AH31:AI31"/>
    <mergeCell ref="AJ31:AK31"/>
    <mergeCell ref="AF32:AG32"/>
    <mergeCell ref="AH32:AI32"/>
    <mergeCell ref="AJ32:AK32"/>
    <mergeCell ref="AF27:AF28"/>
    <mergeCell ref="AG27:AM27"/>
    <mergeCell ref="AG28:AM28"/>
    <mergeCell ref="B34:B36"/>
    <mergeCell ref="C34:AE34"/>
    <mergeCell ref="AF34:AM34"/>
    <mergeCell ref="C35:AE35"/>
    <mergeCell ref="AF35:AM35"/>
    <mergeCell ref="C36:AE36"/>
    <mergeCell ref="AF36:AM36"/>
    <mergeCell ref="AF29:AM29"/>
    <mergeCell ref="AF30:AG30"/>
    <mergeCell ref="AH30:AI30"/>
    <mergeCell ref="AJ30:AK30"/>
    <mergeCell ref="AG25:AI25"/>
    <mergeCell ref="AK25:AM25"/>
    <mergeCell ref="C8:AE8"/>
    <mergeCell ref="C9:AE9"/>
    <mergeCell ref="M10:M33"/>
    <mergeCell ref="H11:H13"/>
    <mergeCell ref="H16:H18"/>
    <mergeCell ref="H21:H22"/>
    <mergeCell ref="D16:D17"/>
    <mergeCell ref="I6:J6"/>
    <mergeCell ref="K6:L6"/>
    <mergeCell ref="N6:P6"/>
    <mergeCell ref="Q6:S6"/>
    <mergeCell ref="T6:V6"/>
    <mergeCell ref="AF5:AM6"/>
    <mergeCell ref="AO5:AO6"/>
    <mergeCell ref="T7:V7"/>
    <mergeCell ref="AR5:AR6"/>
    <mergeCell ref="AS5:AT5"/>
    <mergeCell ref="W6:Y6"/>
    <mergeCell ref="AE6:AE7"/>
    <mergeCell ref="AS6:AT6"/>
    <mergeCell ref="AP5:AQ6"/>
    <mergeCell ref="G5:G7"/>
    <mergeCell ref="B3:AM3"/>
    <mergeCell ref="AW3:AX3"/>
    <mergeCell ref="AY3:BB3"/>
    <mergeCell ref="B4:AI4"/>
    <mergeCell ref="AJ4:AM4"/>
    <mergeCell ref="AW4:AX4"/>
    <mergeCell ref="AY4:BB4"/>
    <mergeCell ref="B5:B7"/>
    <mergeCell ref="C5:C7"/>
    <mergeCell ref="D5:D7"/>
    <mergeCell ref="E5:E7"/>
    <mergeCell ref="F5:F7"/>
    <mergeCell ref="H5:H7"/>
    <mergeCell ref="I5:L5"/>
    <mergeCell ref="M5:AE5"/>
    <mergeCell ref="AY2:BB2"/>
    <mergeCell ref="B1:AE1"/>
    <mergeCell ref="AP1:AQ1"/>
    <mergeCell ref="B2:AE2"/>
    <mergeCell ref="AG2:AM2"/>
    <mergeCell ref="AW2:AX2"/>
  </mergeCells>
  <phoneticPr fontId="9" type="noConversion"/>
  <conditionalFormatting sqref="AO9:AQ36 AO37:AP37 AQ37:AQ38">
    <cfRule type="expression" dxfId="91" priority="16">
      <formula>COUNTIF($AQ9,"上班")&gt;=1</formula>
    </cfRule>
  </conditionalFormatting>
  <conditionalFormatting sqref="AF8:AF13 AH8:AH21 AJ8:AJ21 AL8:AM21">
    <cfRule type="expression" dxfId="90" priority="11">
      <formula>OR(VLOOKUP(AF8,$AO$9:$AQ$40,3,0)="上班",VLOOKUP(AF8,$AO$9:$AQ$40,3,0)="外宿")</formula>
    </cfRule>
  </conditionalFormatting>
  <conditionalFormatting sqref="AL8">
    <cfRule type="expression" dxfId="89" priority="10">
      <formula>OR(VLOOKUP(AL8,$AO$9:$AQ$36,3,0)="上班",VLOOKUP(AL8,$AO$9:$AQ$36,3,0)="外宿")</formula>
    </cfRule>
  </conditionalFormatting>
  <conditionalFormatting sqref="AR9:AR36">
    <cfRule type="notContainsText" dxfId="88" priority="2" operator="notContains" text="已排">
      <formula>ISERROR(SEARCH("已排",AR9))</formula>
    </cfRule>
  </conditionalFormatting>
  <conditionalFormatting sqref="AS9:AS36">
    <cfRule type="notContainsText" dxfId="87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7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4DC31-F8A3-4ECA-95B4-BA80A0D77409}">
  <sheetPr codeName="工作表21">
    <pageSetUpPr fitToPage="1"/>
  </sheetPr>
  <dimension ref="B1:BD40"/>
  <sheetViews>
    <sheetView showZeros="0" tabSelected="1" view="pageBreakPreview" topLeftCell="B1" zoomScale="55" zoomScaleNormal="55" zoomScaleSheetLayoutView="55" workbookViewId="0">
      <selection activeCell="Y15" sqref="Y15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3" width="5.375" style="126" customWidth="1"/>
    <col min="4" max="4" width="6.5" style="126" customWidth="1"/>
    <col min="5" max="6" width="5.375" style="126" customWidth="1"/>
    <col min="7" max="8" width="8.625" style="126" customWidth="1"/>
    <col min="9" max="12" width="5.375" style="126" customWidth="1"/>
    <col min="13" max="13" width="6.625" style="126" customWidth="1"/>
    <col min="14" max="31" width="5.375" style="126" customWidth="1"/>
    <col min="32" max="32" width="7.625" style="126" customWidth="1"/>
    <col min="33" max="33" width="10.625" style="126" customWidth="1"/>
    <col min="34" max="34" width="7.625" style="126" customWidth="1"/>
    <col min="35" max="35" width="10.625" style="126" customWidth="1"/>
    <col min="36" max="36" width="7.625" style="126" customWidth="1"/>
    <col min="37" max="37" width="10.625" style="126" customWidth="1"/>
    <col min="38" max="38" width="7.625" style="126" customWidth="1"/>
    <col min="39" max="39" width="10.625" style="126" customWidth="1"/>
    <col min="40" max="40" width="4.125" style="213" customWidth="1"/>
    <col min="41" max="47" width="11.625" style="126" customWidth="1"/>
    <col min="48" max="48" width="4.125" style="126" customWidth="1"/>
    <col min="49" max="49" width="16" style="126" customWidth="1"/>
    <col min="50" max="51" width="8.25" style="126" customWidth="1"/>
    <col min="52" max="52" width="4.125" style="126" customWidth="1"/>
    <col min="53" max="53" width="16" style="126" customWidth="1"/>
    <col min="54" max="54" width="8.25" style="126" customWidth="1"/>
    <col min="55" max="55" width="10.875" style="126" customWidth="1"/>
    <col min="56" max="58" width="4.125" style="126" customWidth="1"/>
    <col min="59" max="16384" width="11.25" style="126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27"/>
      <c r="AP1" s="399"/>
      <c r="AQ1" s="399"/>
      <c r="AR1" s="127"/>
      <c r="AS1" s="127"/>
      <c r="AT1" s="127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3" t="s">
        <v>178</v>
      </c>
      <c r="AR2" s="146" t="s">
        <v>228</v>
      </c>
      <c r="AS2" s="142"/>
      <c r="AT2" s="140"/>
      <c r="AU2" s="127"/>
      <c r="AV2" s="127"/>
      <c r="AW2" s="362" t="s">
        <v>127</v>
      </c>
      <c r="AX2" s="287"/>
      <c r="AY2" s="367" t="str">
        <f>_xlfn.XLOOKUP($AR$3,訓練!$L$13:$L$19,訓練!$M$13:$M$19,"")</f>
        <v>車輛駕訓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115年5月17日星期日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17</v>
      </c>
      <c r="AR3" s="141" t="str">
        <f>RIGHT(TEXT(1911+$AO$3&amp;"/"&amp;$AP$3&amp;"/"&amp;$AQ$3,"aaaa"),1)</f>
        <v>日</v>
      </c>
      <c r="AS3" s="145"/>
      <c r="AT3" s="145"/>
      <c r="AU3" s="127"/>
      <c r="AV3" s="127"/>
      <c r="AW3" s="362" t="s">
        <v>128</v>
      </c>
      <c r="AX3" s="287"/>
      <c r="AY3" s="368" t="str">
        <f>_xlfn.XLOOKUP($AR$3,訓練!$L$13:$L$19,訓練!$N$13:$N$19,"")</f>
        <v>環境整理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27"/>
      <c r="AU4" s="127"/>
      <c r="AV4" s="127"/>
      <c r="AW4" s="362" t="s">
        <v>129</v>
      </c>
      <c r="AX4" s="287"/>
      <c r="AY4" s="363" t="str">
        <f>_xlfn.XLOOKUP($AR$3,訓練!$L$13:$L$19,訓練!$O$13:$O$19,"")</f>
        <v>器材車、化學(處理)車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3" t="s">
        <v>344</v>
      </c>
      <c r="E5" s="340"/>
      <c r="F5" s="340"/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394"/>
      <c r="E6" s="341"/>
      <c r="F6" s="341"/>
      <c r="G6" s="312"/>
      <c r="H6" s="312"/>
      <c r="I6" s="334" t="s">
        <v>227</v>
      </c>
      <c r="J6" s="335"/>
      <c r="K6" s="334" t="s">
        <v>192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2+7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394"/>
      <c r="E7" s="341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346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27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27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27" cm="1">
        <f t="array" ref="AO9:AP36">TRANSPOSE(輪休基準表!E4:AF5)</f>
        <v>1</v>
      </c>
      <c r="AP9" s="127" t="str">
        <v>鄧力嘉</v>
      </c>
      <c r="AQ9" s="127" t="str" cm="1">
        <f t="array" ref="AQ9">IFERROR(_xlfn.XLOOKUP(_xlfn.XLOOKUP($AQ$3,輪休基準表!$C$6:$C$36,_xlfn.XLOOKUP(AP9,輪休基準表!$E$5:$AF$5,輪休基準表!$E$6:$AF$36,""),""),班別參數!$A$4:$A$20,班別參數!$B$4:$B$20,""),"")</f>
        <v>上班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>已排</v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 t="array" ref="AX9">IFERROR(INDEX(班別參數!$D$4:$S$20,MATCH(AW9,班別參數!$D$4:$D$20,0),MATCH($AS$6,班別參數!$D$4:$S$4,0)),"")</f>
        <v>A</v>
      </c>
      <c r="AY9" s="35">
        <v>7</v>
      </c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H,K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9,1</v>
      </c>
      <c r="BD9" s="127"/>
    </row>
    <row r="10" spans="2:56" ht="30" customHeight="1">
      <c r="B10" s="81" t="s">
        <v>70</v>
      </c>
      <c r="C10" s="87">
        <f>_xlfn.XLOOKUP(_xlfn.XLOOKUP($AS$6&amp;$B10,公表[班別+時段],公表[值班],""),$AX$9:$AX$25,$AY$9:$AY$25,"")</f>
        <v>7</v>
      </c>
      <c r="D10" s="95"/>
      <c r="E10" s="95"/>
      <c r="F10" s="95"/>
      <c r="G10" s="122"/>
      <c r="H10" s="37"/>
      <c r="I10" s="92">
        <f>_xlfn.XLOOKUP(_xlfn.XLOOKUP($AS$6&amp;$B10,公表[班別+時段],公表[救護1],""),$AX$9:$AX$25,$AY$9:$AY$25,"")</f>
        <v>16</v>
      </c>
      <c r="J10" s="92">
        <f>_xlfn.XLOOKUP(_xlfn.XLOOKUP($AS$6&amp;$B10,公表[班別+時段],公表[救護2],""),$AX$9:$AX$25,$AY$9:$AY$25,"")</f>
        <v>21</v>
      </c>
      <c r="K10" s="87"/>
      <c r="L10" s="87" t="s">
        <v>212</v>
      </c>
      <c r="M10" s="311"/>
      <c r="N10" s="87">
        <f>_xlfn.XLOOKUP(_xlfn.XLOOKUP($AS$6&amp;$B10,公表[班別+時段],公表[備勤1],""),$AX$9:$AX$25,$AY$9:$AY$25,"")</f>
        <v>25</v>
      </c>
      <c r="O10" s="87">
        <f>_xlfn.XLOOKUP(_xlfn.XLOOKUP($AS$6&amp;$B10,公表[班別+時段],公表[備勤2],""),$AX$9:$AX$25,$AY$9:$AY$25,"")</f>
        <v>10</v>
      </c>
      <c r="P10" s="87"/>
      <c r="Q10" s="87">
        <f>_xlfn.XLOOKUP(_xlfn.XLOOKUP($AS$6&amp;$B10,公表[班別+時段],公表[備勤3],""),$AX$9:$AX$25,$AY$9:$AY$25,"")</f>
        <v>18</v>
      </c>
      <c r="R10" s="87">
        <v>9</v>
      </c>
      <c r="S10" s="87"/>
      <c r="T10" s="87">
        <v>5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87"/>
      <c r="AB10" s="87"/>
      <c r="AC10" s="87"/>
      <c r="AD10" s="87"/>
      <c r="AE10" s="88">
        <v>1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27">
        <v>2</v>
      </c>
      <c r="AP10" s="127" t="str">
        <v>莊勝斌</v>
      </c>
      <c r="AQ10" s="127" t="str" cm="1">
        <f t="array" ref="AQ10">IFERROR(_xlfn.XLOOKUP(_xlfn.XLOOKUP($AQ$3,輪休基準表!$C$6:$C$36,_xlfn.XLOOKUP(AP10,輪休基準表!$E$5:$AF$5,輪休基準表!$E$6:$AF$36,""),""),班別參數!$A$4:$A$20,班別參數!$B$4:$B$20,""),"")</f>
        <v>輪休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/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>
        <v>18</v>
      </c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10</v>
      </c>
      <c r="BD10" s="127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7</v>
      </c>
      <c r="D11" s="95"/>
      <c r="E11" s="95"/>
      <c r="F11" s="95"/>
      <c r="G11" s="122"/>
      <c r="H11" s="296" t="str">
        <f>AY2</f>
        <v>車輛駕訓</v>
      </c>
      <c r="I11" s="92">
        <f>_xlfn.XLOOKUP(_xlfn.XLOOKUP($AS$6&amp;$B11,公表[班別+時段],公表[救護1],""),$AX$9:$AX$25,$AY$9:$AY$25,"")</f>
        <v>16</v>
      </c>
      <c r="J11" s="92">
        <f>_xlfn.XLOOKUP(_xlfn.XLOOKUP($AS$6&amp;$B11,公表[班別+時段],公表[救護2],""),$AX$9:$AX$25,$AY$9:$AY$25,"")</f>
        <v>21</v>
      </c>
      <c r="K11" s="87"/>
      <c r="L11" s="87" t="s">
        <v>212</v>
      </c>
      <c r="M11" s="312"/>
      <c r="N11" s="87">
        <f>_xlfn.XLOOKUP(_xlfn.XLOOKUP($AS$6&amp;$B11,公表[班別+時段],公表[備勤1],""),$AX$9:$AX$25,$AY$9:$AY$25,"")</f>
        <v>25</v>
      </c>
      <c r="O11" s="87">
        <f>_xlfn.XLOOKUP(_xlfn.XLOOKUP($AS$6&amp;$B11,公表[班別+時段],公表[備勤2],""),$AX$9:$AX$25,$AY$9:$AY$25,"")</f>
        <v>10</v>
      </c>
      <c r="P11" s="87"/>
      <c r="Q11" s="87">
        <f>_xlfn.XLOOKUP(_xlfn.XLOOKUP($AS$6&amp;$B11,公表[班別+時段],公表[備勤3],""),$AX$9:$AX$25,$AY$9:$AY$25,"")</f>
        <v>18</v>
      </c>
      <c r="R11" s="87">
        <v>9</v>
      </c>
      <c r="S11" s="87"/>
      <c r="T11" s="87">
        <v>5</v>
      </c>
      <c r="U11" s="87">
        <f>_xlfn.XLOOKUP(_xlfn.XLOOKUP($AS$6&amp;$B11,公表[班別+時段],公表[備勤6],""),$AX$9:$AX$25,$AY$9:$AY$25,"")</f>
        <v>0</v>
      </c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87"/>
      <c r="AB11" s="87"/>
      <c r="AC11" s="87"/>
      <c r="AD11" s="87"/>
      <c r="AE11" s="88">
        <v>1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27">
        <v>3</v>
      </c>
      <c r="AP11" s="127" t="str">
        <v>孫子翔</v>
      </c>
      <c r="AQ11" s="127" t="str" cm="1">
        <f t="array" ref="AQ11">IFERROR(_xlfn.XLOOKUP(_xlfn.XLOOKUP($AQ$3,輪休基準表!$C$6:$C$36,_xlfn.XLOOKUP(AP11,輪休基準表!$E$5:$AF$5,輪休基準表!$E$6:$AF$36,""),""),班別參數!$A$4:$A$20,班別參數!$B$4:$B$20,""),"")</f>
        <v>輪休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/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>
        <v>21</v>
      </c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F</v>
      </c>
      <c r="BC11" s="39" t="str">
        <f t="shared" si="2"/>
        <v>16</v>
      </c>
      <c r="BD11" s="127"/>
    </row>
    <row r="12" spans="2:56" ht="30" customHeight="1">
      <c r="B12" s="81" t="s">
        <v>75</v>
      </c>
      <c r="C12" s="87">
        <f>_xlfn.XLOOKUP(_xlfn.XLOOKUP($AS$6&amp;$B12,公表[班別+時段],公表[值班],""),$AX$9:$AX$25,$AY$9:$AY$25,"")</f>
        <v>18</v>
      </c>
      <c r="D12" s="311" t="s">
        <v>407</v>
      </c>
      <c r="E12" s="95"/>
      <c r="F12" s="95"/>
      <c r="G12" s="122">
        <v>9</v>
      </c>
      <c r="H12" s="314"/>
      <c r="I12" s="92">
        <f>_xlfn.XLOOKUP(_xlfn.XLOOKUP($AS$6&amp;$B12,公表[班別+時段],公表[救護1],""),$AX$9:$AX$25,$AY$9:$AY$25,"")</f>
        <v>7</v>
      </c>
      <c r="J12" s="92">
        <f>_xlfn.XLOOKUP(_xlfn.XLOOKUP($AS$6&amp;$B12,公表[班別+時段],公表[救護2],""),$AX$9:$AX$25,$AY$9:$AY$25,"")</f>
        <v>25</v>
      </c>
      <c r="K12" s="92"/>
      <c r="L12" s="87" t="s">
        <v>212</v>
      </c>
      <c r="M12" s="312"/>
      <c r="N12" s="87">
        <v>10</v>
      </c>
      <c r="O12" s="87">
        <f>_xlfn.XLOOKUP(_xlfn.XLOOKUP($AS$6&amp;$B12,公表[班別+時段],公表[備勤2],""),$AX$9:$AX$25,$AY$9:$AY$25,"")</f>
        <v>16</v>
      </c>
      <c r="P12" s="87"/>
      <c r="Q12" s="87"/>
      <c r="R12" s="87"/>
      <c r="S12" s="87"/>
      <c r="T12" s="87"/>
      <c r="U12" s="87"/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87"/>
      <c r="AC12" s="87"/>
      <c r="AD12" s="87"/>
      <c r="AE12" s="88">
        <f>_xlfn.XLOOKUP(_xlfn.XLOOKUP($AS$6&amp;$B12,公表[班別+時段],公表[指揮官],""),$AX$9:$AX$25,$AY$9:$AY$25,"")</f>
        <v>1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27">
        <v>4</v>
      </c>
      <c r="AP12" s="127" t="str">
        <v>簡永豐</v>
      </c>
      <c r="AQ12" s="127" t="str" cm="1">
        <f t="array" ref="AQ12">IFERROR(_xlfn.XLOOKUP(_xlfn.XLOOKUP($AQ$3,輪休基準表!$C$6:$C$36,_xlfn.XLOOKUP(AP12,輪休基準表!$E$5:$AF$5,輪休基準表!$E$6:$AF$36,""),""),班別參數!$A$4:$A$20,班別參數!$B$4:$B$20,""),"")</f>
        <v>輪休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/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>
        <v>25</v>
      </c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27"/>
    </row>
    <row r="13" spans="2:56" ht="30" customHeight="1" thickBot="1">
      <c r="B13" s="82" t="s">
        <v>76</v>
      </c>
      <c r="C13" s="89">
        <f>_xlfn.XLOOKUP(_xlfn.XLOOKUP($AS$6&amp;$B13,公表[班別+時段],公表[值班],""),$AX$9:$AX$25,$AY$9:$AY$25,"")</f>
        <v>18</v>
      </c>
      <c r="D13" s="447"/>
      <c r="E13" s="96"/>
      <c r="F13" s="96"/>
      <c r="G13" s="123">
        <v>9</v>
      </c>
      <c r="H13" s="315"/>
      <c r="I13" s="216">
        <f>_xlfn.XLOOKUP(_xlfn.XLOOKUP($AS$6&amp;$B13,公表[班別+時段],公表[救護1],""),$AX$9:$AX$25,$AY$9:$AY$25,"")</f>
        <v>7</v>
      </c>
      <c r="J13" s="216">
        <f>_xlfn.XLOOKUP(_xlfn.XLOOKUP($AS$6&amp;$B13,公表[班別+時段],公表[救護2],""),$AX$9:$AX$25,$AY$9:$AY$25,"")</f>
        <v>25</v>
      </c>
      <c r="K13" s="105"/>
      <c r="L13" s="93" t="s">
        <v>212</v>
      </c>
      <c r="M13" s="312"/>
      <c r="N13" s="89">
        <v>10</v>
      </c>
      <c r="O13" s="89">
        <f>_xlfn.XLOOKUP(_xlfn.XLOOKUP($AS$6&amp;$B13,公表[班別+時段],公表[備勤2],""),$AX$9:$AX$25,$AY$9:$AY$25,"")</f>
        <v>16</v>
      </c>
      <c r="P13" s="89"/>
      <c r="Q13" s="89"/>
      <c r="R13" s="89"/>
      <c r="S13" s="89"/>
      <c r="T13" s="89"/>
      <c r="U13" s="89"/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89"/>
      <c r="AC13" s="89"/>
      <c r="AD13" s="89"/>
      <c r="AE13" s="104">
        <f>_xlfn.XLOOKUP(_xlfn.XLOOKUP($AS$6&amp;$B13,公表[班別+時段],公表[指揮官],""),$AX$9:$AX$25,$AY$9:$AY$25,"")</f>
        <v>1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27">
        <v>5</v>
      </c>
      <c r="AP13" s="127" t="str">
        <v>張鴻志</v>
      </c>
      <c r="AQ13" s="127" t="str" cm="1">
        <f t="array" ref="AQ13">IFERROR(_xlfn.XLOOKUP(_xlfn.XLOOKUP($AQ$3,輪休基準表!$C$6:$C$36,_xlfn.XLOOKUP(AP13,輪休基準表!$E$5:$AF$5,輪休基準表!$E$6:$AF$36,""),""),班別參數!$A$4:$A$20,班別參數!$B$4:$B$20,""),"")</f>
        <v>上班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>已排</v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>
        <v>10</v>
      </c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>7</v>
      </c>
      <c r="BD13" s="127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21</v>
      </c>
      <c r="D14" s="234"/>
      <c r="E14" s="97"/>
      <c r="F14" s="97"/>
      <c r="G14" s="121" t="str">
        <f>IF(BC11="","",BC11)</f>
        <v>16</v>
      </c>
      <c r="H14" s="55"/>
      <c r="I14" s="94">
        <f>_xlfn.XLOOKUP(_xlfn.XLOOKUP($AS$6&amp;$B14,公表[班別+時段],公表[救護1],""),$AX$9:$AX$25,$AY$9:$AY$25,"")</f>
        <v>18</v>
      </c>
      <c r="J14" s="94">
        <f>_xlfn.XLOOKUP(_xlfn.XLOOKUP($AS$6&amp;$B14,公表[班別+時段],公表[救護2],""),$AX$9:$AX$25,$AY$9:$AY$25,"")</f>
        <v>9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7</v>
      </c>
      <c r="O14" s="90">
        <f>_xlfn.XLOOKUP(_xlfn.XLOOKUP($AS$6&amp;$B14,公表[班別+時段],公表[備勤2],""),$AX$9:$AX$25,$AY$9:$AY$25,"")</f>
        <v>10</v>
      </c>
      <c r="P14" s="90"/>
      <c r="Q14" s="90">
        <f>_xlfn.XLOOKUP(_xlfn.XLOOKUP($AS$6&amp;$B14,公表[班別+時段],公表[備勤3],""),$AX$9:$AX$25,$AY$9:$AY$25,"")</f>
        <v>25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5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90"/>
      <c r="AC14" s="90"/>
      <c r="AD14" s="90"/>
      <c r="AE14" s="91">
        <f>_xlfn.XLOOKUP(_xlfn.XLOOKUP($AS$6&amp;$B14,公表[班別+時段],公表[指揮官],""),$AX$9:$AX$25,$AY$9:$AY$25,"")</f>
        <v>1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27">
        <v>6</v>
      </c>
      <c r="AP14" s="127" t="str">
        <v>吳宗耕</v>
      </c>
      <c r="AQ14" s="127" t="str" cm="1">
        <f t="array" ref="AQ14">IFERROR(_xlfn.XLOOKUP(_xlfn.XLOOKUP($AQ$3,輪休基準表!$C$6:$C$36,_xlfn.XLOOKUP(AP14,輪休基準表!$E$5:$AF$5,輪休基準表!$E$6:$AF$36,""),""),班別參數!$A$4:$A$20,班別參數!$B$4:$B$20,""),"")</f>
        <v>輪休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/>
      </c>
      <c r="AT14" s="180" t="str">
        <f t="shared" si="0"/>
        <v/>
      </c>
      <c r="AU14" s="180" t="str">
        <f t="shared" si="1"/>
        <v/>
      </c>
      <c r="AV14" s="25"/>
      <c r="AW14" s="33" t="str">
        <f t="array" ref="AW14">INDEX(班別參數!$D$4:$D$20,ROW()-7,MATCH($AW$8,班別參數!$D$4:$D$20,0))</f>
        <v>18-20</v>
      </c>
      <c r="AX14" s="34">
        <f t="array" ref="AX14">IFERROR(INDEX(班別參數!$D$4:$S$20,MATCH(AW14,班別參數!$D$4:$D$20,0),MATCH($AS$6,班別參數!$D$4:$S$4,0)),"")</f>
        <v>0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</v>
      </c>
      <c r="BC14" s="39" t="str">
        <f t="shared" si="2"/>
        <v>18</v>
      </c>
      <c r="BD14" s="127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21</v>
      </c>
      <c r="D15" s="235"/>
      <c r="E15" s="106"/>
      <c r="F15" s="96"/>
      <c r="G15" s="123" t="str">
        <f>IF(BC11="","",BC11)</f>
        <v>16</v>
      </c>
      <c r="H15" s="40"/>
      <c r="I15" s="216">
        <f>_xlfn.XLOOKUP(_xlfn.XLOOKUP($AS$6&amp;$B15,公表[班別+時段],公表[救護1],""),$AX$9:$AX$25,$AY$9:$AY$25,"")</f>
        <v>18</v>
      </c>
      <c r="J15" s="216">
        <f>_xlfn.XLOOKUP(_xlfn.XLOOKUP($AS$6&amp;$B15,公表[班別+時段],公表[救護2],""),$AX$9:$AX$25,$AY$9:$AY$25,"")</f>
        <v>9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7</v>
      </c>
      <c r="O15" s="89">
        <f>_xlfn.XLOOKUP(_xlfn.XLOOKUP($AS$6&amp;$B15,公表[班別+時段],公表[備勤2],""),$AX$9:$AX$25,$AY$9:$AY$25,"")</f>
        <v>10</v>
      </c>
      <c r="P15" s="89"/>
      <c r="Q15" s="89">
        <f>_xlfn.XLOOKUP(_xlfn.XLOOKUP($AS$6&amp;$B15,公表[班別+時段],公表[備勤3],""),$AX$9:$AX$25,$AY$9:$AY$25,"")</f>
        <v>25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5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89"/>
      <c r="AC15" s="89"/>
      <c r="AD15" s="89"/>
      <c r="AE15" s="104">
        <f>_xlfn.XLOOKUP(_xlfn.XLOOKUP($AS$6&amp;$B15,公表[班別+時段],公表[指揮官],""),$AX$9:$AX$25,$AY$9:$AY$25,"")</f>
        <v>1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27">
        <v>7</v>
      </c>
      <c r="AP15" s="127" t="str">
        <v>包華先</v>
      </c>
      <c r="AQ15" s="127" t="str" cm="1">
        <f t="array" ref="AQ15">IFERROR(_xlfn.XLOOKUP(_xlfn.XLOOKUP($AQ$3,輪休基準表!$C$6:$C$36,_xlfn.XLOOKUP(AP15,輪休基準表!$E$5:$AF$5,輪休基準表!$E$6:$AF$36,""),""),班別參數!$A$4:$A$20,班別參數!$B$4:$B$20,""),"")</f>
        <v>上班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>已排</v>
      </c>
      <c r="AT15" s="180">
        <f t="shared" si="0"/>
        <v>6</v>
      </c>
      <c r="AU15" s="180">
        <f t="shared" si="1"/>
        <v>8</v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>
        <v>16</v>
      </c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>25</v>
      </c>
      <c r="BD15" s="127"/>
    </row>
    <row r="16" spans="2:56" ht="30" customHeight="1">
      <c r="B16" s="83" t="s">
        <v>79</v>
      </c>
      <c r="C16" s="90">
        <f>_xlfn.XLOOKUP(_xlfn.XLOOKUP($AS$6&amp;$B16,公表[班別+時段],公表[值班],""),$AX$9:$AX$25,$AY$9:$AY$25,"")</f>
        <v>25</v>
      </c>
      <c r="D16" s="98"/>
      <c r="E16" s="99"/>
      <c r="F16" s="98"/>
      <c r="G16" s="121">
        <v>1</v>
      </c>
      <c r="H16" s="316" t="str">
        <f>AY3</f>
        <v>環境整理</v>
      </c>
      <c r="I16" s="94">
        <f>_xlfn.XLOOKUP(_xlfn.XLOOKUP($AS$6&amp;$B16,公表[班別+時段],公表[救護1],""),$AX$9:$AX$25,$AY$9:$AY$25,"")</f>
        <v>16</v>
      </c>
      <c r="J16" s="94">
        <f>_xlfn.XLOOKUP(_xlfn.XLOOKUP($AS$6&amp;$B16,公表[班別+時段],公表[救護2],""),$AX$9:$AX$25,$AY$9:$AY$25,"")</f>
        <v>9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18</v>
      </c>
      <c r="O16" s="90">
        <f>_xlfn.XLOOKUP(_xlfn.XLOOKUP($AS$6&amp;$B16,公表[班別+時段],公表[備勤2],""),$AX$9:$AX$25,$AY$9:$AY$25,"")</f>
        <v>21</v>
      </c>
      <c r="P16" s="90"/>
      <c r="Q16" s="90">
        <f>_xlfn.XLOOKUP(_xlfn.XLOOKUP($AS$6&amp;$B16,公表[班別+時段],公表[備勤3],""),$AX$9:$AX$25,$AY$9:$AY$25,"")</f>
        <v>7</v>
      </c>
      <c r="R16" s="90">
        <f>_xlfn.XLOOKUP(_xlfn.XLOOKUP($AS$6&amp;$B16,公表[班別+時段],公表[備勤4],""),$AX$9:$AX$25,$AY$9:$AY$25,"")</f>
        <v>10</v>
      </c>
      <c r="S16" s="90"/>
      <c r="T16" s="90"/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90"/>
      <c r="AC16" s="90"/>
      <c r="AD16" s="90"/>
      <c r="AE16" s="91">
        <v>5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27">
        <v>8</v>
      </c>
      <c r="AP16" s="127" t="str">
        <v>曾彥綸</v>
      </c>
      <c r="AQ16" s="127" t="str" cm="1">
        <f t="array" ref="AQ16">IFERROR(_xlfn.XLOOKUP(_xlfn.XLOOKUP($AQ$3,輪休基準表!$C$6:$C$36,_xlfn.XLOOKUP(AP16,輪休基準表!$E$5:$AF$5,輪休基準表!$E$6:$AF$36,""),""),班別參數!$A$4:$A$20,班別參數!$B$4:$B$20,""),"")</f>
        <v>輪休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/>
      </c>
      <c r="AT16" s="180" t="str">
        <f t="shared" si="0"/>
        <v/>
      </c>
      <c r="AU16" s="180" t="str">
        <f t="shared" si="1"/>
        <v/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>
        <v>9</v>
      </c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27"/>
    </row>
    <row r="17" spans="2:56" ht="30" customHeight="1">
      <c r="B17" s="81" t="s">
        <v>80</v>
      </c>
      <c r="C17" s="87">
        <f>_xlfn.XLOOKUP(_xlfn.XLOOKUP($AS$6&amp;$B17,公表[班別+時段],公表[值班],""),$AX$9:$AX$25,$AY$9:$AY$25,"")</f>
        <v>25</v>
      </c>
      <c r="D17" s="95"/>
      <c r="E17" s="95"/>
      <c r="F17" s="100"/>
      <c r="G17" s="122">
        <v>1</v>
      </c>
      <c r="H17" s="314"/>
      <c r="I17" s="92">
        <f>_xlfn.XLOOKUP(_xlfn.XLOOKUP($AS$6&amp;$B17,公表[班別+時段],公表[救護1],""),$AX$9:$AX$25,$AY$9:$AY$25,"")</f>
        <v>16</v>
      </c>
      <c r="J17" s="92">
        <f>_xlfn.XLOOKUP(_xlfn.XLOOKUP($AS$6&amp;$B17,公表[班別+時段],公表[救護2],""),$AX$9:$AX$25,$AY$9:$AY$25,"")</f>
        <v>9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18</v>
      </c>
      <c r="O17" s="87">
        <f>_xlfn.XLOOKUP(_xlfn.XLOOKUP($AS$6&amp;$B17,公表[班別+時段],公表[備勤2],""),$AX$9:$AX$25,$AY$9:$AY$25,"")</f>
        <v>21</v>
      </c>
      <c r="P17" s="87"/>
      <c r="Q17" s="87">
        <f>_xlfn.XLOOKUP(_xlfn.XLOOKUP($AS$6&amp;$B17,公表[班別+時段],公表[備勤3],""),$AX$9:$AX$25,$AY$9:$AY$25,"")</f>
        <v>7</v>
      </c>
      <c r="R17" s="87">
        <f>_xlfn.XLOOKUP(_xlfn.XLOOKUP($AS$6&amp;$B17,公表[班別+時段],公表[備勤4],""),$AX$9:$AX$25,$AY$9:$AY$25,"")</f>
        <v>10</v>
      </c>
      <c r="S17" s="87"/>
      <c r="T17" s="87"/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87"/>
      <c r="AC17" s="87"/>
      <c r="AD17" s="87"/>
      <c r="AE17" s="88">
        <v>5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27">
        <v>9</v>
      </c>
      <c r="AP17" s="127" t="str">
        <v>鍾佳諭</v>
      </c>
      <c r="AQ17" s="127" t="str" cm="1">
        <f t="array" ref="AQ17">IFERROR(_xlfn.XLOOKUP(_xlfn.XLOOKUP($AQ$3,輪休基準表!$C$6:$C$36,_xlfn.XLOOKUP(AP17,輪休基準表!$E$5:$AF$5,輪休基準表!$E$6:$AF$36,""),""),班別參數!$A$4:$A$20,班別參數!$B$4:$B$20,""),"")</f>
        <v>上班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>已排</v>
      </c>
      <c r="AT17" s="180">
        <f t="shared" si="0"/>
        <v>6</v>
      </c>
      <c r="AU17" s="180">
        <f t="shared" si="1"/>
        <v>2</v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27"/>
    </row>
    <row r="18" spans="2:56" ht="30" customHeight="1">
      <c r="B18" s="81" t="s">
        <v>81</v>
      </c>
      <c r="C18" s="87">
        <f>_xlfn.XLOOKUP(_xlfn.XLOOKUP($AS$6&amp;$B18,公表[班別+時段],公表[值班],""),$AX$9:$AX$25,$AY$9:$AY$25,"")</f>
        <v>10</v>
      </c>
      <c r="D18" s="100"/>
      <c r="E18" s="95"/>
      <c r="F18" s="100"/>
      <c r="G18" s="122" t="str">
        <f>IF(BC13="","",BC13)</f>
        <v>7</v>
      </c>
      <c r="H18" s="297"/>
      <c r="I18" s="92">
        <f>_xlfn.XLOOKUP(_xlfn.XLOOKUP($AS$6&amp;$B18,公表[班別+時段],公表[救護1],""),$AX$9:$AX$25,$AY$9:$AY$25,"")</f>
        <v>16</v>
      </c>
      <c r="J18" s="92">
        <f>_xlfn.XLOOKUP(_xlfn.XLOOKUP($AS$6&amp;$B18,公表[班別+時段],公表[救護2],""),$AX$9:$AX$25,$AY$9:$AY$25,"")</f>
        <v>21</v>
      </c>
      <c r="K18" s="92"/>
      <c r="L18" s="87" t="s">
        <v>212</v>
      </c>
      <c r="M18" s="312"/>
      <c r="N18" s="87">
        <f>_xlfn.XLOOKUP(_xlfn.XLOOKUP($AS$6&amp;$B18,公表[班別+時段],公表[備勤1],""),$AX$9:$AX$25,$AY$9:$AY$25,"")</f>
        <v>25</v>
      </c>
      <c r="O18" s="87">
        <f>_xlfn.XLOOKUP(_xlfn.XLOOKUP($AS$6&amp;$B18,公表[班別+時段],公表[備勤2],""),$AX$9:$AX$25,$AY$9:$AY$25,"")</f>
        <v>9</v>
      </c>
      <c r="P18" s="87"/>
      <c r="Q18" s="87">
        <f>_xlfn.XLOOKUP(_xlfn.XLOOKUP($AS$6&amp;$B18,公表[班別+時段],公表[備勤3],""),$AX$9:$AX$25,$AY$9:$AY$25,"")</f>
        <v>18</v>
      </c>
      <c r="R18" s="87">
        <f>_xlfn.XLOOKUP(_xlfn.XLOOKUP($AS$6&amp;$B18,公表[班別+時段],公表[備勤4],""),$AX$9:$AX$25,$AY$9:$AY$25,"")</f>
        <v>0</v>
      </c>
      <c r="S18" s="87"/>
      <c r="T18" s="87">
        <f>_xlfn.XLOOKUP(_xlfn.XLOOKUP($AS$6&amp;$B18,公表[班別+時段],公表[備勤5],""),$AX$9:$AX$25,$AY$9:$AY$25,"")</f>
        <v>5</v>
      </c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87"/>
      <c r="AC18" s="87"/>
      <c r="AD18" s="87"/>
      <c r="AE18" s="88">
        <f>_xlfn.XLOOKUP(_xlfn.XLOOKUP($AS$6&amp;$B18,公表[班別+時段],公表[指揮官],""),$AX$9:$AX$25,$AY$9:$AY$25,"")</f>
        <v>1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27">
        <v>10</v>
      </c>
      <c r="AP18" s="127" t="str">
        <v>林宏澤</v>
      </c>
      <c r="AQ18" s="127" t="str" cm="1">
        <f t="array" ref="AQ18">IFERROR(_xlfn.XLOOKUP(_xlfn.XLOOKUP($AQ$3,輪休基準表!$C$6:$C$36,_xlfn.XLOOKUP(AP18,輪休基準表!$E$5:$AF$5,輪休基準表!$E$6:$AF$36,""),""),班別參數!$A$4:$A$20,班別參數!$B$4:$B$20,""),"")</f>
        <v>上班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>已排</v>
      </c>
      <c r="AT18" s="180">
        <f t="shared" si="0"/>
        <v>6</v>
      </c>
      <c r="AU18" s="180">
        <f t="shared" si="1"/>
        <v>10</v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27"/>
    </row>
    <row r="19" spans="2:56" ht="30" customHeight="1" thickBot="1">
      <c r="B19" s="110" t="s">
        <v>82</v>
      </c>
      <c r="C19" s="89">
        <f>_xlfn.XLOOKUP(_xlfn.XLOOKUP($AS$6&amp;$B19,公表[班別+時段],公表[值班],""),$AX$9:$AX$25,$AY$9:$AY$25,"")</f>
        <v>10</v>
      </c>
      <c r="D19" s="106"/>
      <c r="E19" s="96"/>
      <c r="F19" s="236"/>
      <c r="G19" s="123" t="str">
        <f>IF(BC13="","",BC13)</f>
        <v>7</v>
      </c>
      <c r="H19" s="107"/>
      <c r="I19" s="216">
        <f>_xlfn.XLOOKUP(_xlfn.XLOOKUP($AS$6&amp;$B19,公表[班別+時段],公表[救護1],""),$AX$9:$AX$25,$AY$9:$AY$25,"")</f>
        <v>16</v>
      </c>
      <c r="J19" s="216">
        <f>_xlfn.XLOOKUP(_xlfn.XLOOKUP($AS$6&amp;$B19,公表[班別+時段],公表[救護2],""),$AX$9:$AX$25,$AY$9:$AY$25,"")</f>
        <v>21</v>
      </c>
      <c r="K19" s="105"/>
      <c r="L19" s="93" t="s">
        <v>212</v>
      </c>
      <c r="M19" s="312"/>
      <c r="N19" s="89">
        <f>_xlfn.XLOOKUP(_xlfn.XLOOKUP($AS$6&amp;$B19,公表[班別+時段],公表[備勤1],""),$AX$9:$AX$25,$AY$9:$AY$25,"")</f>
        <v>25</v>
      </c>
      <c r="O19" s="89">
        <f>_xlfn.XLOOKUP(_xlfn.XLOOKUP($AS$6&amp;$B19,公表[班別+時段],公表[備勤2],""),$AX$9:$AX$25,$AY$9:$AY$25,"")</f>
        <v>9</v>
      </c>
      <c r="P19" s="89"/>
      <c r="Q19" s="89">
        <f>_xlfn.XLOOKUP(_xlfn.XLOOKUP($AS$6&amp;$B19,公表[班別+時段],公表[備勤3],""),$AX$9:$AX$25,$AY$9:$AY$25,"")</f>
        <v>18</v>
      </c>
      <c r="R19" s="89">
        <f>_xlfn.XLOOKUP(_xlfn.XLOOKUP($AS$6&amp;$B19,公表[班別+時段],公表[備勤4],""),$AX$9:$AX$25,$AY$9:$AY$25,"")</f>
        <v>0</v>
      </c>
      <c r="S19" s="89"/>
      <c r="T19" s="89">
        <f>_xlfn.XLOOKUP(_xlfn.XLOOKUP($AS$6&amp;$B19,公表[班別+時段],公表[備勤5],""),$AX$9:$AX$25,$AY$9:$AY$25,"")</f>
        <v>5</v>
      </c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89"/>
      <c r="AC19" s="89"/>
      <c r="AD19" s="89"/>
      <c r="AE19" s="104">
        <f>_xlfn.XLOOKUP(_xlfn.XLOOKUP($AS$6&amp;$B19,公表[班別+時段],公表[指揮官],""),$AX$9:$AX$25,$AY$9:$AY$25,"")</f>
        <v>1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27">
        <v>11</v>
      </c>
      <c r="AP19" s="127" t="str">
        <v>簡君諺</v>
      </c>
      <c r="AQ19" s="127" t="str" cm="1">
        <f t="array" ref="AQ19">IFERROR(_xlfn.XLOOKUP(_xlfn.XLOOKUP($AQ$3,輪休基準表!$C$6:$C$36,_xlfn.XLOOKUP(AP19,輪休基準表!$E$5:$AF$5,輪休基準表!$E$6:$AF$36,""),""),班別參數!$A$4:$A$20,班別參數!$B$4:$B$20,""),"")</f>
        <v>輪休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/>
      </c>
      <c r="AT19" s="180" t="str">
        <f t="shared" si="0"/>
        <v/>
      </c>
      <c r="AU19" s="180" t="str">
        <f t="shared" si="1"/>
        <v/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:AY20">IF(AX19="","",_xlfn._xlws.FILTER($AO$9:$AO$13,$AQ$9:$AQ$13="上班",""))</f>
        <v>1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27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5</v>
      </c>
      <c r="D20" s="97"/>
      <c r="E20" s="97"/>
      <c r="F20" s="97"/>
      <c r="G20" s="121" t="str">
        <f>IF(BC14="","",BC14)</f>
        <v>18</v>
      </c>
      <c r="H20" s="55"/>
      <c r="I20" s="94">
        <f>_xlfn.XLOOKUP(_xlfn.XLOOKUP($AS$6&amp;$B20,公表[班別+時段],公表[救護1],""),$AX$9:$AX$25,$AY$9:$AY$25,"")</f>
        <v>10</v>
      </c>
      <c r="J20" s="94">
        <f>_xlfn.XLOOKUP(_xlfn.XLOOKUP($AS$6&amp;$B20,公表[班別+時段],公表[救護2],""),$AX$9:$AX$25,$AY$9:$AY$25,"")</f>
        <v>9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21</v>
      </c>
      <c r="O20" s="90">
        <f>_xlfn.XLOOKUP(_xlfn.XLOOKUP($AS$6&amp;$B20,公表[班別+時段],公表[備勤2],""),$AX$9:$AX$25,$AY$9:$AY$25,"")</f>
        <v>7</v>
      </c>
      <c r="P20" s="90"/>
      <c r="Q20" s="90">
        <f>_xlfn.XLOOKUP(_xlfn.XLOOKUP($AS$6&amp;$B20,公表[班別+時段],公表[備勤3],""),$AX$9:$AX$25,$AY$9:$AY$25,"")</f>
        <v>25</v>
      </c>
      <c r="R20" s="90">
        <f>_xlfn.XLOOKUP(_xlfn.XLOOKUP($AS$6&amp;$B20,公表[班別+時段],公表[備勤4],""),$AX$9:$AX$25,$AY$9:$AY$25,"")</f>
        <v>16</v>
      </c>
      <c r="S20" s="90"/>
      <c r="T20" s="90">
        <f>_xlfn.XLOOKUP(_xlfn.XLOOKUP($AS$6&amp;$B20,公表[班別+時段],公表[備勤5],""),$AX$9:$AX$25,$AY$9:$AY$25,"")</f>
        <v>0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90"/>
      <c r="AC20" s="90"/>
      <c r="AD20" s="90"/>
      <c r="AE20" s="91">
        <f>_xlfn.XLOOKUP(_xlfn.XLOOKUP($AS$6&amp;$B20,公表[班別+時段],公表[指揮官],""),$AX$9:$AX$25,$AY$9:$AY$25,"")</f>
        <v>1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27">
        <v>12</v>
      </c>
      <c r="AP20" s="127" t="str">
        <v>王昱勛</v>
      </c>
      <c r="AQ20" s="127" t="str" cm="1">
        <f t="array" ref="AQ20">IFERROR(_xlfn.XLOOKUP(_xlfn.XLOOKUP($AQ$3,輪休基準表!$C$6:$C$36,_xlfn.XLOOKUP(AP20,輪休基準表!$E$5:$AF$5,輪休基準表!$E$6:$AF$36,""),""),班別參數!$A$4:$A$20,班別參數!$B$4:$B$20,""),"")</f>
        <v>月補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/>
      </c>
      <c r="AT20" s="180" t="str">
        <f t="shared" si="0"/>
        <v/>
      </c>
      <c r="AU20" s="180" t="str">
        <f t="shared" si="1"/>
        <v/>
      </c>
      <c r="AV20" s="25"/>
      <c r="AW20" s="33" t="str">
        <f t="array" ref="AW20">INDEX(班別參數!$D$4:$D$20,ROW()-7,MATCH($AW$8,班別參數!$D$4:$D$20,0))</f>
        <v>帶隊官</v>
      </c>
      <c r="AX20" s="34" t="str">
        <f t="array" ref="AX20">IFERROR(INDEX(班別參數!$D$4:$S$20,MATCH(AW20,班別參數!$D$4:$D$20,0),MATCH($AS$6,班別參數!$D$4:$S$4,0)),"")</f>
        <v>L</v>
      </c>
      <c r="AY20" s="38">
        <v>5</v>
      </c>
      <c r="AZ20" s="32"/>
      <c r="BA20" s="33" t="s">
        <v>67</v>
      </c>
      <c r="BB20" s="34" t="str">
        <f t="array" ref="BB20">IFERROR(INDEX(班別參數!$D$23:$S$35,MATCH(BA20,班別參數!$D$23:$D$35,0),MATCH($AS$6,班別參數!$D$23:$S$23,0)),"")</f>
        <v>G,L</v>
      </c>
      <c r="BC20" s="41" t="str">
        <f t="shared" si="2"/>
        <v>21,5</v>
      </c>
      <c r="BD20" s="127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5</v>
      </c>
      <c r="D21" s="95"/>
      <c r="E21" s="95"/>
      <c r="F21" s="95"/>
      <c r="G21" s="122" t="str">
        <f>IF(BC14="","",BC14)</f>
        <v>18</v>
      </c>
      <c r="H21" s="296" t="str">
        <f>AY4</f>
        <v>器材車、化學(處理)車</v>
      </c>
      <c r="I21" s="92">
        <f>_xlfn.XLOOKUP(_xlfn.XLOOKUP($AS$6&amp;$B21,公表[班別+時段],公表[救護1],""),$AX$9:$AX$25,$AY$9:$AY$25,"")</f>
        <v>10</v>
      </c>
      <c r="J21" s="92">
        <f>_xlfn.XLOOKUP(_xlfn.XLOOKUP($AS$6&amp;$B21,公表[班別+時段],公表[救護2],""),$AX$9:$AX$25,$AY$9:$AY$25,"")</f>
        <v>9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21</v>
      </c>
      <c r="O21" s="87">
        <f>_xlfn.XLOOKUP(_xlfn.XLOOKUP($AS$6&amp;$B21,公表[班別+時段],公表[備勤2],""),$AX$9:$AX$25,$AY$9:$AY$25,"")</f>
        <v>7</v>
      </c>
      <c r="P21" s="87"/>
      <c r="Q21" s="87">
        <f>_xlfn.XLOOKUP(_xlfn.XLOOKUP($AS$6&amp;$B21,公表[班別+時段],公表[備勤3],""),$AX$9:$AX$25,$AY$9:$AY$25,"")</f>
        <v>25</v>
      </c>
      <c r="R21" s="87">
        <f>_xlfn.XLOOKUP(_xlfn.XLOOKUP($AS$6&amp;$B21,公表[班別+時段],公表[備勤4],""),$AX$9:$AX$25,$AY$9:$AY$25,"")</f>
        <v>16</v>
      </c>
      <c r="S21" s="87"/>
      <c r="T21" s="87">
        <f>_xlfn.XLOOKUP(_xlfn.XLOOKUP($AS$6&amp;$B21,公表[班別+時段],公表[備勤5],""),$AX$9:$AX$25,$AY$9:$AY$25,"")</f>
        <v>0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87"/>
      <c r="AC21" s="87"/>
      <c r="AD21" s="87"/>
      <c r="AE21" s="88">
        <f>_xlfn.XLOOKUP(_xlfn.XLOOKUP($AS$6&amp;$B21,公表[班別+時段],公表[指揮官],""),$AX$9:$AX$25,$AY$9:$AY$25,"")</f>
        <v>1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27">
        <v>13</v>
      </c>
      <c r="AP21" s="127" t="str">
        <v>葉宗哲</v>
      </c>
      <c r="AQ21" s="127" t="str" cm="1">
        <f t="array" ref="AQ21">IFERROR(_xlfn.XLOOKUP(_xlfn.XLOOKUP($AQ$3,輪休基準表!$C$6:$C$36,_xlfn.XLOOKUP(AP21,輪休基準表!$E$5:$AF$5,輪休基準表!$E$6:$AF$36,""),""),班別參數!$A$4:$A$20,班別參數!$B$4:$B$20,""),"")</f>
        <v>輪休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/>
      </c>
      <c r="AT21" s="180" t="str">
        <f t="shared" si="0"/>
        <v/>
      </c>
      <c r="AU21" s="180" t="str">
        <f t="shared" si="1"/>
        <v/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27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16</v>
      </c>
      <c r="D22" s="95"/>
      <c r="E22" s="95"/>
      <c r="F22" s="95"/>
      <c r="G22" s="122" t="str">
        <f>IF(BC15="","",BC15)</f>
        <v>25</v>
      </c>
      <c r="H22" s="297"/>
      <c r="I22" s="92">
        <f>_xlfn.XLOOKUP(_xlfn.XLOOKUP($AS$6&amp;$B22,公表[班別+時段],公表[救護1],""),$AX$9:$AX$25,$AY$9:$AY$25,"")</f>
        <v>18</v>
      </c>
      <c r="J22" s="92">
        <f>_xlfn.XLOOKUP(_xlfn.XLOOKUP($AS$6&amp;$B22,公表[班別+時段],公表[救護2],""),$AX$9:$AX$25,$AY$9:$AY$25,"")</f>
        <v>21</v>
      </c>
      <c r="K22" s="92"/>
      <c r="L22" s="87" t="s">
        <v>212</v>
      </c>
      <c r="M22" s="312"/>
      <c r="N22" s="87">
        <f>_xlfn.XLOOKUP(_xlfn.XLOOKUP($AS$6&amp;$B22,公表[班別+時段],公表[備勤1],""),$AX$9:$AX$25,$AY$9:$AY$25,"")</f>
        <v>7</v>
      </c>
      <c r="O22" s="87">
        <f>_xlfn.XLOOKUP(_xlfn.XLOOKUP($AS$6&amp;$B22,公表[班別+時段],公表[備勤2],""),$AX$9:$AX$25,$AY$9:$AY$25,"")</f>
        <v>10</v>
      </c>
      <c r="P22" s="87"/>
      <c r="Q22" s="87">
        <f>_xlfn.XLOOKUP(_xlfn.XLOOKUP($AS$6&amp;$B22,公表[班別+時段],公表[備勤3],""),$AX$9:$AX$25,$AY$9:$AY$25,"")</f>
        <v>9</v>
      </c>
      <c r="R22" s="87">
        <f>_xlfn.XLOOKUP(_xlfn.XLOOKUP($AS$6&amp;$B22,公表[班別+時段],公表[備勤4],""),$AX$9:$AX$25,$AY$9:$AY$25,"")</f>
        <v>0</v>
      </c>
      <c r="S22" s="87"/>
      <c r="T22" s="87">
        <f>_xlfn.XLOOKUP(_xlfn.XLOOKUP($AS$6&amp;$B22,公表[班別+時段],公表[備勤5],""),$AX$9:$AX$25,$AY$9:$AY$25,"")</f>
        <v>5</v>
      </c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87"/>
      <c r="AC22" s="87"/>
      <c r="AD22" s="87"/>
      <c r="AE22" s="88">
        <f>_xlfn.XLOOKUP(_xlfn.XLOOKUP($AS$6&amp;$B22,公表[班別+時段],公表[指揮官],""),$AX$9:$AX$25,$AY$9:$AY$25,"")</f>
        <v>1</v>
      </c>
      <c r="AF22" s="57" t="s">
        <v>213</v>
      </c>
      <c r="AG22" s="305" t="str" cm="1">
        <f t="array" ref="AG22">_xlfn.TEXTJOIN(".",1,_xlfn._xlws.FILTER($AO$9:$AO$40,$AQ$9:$AQ$40="上班",""))</f>
        <v>1.5.7.9.10.16.18.21.25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27">
        <v>14</v>
      </c>
      <c r="AP22" s="127" t="str">
        <v>王浩任</v>
      </c>
      <c r="AQ22" s="127" t="str" cm="1">
        <f t="array" ref="AQ22">IFERROR(_xlfn.XLOOKUP(_xlfn.XLOOKUP($AQ$3,輪休基準表!$C$6:$C$36,_xlfn.XLOOKUP(AP22,輪休基準表!$E$5:$AF$5,輪休基準表!$E$6:$AF$36,""),""),班別參數!$A$4:$A$20,班別參數!$B$4:$B$20,""),"")</f>
        <v>輪休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/>
      </c>
      <c r="AT22" s="180" t="str">
        <f t="shared" si="0"/>
        <v/>
      </c>
      <c r="AU22" s="180" t="str">
        <f t="shared" si="1"/>
        <v/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27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16</v>
      </c>
      <c r="D23" s="106"/>
      <c r="E23" s="96"/>
      <c r="F23" s="96"/>
      <c r="G23" s="123" t="str">
        <f>IF(BC15="","",BC15)</f>
        <v>25</v>
      </c>
      <c r="H23" s="107"/>
      <c r="I23" s="216">
        <f>_xlfn.XLOOKUP(_xlfn.XLOOKUP($AS$6&amp;$B23,公表[班別+時段],公表[救護1],""),$AX$9:$AX$25,$AY$9:$AY$25,"")</f>
        <v>18</v>
      </c>
      <c r="J23" s="216">
        <f>_xlfn.XLOOKUP(_xlfn.XLOOKUP($AS$6&amp;$B23,公表[班別+時段],公表[救護2],""),$AX$9:$AX$25,$AY$9:$AY$25,"")</f>
        <v>21</v>
      </c>
      <c r="K23" s="105"/>
      <c r="L23" s="93" t="s">
        <v>212</v>
      </c>
      <c r="M23" s="312"/>
      <c r="N23" s="89">
        <f>_xlfn.XLOOKUP(_xlfn.XLOOKUP($AS$6&amp;$B23,公表[班別+時段],公表[備勤1],""),$AX$9:$AX$25,$AY$9:$AY$25,"")</f>
        <v>7</v>
      </c>
      <c r="O23" s="89">
        <f>_xlfn.XLOOKUP(_xlfn.XLOOKUP($AS$6&amp;$B23,公表[班別+時段],公表[備勤2],""),$AX$9:$AX$25,$AY$9:$AY$25,"")</f>
        <v>10</v>
      </c>
      <c r="P23" s="89"/>
      <c r="Q23" s="89">
        <f>_xlfn.XLOOKUP(_xlfn.XLOOKUP($AS$6&amp;$B23,公表[班別+時段],公表[備勤3],""),$AX$9:$AX$25,$AY$9:$AY$25,"")</f>
        <v>9</v>
      </c>
      <c r="R23" s="89">
        <f>_xlfn.XLOOKUP(_xlfn.XLOOKUP($AS$6&amp;$B23,公表[班別+時段],公表[備勤4],""),$AX$9:$AX$25,$AY$9:$AY$25,"")</f>
        <v>0</v>
      </c>
      <c r="S23" s="89"/>
      <c r="T23" s="89">
        <f>_xlfn.XLOOKUP(_xlfn.XLOOKUP($AS$6&amp;$B23,公表[班別+時段],公表[備勤5],""),$AX$9:$AX$25,$AY$9:$AY$25,"")</f>
        <v>5</v>
      </c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89"/>
      <c r="AC23" s="89"/>
      <c r="AD23" s="89"/>
      <c r="AE23" s="104">
        <f>_xlfn.XLOOKUP(_xlfn.XLOOKUP($AS$6&amp;$B23,公表[班別+時段],公表[指揮官],""),$AX$9:$AX$25,$AY$9:$AY$25,"")</f>
        <v>1</v>
      </c>
      <c r="AF23" s="57" t="s">
        <v>6</v>
      </c>
      <c r="AG23" s="305" t="str" cm="1">
        <f t="array" ref="AG23">_xlfn.TEXTJOIN(".",1,_xlfn._xlws.FILTER($AO$9:$AO$40,$AQ$9:$AQ$40=$AF$23,""))</f>
        <v>2.3.4.6.8.11.13.14.15.17.19.20.22.23.24.26.28</v>
      </c>
      <c r="AH23" s="400"/>
      <c r="AI23" s="400"/>
      <c r="AJ23" s="400"/>
      <c r="AK23" s="400"/>
      <c r="AL23" s="400"/>
      <c r="AM23" s="401"/>
      <c r="AN23" s="214"/>
      <c r="AO23" s="127">
        <v>15</v>
      </c>
      <c r="AP23" s="127" t="str">
        <v>李仕詮</v>
      </c>
      <c r="AQ23" s="127" t="str" cm="1">
        <f t="array" ref="AQ23">IFERROR(_xlfn.XLOOKUP(_xlfn.XLOOKUP($AQ$3,輪休基準表!$C$6:$C$36,_xlfn.XLOOKUP(AP23,輪休基準表!$E$5:$AF$5,輪休基準表!$E$6:$AF$36,""),""),班別參數!$A$4:$A$20,班別參數!$B$4:$B$20,""),"")</f>
        <v>輪休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/>
      </c>
      <c r="AT23" s="180" t="str">
        <f t="shared" si="0"/>
        <v/>
      </c>
      <c r="AU23" s="180" t="str">
        <f t="shared" si="1"/>
        <v/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27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9</v>
      </c>
      <c r="D24" s="97"/>
      <c r="E24" s="97"/>
      <c r="F24" s="97"/>
      <c r="G24" s="121">
        <v>10</v>
      </c>
      <c r="H24" s="55"/>
      <c r="I24" s="94">
        <f>_xlfn.XLOOKUP(_xlfn.XLOOKUP($AS$6&amp;$B24,公表[班別+時段],公表[救護1],""),$AX$9:$AX$25,$AY$9:$AY$25,"")</f>
        <v>16</v>
      </c>
      <c r="J24" s="94">
        <f>_xlfn.XLOOKUP(_xlfn.XLOOKUP($AS$6&amp;$B24,公表[班別+時段],公表[救護2],""),$AX$9:$AX$25,$AY$9:$AY$25,"")</f>
        <v>25</v>
      </c>
      <c r="K24" s="90"/>
      <c r="L24" s="90" t="s">
        <v>212</v>
      </c>
      <c r="M24" s="312"/>
      <c r="N24" s="90">
        <f>_xlfn.XLOOKUP(_xlfn.XLOOKUP($AS$6&amp;$B24,公表[班別+時段],公表[備勤1],""),$AX$9:$AX$25,$AY$9:$AY$25,"")</f>
        <v>18</v>
      </c>
      <c r="O24" s="90">
        <f>_xlfn.XLOOKUP(_xlfn.XLOOKUP($AS$6&amp;$B24,公表[班別+時段],公表[備勤2],""),$AX$9:$AX$25,$AY$9:$AY$25,"")</f>
        <v>21</v>
      </c>
      <c r="P24" s="90"/>
      <c r="Q24" s="90">
        <f>_xlfn.XLOOKUP(_xlfn.XLOOKUP($AS$6&amp;$B24,公表[班別+時段],公表[備勤3],""),$AX$9:$AX$25,$AY$9:$AY$25,"")</f>
        <v>7</v>
      </c>
      <c r="R24" s="90"/>
      <c r="S24" s="90"/>
      <c r="T24" s="90">
        <f>_xlfn.XLOOKUP(_xlfn.XLOOKUP($AS$6&amp;$B24,公表[班別+時段],公表[備勤5],""),$AX$9:$AX$25,$AY$9:$AY$25,"")</f>
        <v>5</v>
      </c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90"/>
      <c r="AC24" s="90"/>
      <c r="AD24" s="90"/>
      <c r="AE24" s="91">
        <f>_xlfn.XLOOKUP(_xlfn.XLOOKUP($AS$6&amp;$B24,公表[班別+時段],公表[指揮官],""),$AX$9:$AX$25,$AY$9:$AY$25,"")</f>
        <v>1</v>
      </c>
      <c r="AF24" s="57" t="s">
        <v>17</v>
      </c>
      <c r="AG24" s="305" t="str" cm="1">
        <f t="array" ref="AG24">_xlfn.TEXTJOIN(".",1,_xlfn._xlws.FILTER($AO$9:$AO$40,$AQ$9:$AQ$40=$AF$24,""))</f>
        <v>12</v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>27</v>
      </c>
      <c r="AL24" s="400"/>
      <c r="AM24" s="401"/>
      <c r="AN24" s="214"/>
      <c r="AO24" s="127">
        <v>16</v>
      </c>
      <c r="AP24" s="127" t="str">
        <v>楊弘宇</v>
      </c>
      <c r="AQ24" s="127" t="str" cm="1">
        <f t="array" ref="AQ24">IFERROR(_xlfn.XLOOKUP(_xlfn.XLOOKUP($AQ$3,輪休基準表!$C$6:$C$36,_xlfn.XLOOKUP(AP24,輪休基準表!$E$5:$AF$5,輪休基準表!$E$6:$AF$36,""),""),班別參數!$A$4:$A$20,班別參數!$B$4:$B$20,""),"")</f>
        <v>上班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>已排</v>
      </c>
      <c r="AT24" s="180">
        <f t="shared" si="0"/>
        <v>8</v>
      </c>
      <c r="AU24" s="180">
        <f t="shared" si="1"/>
        <v>8</v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27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9</v>
      </c>
      <c r="D25" s="95"/>
      <c r="E25" s="95"/>
      <c r="F25" s="95"/>
      <c r="G25" s="122">
        <v>10</v>
      </c>
      <c r="H25" s="37"/>
      <c r="I25" s="92">
        <f>_xlfn.XLOOKUP(_xlfn.XLOOKUP($AS$6&amp;$B25,公表[班別+時段],公表[救護1],""),$AX$9:$AX$25,$AY$9:$AY$25,"")</f>
        <v>16</v>
      </c>
      <c r="J25" s="92">
        <f>_xlfn.XLOOKUP(_xlfn.XLOOKUP($AS$6&amp;$B25,公表[班別+時段],公表[救護2],""),$AX$9:$AX$25,$AY$9:$AY$25,"")</f>
        <v>25</v>
      </c>
      <c r="K25" s="87"/>
      <c r="L25" s="87" t="s">
        <v>212</v>
      </c>
      <c r="M25" s="312"/>
      <c r="N25" s="87">
        <f>_xlfn.XLOOKUP(_xlfn.XLOOKUP($AS$6&amp;$B25,公表[班別+時段],公表[備勤1],""),$AX$9:$AX$25,$AY$9:$AY$25,"")</f>
        <v>18</v>
      </c>
      <c r="O25" s="87">
        <f>_xlfn.XLOOKUP(_xlfn.XLOOKUP($AS$6&amp;$B25,公表[班別+時段],公表[備勤2],""),$AX$9:$AX$25,$AY$9:$AY$25,"")</f>
        <v>21</v>
      </c>
      <c r="P25" s="87"/>
      <c r="Q25" s="87">
        <f>_xlfn.XLOOKUP(_xlfn.XLOOKUP($AS$6&amp;$B25,公表[班別+時段],公表[備勤3],""),$AX$9:$AX$25,$AY$9:$AY$25,"")</f>
        <v>7</v>
      </c>
      <c r="R25" s="87"/>
      <c r="S25" s="87"/>
      <c r="T25" s="87">
        <f>_xlfn.XLOOKUP(_xlfn.XLOOKUP($AS$6&amp;$B25,公表[班別+時段],公表[備勤5],""),$AX$9:$AX$25,$AY$9:$AY$25,"")</f>
        <v>5</v>
      </c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87"/>
      <c r="AC25" s="87"/>
      <c r="AD25" s="87"/>
      <c r="AE25" s="88">
        <f>_xlfn.XLOOKUP(_xlfn.XLOOKUP($AS$6&amp;$B25,公表[班別+時段],公表[指揮官],""),$AX$9:$AX$25,$AY$9:$AY$25,"")</f>
        <v>1</v>
      </c>
      <c r="AF25" s="57" t="s">
        <v>28</v>
      </c>
      <c r="AG25" s="305" t="str" cm="1">
        <f t="array" ref="AG25">_xlfn.TEXTJOIN(".",1,_xlfn._xlws.FILTER($AO$9:$AO$40,$AQ$9:$AQ$40=$AF$25,""))</f>
        <v/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/>
      </c>
      <c r="AL25" s="309"/>
      <c r="AM25" s="310"/>
      <c r="AN25" s="214"/>
      <c r="AO25" s="127">
        <v>17</v>
      </c>
      <c r="AP25" s="127" t="str">
        <v>楊仲豪</v>
      </c>
      <c r="AQ25" s="127" t="str" cm="1">
        <f t="array" ref="AQ25">IFERROR(_xlfn.XLOOKUP(_xlfn.XLOOKUP($AQ$3,輪休基準表!$C$6:$C$36,_xlfn.XLOOKUP(AP25,輪休基準表!$E$5:$AF$5,輪休基準表!$E$6:$AF$36,""),""),班別參數!$A$4:$A$20,班別參數!$B$4:$B$20,""),"")</f>
        <v>輪休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/>
      </c>
      <c r="AT25" s="180" t="str">
        <f t="shared" si="0"/>
        <v/>
      </c>
      <c r="AU25" s="180" t="str">
        <f t="shared" si="1"/>
        <v/>
      </c>
      <c r="AW25" s="33"/>
      <c r="AX25" s="45"/>
      <c r="AY25" s="25"/>
      <c r="AZ25" s="28"/>
      <c r="BA25" s="33"/>
      <c r="BB25" s="25"/>
      <c r="BD25" s="127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9</v>
      </c>
      <c r="D26" s="95"/>
      <c r="E26" s="95"/>
      <c r="F26" s="95"/>
      <c r="G26" s="122" t="str">
        <f>IF(BC17="","",BC17)</f>
        <v/>
      </c>
      <c r="H26" s="37"/>
      <c r="I26" s="92">
        <f>_xlfn.XLOOKUP(_xlfn.XLOOKUP($AS$6&amp;$B26,公表[班別+時段],公表[救護1],""),$AX$9:$AX$25,$AY$9:$AY$25,"")</f>
        <v>7</v>
      </c>
      <c r="J26" s="92">
        <f>_xlfn.XLOOKUP(_xlfn.XLOOKUP($AS$6&amp;$B26,公表[班別+時段],公表[救護2],""),$AX$9:$AX$25,$AY$9:$AY$25,"")</f>
        <v>18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21</v>
      </c>
      <c r="O26" s="87">
        <f>_xlfn.XLOOKUP(_xlfn.XLOOKUP($AS$6&amp;$B26,公表[班別+時段],公表[備勤2],""),$AX$9:$AX$25,$AY$9:$AY$25,"")</f>
        <v>16</v>
      </c>
      <c r="P26" s="87"/>
      <c r="Q26" s="87">
        <f>_xlfn.XLOOKUP(_xlfn.XLOOKUP($AS$6&amp;$B26,公表[班別+時段],公表[備勤3],""),$AX$9:$AX$25,$AY$9:$AY$25,"")</f>
        <v>10</v>
      </c>
      <c r="R26" s="87">
        <f>_xlfn.XLOOKUP(_xlfn.XLOOKUP($AS$6&amp;$B26,公表[班別+時段],公表[備勤4],""),$AX$9:$AX$25,$AY$9:$AY$25,"")</f>
        <v>25</v>
      </c>
      <c r="S26" s="87"/>
      <c r="T26" s="87">
        <f>_xlfn.XLOOKUP(_xlfn.XLOOKUP($AS$6&amp;$B26,公表[班別+時段],公表[備勤5],""),$AX$9:$AX$25,$AY$9:$AY$25,"")</f>
        <v>5</v>
      </c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87"/>
      <c r="AC26" s="87"/>
      <c r="AD26" s="87"/>
      <c r="AE26" s="88">
        <f>_xlfn.XLOOKUP(_xlfn.XLOOKUP($AS$6&amp;$B26,公表[班別+時段],公表[指揮官],""),$AX$9:$AX$25,$AY$9:$AY$25,"")</f>
        <v>1</v>
      </c>
      <c r="AF26" s="57" t="s">
        <v>289</v>
      </c>
      <c r="AG26" s="178" t="str" cm="1">
        <f t="array" ref="AG26">_xlfn.TEXTJOIN(".",1,_xlfn._xlws.FILTER($AO$9:$AO$40,$AQ$9:$AQ$40=$AF$26,""))</f>
        <v/>
      </c>
      <c r="AH26" s="168" t="s">
        <v>290</v>
      </c>
      <c r="AI26" s="179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/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27">
        <v>18</v>
      </c>
      <c r="AP26" s="127" t="str">
        <v>林志偉</v>
      </c>
      <c r="AQ26" s="127" t="str" cm="1">
        <f t="array" ref="AQ26">IFERROR(_xlfn.XLOOKUP(_xlfn.XLOOKUP($AQ$3,輪休基準表!$C$6:$C$36,_xlfn.XLOOKUP(AP26,輪休基準表!$E$5:$AF$5,輪休基準表!$E$6:$AF$36,""),""),班別參數!$A$4:$A$20,班別參數!$B$4:$B$20,""),"")</f>
        <v>上班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>已排</v>
      </c>
      <c r="AT26" s="180">
        <f t="shared" si="0"/>
        <v>8</v>
      </c>
      <c r="AU26" s="180">
        <f t="shared" si="1"/>
        <v>6</v>
      </c>
      <c r="AV26" s="10"/>
      <c r="AW26" s="46"/>
      <c r="AX26" s="45"/>
      <c r="AY26" s="25"/>
      <c r="AZ26" s="28"/>
      <c r="BA26" s="33"/>
      <c r="BB26" s="25"/>
      <c r="BD26" s="127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9</v>
      </c>
      <c r="D27" s="95"/>
      <c r="E27" s="95"/>
      <c r="F27" s="95"/>
      <c r="G27" s="122" t="str">
        <f>IF(BC17="","",BC17)</f>
        <v/>
      </c>
      <c r="H27" s="37"/>
      <c r="I27" s="92">
        <f>_xlfn.XLOOKUP(_xlfn.XLOOKUP($AS$6&amp;$B27,公表[班別+時段],公表[救護1],""),$AX$9:$AX$25,$AY$9:$AY$25,"")</f>
        <v>7</v>
      </c>
      <c r="J27" s="92">
        <f>_xlfn.XLOOKUP(_xlfn.XLOOKUP($AS$6&amp;$B27,公表[班別+時段],公表[救護2],""),$AX$9:$AX$25,$AY$9:$AY$25,"")</f>
        <v>18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21</v>
      </c>
      <c r="O27" s="87">
        <f>_xlfn.XLOOKUP(_xlfn.XLOOKUP($AS$6&amp;$B27,公表[班別+時段],公表[備勤2],""),$AX$9:$AX$25,$AY$9:$AY$25,"")</f>
        <v>16</v>
      </c>
      <c r="P27" s="87"/>
      <c r="Q27" s="87">
        <f>_xlfn.XLOOKUP(_xlfn.XLOOKUP($AS$6&amp;$B27,公表[班別+時段],公表[備勤3],""),$AX$9:$AX$25,$AY$9:$AY$25,"")</f>
        <v>10</v>
      </c>
      <c r="R27" s="87">
        <f>_xlfn.XLOOKUP(_xlfn.XLOOKUP($AS$6&amp;$B27,公表[班別+時段],公表[備勤4],""),$AX$9:$AX$25,$AY$9:$AY$25,"")</f>
        <v>25</v>
      </c>
      <c r="S27" s="87"/>
      <c r="T27" s="87">
        <f>_xlfn.XLOOKUP(_xlfn.XLOOKUP($AS$6&amp;$B27,公表[班別+時段],公表[備勤5],""),$AX$9:$AX$25,$AY$9:$AY$25,"")</f>
        <v>5</v>
      </c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87"/>
      <c r="AC27" s="87"/>
      <c r="AD27" s="87"/>
      <c r="AE27" s="88">
        <f>_xlfn.XLOOKUP(_xlfn.XLOOKUP($AS$6&amp;$B27,公表[班別+時段],公表[指揮官],""),$AX$9:$AX$25,$AY$9:$AY$25,"")</f>
        <v>1</v>
      </c>
      <c r="AF27" s="317" t="s">
        <v>215</v>
      </c>
      <c r="AG27" s="319"/>
      <c r="AH27" s="321"/>
      <c r="AI27" s="321"/>
      <c r="AJ27" s="321"/>
      <c r="AK27" s="321"/>
      <c r="AL27" s="321"/>
      <c r="AM27" s="322"/>
      <c r="AN27" s="214"/>
      <c r="AO27" s="127">
        <v>19</v>
      </c>
      <c r="AP27" s="127" t="str">
        <v>劉家誠</v>
      </c>
      <c r="AQ27" s="127" t="str" cm="1">
        <f t="array" ref="AQ27">IFERROR(_xlfn.XLOOKUP(_xlfn.XLOOKUP($AQ$3,輪休基準表!$C$6:$C$36,_xlfn.XLOOKUP(AP27,輪休基準表!$E$5:$AF$5,輪休基準表!$E$6:$AF$36,""),""),班別參數!$A$4:$A$20,班別參數!$B$4:$B$20,""),"")</f>
        <v>輪休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/>
      </c>
      <c r="AT27" s="180" t="str">
        <f t="shared" si="0"/>
        <v/>
      </c>
      <c r="AU27" s="180" t="str">
        <f t="shared" si="1"/>
        <v/>
      </c>
      <c r="AV27" s="10"/>
      <c r="AW27" s="46"/>
      <c r="AX27" s="45"/>
      <c r="AY27" s="25"/>
      <c r="AZ27" s="28"/>
      <c r="BA27" s="33"/>
      <c r="BB27" s="25"/>
      <c r="BD27" s="127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9</v>
      </c>
      <c r="D28" s="95"/>
      <c r="E28" s="95"/>
      <c r="F28" s="95"/>
      <c r="G28" s="122" t="str">
        <f>IF(BC18="","",BC18)</f>
        <v/>
      </c>
      <c r="H28" s="37"/>
      <c r="I28" s="92">
        <f>_xlfn.XLOOKUP(_xlfn.XLOOKUP($AS$6&amp;$B28,公表[班別+時段],公表[救護1],""),$AX$9:$AX$25,$AY$9:$AY$25,"")</f>
        <v>7</v>
      </c>
      <c r="J28" s="92">
        <f>_xlfn.XLOOKUP(_xlfn.XLOOKUP($AS$6&amp;$B28,公表[班別+時段],公表[救護2],""),$AX$9:$AX$25,$AY$9:$AY$25,"")</f>
        <v>18</v>
      </c>
      <c r="K28" s="87"/>
      <c r="L28" s="87" t="s">
        <v>212</v>
      </c>
      <c r="M28" s="312"/>
      <c r="N28" s="87">
        <f>_xlfn.XLOOKUP(_xlfn.XLOOKUP($AS$6&amp;$B28,公表[班別+時段],公表[備勤1],""),$AX$9:$AX$25,$AY$9:$AY$25,"")</f>
        <v>25</v>
      </c>
      <c r="O28" s="87">
        <f>_xlfn.XLOOKUP(_xlfn.XLOOKUP($AS$6&amp;$B28,公表[班別+時段],公表[備勤2],""),$AX$9:$AX$25,$AY$9:$AY$25,"")</f>
        <v>10</v>
      </c>
      <c r="P28" s="87"/>
      <c r="Q28" s="87">
        <f>_xlfn.XLOOKUP(_xlfn.XLOOKUP($AS$6&amp;$B28,公表[班別+時段],公表[備勤3],""),$AX$9:$AX$25,$AY$9:$AY$25,"")</f>
        <v>21</v>
      </c>
      <c r="R28" s="87">
        <f>_xlfn.XLOOKUP(_xlfn.XLOOKUP($AS$6&amp;$B28,公表[班別+時段],公表[備勤4],""),$AX$9:$AX$25,$AY$9:$AY$25,"")</f>
        <v>16</v>
      </c>
      <c r="S28" s="87"/>
      <c r="T28" s="87">
        <f>_xlfn.XLOOKUP(_xlfn.XLOOKUP($AS$6&amp;$B28,公表[班別+時段],公表[備勤5],""),$AX$9:$AX$25,$AY$9:$AY$25,"")</f>
        <v>5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87"/>
      <c r="AC28" s="87"/>
      <c r="AD28" s="87"/>
      <c r="AE28" s="88">
        <f>_xlfn.XLOOKUP(_xlfn.XLOOKUP($AS$6&amp;$B28,公表[班別+時段],公表[指揮官],""),$AX$9:$AX$25,$AY$9:$AY$25,"")</f>
        <v>1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27">
        <v>20</v>
      </c>
      <c r="AP28" s="127" t="str">
        <v>呂奇霈</v>
      </c>
      <c r="AQ28" s="127" t="str" cm="1">
        <f t="array" ref="AQ28">IFERROR(_xlfn.XLOOKUP(_xlfn.XLOOKUP($AQ$3,輪休基準表!$C$6:$C$36,_xlfn.XLOOKUP(AP28,輪休基準表!$E$5:$AF$5,輪休基準表!$E$6:$AF$36,""),""),班別參數!$A$4:$A$20,班別參數!$B$4:$B$20,""),"")</f>
        <v>輪休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27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9</v>
      </c>
      <c r="D29" s="95"/>
      <c r="E29" s="95"/>
      <c r="F29" s="95"/>
      <c r="G29" s="122" t="str">
        <f>IF(BC18="","",BC18)</f>
        <v/>
      </c>
      <c r="H29" s="37"/>
      <c r="I29" s="92">
        <f>_xlfn.XLOOKUP(_xlfn.XLOOKUP($AS$6&amp;$B29,公表[班別+時段],公表[救護1],""),$AX$9:$AX$25,$AY$9:$AY$25,"")</f>
        <v>7</v>
      </c>
      <c r="J29" s="92">
        <f>_xlfn.XLOOKUP(_xlfn.XLOOKUP($AS$6&amp;$B29,公表[班別+時段],公表[救護2],""),$AX$9:$AX$25,$AY$9:$AY$25,"")</f>
        <v>18</v>
      </c>
      <c r="K29" s="87"/>
      <c r="L29" s="87" t="s">
        <v>212</v>
      </c>
      <c r="M29" s="312"/>
      <c r="N29" s="87">
        <f>_xlfn.XLOOKUP(_xlfn.XLOOKUP($AS$6&amp;$B29,公表[班別+時段],公表[備勤1],""),$AX$9:$AX$25,$AY$9:$AY$25,"")</f>
        <v>25</v>
      </c>
      <c r="O29" s="87">
        <f>_xlfn.XLOOKUP(_xlfn.XLOOKUP($AS$6&amp;$B29,公表[班別+時段],公表[備勤2],""),$AX$9:$AX$25,$AY$9:$AY$25,"")</f>
        <v>10</v>
      </c>
      <c r="P29" s="87"/>
      <c r="Q29" s="87">
        <f>_xlfn.XLOOKUP(_xlfn.XLOOKUP($AS$6&amp;$B29,公表[班別+時段],公表[備勤3],""),$AX$9:$AX$25,$AY$9:$AY$25,"")</f>
        <v>21</v>
      </c>
      <c r="R29" s="87">
        <f>_xlfn.XLOOKUP(_xlfn.XLOOKUP($AS$6&amp;$B29,公表[班別+時段],公表[備勤4],""),$AX$9:$AX$25,$AY$9:$AY$25,"")</f>
        <v>16</v>
      </c>
      <c r="S29" s="87"/>
      <c r="T29" s="87">
        <f>_xlfn.XLOOKUP(_xlfn.XLOOKUP($AS$6&amp;$B29,公表[班別+時段],公表[備勤5],""),$AX$9:$AX$25,$AY$9:$AY$25,"")</f>
        <v>5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87"/>
      <c r="AC29" s="87"/>
      <c r="AD29" s="87"/>
      <c r="AE29" s="88">
        <f>_xlfn.XLOOKUP(_xlfn.XLOOKUP($AS$6&amp;$B29,公表[班別+時段],公表[指揮官],""),$AX$9:$AX$25,$AY$9:$AY$25,"")</f>
        <v>1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27">
        <v>21</v>
      </c>
      <c r="AP29" s="127" t="str">
        <v>張家和</v>
      </c>
      <c r="AQ29" s="127" t="str" cm="1">
        <f t="array" ref="AQ29">IFERROR(_xlfn.XLOOKUP(_xlfn.XLOOKUP($AQ$3,輪休基準表!$C$6:$C$36,_xlfn.XLOOKUP(AP29,輪休基準表!$E$5:$AF$5,輪休基準表!$E$6:$AF$36,""),""),班別參數!$A$4:$A$20,班別參數!$B$4:$B$20,""),"")</f>
        <v>上班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>已排</v>
      </c>
      <c r="AT29" s="180">
        <f t="shared" si="0"/>
        <v>6</v>
      </c>
      <c r="AU29" s="180">
        <f t="shared" si="1"/>
        <v>8</v>
      </c>
      <c r="AV29" s="10"/>
      <c r="AW29" s="47"/>
      <c r="AX29" s="45"/>
      <c r="AY29" s="25"/>
      <c r="AZ29" s="28"/>
      <c r="BA29" s="33"/>
      <c r="BB29" s="25"/>
      <c r="BD29" s="127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9</v>
      </c>
      <c r="D30" s="95"/>
      <c r="E30" s="95"/>
      <c r="F30" s="95"/>
      <c r="G30" s="122" t="str">
        <f>IF(BC19="","",BC19)</f>
        <v/>
      </c>
      <c r="H30" s="37"/>
      <c r="I30" s="92">
        <f>_xlfn.XLOOKUP(_xlfn.XLOOKUP($AS$6&amp;$B30,公表[班別+時段],公表[救護1],""),$AX$9:$AX$25,$AY$9:$AY$25,"")</f>
        <v>25</v>
      </c>
      <c r="J30" s="92">
        <f>_xlfn.XLOOKUP(_xlfn.XLOOKUP($AS$6&amp;$B30,公表[班別+時段],公表[救護2],""),$AX$9:$AX$25,$AY$9:$AY$25,"")</f>
        <v>10</v>
      </c>
      <c r="K30" s="87"/>
      <c r="L30" s="87" t="s">
        <v>212</v>
      </c>
      <c r="M30" s="312"/>
      <c r="N30" s="87">
        <f>_xlfn.XLOOKUP(_xlfn.XLOOKUP($AS$6&amp;$B30,公表[班別+時段],公表[備勤1],""),$AX$9:$AX$25,$AY$9:$AY$25,"")</f>
        <v>7</v>
      </c>
      <c r="O30" s="87">
        <f>_xlfn.XLOOKUP(_xlfn.XLOOKUP($AS$6&amp;$B30,公表[班別+時段],公表[備勤2],""),$AX$9:$AX$25,$AY$9:$AY$25,"")</f>
        <v>16</v>
      </c>
      <c r="P30" s="87"/>
      <c r="Q30" s="87">
        <f>_xlfn.XLOOKUP(_xlfn.XLOOKUP($AS$6&amp;$B30,公表[班別+時段],公表[備勤3],""),$AX$9:$AX$25,$AY$9:$AY$25,"")</f>
        <v>18</v>
      </c>
      <c r="R30" s="87">
        <f>_xlfn.XLOOKUP(_xlfn.XLOOKUP($AS$6&amp;$B30,公表[班別+時段],公表[備勤4],""),$AX$9:$AX$25,$AY$9:$AY$25,"")</f>
        <v>21</v>
      </c>
      <c r="S30" s="87"/>
      <c r="T30" s="87">
        <f>_xlfn.XLOOKUP(_xlfn.XLOOKUP($AS$6&amp;$B30,公表[班別+時段],公表[備勤5],""),$AX$9:$AX$25,$AY$9:$AY$25,"")</f>
        <v>5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87"/>
      <c r="AC30" s="87"/>
      <c r="AD30" s="87"/>
      <c r="AE30" s="88">
        <f>_xlfn.XLOOKUP(_xlfn.XLOOKUP($AS$6&amp;$B30,公表[班別+時段],公表[指揮官],""),$AX$9:$AX$25,$AY$9:$AY$25,"")</f>
        <v>1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27">
        <v>22</v>
      </c>
      <c r="AP30" s="127" t="str">
        <v>陳俊瑋</v>
      </c>
      <c r="AQ30" s="127" t="str" cm="1">
        <f t="array" ref="AQ30">IFERROR(_xlfn.XLOOKUP(_xlfn.XLOOKUP($AQ$3,輪休基準表!$C$6:$C$36,_xlfn.XLOOKUP(AP30,輪休基準表!$E$5:$AF$5,輪休基準表!$E$6:$AF$36,""),""),班別參數!$A$4:$A$20,班別參數!$B$4:$B$20,""),"")</f>
        <v>輪休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27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9</v>
      </c>
      <c r="D31" s="106"/>
      <c r="E31" s="96"/>
      <c r="F31" s="96"/>
      <c r="G31" s="123" t="str">
        <f>IF(BC19="","",BC19)</f>
        <v/>
      </c>
      <c r="H31" s="109"/>
      <c r="I31" s="216">
        <f>_xlfn.XLOOKUP(_xlfn.XLOOKUP($AS$6&amp;$B31,公表[班別+時段],公表[救護1],""),$AX$9:$AX$25,$AY$9:$AY$25,"")</f>
        <v>25</v>
      </c>
      <c r="J31" s="216">
        <f>_xlfn.XLOOKUP(_xlfn.XLOOKUP($AS$6&amp;$B31,公表[班別+時段],公表[救護2],""),$AX$9:$AX$25,$AY$9:$AY$25,"")</f>
        <v>10</v>
      </c>
      <c r="K31" s="108"/>
      <c r="L31" s="93" t="s">
        <v>212</v>
      </c>
      <c r="M31" s="312"/>
      <c r="N31" s="89">
        <f>_xlfn.XLOOKUP(_xlfn.XLOOKUP($AS$6&amp;$B31,公表[班別+時段],公表[備勤1],""),$AX$9:$AX$25,$AY$9:$AY$25,"")</f>
        <v>7</v>
      </c>
      <c r="O31" s="89">
        <f>_xlfn.XLOOKUP(_xlfn.XLOOKUP($AS$6&amp;$B31,公表[班別+時段],公表[備勤2],""),$AX$9:$AX$25,$AY$9:$AY$25,"")</f>
        <v>16</v>
      </c>
      <c r="P31" s="89"/>
      <c r="Q31" s="89">
        <f>_xlfn.XLOOKUP(_xlfn.XLOOKUP($AS$6&amp;$B31,公表[班別+時段],公表[備勤3],""),$AX$9:$AX$25,$AY$9:$AY$25,"")</f>
        <v>18</v>
      </c>
      <c r="R31" s="89">
        <f>_xlfn.XLOOKUP(_xlfn.XLOOKUP($AS$6&amp;$B31,公表[班別+時段],公表[備勤4],""),$AX$9:$AX$25,$AY$9:$AY$25,"")</f>
        <v>21</v>
      </c>
      <c r="S31" s="89"/>
      <c r="T31" s="89">
        <f>_xlfn.XLOOKUP(_xlfn.XLOOKUP($AS$6&amp;$B31,公表[班別+時段],公表[備勤5],""),$AX$9:$AX$25,$AY$9:$AY$25,"")</f>
        <v>5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89"/>
      <c r="AC31" s="89"/>
      <c r="AD31" s="89"/>
      <c r="AE31" s="104">
        <f>_xlfn.XLOOKUP(_xlfn.XLOOKUP($AS$6&amp;$B31,公表[班別+時段],公表[指揮官],""),$AX$9:$AX$25,$AY$9:$AY$25,"")</f>
        <v>1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27">
        <v>23</v>
      </c>
      <c r="AP31" s="127" t="str">
        <v>陳俊翰</v>
      </c>
      <c r="AQ31" s="127" t="str" cm="1">
        <f t="array" ref="AQ31">IFERROR(_xlfn.XLOOKUP(_xlfn.XLOOKUP($AQ$3,輪休基準表!$C$6:$C$36,_xlfn.XLOOKUP(AP31,輪休基準表!$E$5:$AF$5,輪休基準表!$E$6:$AF$36,""),""),班別參數!$A$4:$A$20,班別參數!$B$4:$B$20,""),"")</f>
        <v>輪休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/>
      </c>
      <c r="AT31" s="180" t="str">
        <f t="shared" si="0"/>
        <v/>
      </c>
      <c r="AU31" s="180" t="str">
        <f t="shared" si="1"/>
        <v/>
      </c>
      <c r="AW31" s="47"/>
      <c r="AX31" s="45"/>
      <c r="AY31" s="25"/>
      <c r="AZ31" s="28"/>
      <c r="BA31" s="33"/>
      <c r="BB31" s="25"/>
      <c r="BD31" s="127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9</v>
      </c>
      <c r="D32" s="97"/>
      <c r="E32" s="97"/>
      <c r="F32" s="97"/>
      <c r="G32" s="121" t="str">
        <f>IF(BC20="","",BC20)</f>
        <v>21,5</v>
      </c>
      <c r="H32" s="56"/>
      <c r="I32" s="94">
        <f>_xlfn.XLOOKUP(_xlfn.XLOOKUP($AS$6&amp;$B32,公表[班別+時段],公表[救護1],""),$AX$9:$AX$25,$AY$9:$AY$25,"")</f>
        <v>25</v>
      </c>
      <c r="J32" s="94">
        <f>_xlfn.XLOOKUP(_xlfn.XLOOKUP($AS$6&amp;$B32,公表[班別+時段],公表[救護2],""),$AX$9:$AX$25,$AY$9:$AY$25,"")</f>
        <v>10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16</v>
      </c>
      <c r="O32" s="90">
        <f>_xlfn.XLOOKUP(_xlfn.XLOOKUP($AS$6&amp;$B32,公表[班別+時段],公表[備勤2],""),$AX$9:$AX$25,$AY$9:$AY$25,"")</f>
        <v>18</v>
      </c>
      <c r="P32" s="90"/>
      <c r="Q32" s="90">
        <f>_xlfn.XLOOKUP(_xlfn.XLOOKUP($AS$6&amp;$B32,公表[班別+時段],公表[備勤3],""),$AX$9:$AX$25,$AY$9:$AY$25,"")</f>
        <v>7</v>
      </c>
      <c r="R32" s="90">
        <f>_xlfn.XLOOKUP(_xlfn.XLOOKUP($AS$6&amp;$B32,公表[班別+時段],公表[備勤4],""),$AX$9:$AX$25,$AY$9:$AY$25,"")</f>
        <v>0</v>
      </c>
      <c r="S32" s="90"/>
      <c r="T32" s="90">
        <f>_xlfn.XLOOKUP(_xlfn.XLOOKUP($AS$6&amp;$B32,公表[班別+時段],公表[備勤5],""),$AX$9:$AX$25,$AY$9:$AY$25,"")</f>
        <v>0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90"/>
      <c r="AC32" s="90"/>
      <c r="AD32" s="90"/>
      <c r="AE32" s="91">
        <f>_xlfn.XLOOKUP(_xlfn.XLOOKUP($AS$6&amp;$B32,公表[班別+時段],公表[指揮官],""),$AX$9:$AX$25,$AY$9:$AY$25,"")</f>
        <v>1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27">
        <v>24</v>
      </c>
      <c r="AP32" s="127" t="str">
        <v>賴俊豪</v>
      </c>
      <c r="AQ32" s="127" t="str" cm="1">
        <f t="array" ref="AQ32">IFERROR(_xlfn.XLOOKUP(_xlfn.XLOOKUP($AQ$3,輪休基準表!$C$6:$C$36,_xlfn.XLOOKUP(AP32,輪休基準表!$E$5:$AF$5,輪休基準表!$E$6:$AF$36,""),""),班別參數!$A$4:$A$20,班別參數!$B$4:$B$20,""),"")</f>
        <v>輪休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/>
      </c>
      <c r="AT32" s="180" t="str">
        <f t="shared" si="0"/>
        <v/>
      </c>
      <c r="AU32" s="180" t="str">
        <f t="shared" si="1"/>
        <v/>
      </c>
      <c r="AW32" s="47"/>
      <c r="AX32" s="45"/>
      <c r="AY32" s="25"/>
      <c r="AZ32" s="28"/>
      <c r="BA32" s="33"/>
      <c r="BB32" s="25"/>
      <c r="BD32" s="127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9</v>
      </c>
      <c r="D33" s="95"/>
      <c r="E33" s="95"/>
      <c r="F33" s="95"/>
      <c r="G33" s="122" t="str">
        <f>IF(BC20="","",BC20)</f>
        <v>21,5</v>
      </c>
      <c r="H33" s="48"/>
      <c r="I33" s="92">
        <f>_xlfn.XLOOKUP(_xlfn.XLOOKUP($AS$6&amp;$B33,公表[班別+時段],公表[救護1],""),$AX$9:$AX$25,$AY$9:$AY$25,"")</f>
        <v>25</v>
      </c>
      <c r="J33" s="92">
        <f>_xlfn.XLOOKUP(_xlfn.XLOOKUP($AS$6&amp;$B33,公表[班別+時段],公表[救護2],""),$AX$9:$AX$25,$AY$9:$AY$25,"")</f>
        <v>10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16</v>
      </c>
      <c r="O33" s="87">
        <f>_xlfn.XLOOKUP(_xlfn.XLOOKUP($AS$6&amp;$B33,公表[班別+時段],公表[備勤2],""),$AX$9:$AX$25,$AY$9:$AY$25,"")</f>
        <v>18</v>
      </c>
      <c r="P33" s="87"/>
      <c r="Q33" s="87">
        <f>_xlfn.XLOOKUP(_xlfn.XLOOKUP($AS$6&amp;$B33,公表[班別+時段],公表[備勤3],""),$AX$9:$AX$25,$AY$9:$AY$25,"")</f>
        <v>7</v>
      </c>
      <c r="R33" s="87">
        <f>_xlfn.XLOOKUP(_xlfn.XLOOKUP($AS$6&amp;$B33,公表[班別+時段],公表[備勤4],""),$AX$9:$AX$25,$AY$9:$AY$25,"")</f>
        <v>0</v>
      </c>
      <c r="S33" s="87"/>
      <c r="T33" s="87">
        <f>_xlfn.XLOOKUP(_xlfn.XLOOKUP($AS$6&amp;$B33,公表[班別+時段],公表[備勤5],""),$AX$9:$AX$25,$AY$9:$AY$25,"")</f>
        <v>0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87"/>
      <c r="AC33" s="87"/>
      <c r="AD33" s="87"/>
      <c r="AE33" s="88">
        <f>_xlfn.XLOOKUP(_xlfn.XLOOKUP($AS$6&amp;$B33,公表[班別+時段],公表[指揮官],""),$AX$9:$AX$25,$AY$9:$AY$25,"")</f>
        <v>1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27">
        <v>25</v>
      </c>
      <c r="AP33" s="127" t="str">
        <v>郭國偵</v>
      </c>
      <c r="AQ33" s="127" t="str" cm="1">
        <f t="array" ref="AQ33">IFERROR(_xlfn.XLOOKUP(_xlfn.XLOOKUP($AQ$3,輪休基準表!$C$6:$C$36,_xlfn.XLOOKUP(AP33,輪休基準表!$E$5:$AF$5,輪休基準表!$E$6:$AF$36,""),""),班別參數!$A$4:$A$20,班別參數!$B$4:$B$20,""),"")</f>
        <v>上班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>已排</v>
      </c>
      <c r="AT33" s="180">
        <f t="shared" si="0"/>
        <v>8</v>
      </c>
      <c r="AU33" s="180">
        <f t="shared" si="1"/>
        <v>6</v>
      </c>
      <c r="AW33" s="47"/>
      <c r="AX33" s="45"/>
      <c r="AY33" s="25"/>
      <c r="AZ33" s="28"/>
      <c r="BA33" s="25"/>
      <c r="BB33" s="25"/>
      <c r="BD33" s="127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一、本日主管上班。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27">
        <v>26</v>
      </c>
      <c r="AP34" s="127" t="str">
        <v>楊紹文</v>
      </c>
      <c r="AQ34" s="127" t="str" cm="1">
        <f t="array" ref="AQ34">IFERROR(_xlfn.XLOOKUP(_xlfn.XLOOKUP($AQ$3,輪休基準表!$C$6:$C$36,_xlfn.XLOOKUP(AP34,輪休基準表!$E$5:$AF$5,輪休基準表!$E$6:$AF$36,""),""),班別參數!$A$4:$A$20,班別參數!$B$4:$B$20,""),"")</f>
        <v>輪休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/>
      </c>
      <c r="AT34" s="180" t="str">
        <f t="shared" si="0"/>
        <v/>
      </c>
      <c r="AU34" s="180" t="str">
        <f t="shared" si="1"/>
        <v/>
      </c>
      <c r="AW34" s="47"/>
      <c r="AX34" s="45"/>
      <c r="AY34" s="25"/>
      <c r="AZ34" s="28"/>
      <c r="BA34" s="25"/>
      <c r="BB34" s="25"/>
      <c r="BD34" s="127"/>
    </row>
    <row r="35" spans="2:56" ht="30" customHeight="1">
      <c r="B35" s="349"/>
      <c r="C35" s="359" t="str">
        <f>CONCATENATE("二、在隊訓練:09-12時:",H11,";14-17時:",H16,";19-21時:",H21,"。")</f>
        <v>二、在隊訓練:09-12時:車輛駕訓;14-17時:環境整理;19-21時:器材車、化學(處理)車。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27">
        <v>27</v>
      </c>
      <c r="AP35" s="127" t="str">
        <v>林宏為</v>
      </c>
      <c r="AQ35" s="127" t="str" cm="1">
        <f t="array" ref="AQ35">IFERROR(_xlfn.XLOOKUP(_xlfn.XLOOKUP($AQ$3,輪休基準表!$C$6:$C$36,_xlfn.XLOOKUP(AP35,輪休基準表!$E$5:$AF$5,輪休基準表!$E$6:$AF$36,""),""),班別參數!$A$4:$A$20,班別參數!$B$4:$B$20,""),"")</f>
        <v>補休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/>
      </c>
      <c r="AT35" s="180" t="str">
        <f t="shared" si="0"/>
        <v/>
      </c>
      <c r="AU35" s="180" t="str">
        <f t="shared" si="1"/>
        <v/>
      </c>
      <c r="AW35" s="47"/>
      <c r="AX35" s="45"/>
      <c r="AY35" s="25"/>
      <c r="AZ35" s="28"/>
      <c r="BA35" s="25"/>
      <c r="BB35" s="25"/>
      <c r="BD35" s="127"/>
    </row>
    <row r="36" spans="2:56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27">
        <v>28</v>
      </c>
      <c r="AP36" s="127" t="str">
        <v>林宸彥</v>
      </c>
      <c r="AQ36" s="127" t="str" cm="1">
        <f t="array" ref="AQ36">IFERROR(_xlfn.XLOOKUP(_xlfn.XLOOKUP($AQ$3,輪休基準表!$C$6:$C$36,_xlfn.XLOOKUP(AP36,輪休基準表!$E$5:$AF$5,輪休基準表!$E$6:$AF$36,""),""),班別參數!$A$4:$A$20,班別參數!$B$4:$B$20,""),"")</f>
        <v>輪休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/>
      </c>
      <c r="AT36" s="180" t="str">
        <f t="shared" si="0"/>
        <v/>
      </c>
      <c r="AU36" s="180" t="str">
        <f t="shared" si="1"/>
        <v/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27"/>
      <c r="AP37" s="127"/>
      <c r="AQ37" s="127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27"/>
      <c r="BD37" s="10"/>
    </row>
    <row r="38" spans="2:56" ht="15" customHeight="1">
      <c r="AQ38" s="127"/>
      <c r="AR38" s="118"/>
      <c r="AS38" s="119"/>
      <c r="AT38" s="119"/>
    </row>
    <row r="39" spans="2:56" ht="15" customHeight="1">
      <c r="AR39" s="118"/>
      <c r="AS39" s="119"/>
      <c r="AT39" s="119"/>
    </row>
    <row r="40" spans="2:56" ht="15" customHeight="1">
      <c r="AR40" s="118"/>
      <c r="AS40" s="119"/>
      <c r="AT40" s="119"/>
    </row>
  </sheetData>
  <mergeCells count="72">
    <mergeCell ref="AG22:AK22"/>
    <mergeCell ref="AG23:AM23"/>
    <mergeCell ref="AG24:AI24"/>
    <mergeCell ref="AK24:AM24"/>
    <mergeCell ref="AF33:AG33"/>
    <mergeCell ref="AH33:AI33"/>
    <mergeCell ref="AJ33:AK33"/>
    <mergeCell ref="AF31:AG31"/>
    <mergeCell ref="AH31:AI31"/>
    <mergeCell ref="AJ31:AK31"/>
    <mergeCell ref="AF32:AG32"/>
    <mergeCell ref="AH32:AI32"/>
    <mergeCell ref="AJ32:AK32"/>
    <mergeCell ref="AF27:AF28"/>
    <mergeCell ref="AG27:AM27"/>
    <mergeCell ref="AG28:AM28"/>
    <mergeCell ref="B34:B36"/>
    <mergeCell ref="C34:AE34"/>
    <mergeCell ref="AF34:AM34"/>
    <mergeCell ref="C35:AE35"/>
    <mergeCell ref="AF35:AM35"/>
    <mergeCell ref="C36:AE36"/>
    <mergeCell ref="AF36:AM36"/>
    <mergeCell ref="AF29:AM29"/>
    <mergeCell ref="AF30:AG30"/>
    <mergeCell ref="AH30:AI30"/>
    <mergeCell ref="AJ30:AK30"/>
    <mergeCell ref="AG25:AI25"/>
    <mergeCell ref="AK25:AM25"/>
    <mergeCell ref="C8:AE8"/>
    <mergeCell ref="C9:AE9"/>
    <mergeCell ref="M10:M33"/>
    <mergeCell ref="H11:H13"/>
    <mergeCell ref="H16:H18"/>
    <mergeCell ref="H21:H22"/>
    <mergeCell ref="D12:D13"/>
    <mergeCell ref="I6:J6"/>
    <mergeCell ref="K6:L6"/>
    <mergeCell ref="N6:P6"/>
    <mergeCell ref="Q6:S6"/>
    <mergeCell ref="T6:V6"/>
    <mergeCell ref="AF5:AM6"/>
    <mergeCell ref="AO5:AO6"/>
    <mergeCell ref="T7:V7"/>
    <mergeCell ref="AR5:AR6"/>
    <mergeCell ref="AS5:AT5"/>
    <mergeCell ref="W6:Y6"/>
    <mergeCell ref="AE6:AE7"/>
    <mergeCell ref="AS6:AT6"/>
    <mergeCell ref="AP5:AQ6"/>
    <mergeCell ref="G5:G7"/>
    <mergeCell ref="B3:AM3"/>
    <mergeCell ref="AW3:AX3"/>
    <mergeCell ref="AY3:BB3"/>
    <mergeCell ref="B4:AI4"/>
    <mergeCell ref="AJ4:AM4"/>
    <mergeCell ref="AW4:AX4"/>
    <mergeCell ref="AY4:BB4"/>
    <mergeCell ref="B5:B7"/>
    <mergeCell ref="C5:C7"/>
    <mergeCell ref="D5:D7"/>
    <mergeCell ref="E5:E7"/>
    <mergeCell ref="F5:F7"/>
    <mergeCell ref="H5:H7"/>
    <mergeCell ref="I5:L5"/>
    <mergeCell ref="M5:AE5"/>
    <mergeCell ref="AY2:BB2"/>
    <mergeCell ref="B1:AE1"/>
    <mergeCell ref="AP1:AQ1"/>
    <mergeCell ref="B2:AE2"/>
    <mergeCell ref="AG2:AM2"/>
    <mergeCell ref="AW2:AX2"/>
  </mergeCells>
  <phoneticPr fontId="9" type="noConversion"/>
  <conditionalFormatting sqref="AO9:AQ36 AO37:AP37 AQ37:AQ38">
    <cfRule type="expression" dxfId="86" priority="16">
      <formula>COUNTIF($AQ9,"上班")&gt;=1</formula>
    </cfRule>
  </conditionalFormatting>
  <conditionalFormatting sqref="AF8:AF13 AH8:AH21 AJ8:AJ21 AL8:AM21">
    <cfRule type="expression" dxfId="85" priority="11">
      <formula>OR(VLOOKUP(AF8,$AO$9:$AQ$40,3,0)="上班",VLOOKUP(AF8,$AO$9:$AQ$40,3,0)="外宿")</formula>
    </cfRule>
  </conditionalFormatting>
  <conditionalFormatting sqref="AL8">
    <cfRule type="expression" dxfId="84" priority="10">
      <formula>OR(VLOOKUP(AL8,$AO$9:$AQ$36,3,0)="上班",VLOOKUP(AL8,$AO$9:$AQ$36,3,0)="外宿")</formula>
    </cfRule>
  </conditionalFormatting>
  <conditionalFormatting sqref="AR9:AR36">
    <cfRule type="notContainsText" dxfId="83" priority="2" operator="notContains" text="已排">
      <formula>ISERROR(SEARCH("已排",AR9))</formula>
    </cfRule>
  </conditionalFormatting>
  <conditionalFormatting sqref="AS9:AS36">
    <cfRule type="notContainsText" dxfId="82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1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6756C-9FEC-42E8-BB43-FCE03388684B}">
  <sheetPr codeName="工作表22">
    <pageSetUpPr fitToPage="1"/>
  </sheetPr>
  <dimension ref="B1:BD40"/>
  <sheetViews>
    <sheetView showZeros="0" view="pageBreakPreview" zoomScale="55" zoomScaleNormal="55" zoomScaleSheetLayoutView="55" workbookViewId="0">
      <selection activeCell="AB16" sqref="AB16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3" width="5.375" style="126" customWidth="1"/>
    <col min="4" max="4" width="5.75" style="126" customWidth="1"/>
    <col min="5" max="6" width="5.375" style="126" customWidth="1"/>
    <col min="7" max="8" width="8.625" style="126" customWidth="1"/>
    <col min="9" max="12" width="5.375" style="126" customWidth="1"/>
    <col min="13" max="13" width="6.625" style="126" customWidth="1"/>
    <col min="14" max="31" width="5.375" style="126" customWidth="1"/>
    <col min="32" max="32" width="7.625" style="126" customWidth="1"/>
    <col min="33" max="33" width="10.625" style="126" customWidth="1"/>
    <col min="34" max="34" width="7.625" style="126" customWidth="1"/>
    <col min="35" max="35" width="10.625" style="126" customWidth="1"/>
    <col min="36" max="36" width="7.625" style="126" customWidth="1"/>
    <col min="37" max="37" width="10.625" style="126" customWidth="1"/>
    <col min="38" max="38" width="7.625" style="126" customWidth="1"/>
    <col min="39" max="39" width="10.625" style="126" customWidth="1"/>
    <col min="40" max="40" width="4.125" style="213" customWidth="1"/>
    <col min="41" max="47" width="11.625" style="126" customWidth="1"/>
    <col min="48" max="48" width="4.125" style="126" customWidth="1"/>
    <col min="49" max="49" width="16" style="126" customWidth="1"/>
    <col min="50" max="51" width="8.25" style="126" customWidth="1"/>
    <col min="52" max="52" width="4.125" style="126" customWidth="1"/>
    <col min="53" max="53" width="16" style="126" customWidth="1"/>
    <col min="54" max="54" width="8.25" style="126" customWidth="1"/>
    <col min="55" max="55" width="10.875" style="126" customWidth="1"/>
    <col min="56" max="58" width="4.125" style="126" customWidth="1"/>
    <col min="59" max="16384" width="11.25" style="126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27"/>
      <c r="AP1" s="399"/>
      <c r="AQ1" s="399"/>
      <c r="AR1" s="127"/>
      <c r="AS1" s="127"/>
      <c r="AT1" s="127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3" t="s">
        <v>178</v>
      </c>
      <c r="AR2" s="146" t="s">
        <v>228</v>
      </c>
      <c r="AS2" s="142"/>
      <c r="AT2" s="140"/>
      <c r="AU2" s="127"/>
      <c r="AV2" s="127"/>
      <c r="AW2" s="362" t="s">
        <v>127</v>
      </c>
      <c r="AX2" s="287"/>
      <c r="AY2" s="367" t="str">
        <f>_xlfn.XLOOKUP($AR$3,訓練!$L$13:$L$19,訓練!$M$13:$M$19,"")</f>
        <v>河川抽水及水源運用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115年5月18日星期一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18</v>
      </c>
      <c r="AR3" s="141" t="str">
        <f>RIGHT(TEXT(1911+$AO$3&amp;"/"&amp;$AP$3&amp;"/"&amp;$AQ$3,"aaaa"),1)</f>
        <v>一</v>
      </c>
      <c r="AS3" s="145"/>
      <c r="AT3" s="145"/>
      <c r="AU3" s="127"/>
      <c r="AV3" s="127"/>
      <c r="AW3" s="362" t="s">
        <v>128</v>
      </c>
      <c r="AX3" s="287"/>
      <c r="AY3" s="368" t="str">
        <f>_xlfn.XLOOKUP($AR$3,訓練!$L$13:$L$19,訓練!$N$13:$N$19,"")</f>
        <v>SCBA訓練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27"/>
      <c r="AU4" s="127"/>
      <c r="AV4" s="127"/>
      <c r="AW4" s="362" t="s">
        <v>129</v>
      </c>
      <c r="AX4" s="287"/>
      <c r="AY4" s="363" t="str">
        <f>_xlfn.XLOOKUP($AR$3,訓練!$L$13:$L$19,訓練!$O$13:$O$19,"")</f>
        <v>火災特性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3" t="s">
        <v>352</v>
      </c>
      <c r="E5" s="340" t="s">
        <v>411</v>
      </c>
      <c r="F5" s="340"/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394"/>
      <c r="E6" s="341"/>
      <c r="F6" s="341"/>
      <c r="G6" s="312"/>
      <c r="H6" s="312"/>
      <c r="I6" s="334" t="s">
        <v>227</v>
      </c>
      <c r="J6" s="335"/>
      <c r="K6" s="334" t="s">
        <v>192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2+7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394"/>
      <c r="E7" s="341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346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27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27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27" cm="1">
        <f t="array" ref="AO9:AP36">TRANSPOSE(輪休基準表!E4:AF5)</f>
        <v>1</v>
      </c>
      <c r="AP9" s="127" t="str">
        <v>鄧力嘉</v>
      </c>
      <c r="AQ9" s="127" t="str" cm="1">
        <f t="array" ref="AQ9">IFERROR(_xlfn.XLOOKUP(_xlfn.XLOOKUP($AQ$3,輪休基準表!$C$6:$C$36,_xlfn.XLOOKUP(AP9,輪休基準表!$E$5:$AF$5,輪休基準表!$E$6:$AF$36,""),""),班別參數!$A$4:$A$20,班別參數!$B$4:$B$20,""),"")</f>
        <v>輪休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/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 t="array" ref="AX9">IFERROR(INDEX(班別參數!$D$4:$S$20,MATCH(AW9,班別參數!$D$4:$D$20,0),MATCH($AS$6,班別參數!$D$4:$S$4,0)),"")</f>
        <v>A</v>
      </c>
      <c r="AY9" s="35">
        <v>28</v>
      </c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H,K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6,3</v>
      </c>
      <c r="BD9" s="127"/>
    </row>
    <row r="10" spans="2:56" ht="30" customHeight="1">
      <c r="B10" s="81" t="s">
        <v>70</v>
      </c>
      <c r="C10" s="87">
        <f>_xlfn.XLOOKUP(_xlfn.XLOOKUP($AS$6&amp;$B10,公表[班別+時段],公表[值班],""),$AX$9:$AX$25,$AY$9:$AY$25,"")</f>
        <v>28</v>
      </c>
      <c r="D10" s="95"/>
      <c r="E10" s="95"/>
      <c r="F10" s="95"/>
      <c r="G10" s="122" t="s">
        <v>410</v>
      </c>
      <c r="H10" s="37"/>
      <c r="I10" s="92">
        <f>_xlfn.XLOOKUP(_xlfn.XLOOKUP($AS$6&amp;$B10,公表[班別+時段],公表[救護1],""),$AX$9:$AX$25,$AY$9:$AY$25,"")</f>
        <v>23</v>
      </c>
      <c r="J10" s="92">
        <f>_xlfn.XLOOKUP(_xlfn.XLOOKUP($AS$6&amp;$B10,公表[班別+時段],公表[救護2],""),$AX$9:$AX$25,$AY$9:$AY$25,"")</f>
        <v>15</v>
      </c>
      <c r="K10" s="87"/>
      <c r="L10" s="87" t="s">
        <v>212</v>
      </c>
      <c r="M10" s="311"/>
      <c r="N10" s="87">
        <f>_xlfn.XLOOKUP(_xlfn.XLOOKUP($AS$6&amp;$B10,公表[班別+時段],公表[備勤1],""),$AX$9:$AX$25,$AY$9:$AY$25,"")</f>
        <v>18</v>
      </c>
      <c r="O10" s="87">
        <v>16</v>
      </c>
      <c r="P10" s="87"/>
      <c r="Q10" s="87">
        <v>19</v>
      </c>
      <c r="R10" s="87">
        <f>_xlfn.XLOOKUP(_xlfn.XLOOKUP($AS$6&amp;$B10,公表[班別+時段],公表[備勤4],""),$AX$9:$AX$25,$AY$9:$AY$25,"")</f>
        <v>0</v>
      </c>
      <c r="S10" s="87"/>
      <c r="T10" s="87">
        <f>_xlfn.XLOOKUP(_xlfn.XLOOKUP($AS$6&amp;$B10,公表[班別+時段],公表[備勤5],""),$AX$9:$AX$25,$AY$9:$AY$25,"")</f>
        <v>0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87"/>
      <c r="AB10" s="87"/>
      <c r="AC10" s="87"/>
      <c r="AD10" s="87"/>
      <c r="AE10" s="88">
        <v>3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27">
        <v>2</v>
      </c>
      <c r="AP10" s="127" t="str">
        <v>莊勝斌</v>
      </c>
      <c r="AQ10" s="127" t="str" cm="1">
        <f t="array" ref="AQ10">IFERROR(_xlfn.XLOOKUP(_xlfn.XLOOKUP($AQ$3,輪休基準表!$C$6:$C$36,_xlfn.XLOOKUP(AP10,輪休基準表!$E$5:$AF$5,輪休基準表!$E$6:$AF$36,""),""),班別參數!$A$4:$A$20,班別參數!$B$4:$B$20,""),"")</f>
        <v>輪休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/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>
        <v>16</v>
      </c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19</v>
      </c>
      <c r="BD10" s="127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28</v>
      </c>
      <c r="D11" s="292" t="s">
        <v>354</v>
      </c>
      <c r="E11" s="95"/>
      <c r="F11" s="95"/>
      <c r="G11" s="122" t="s">
        <v>410</v>
      </c>
      <c r="H11" s="296" t="str">
        <f>AY2</f>
        <v>河川抽水及水源運用</v>
      </c>
      <c r="I11" s="92">
        <f>_xlfn.XLOOKUP(_xlfn.XLOOKUP($AS$6&amp;$B11,公表[班別+時段],公表[救護1],""),$AX$9:$AX$25,$AY$9:$AY$25,"")</f>
        <v>23</v>
      </c>
      <c r="J11" s="92">
        <f>_xlfn.XLOOKUP(_xlfn.XLOOKUP($AS$6&amp;$B11,公表[班別+時段],公表[救護2],""),$AX$9:$AX$25,$AY$9:$AY$25,"")</f>
        <v>15</v>
      </c>
      <c r="K11" s="87"/>
      <c r="L11" s="87" t="s">
        <v>212</v>
      </c>
      <c r="M11" s="312"/>
      <c r="N11" s="87">
        <f>_xlfn.XLOOKUP(_xlfn.XLOOKUP($AS$6&amp;$B11,公表[班別+時段],公表[備勤1],""),$AX$9:$AX$25,$AY$9:$AY$25,"")</f>
        <v>18</v>
      </c>
      <c r="O11" s="87">
        <v>16</v>
      </c>
      <c r="P11" s="87"/>
      <c r="Q11" s="87">
        <v>19</v>
      </c>
      <c r="R11" s="87">
        <f>_xlfn.XLOOKUP(_xlfn.XLOOKUP($AS$6&amp;$B11,公表[班別+時段],公表[備勤4],""),$AX$9:$AX$25,$AY$9:$AY$25,"")</f>
        <v>0</v>
      </c>
      <c r="S11" s="87"/>
      <c r="T11" s="87">
        <f>_xlfn.XLOOKUP(_xlfn.XLOOKUP($AS$6&amp;$B11,公表[班別+時段],公表[備勤5],""),$AX$9:$AX$25,$AY$9:$AY$25,"")</f>
        <v>0</v>
      </c>
      <c r="U11" s="87">
        <f>_xlfn.XLOOKUP(_xlfn.XLOOKUP($AS$6&amp;$B11,公表[班別+時段],公表[備勤6],""),$AX$9:$AX$25,$AY$9:$AY$25,"")</f>
        <v>0</v>
      </c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87"/>
      <c r="AB11" s="87"/>
      <c r="AC11" s="87"/>
      <c r="AD11" s="87"/>
      <c r="AE11" s="88">
        <v>3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27">
        <v>3</v>
      </c>
      <c r="AP11" s="127" t="str">
        <v>孫子翔</v>
      </c>
      <c r="AQ11" s="127" t="str" cm="1">
        <f t="array" ref="AQ11">IFERROR(_xlfn.XLOOKUP(_xlfn.XLOOKUP($AQ$3,輪休基準表!$C$6:$C$36,_xlfn.XLOOKUP(AP11,輪休基準表!$E$5:$AF$5,輪休基準表!$E$6:$AF$36,""),""),班別參數!$A$4:$A$20,班別參數!$B$4:$B$20,""),"")</f>
        <v>上班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>已排</v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>
        <v>15</v>
      </c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F</v>
      </c>
      <c r="BC11" s="39" t="str">
        <f t="shared" si="2"/>
        <v>23</v>
      </c>
      <c r="BD11" s="127"/>
    </row>
    <row r="12" spans="2:56" ht="30" customHeight="1">
      <c r="B12" s="81" t="s">
        <v>75</v>
      </c>
      <c r="C12" s="87">
        <f>_xlfn.XLOOKUP(_xlfn.XLOOKUP($AS$6&amp;$B12,公表[班別+時段],公表[值班],""),$AX$9:$AX$25,$AY$9:$AY$25,"")</f>
        <v>16</v>
      </c>
      <c r="D12" s="439"/>
      <c r="E12" s="95"/>
      <c r="F12" s="95"/>
      <c r="G12" s="122">
        <v>6</v>
      </c>
      <c r="H12" s="314"/>
      <c r="I12" s="92">
        <f>_xlfn.XLOOKUP(_xlfn.XLOOKUP($AS$6&amp;$B12,公表[班別+時段],公表[救護1],""),$AX$9:$AX$25,$AY$9:$AY$25,"")</f>
        <v>28</v>
      </c>
      <c r="J12" s="92">
        <f>_xlfn.XLOOKUP(_xlfn.XLOOKUP($AS$6&amp;$B12,公表[班別+時段],公表[救護2],""),$AX$9:$AX$25,$AY$9:$AY$25,"")</f>
        <v>18</v>
      </c>
      <c r="K12" s="92"/>
      <c r="L12" s="87" t="s">
        <v>212</v>
      </c>
      <c r="M12" s="312"/>
      <c r="N12" s="87">
        <v>19</v>
      </c>
      <c r="O12" s="87">
        <f>_xlfn.XLOOKUP(_xlfn.XLOOKUP($AS$6&amp;$B12,公表[班別+時段],公表[備勤2],""),$AX$9:$AX$25,$AY$9:$AY$25,"")</f>
        <v>23</v>
      </c>
      <c r="P12" s="87"/>
      <c r="Q12" s="87">
        <f>_xlfn.XLOOKUP(_xlfn.XLOOKUP($AS$6&amp;$B12,公表[班別+時段],公表[備勤3],""),$AX$9:$AX$25,$AY$9:$AY$25,"")</f>
        <v>15</v>
      </c>
      <c r="R12" s="87">
        <f>_xlfn.XLOOKUP(_xlfn.XLOOKUP($AS$6&amp;$B12,公表[班別+時段],公表[備勤4],""),$AX$9:$AX$25,$AY$9:$AY$25,"")</f>
        <v>0</v>
      </c>
      <c r="S12" s="87"/>
      <c r="T12" s="87">
        <f>_xlfn.XLOOKUP(_xlfn.XLOOKUP($AS$6&amp;$B12,公表[班別+時段],公表[備勤5],""),$AX$9:$AX$25,$AY$9:$AY$25,"")</f>
        <v>4</v>
      </c>
      <c r="U12" s="87">
        <f>_xlfn.XLOOKUP(_xlfn.XLOOKUP($AS$6&amp;$B12,公表[班別+時段],公表[備勤6],""),$AX$9:$AX$25,$AY$9:$AY$25,"")</f>
        <v>0</v>
      </c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87"/>
      <c r="AC12" s="87"/>
      <c r="AD12" s="87"/>
      <c r="AE12" s="88">
        <f>_xlfn.XLOOKUP(_xlfn.XLOOKUP($AS$6&amp;$B12,公表[班別+時段],公表[指揮官],""),$AX$9:$AX$25,$AY$9:$AY$25,"")</f>
        <v>3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27">
        <v>4</v>
      </c>
      <c r="AP12" s="127" t="str">
        <v>簡永豐</v>
      </c>
      <c r="AQ12" s="127" t="str" cm="1">
        <f t="array" ref="AQ12">IFERROR(_xlfn.XLOOKUP(_xlfn.XLOOKUP($AQ$3,輪休基準表!$C$6:$C$36,_xlfn.XLOOKUP(AP12,輪休基準表!$E$5:$AF$5,輪休基準表!$E$6:$AF$36,""),""),班別參數!$A$4:$A$20,班別參數!$B$4:$B$20,""),"")</f>
        <v>上班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>已排</v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>
        <v>18</v>
      </c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27"/>
    </row>
    <row r="13" spans="2:56" ht="30" customHeight="1" thickBot="1">
      <c r="B13" s="82" t="s">
        <v>76</v>
      </c>
      <c r="C13" s="89">
        <f>_xlfn.XLOOKUP(_xlfn.XLOOKUP($AS$6&amp;$B13,公表[班別+時段],公表[值班],""),$AX$9:$AX$25,$AY$9:$AY$25,"")</f>
        <v>16</v>
      </c>
      <c r="D13" s="233"/>
      <c r="E13" s="96"/>
      <c r="F13" s="96"/>
      <c r="G13" s="123">
        <v>6</v>
      </c>
      <c r="H13" s="315"/>
      <c r="I13" s="216">
        <f>_xlfn.XLOOKUP(_xlfn.XLOOKUP($AS$6&amp;$B13,公表[班別+時段],公表[救護1],""),$AX$9:$AX$25,$AY$9:$AY$25,"")</f>
        <v>28</v>
      </c>
      <c r="J13" s="216">
        <f>_xlfn.XLOOKUP(_xlfn.XLOOKUP($AS$6&amp;$B13,公表[班別+時段],公表[救護2],""),$AX$9:$AX$25,$AY$9:$AY$25,"")</f>
        <v>18</v>
      </c>
      <c r="K13" s="105"/>
      <c r="L13" s="93" t="s">
        <v>212</v>
      </c>
      <c r="M13" s="312"/>
      <c r="N13" s="89">
        <v>19</v>
      </c>
      <c r="O13" s="89">
        <f>_xlfn.XLOOKUP(_xlfn.XLOOKUP($AS$6&amp;$B13,公表[班別+時段],公表[備勤2],""),$AX$9:$AX$25,$AY$9:$AY$25,"")</f>
        <v>23</v>
      </c>
      <c r="P13" s="89"/>
      <c r="Q13" s="89">
        <f>_xlfn.XLOOKUP(_xlfn.XLOOKUP($AS$6&amp;$B13,公表[班別+時段],公表[備勤3],""),$AX$9:$AX$25,$AY$9:$AY$25,"")</f>
        <v>15</v>
      </c>
      <c r="R13" s="89">
        <f>_xlfn.XLOOKUP(_xlfn.XLOOKUP($AS$6&amp;$B13,公表[班別+時段],公表[備勤4],""),$AX$9:$AX$25,$AY$9:$AY$25,"")</f>
        <v>0</v>
      </c>
      <c r="S13" s="89"/>
      <c r="T13" s="89">
        <f>_xlfn.XLOOKUP(_xlfn.XLOOKUP($AS$6&amp;$B13,公表[班別+時段],公表[備勤5],""),$AX$9:$AX$25,$AY$9:$AY$25,"")</f>
        <v>4</v>
      </c>
      <c r="U13" s="89">
        <f>_xlfn.XLOOKUP(_xlfn.XLOOKUP($AS$6&amp;$B13,公表[班別+時段],公表[備勤6],""),$AX$9:$AX$25,$AY$9:$AY$25,"")</f>
        <v>0</v>
      </c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89"/>
      <c r="AC13" s="89"/>
      <c r="AD13" s="89"/>
      <c r="AE13" s="104">
        <f>_xlfn.XLOOKUP(_xlfn.XLOOKUP($AS$6&amp;$B13,公表[班別+時段],公表[指揮官],""),$AX$9:$AX$25,$AY$9:$AY$25,"")</f>
        <v>3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27">
        <v>5</v>
      </c>
      <c r="AP13" s="127" t="str">
        <v>張鴻志</v>
      </c>
      <c r="AQ13" s="127" t="str" cm="1">
        <f t="array" ref="AQ13">IFERROR(_xlfn.XLOOKUP(_xlfn.XLOOKUP($AQ$3,輪休基準表!$C$6:$C$36,_xlfn.XLOOKUP(AP13,輪休基準表!$E$5:$AF$5,輪休基準表!$E$6:$AF$36,""),""),班別參數!$A$4:$A$20,班別參數!$B$4:$B$20,""),"")</f>
        <v>輪休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/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>
        <v>19</v>
      </c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>28</v>
      </c>
      <c r="BD13" s="127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15</v>
      </c>
      <c r="D14" s="234"/>
      <c r="E14" s="97"/>
      <c r="F14" s="97"/>
      <c r="G14" s="121" t="str">
        <f>IF(BC11="","",BC11)</f>
        <v>23</v>
      </c>
      <c r="H14" s="55"/>
      <c r="I14" s="94">
        <f>_xlfn.XLOOKUP(_xlfn.XLOOKUP($AS$6&amp;$B14,公表[班別+時段],公表[救護1],""),$AX$9:$AX$25,$AY$9:$AY$25,"")</f>
        <v>16</v>
      </c>
      <c r="J14" s="94">
        <f>_xlfn.XLOOKUP(_xlfn.XLOOKUP($AS$6&amp;$B14,公表[班別+時段],公表[救護2],""),$AX$9:$AX$25,$AY$9:$AY$25,"")</f>
        <v>6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28</v>
      </c>
      <c r="O14" s="90">
        <f>_xlfn.XLOOKUP(_xlfn.XLOOKUP($AS$6&amp;$B14,公表[班別+時段],公表[備勤2],""),$AX$9:$AX$25,$AY$9:$AY$25,"")</f>
        <v>19</v>
      </c>
      <c r="P14" s="90"/>
      <c r="Q14" s="90">
        <f>_xlfn.XLOOKUP(_xlfn.XLOOKUP($AS$6&amp;$B14,公表[班別+時段],公表[備勤3],""),$AX$9:$AX$25,$AY$9:$AY$25,"")</f>
        <v>18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4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90"/>
      <c r="AC14" s="90"/>
      <c r="AD14" s="90"/>
      <c r="AE14" s="91">
        <f>_xlfn.XLOOKUP(_xlfn.XLOOKUP($AS$6&amp;$B14,公表[班別+時段],公表[指揮官],""),$AX$9:$AX$25,$AY$9:$AY$25,"")</f>
        <v>3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27">
        <v>6</v>
      </c>
      <c r="AP14" s="127" t="str">
        <v>吳宗耕</v>
      </c>
      <c r="AQ14" s="127" t="str" cm="1">
        <f t="array" ref="AQ14">IFERROR(_xlfn.XLOOKUP(_xlfn.XLOOKUP($AQ$3,輪休基準表!$C$6:$C$36,_xlfn.XLOOKUP(AP14,輪休基準表!$E$5:$AF$5,輪休基準表!$E$6:$AF$36,""),""),班別參數!$A$4:$A$20,班別參數!$B$4:$B$20,""),"")</f>
        <v>上班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>已排</v>
      </c>
      <c r="AT14" s="180">
        <f t="shared" si="0"/>
        <v>6</v>
      </c>
      <c r="AU14" s="180">
        <f t="shared" si="1"/>
        <v>2</v>
      </c>
      <c r="AV14" s="25"/>
      <c r="AW14" s="33" t="str">
        <f t="array" ref="AW14">INDEX(班別參數!$D$4:$D$20,ROW()-7,MATCH($AW$8,班別參數!$D$4:$D$20,0))</f>
        <v>18-20</v>
      </c>
      <c r="AX14" s="34">
        <f t="array" ref="AX14">IFERROR(INDEX(班別參數!$D$4:$S$20,MATCH(AW14,班別參數!$D$4:$D$20,0),MATCH($AS$6,班別參數!$D$4:$S$4,0)),"")</f>
        <v>0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</v>
      </c>
      <c r="BC14" s="39" t="str">
        <f t="shared" si="2"/>
        <v>16</v>
      </c>
      <c r="BD14" s="127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15</v>
      </c>
      <c r="D15" s="235"/>
      <c r="E15" s="106"/>
      <c r="F15" s="96"/>
      <c r="G15" s="123" t="str">
        <f>IF(BC11="","",BC11)</f>
        <v>23</v>
      </c>
      <c r="H15" s="40"/>
      <c r="I15" s="216">
        <f>_xlfn.XLOOKUP(_xlfn.XLOOKUP($AS$6&amp;$B15,公表[班別+時段],公表[救護1],""),$AX$9:$AX$25,$AY$9:$AY$25,"")</f>
        <v>16</v>
      </c>
      <c r="J15" s="216">
        <f>_xlfn.XLOOKUP(_xlfn.XLOOKUP($AS$6&amp;$B15,公表[班別+時段],公表[救護2],""),$AX$9:$AX$25,$AY$9:$AY$25,"")</f>
        <v>6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28</v>
      </c>
      <c r="O15" s="89">
        <f>_xlfn.XLOOKUP(_xlfn.XLOOKUP($AS$6&amp;$B15,公表[班別+時段],公表[備勤2],""),$AX$9:$AX$25,$AY$9:$AY$25,"")</f>
        <v>19</v>
      </c>
      <c r="P15" s="89"/>
      <c r="Q15" s="89">
        <f>_xlfn.XLOOKUP(_xlfn.XLOOKUP($AS$6&amp;$B15,公表[班別+時段],公表[備勤3],""),$AX$9:$AX$25,$AY$9:$AY$25,"")</f>
        <v>18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4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89"/>
      <c r="AC15" s="89"/>
      <c r="AD15" s="89"/>
      <c r="AE15" s="104">
        <f>_xlfn.XLOOKUP(_xlfn.XLOOKUP($AS$6&amp;$B15,公表[班別+時段],公表[指揮官],""),$AX$9:$AX$25,$AY$9:$AY$25,"")</f>
        <v>3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27">
        <v>7</v>
      </c>
      <c r="AP15" s="127" t="str">
        <v>包華先</v>
      </c>
      <c r="AQ15" s="127" t="str" cm="1">
        <f t="array" ref="AQ15">IFERROR(_xlfn.XLOOKUP(_xlfn.XLOOKUP($AQ$3,輪休基準表!$C$6:$C$36,_xlfn.XLOOKUP(AP15,輪休基準表!$E$5:$AF$5,輪休基準表!$E$6:$AF$36,""),""),班別參數!$A$4:$A$20,班別參數!$B$4:$B$20,""),"")</f>
        <v>輪休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/>
      </c>
      <c r="AT15" s="180" t="str">
        <f t="shared" si="0"/>
        <v/>
      </c>
      <c r="AU15" s="180" t="str">
        <f t="shared" si="1"/>
        <v/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>
        <v>23</v>
      </c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>18</v>
      </c>
      <c r="BD15" s="127"/>
    </row>
    <row r="16" spans="2:56" ht="30" customHeight="1">
      <c r="B16" s="83" t="s">
        <v>79</v>
      </c>
      <c r="C16" s="90">
        <f>_xlfn.XLOOKUP(_xlfn.XLOOKUP($AS$6&amp;$B16,公表[班別+時段],公表[值班],""),$AX$9:$AX$25,$AY$9:$AY$25,"")</f>
        <v>18</v>
      </c>
      <c r="D16" s="98"/>
      <c r="E16" s="99"/>
      <c r="F16" s="98"/>
      <c r="G16" s="121">
        <v>19</v>
      </c>
      <c r="H16" s="316" t="str">
        <f>AY3</f>
        <v>SCBA訓練</v>
      </c>
      <c r="I16" s="94">
        <f>_xlfn.XLOOKUP(_xlfn.XLOOKUP($AS$6&amp;$B16,公表[班別+時段],公表[救護1],""),$AX$9:$AX$25,$AY$9:$AY$25,"")</f>
        <v>23</v>
      </c>
      <c r="J16" s="94">
        <f>_xlfn.XLOOKUP(_xlfn.XLOOKUP($AS$6&amp;$B16,公表[班別+時段],公表[救護2],""),$AX$9:$AX$25,$AY$9:$AY$25,"")</f>
        <v>6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16</v>
      </c>
      <c r="O16" s="90">
        <f>_xlfn.XLOOKUP(_xlfn.XLOOKUP($AS$6&amp;$B16,公表[班別+時段],公表[備勤2],""),$AX$9:$AX$25,$AY$9:$AY$25,"")</f>
        <v>15</v>
      </c>
      <c r="P16" s="90"/>
      <c r="Q16" s="90">
        <f>_xlfn.XLOOKUP(_xlfn.XLOOKUP($AS$6&amp;$B16,公表[班別+時段],公表[備勤3],""),$AX$9:$AX$25,$AY$9:$AY$25,"")</f>
        <v>28</v>
      </c>
      <c r="R16" s="90"/>
      <c r="S16" s="90"/>
      <c r="T16" s="90">
        <f>_xlfn.XLOOKUP(_xlfn.XLOOKUP($AS$6&amp;$B16,公表[班別+時段],公表[備勤5],""),$AX$9:$AX$25,$AY$9:$AY$25,"")</f>
        <v>4</v>
      </c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90"/>
      <c r="AC16" s="90"/>
      <c r="AD16" s="90"/>
      <c r="AE16" s="91">
        <f>_xlfn.XLOOKUP(_xlfn.XLOOKUP($AS$6&amp;$B16,公表[班別+時段],公表[指揮官],""),$AX$9:$AX$25,$AY$9:$AY$25,"")</f>
        <v>3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27">
        <v>8</v>
      </c>
      <c r="AP16" s="127" t="str">
        <v>曾彥綸</v>
      </c>
      <c r="AQ16" s="127" t="str" cm="1">
        <f t="array" ref="AQ16">IFERROR(_xlfn.XLOOKUP(_xlfn.XLOOKUP($AQ$3,輪休基準表!$C$6:$C$36,_xlfn.XLOOKUP(AP16,輪休基準表!$E$5:$AF$5,輪休基準表!$E$6:$AF$36,""),""),班別參數!$A$4:$A$20,班別參數!$B$4:$B$20,""),"")</f>
        <v>輪休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/>
      </c>
      <c r="AT16" s="180" t="str">
        <f t="shared" si="0"/>
        <v/>
      </c>
      <c r="AU16" s="180" t="str">
        <f t="shared" si="1"/>
        <v/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>
        <v>6</v>
      </c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27"/>
    </row>
    <row r="17" spans="2:56" ht="30" customHeight="1">
      <c r="B17" s="81" t="s">
        <v>80</v>
      </c>
      <c r="C17" s="87">
        <f>_xlfn.XLOOKUP(_xlfn.XLOOKUP($AS$6&amp;$B17,公表[班別+時段],公表[值班],""),$AX$9:$AX$25,$AY$9:$AY$25,"")</f>
        <v>18</v>
      </c>
      <c r="D17" s="95"/>
      <c r="E17" s="95"/>
      <c r="F17" s="100"/>
      <c r="G17" s="122">
        <v>19</v>
      </c>
      <c r="H17" s="314"/>
      <c r="I17" s="92">
        <f>_xlfn.XLOOKUP(_xlfn.XLOOKUP($AS$6&amp;$B17,公表[班別+時段],公表[救護1],""),$AX$9:$AX$25,$AY$9:$AY$25,"")</f>
        <v>23</v>
      </c>
      <c r="J17" s="92">
        <f>_xlfn.XLOOKUP(_xlfn.XLOOKUP($AS$6&amp;$B17,公表[班別+時段],公表[救護2],""),$AX$9:$AX$25,$AY$9:$AY$25,"")</f>
        <v>6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16</v>
      </c>
      <c r="O17" s="87">
        <f>_xlfn.XLOOKUP(_xlfn.XLOOKUP($AS$6&amp;$B17,公表[班別+時段],公表[備勤2],""),$AX$9:$AX$25,$AY$9:$AY$25,"")</f>
        <v>15</v>
      </c>
      <c r="P17" s="87"/>
      <c r="Q17" s="87">
        <f>_xlfn.XLOOKUP(_xlfn.XLOOKUP($AS$6&amp;$B17,公表[班別+時段],公表[備勤3],""),$AX$9:$AX$25,$AY$9:$AY$25,"")</f>
        <v>28</v>
      </c>
      <c r="R17" s="87"/>
      <c r="S17" s="87"/>
      <c r="T17" s="87">
        <f>_xlfn.XLOOKUP(_xlfn.XLOOKUP($AS$6&amp;$B17,公表[班別+時段],公表[備勤5],""),$AX$9:$AX$25,$AY$9:$AY$25,"")</f>
        <v>4</v>
      </c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87"/>
      <c r="AC17" s="87"/>
      <c r="AD17" s="87"/>
      <c r="AE17" s="88">
        <f>_xlfn.XLOOKUP(_xlfn.XLOOKUP($AS$6&amp;$B17,公表[班別+時段],公表[指揮官],""),$AX$9:$AX$25,$AY$9:$AY$25,"")</f>
        <v>3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27">
        <v>9</v>
      </c>
      <c r="AP17" s="127" t="str">
        <v>鍾佳諭</v>
      </c>
      <c r="AQ17" s="127" t="str" cm="1">
        <f t="array" ref="AQ17">IFERROR(_xlfn.XLOOKUP(_xlfn.XLOOKUP($AQ$3,輪休基準表!$C$6:$C$36,_xlfn.XLOOKUP(AP17,輪休基準表!$E$5:$AF$5,輪休基準表!$E$6:$AF$36,""),""),班別參數!$A$4:$A$20,班別參數!$B$4:$B$20,""),"")</f>
        <v>輪休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/>
      </c>
      <c r="AT17" s="180" t="str">
        <f t="shared" si="0"/>
        <v/>
      </c>
      <c r="AU17" s="180" t="str">
        <f t="shared" si="1"/>
        <v/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27"/>
    </row>
    <row r="18" spans="2:56" ht="30" customHeight="1">
      <c r="B18" s="81" t="s">
        <v>81</v>
      </c>
      <c r="C18" s="87">
        <f>_xlfn.XLOOKUP(_xlfn.XLOOKUP($AS$6&amp;$B18,公表[班別+時段],公表[值班],""),$AX$9:$AX$25,$AY$9:$AY$25,"")</f>
        <v>19</v>
      </c>
      <c r="D18" s="100"/>
      <c r="E18" s="95"/>
      <c r="F18" s="100"/>
      <c r="G18" s="122" t="str">
        <f>IF(BC13="","",BC13)</f>
        <v>28</v>
      </c>
      <c r="H18" s="297"/>
      <c r="I18" s="92">
        <f>_xlfn.XLOOKUP(_xlfn.XLOOKUP($AS$6&amp;$B18,公表[班別+時段],公表[救護1],""),$AX$9:$AX$25,$AY$9:$AY$25,"")</f>
        <v>23</v>
      </c>
      <c r="J18" s="92">
        <f>_xlfn.XLOOKUP(_xlfn.XLOOKUP($AS$6&amp;$B18,公表[班別+時段],公表[救護2],""),$AX$9:$AX$25,$AY$9:$AY$25,"")</f>
        <v>15</v>
      </c>
      <c r="K18" s="92"/>
      <c r="L18" s="87" t="s">
        <v>212</v>
      </c>
      <c r="M18" s="312"/>
      <c r="N18" s="87">
        <f>_xlfn.XLOOKUP(_xlfn.XLOOKUP($AS$6&amp;$B18,公表[班別+時段],公表[備勤1],""),$AX$9:$AX$25,$AY$9:$AY$25,"")</f>
        <v>18</v>
      </c>
      <c r="O18" s="87">
        <f>_xlfn.XLOOKUP(_xlfn.XLOOKUP($AS$6&amp;$B18,公表[班別+時段],公表[備勤2],""),$AX$9:$AX$25,$AY$9:$AY$25,"")</f>
        <v>6</v>
      </c>
      <c r="P18" s="87"/>
      <c r="Q18" s="87">
        <f>_xlfn.XLOOKUP(_xlfn.XLOOKUP($AS$6&amp;$B18,公表[班別+時段],公表[備勤3],""),$AX$9:$AX$25,$AY$9:$AY$25,"")</f>
        <v>16</v>
      </c>
      <c r="R18" s="87">
        <f>_xlfn.XLOOKUP(_xlfn.XLOOKUP($AS$6&amp;$B18,公表[班別+時段],公表[備勤4],""),$AX$9:$AX$25,$AY$9:$AY$25,"")</f>
        <v>0</v>
      </c>
      <c r="S18" s="87"/>
      <c r="T18" s="87">
        <f>_xlfn.XLOOKUP(_xlfn.XLOOKUP($AS$6&amp;$B18,公表[班別+時段],公表[備勤5],""),$AX$9:$AX$25,$AY$9:$AY$25,"")</f>
        <v>4</v>
      </c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87"/>
      <c r="AC18" s="87"/>
      <c r="AD18" s="87"/>
      <c r="AE18" s="88">
        <f>_xlfn.XLOOKUP(_xlfn.XLOOKUP($AS$6&amp;$B18,公表[班別+時段],公表[指揮官],""),$AX$9:$AX$25,$AY$9:$AY$25,"")</f>
        <v>3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27">
        <v>10</v>
      </c>
      <c r="AP18" s="127" t="str">
        <v>林宏澤</v>
      </c>
      <c r="AQ18" s="127" t="str" cm="1">
        <f t="array" ref="AQ18">IFERROR(_xlfn.XLOOKUP(_xlfn.XLOOKUP($AQ$3,輪休基準表!$C$6:$C$36,_xlfn.XLOOKUP(AP18,輪休基準表!$E$5:$AF$5,輪休基準表!$E$6:$AF$36,""),""),班別參數!$A$4:$A$20,班別參數!$B$4:$B$20,""),"")</f>
        <v>輪休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/>
      </c>
      <c r="AT18" s="180" t="str">
        <f t="shared" si="0"/>
        <v/>
      </c>
      <c r="AU18" s="180" t="str">
        <f t="shared" si="1"/>
        <v/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27"/>
    </row>
    <row r="19" spans="2:56" ht="30" customHeight="1" thickBot="1">
      <c r="B19" s="110" t="s">
        <v>82</v>
      </c>
      <c r="C19" s="89">
        <f>_xlfn.XLOOKUP(_xlfn.XLOOKUP($AS$6&amp;$B19,公表[班別+時段],公表[值班],""),$AX$9:$AX$25,$AY$9:$AY$25,"")</f>
        <v>19</v>
      </c>
      <c r="D19" s="106"/>
      <c r="E19" s="96"/>
      <c r="F19" s="236"/>
      <c r="G19" s="123" t="str">
        <f>IF(BC13="","",BC13)</f>
        <v>28</v>
      </c>
      <c r="H19" s="107"/>
      <c r="I19" s="216">
        <f>_xlfn.XLOOKUP(_xlfn.XLOOKUP($AS$6&amp;$B19,公表[班別+時段],公表[救護1],""),$AX$9:$AX$25,$AY$9:$AY$25,"")</f>
        <v>23</v>
      </c>
      <c r="J19" s="216">
        <f>_xlfn.XLOOKUP(_xlfn.XLOOKUP($AS$6&amp;$B19,公表[班別+時段],公表[救護2],""),$AX$9:$AX$25,$AY$9:$AY$25,"")</f>
        <v>15</v>
      </c>
      <c r="K19" s="105"/>
      <c r="L19" s="93" t="s">
        <v>212</v>
      </c>
      <c r="M19" s="312"/>
      <c r="N19" s="89">
        <f>_xlfn.XLOOKUP(_xlfn.XLOOKUP($AS$6&amp;$B19,公表[班別+時段],公表[備勤1],""),$AX$9:$AX$25,$AY$9:$AY$25,"")</f>
        <v>18</v>
      </c>
      <c r="O19" s="89">
        <f>_xlfn.XLOOKUP(_xlfn.XLOOKUP($AS$6&amp;$B19,公表[班別+時段],公表[備勤2],""),$AX$9:$AX$25,$AY$9:$AY$25,"")</f>
        <v>6</v>
      </c>
      <c r="P19" s="89"/>
      <c r="Q19" s="89">
        <f>_xlfn.XLOOKUP(_xlfn.XLOOKUP($AS$6&amp;$B19,公表[班別+時段],公表[備勤3],""),$AX$9:$AX$25,$AY$9:$AY$25,"")</f>
        <v>16</v>
      </c>
      <c r="R19" s="89">
        <f>_xlfn.XLOOKUP(_xlfn.XLOOKUP($AS$6&amp;$B19,公表[班別+時段],公表[備勤4],""),$AX$9:$AX$25,$AY$9:$AY$25,"")</f>
        <v>0</v>
      </c>
      <c r="S19" s="89"/>
      <c r="T19" s="89">
        <f>_xlfn.XLOOKUP(_xlfn.XLOOKUP($AS$6&amp;$B19,公表[班別+時段],公表[備勤5],""),$AX$9:$AX$25,$AY$9:$AY$25,"")</f>
        <v>4</v>
      </c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89"/>
      <c r="AC19" s="89"/>
      <c r="AD19" s="89"/>
      <c r="AE19" s="104">
        <f>_xlfn.XLOOKUP(_xlfn.XLOOKUP($AS$6&amp;$B19,公表[班別+時段],公表[指揮官],""),$AX$9:$AX$25,$AY$9:$AY$25,"")</f>
        <v>3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27">
        <v>11</v>
      </c>
      <c r="AP19" s="127" t="str">
        <v>簡君諺</v>
      </c>
      <c r="AQ19" s="127" t="str" cm="1">
        <f t="array" ref="AQ19">IFERROR(_xlfn.XLOOKUP(_xlfn.XLOOKUP($AQ$3,輪休基準表!$C$6:$C$36,_xlfn.XLOOKUP(AP19,輪休基準表!$E$5:$AF$5,輪休基準表!$E$6:$AF$36,""),""),班別參數!$A$4:$A$20,班別參數!$B$4:$B$20,""),"")</f>
        <v>輪休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/>
      </c>
      <c r="AT19" s="180" t="str">
        <f t="shared" si="0"/>
        <v/>
      </c>
      <c r="AU19" s="180" t="str">
        <f t="shared" si="1"/>
        <v/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:AY20">IF(AX19="","",_xlfn._xlws.FILTER($AO$9:$AO$13,$AQ$9:$AQ$13="上班",""))</f>
        <v>3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27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4</v>
      </c>
      <c r="D20" s="97"/>
      <c r="E20" s="97"/>
      <c r="F20" s="97"/>
      <c r="G20" s="121" t="str">
        <f>IF(BC14="","",BC14)</f>
        <v>16</v>
      </c>
      <c r="H20" s="55"/>
      <c r="I20" s="94">
        <f>_xlfn.XLOOKUP(_xlfn.XLOOKUP($AS$6&amp;$B20,公表[班別+時段],公表[救護1],""),$AX$9:$AX$25,$AY$9:$AY$25,"")</f>
        <v>19</v>
      </c>
      <c r="J20" s="94">
        <f>_xlfn.XLOOKUP(_xlfn.XLOOKUP($AS$6&amp;$B20,公表[班別+時段],公表[救護2],""),$AX$9:$AX$25,$AY$9:$AY$25,"")</f>
        <v>6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15</v>
      </c>
      <c r="O20" s="90">
        <f>_xlfn.XLOOKUP(_xlfn.XLOOKUP($AS$6&amp;$B20,公表[班別+時段],公表[備勤2],""),$AX$9:$AX$25,$AY$9:$AY$25,"")</f>
        <v>28</v>
      </c>
      <c r="P20" s="90"/>
      <c r="Q20" s="90">
        <f>_xlfn.XLOOKUP(_xlfn.XLOOKUP($AS$6&amp;$B20,公表[班別+時段],公表[備勤3],""),$AX$9:$AX$25,$AY$9:$AY$25,"")</f>
        <v>18</v>
      </c>
      <c r="R20" s="90">
        <f>_xlfn.XLOOKUP(_xlfn.XLOOKUP($AS$6&amp;$B20,公表[班別+時段],公表[備勤4],""),$AX$9:$AX$25,$AY$9:$AY$25,"")</f>
        <v>23</v>
      </c>
      <c r="S20" s="90"/>
      <c r="T20" s="90">
        <f>_xlfn.XLOOKUP(_xlfn.XLOOKUP($AS$6&amp;$B20,公表[班別+時段],公表[備勤5],""),$AX$9:$AX$25,$AY$9:$AY$25,"")</f>
        <v>0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90"/>
      <c r="AC20" s="90"/>
      <c r="AD20" s="90"/>
      <c r="AE20" s="91">
        <f>_xlfn.XLOOKUP(_xlfn.XLOOKUP($AS$6&amp;$B20,公表[班別+時段],公表[指揮官],""),$AX$9:$AX$25,$AY$9:$AY$25,"")</f>
        <v>3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27">
        <v>12</v>
      </c>
      <c r="AP20" s="127" t="str">
        <v>王昱勛</v>
      </c>
      <c r="AQ20" s="127" t="str" cm="1">
        <f t="array" ref="AQ20">IFERROR(_xlfn.XLOOKUP(_xlfn.XLOOKUP($AQ$3,輪休基準表!$C$6:$C$36,_xlfn.XLOOKUP(AP20,輪休基準表!$E$5:$AF$5,輪休基準表!$E$6:$AF$36,""),""),班別參數!$A$4:$A$20,班別參數!$B$4:$B$20,""),"")</f>
        <v>輪休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/>
      </c>
      <c r="AT20" s="180" t="str">
        <f t="shared" si="0"/>
        <v/>
      </c>
      <c r="AU20" s="180" t="str">
        <f t="shared" si="1"/>
        <v/>
      </c>
      <c r="AV20" s="25"/>
      <c r="AW20" s="33" t="str">
        <f t="array" ref="AW20">INDEX(班別參數!$D$4:$D$20,ROW()-7,MATCH($AW$8,班別參數!$D$4:$D$20,0))</f>
        <v>帶隊官</v>
      </c>
      <c r="AX20" s="34" t="str">
        <f t="array" ref="AX20">IFERROR(INDEX(班別參數!$D$4:$S$20,MATCH(AW20,班別參數!$D$4:$D$20,0),MATCH($AS$6,班別參數!$D$4:$S$4,0)),"")</f>
        <v>L</v>
      </c>
      <c r="AY20" s="38">
        <v>4</v>
      </c>
      <c r="AZ20" s="32"/>
      <c r="BA20" s="33" t="s">
        <v>67</v>
      </c>
      <c r="BB20" s="34" t="str">
        <f t="array" ref="BB20">IFERROR(INDEX(班別參數!$D$23:$S$35,MATCH(BA20,班別參數!$D$23:$D$35,0),MATCH($AS$6,班別參數!$D$23:$S$23,0)),"")</f>
        <v>G,L</v>
      </c>
      <c r="BC20" s="41" t="str">
        <f t="shared" si="2"/>
        <v>15,4</v>
      </c>
      <c r="BD20" s="127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4</v>
      </c>
      <c r="D21" s="95"/>
      <c r="E21" s="95"/>
      <c r="F21" s="95"/>
      <c r="G21" s="122" t="str">
        <f>IF(BC14="","",BC14)</f>
        <v>16</v>
      </c>
      <c r="H21" s="296" t="str">
        <f>AY4</f>
        <v>火災特性</v>
      </c>
      <c r="I21" s="92">
        <f>_xlfn.XLOOKUP(_xlfn.XLOOKUP($AS$6&amp;$B21,公表[班別+時段],公表[救護1],""),$AX$9:$AX$25,$AY$9:$AY$25,"")</f>
        <v>19</v>
      </c>
      <c r="J21" s="92">
        <f>_xlfn.XLOOKUP(_xlfn.XLOOKUP($AS$6&amp;$B21,公表[班別+時段],公表[救護2],""),$AX$9:$AX$25,$AY$9:$AY$25,"")</f>
        <v>6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15</v>
      </c>
      <c r="O21" s="87">
        <f>_xlfn.XLOOKUP(_xlfn.XLOOKUP($AS$6&amp;$B21,公表[班別+時段],公表[備勤2],""),$AX$9:$AX$25,$AY$9:$AY$25,"")</f>
        <v>28</v>
      </c>
      <c r="P21" s="87"/>
      <c r="Q21" s="87">
        <f>_xlfn.XLOOKUP(_xlfn.XLOOKUP($AS$6&amp;$B21,公表[班別+時段],公表[備勤3],""),$AX$9:$AX$25,$AY$9:$AY$25,"")</f>
        <v>18</v>
      </c>
      <c r="R21" s="87">
        <f>_xlfn.XLOOKUP(_xlfn.XLOOKUP($AS$6&amp;$B21,公表[班別+時段],公表[備勤4],""),$AX$9:$AX$25,$AY$9:$AY$25,"")</f>
        <v>23</v>
      </c>
      <c r="S21" s="87"/>
      <c r="T21" s="87">
        <f>_xlfn.XLOOKUP(_xlfn.XLOOKUP($AS$6&amp;$B21,公表[班別+時段],公表[備勤5],""),$AX$9:$AX$25,$AY$9:$AY$25,"")</f>
        <v>0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87"/>
      <c r="AC21" s="87"/>
      <c r="AD21" s="87"/>
      <c r="AE21" s="88">
        <f>_xlfn.XLOOKUP(_xlfn.XLOOKUP($AS$6&amp;$B21,公表[班別+時段],公表[指揮官],""),$AX$9:$AX$25,$AY$9:$AY$25,"")</f>
        <v>3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27">
        <v>13</v>
      </c>
      <c r="AP21" s="127" t="str">
        <v>葉宗哲</v>
      </c>
      <c r="AQ21" s="127" t="str" cm="1">
        <f t="array" ref="AQ21">IFERROR(_xlfn.XLOOKUP(_xlfn.XLOOKUP($AQ$3,輪休基準表!$C$6:$C$36,_xlfn.XLOOKUP(AP21,輪休基準表!$E$5:$AF$5,輪休基準表!$E$6:$AF$36,""),""),班別參數!$A$4:$A$20,班別參數!$B$4:$B$20,""),"")</f>
        <v>請休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/>
      </c>
      <c r="AT21" s="180" t="str">
        <f t="shared" si="0"/>
        <v/>
      </c>
      <c r="AU21" s="180" t="str">
        <f t="shared" si="1"/>
        <v/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27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23</v>
      </c>
      <c r="D22" s="95"/>
      <c r="E22" s="95"/>
      <c r="F22" s="95"/>
      <c r="G22" s="122" t="str">
        <f>IF(BC15="","",BC15)</f>
        <v>18</v>
      </c>
      <c r="H22" s="297"/>
      <c r="I22" s="92">
        <f>_xlfn.XLOOKUP(_xlfn.XLOOKUP($AS$6&amp;$B22,公表[班別+時段],公表[救護1],""),$AX$9:$AX$25,$AY$9:$AY$25,"")</f>
        <v>16</v>
      </c>
      <c r="J22" s="92">
        <f>_xlfn.XLOOKUP(_xlfn.XLOOKUP($AS$6&amp;$B22,公表[班別+時段],公表[救護2],""),$AX$9:$AX$25,$AY$9:$AY$25,"")</f>
        <v>15</v>
      </c>
      <c r="K22" s="92"/>
      <c r="L22" s="87" t="s">
        <v>212</v>
      </c>
      <c r="M22" s="312"/>
      <c r="N22" s="87">
        <f>_xlfn.XLOOKUP(_xlfn.XLOOKUP($AS$6&amp;$B22,公表[班別+時段],公表[備勤1],""),$AX$9:$AX$25,$AY$9:$AY$25,"")</f>
        <v>28</v>
      </c>
      <c r="O22" s="87">
        <f>_xlfn.XLOOKUP(_xlfn.XLOOKUP($AS$6&amp;$B22,公表[班別+時段],公表[備勤2],""),$AX$9:$AX$25,$AY$9:$AY$25,"")</f>
        <v>19</v>
      </c>
      <c r="P22" s="87"/>
      <c r="Q22" s="87">
        <f>_xlfn.XLOOKUP(_xlfn.XLOOKUP($AS$6&amp;$B22,公表[班別+時段],公表[備勤3],""),$AX$9:$AX$25,$AY$9:$AY$25,"")</f>
        <v>6</v>
      </c>
      <c r="R22" s="87">
        <f>_xlfn.XLOOKUP(_xlfn.XLOOKUP($AS$6&amp;$B22,公表[班別+時段],公表[備勤4],""),$AX$9:$AX$25,$AY$9:$AY$25,"")</f>
        <v>0</v>
      </c>
      <c r="S22" s="87"/>
      <c r="T22" s="87">
        <f>_xlfn.XLOOKUP(_xlfn.XLOOKUP($AS$6&amp;$B22,公表[班別+時段],公表[備勤5],""),$AX$9:$AX$25,$AY$9:$AY$25,"")</f>
        <v>4</v>
      </c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87"/>
      <c r="AC22" s="87"/>
      <c r="AD22" s="87"/>
      <c r="AE22" s="88">
        <f>_xlfn.XLOOKUP(_xlfn.XLOOKUP($AS$6&amp;$B22,公表[班別+時段],公表[指揮官],""),$AX$9:$AX$25,$AY$9:$AY$25,"")</f>
        <v>3</v>
      </c>
      <c r="AF22" s="57" t="s">
        <v>213</v>
      </c>
      <c r="AG22" s="305" t="str" cm="1">
        <f t="array" ref="AG22">_xlfn.TEXTJOIN(".",1,_xlfn._xlws.FILTER($AO$9:$AO$40,$AQ$9:$AQ$40="上班",""))</f>
        <v>3.4.6.15.16.18.19.23.28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27">
        <v>14</v>
      </c>
      <c r="AP22" s="127" t="str">
        <v>王浩任</v>
      </c>
      <c r="AQ22" s="127" t="str" cm="1">
        <f t="array" ref="AQ22">IFERROR(_xlfn.XLOOKUP(_xlfn.XLOOKUP($AQ$3,輪休基準表!$C$6:$C$36,_xlfn.XLOOKUP(AP22,輪休基準表!$E$5:$AF$5,輪休基準表!$E$6:$AF$36,""),""),班別參數!$A$4:$A$20,班別參數!$B$4:$B$20,""),"")</f>
        <v>請休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/>
      </c>
      <c r="AT22" s="180" t="str">
        <f t="shared" si="0"/>
        <v/>
      </c>
      <c r="AU22" s="180" t="str">
        <f t="shared" si="1"/>
        <v/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27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23</v>
      </c>
      <c r="D23" s="106"/>
      <c r="E23" s="96"/>
      <c r="F23" s="96"/>
      <c r="G23" s="123" t="str">
        <f>IF(BC15="","",BC15)</f>
        <v>18</v>
      </c>
      <c r="H23" s="107"/>
      <c r="I23" s="216">
        <f>_xlfn.XLOOKUP(_xlfn.XLOOKUP($AS$6&amp;$B23,公表[班別+時段],公表[救護1],""),$AX$9:$AX$25,$AY$9:$AY$25,"")</f>
        <v>16</v>
      </c>
      <c r="J23" s="216">
        <f>_xlfn.XLOOKUP(_xlfn.XLOOKUP($AS$6&amp;$B23,公表[班別+時段],公表[救護2],""),$AX$9:$AX$25,$AY$9:$AY$25,"")</f>
        <v>15</v>
      </c>
      <c r="K23" s="105"/>
      <c r="L23" s="93" t="s">
        <v>212</v>
      </c>
      <c r="M23" s="312"/>
      <c r="N23" s="89">
        <f>_xlfn.XLOOKUP(_xlfn.XLOOKUP($AS$6&amp;$B23,公表[班別+時段],公表[備勤1],""),$AX$9:$AX$25,$AY$9:$AY$25,"")</f>
        <v>28</v>
      </c>
      <c r="O23" s="89">
        <f>_xlfn.XLOOKUP(_xlfn.XLOOKUP($AS$6&amp;$B23,公表[班別+時段],公表[備勤2],""),$AX$9:$AX$25,$AY$9:$AY$25,"")</f>
        <v>19</v>
      </c>
      <c r="P23" s="89"/>
      <c r="Q23" s="89">
        <f>_xlfn.XLOOKUP(_xlfn.XLOOKUP($AS$6&amp;$B23,公表[班別+時段],公表[備勤3],""),$AX$9:$AX$25,$AY$9:$AY$25,"")</f>
        <v>6</v>
      </c>
      <c r="R23" s="89">
        <f>_xlfn.XLOOKUP(_xlfn.XLOOKUP($AS$6&amp;$B23,公表[班別+時段],公表[備勤4],""),$AX$9:$AX$25,$AY$9:$AY$25,"")</f>
        <v>0</v>
      </c>
      <c r="S23" s="89"/>
      <c r="T23" s="89">
        <f>_xlfn.XLOOKUP(_xlfn.XLOOKUP($AS$6&amp;$B23,公表[班別+時段],公表[備勤5],""),$AX$9:$AX$25,$AY$9:$AY$25,"")</f>
        <v>4</v>
      </c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89"/>
      <c r="AC23" s="89"/>
      <c r="AD23" s="89"/>
      <c r="AE23" s="104">
        <f>_xlfn.XLOOKUP(_xlfn.XLOOKUP($AS$6&amp;$B23,公表[班別+時段],公表[指揮官],""),$AX$9:$AX$25,$AY$9:$AY$25,"")</f>
        <v>3</v>
      </c>
      <c r="AF23" s="57" t="s">
        <v>6</v>
      </c>
      <c r="AG23" s="305" t="str" cm="1">
        <f t="array" ref="AG23">_xlfn.TEXTJOIN(".",1,_xlfn._xlws.FILTER($AO$9:$AO$40,$AQ$9:$AQ$40=$AF$23,""))</f>
        <v>1.2.5.7.8.9.10.11.12.21.25.27</v>
      </c>
      <c r="AH23" s="400"/>
      <c r="AI23" s="400"/>
      <c r="AJ23" s="400"/>
      <c r="AK23" s="400"/>
      <c r="AL23" s="400"/>
      <c r="AM23" s="401"/>
      <c r="AN23" s="214"/>
      <c r="AO23" s="127">
        <v>15</v>
      </c>
      <c r="AP23" s="127" t="str">
        <v>李仕詮</v>
      </c>
      <c r="AQ23" s="127" t="str" cm="1">
        <f t="array" ref="AQ23">IFERROR(_xlfn.XLOOKUP(_xlfn.XLOOKUP($AQ$3,輪休基準表!$C$6:$C$36,_xlfn.XLOOKUP(AP23,輪休基準表!$E$5:$AF$5,輪休基準表!$E$6:$AF$36,""),""),班別參數!$A$4:$A$20,班別參數!$B$4:$B$20,""),"")</f>
        <v>上班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>已排</v>
      </c>
      <c r="AT23" s="180">
        <f t="shared" si="0"/>
        <v>6</v>
      </c>
      <c r="AU23" s="180">
        <f t="shared" si="1"/>
        <v>8</v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27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6</v>
      </c>
      <c r="D24" s="97"/>
      <c r="E24" s="97"/>
      <c r="F24" s="97"/>
      <c r="G24" s="121">
        <v>3</v>
      </c>
      <c r="H24" s="55"/>
      <c r="I24" s="94">
        <f>_xlfn.XLOOKUP(_xlfn.XLOOKUP($AS$6&amp;$B24,公表[班別+時段],公表[救護1],""),$AX$9:$AX$25,$AY$9:$AY$25,"")</f>
        <v>23</v>
      </c>
      <c r="J24" s="94">
        <f>_xlfn.XLOOKUP(_xlfn.XLOOKUP($AS$6&amp;$B24,公表[班別+時段],公表[救護2],""),$AX$9:$AX$25,$AY$9:$AY$25,"")</f>
        <v>18</v>
      </c>
      <c r="K24" s="90"/>
      <c r="L24" s="90" t="s">
        <v>212</v>
      </c>
      <c r="M24" s="312"/>
      <c r="N24" s="90">
        <v>19</v>
      </c>
      <c r="O24" s="90">
        <f>_xlfn.XLOOKUP(_xlfn.XLOOKUP($AS$6&amp;$B24,公表[班別+時段],公表[備勤2],""),$AX$9:$AX$25,$AY$9:$AY$25,"")</f>
        <v>15</v>
      </c>
      <c r="P24" s="90"/>
      <c r="Q24" s="90">
        <f>_xlfn.XLOOKUP(_xlfn.XLOOKUP($AS$6&amp;$B24,公表[班別+時段],公表[備勤3],""),$AX$9:$AX$25,$AY$9:$AY$25,"")</f>
        <v>28</v>
      </c>
      <c r="R24" s="90">
        <v>16</v>
      </c>
      <c r="S24" s="90"/>
      <c r="T24" s="90"/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90"/>
      <c r="AC24" s="90"/>
      <c r="AD24" s="90"/>
      <c r="AE24" s="91">
        <v>4</v>
      </c>
      <c r="AF24" s="57" t="s">
        <v>17</v>
      </c>
      <c r="AG24" s="305" t="str" cm="1">
        <f t="array" ref="AG24">_xlfn.TEXTJOIN(".",1,_xlfn._xlws.FILTER($AO$9:$AO$40,$AQ$9:$AQ$40=$AF$24,""))</f>
        <v/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>24.26</v>
      </c>
      <c r="AL24" s="400"/>
      <c r="AM24" s="401"/>
      <c r="AN24" s="214"/>
      <c r="AO24" s="127">
        <v>16</v>
      </c>
      <c r="AP24" s="127" t="str">
        <v>楊弘宇</v>
      </c>
      <c r="AQ24" s="127" t="str" cm="1">
        <f t="array" ref="AQ24">IFERROR(_xlfn.XLOOKUP(_xlfn.XLOOKUP($AQ$3,輪休基準表!$C$6:$C$36,_xlfn.XLOOKUP(AP24,輪休基準表!$E$5:$AF$5,輪休基準表!$E$6:$AF$36,""),""),班別參數!$A$4:$A$20,班別參數!$B$4:$B$20,""),"")</f>
        <v>上班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>已排</v>
      </c>
      <c r="AT24" s="180">
        <f t="shared" si="0"/>
        <v>8</v>
      </c>
      <c r="AU24" s="180">
        <f t="shared" si="1"/>
        <v>6</v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27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6</v>
      </c>
      <c r="D25" s="95"/>
      <c r="E25" s="95"/>
      <c r="F25" s="95"/>
      <c r="G25" s="122">
        <v>3</v>
      </c>
      <c r="H25" s="37"/>
      <c r="I25" s="92">
        <f>_xlfn.XLOOKUP(_xlfn.XLOOKUP($AS$6&amp;$B25,公表[班別+時段],公表[救護1],""),$AX$9:$AX$25,$AY$9:$AY$25,"")</f>
        <v>23</v>
      </c>
      <c r="J25" s="92">
        <f>_xlfn.XLOOKUP(_xlfn.XLOOKUP($AS$6&amp;$B25,公表[班別+時段],公表[救護2],""),$AX$9:$AX$25,$AY$9:$AY$25,"")</f>
        <v>18</v>
      </c>
      <c r="K25" s="87"/>
      <c r="L25" s="87" t="s">
        <v>212</v>
      </c>
      <c r="M25" s="312"/>
      <c r="N25" s="87">
        <v>19</v>
      </c>
      <c r="O25" s="87">
        <f>_xlfn.XLOOKUP(_xlfn.XLOOKUP($AS$6&amp;$B25,公表[班別+時段],公表[備勤2],""),$AX$9:$AX$25,$AY$9:$AY$25,"")</f>
        <v>15</v>
      </c>
      <c r="P25" s="87"/>
      <c r="Q25" s="87">
        <f>_xlfn.XLOOKUP(_xlfn.XLOOKUP($AS$6&amp;$B25,公表[班別+時段],公表[備勤3],""),$AX$9:$AX$25,$AY$9:$AY$25,"")</f>
        <v>28</v>
      </c>
      <c r="R25" s="87">
        <v>16</v>
      </c>
      <c r="S25" s="87"/>
      <c r="T25" s="87"/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87"/>
      <c r="AC25" s="87"/>
      <c r="AD25" s="87"/>
      <c r="AE25" s="88">
        <v>4</v>
      </c>
      <c r="AF25" s="57" t="s">
        <v>28</v>
      </c>
      <c r="AG25" s="305" t="str" cm="1">
        <f t="array" ref="AG25">_xlfn.TEXTJOIN(".",1,_xlfn._xlws.FILTER($AO$9:$AO$40,$AQ$9:$AQ$40=$AF$25,""))</f>
        <v>13.14</v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>17.20.22</v>
      </c>
      <c r="AL25" s="309"/>
      <c r="AM25" s="310"/>
      <c r="AN25" s="214"/>
      <c r="AO25" s="127">
        <v>17</v>
      </c>
      <c r="AP25" s="127" t="str">
        <v>楊仲豪</v>
      </c>
      <c r="AQ25" s="127" t="str" cm="1">
        <f t="array" ref="AQ25">IFERROR(_xlfn.XLOOKUP(_xlfn.XLOOKUP($AQ$3,輪休基準表!$C$6:$C$36,_xlfn.XLOOKUP(AP25,輪休基準表!$E$5:$AF$5,輪休基準表!$E$6:$AF$36,""),""),班別參數!$A$4:$A$20,班別參數!$B$4:$B$20,""),"")</f>
        <v>公假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/>
      </c>
      <c r="AT25" s="180" t="str">
        <f t="shared" si="0"/>
        <v/>
      </c>
      <c r="AU25" s="180" t="str">
        <f t="shared" si="1"/>
        <v/>
      </c>
      <c r="AW25" s="33"/>
      <c r="AX25" s="45"/>
      <c r="AY25" s="25"/>
      <c r="AZ25" s="28"/>
      <c r="BA25" s="33"/>
      <c r="BB25" s="25"/>
      <c r="BD25" s="127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6</v>
      </c>
      <c r="D26" s="95"/>
      <c r="E26" s="95"/>
      <c r="F26" s="95"/>
      <c r="G26" s="122" t="str">
        <f>IF(BC17="","",BC17)</f>
        <v/>
      </c>
      <c r="H26" s="37"/>
      <c r="I26" s="92">
        <v>19</v>
      </c>
      <c r="J26" s="92">
        <f>_xlfn.XLOOKUP(_xlfn.XLOOKUP($AS$6&amp;$B26,公表[班別+時段],公表[救護2],""),$AX$9:$AX$25,$AY$9:$AY$25,"")</f>
        <v>16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15</v>
      </c>
      <c r="O26" s="87">
        <f>_xlfn.XLOOKUP(_xlfn.XLOOKUP($AS$6&amp;$B26,公表[班別+時段],公表[備勤2],""),$AX$9:$AX$25,$AY$9:$AY$25,"")</f>
        <v>23</v>
      </c>
      <c r="P26" s="87"/>
      <c r="Q26" s="87">
        <v>28</v>
      </c>
      <c r="R26" s="87">
        <f>_xlfn.XLOOKUP(_xlfn.XLOOKUP($AS$6&amp;$B26,公表[班別+時段],公表[備勤4],""),$AX$9:$AX$25,$AY$9:$AY$25,"")</f>
        <v>18</v>
      </c>
      <c r="S26" s="87"/>
      <c r="T26" s="87">
        <f>_xlfn.XLOOKUP(_xlfn.XLOOKUP($AS$6&amp;$B26,公表[班別+時段],公表[備勤5],""),$AX$9:$AX$25,$AY$9:$AY$25,"")</f>
        <v>4</v>
      </c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87"/>
      <c r="AC26" s="87"/>
      <c r="AD26" s="87"/>
      <c r="AE26" s="88">
        <f>_xlfn.XLOOKUP(_xlfn.XLOOKUP($AS$6&amp;$B26,公表[班別+時段],公表[指揮官],""),$AX$9:$AX$25,$AY$9:$AY$25,"")</f>
        <v>3</v>
      </c>
      <c r="AF26" s="57" t="s">
        <v>289</v>
      </c>
      <c r="AG26" s="178" t="str" cm="1">
        <f t="array" ref="AG26">_xlfn.TEXTJOIN(".",1,_xlfn._xlws.FILTER($AO$9:$AO$40,$AQ$9:$AQ$40=$AF$26,""))</f>
        <v/>
      </c>
      <c r="AH26" s="168" t="s">
        <v>290</v>
      </c>
      <c r="AI26" s="179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/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27">
        <v>18</v>
      </c>
      <c r="AP26" s="127" t="str">
        <v>林志偉</v>
      </c>
      <c r="AQ26" s="127" t="str" cm="1">
        <f t="array" ref="AQ26">IFERROR(_xlfn.XLOOKUP(_xlfn.XLOOKUP($AQ$3,輪休基準表!$C$6:$C$36,_xlfn.XLOOKUP(AP26,輪休基準表!$E$5:$AF$5,輪休基準表!$E$6:$AF$36,""),""),班別參數!$A$4:$A$20,班別參數!$B$4:$B$20,""),"")</f>
        <v>上班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>已排</v>
      </c>
      <c r="AT26" s="180">
        <f t="shared" si="0"/>
        <v>8</v>
      </c>
      <c r="AU26" s="180">
        <f t="shared" si="1"/>
        <v>6</v>
      </c>
      <c r="AV26" s="10"/>
      <c r="AW26" s="46"/>
      <c r="AX26" s="45"/>
      <c r="AY26" s="25"/>
      <c r="AZ26" s="28"/>
      <c r="BA26" s="33"/>
      <c r="BB26" s="25"/>
      <c r="BD26" s="127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6</v>
      </c>
      <c r="D27" s="95"/>
      <c r="E27" s="95"/>
      <c r="F27" s="95"/>
      <c r="G27" s="122" t="str">
        <f>IF(BC17="","",BC17)</f>
        <v/>
      </c>
      <c r="H27" s="37"/>
      <c r="I27" s="92">
        <v>19</v>
      </c>
      <c r="J27" s="92">
        <f>_xlfn.XLOOKUP(_xlfn.XLOOKUP($AS$6&amp;$B27,公表[班別+時段],公表[救護2],""),$AX$9:$AX$25,$AY$9:$AY$25,"")</f>
        <v>16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15</v>
      </c>
      <c r="O27" s="87">
        <f>_xlfn.XLOOKUP(_xlfn.XLOOKUP($AS$6&amp;$B27,公表[班別+時段],公表[備勤2],""),$AX$9:$AX$25,$AY$9:$AY$25,"")</f>
        <v>23</v>
      </c>
      <c r="P27" s="87"/>
      <c r="Q27" s="87">
        <v>28</v>
      </c>
      <c r="R27" s="87">
        <f>_xlfn.XLOOKUP(_xlfn.XLOOKUP($AS$6&amp;$B27,公表[班別+時段],公表[備勤4],""),$AX$9:$AX$25,$AY$9:$AY$25,"")</f>
        <v>18</v>
      </c>
      <c r="S27" s="87"/>
      <c r="T27" s="87">
        <f>_xlfn.XLOOKUP(_xlfn.XLOOKUP($AS$6&amp;$B27,公表[班別+時段],公表[備勤5],""),$AX$9:$AX$25,$AY$9:$AY$25,"")</f>
        <v>4</v>
      </c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87"/>
      <c r="AC27" s="87"/>
      <c r="AD27" s="87"/>
      <c r="AE27" s="88">
        <f>_xlfn.XLOOKUP(_xlfn.XLOOKUP($AS$6&amp;$B27,公表[班別+時段],公表[指揮官],""),$AX$9:$AX$25,$AY$9:$AY$25,"")</f>
        <v>3</v>
      </c>
      <c r="AF27" s="317" t="s">
        <v>215</v>
      </c>
      <c r="AG27" s="319"/>
      <c r="AH27" s="321"/>
      <c r="AI27" s="321"/>
      <c r="AJ27" s="321"/>
      <c r="AK27" s="321"/>
      <c r="AL27" s="321"/>
      <c r="AM27" s="322"/>
      <c r="AN27" s="214"/>
      <c r="AO27" s="127">
        <v>19</v>
      </c>
      <c r="AP27" s="127" t="str">
        <v>劉家誠</v>
      </c>
      <c r="AQ27" s="127" t="str" cm="1">
        <f t="array" ref="AQ27">IFERROR(_xlfn.XLOOKUP(_xlfn.XLOOKUP($AQ$3,輪休基準表!$C$6:$C$36,_xlfn.XLOOKUP(AP27,輪休基準表!$E$5:$AF$5,輪休基準表!$E$6:$AF$36,""),""),班別參數!$A$4:$A$20,班別參數!$B$4:$B$20,""),"")</f>
        <v>上班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>已排</v>
      </c>
      <c r="AT27" s="180">
        <f t="shared" si="0"/>
        <v>6</v>
      </c>
      <c r="AU27" s="180">
        <f t="shared" si="1"/>
        <v>10</v>
      </c>
      <c r="AV27" s="10"/>
      <c r="AW27" s="46"/>
      <c r="AX27" s="45"/>
      <c r="AY27" s="25"/>
      <c r="AZ27" s="28"/>
      <c r="BA27" s="33"/>
      <c r="BB27" s="25"/>
      <c r="BD27" s="127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6</v>
      </c>
      <c r="D28" s="95"/>
      <c r="E28" s="95"/>
      <c r="F28" s="95"/>
      <c r="G28" s="122" t="str">
        <f>IF(BC18="","",BC18)</f>
        <v/>
      </c>
      <c r="H28" s="37"/>
      <c r="I28" s="92">
        <v>19</v>
      </c>
      <c r="J28" s="92">
        <f>_xlfn.XLOOKUP(_xlfn.XLOOKUP($AS$6&amp;$B28,公表[班別+時段],公表[救護2],""),$AX$9:$AX$25,$AY$9:$AY$25,"")</f>
        <v>16</v>
      </c>
      <c r="K28" s="87"/>
      <c r="L28" s="87" t="s">
        <v>212</v>
      </c>
      <c r="M28" s="312"/>
      <c r="N28" s="87">
        <f>_xlfn.XLOOKUP(_xlfn.XLOOKUP($AS$6&amp;$B28,公表[班別+時段],公表[備勤1],""),$AX$9:$AX$25,$AY$9:$AY$25,"")</f>
        <v>18</v>
      </c>
      <c r="O28" s="87">
        <v>28</v>
      </c>
      <c r="P28" s="87"/>
      <c r="Q28" s="87">
        <f>_xlfn.XLOOKUP(_xlfn.XLOOKUP($AS$6&amp;$B28,公表[班別+時段],公表[備勤3],""),$AX$9:$AX$25,$AY$9:$AY$25,"")</f>
        <v>15</v>
      </c>
      <c r="R28" s="87">
        <f>_xlfn.XLOOKUP(_xlfn.XLOOKUP($AS$6&amp;$B28,公表[班別+時段],公表[備勤4],""),$AX$9:$AX$25,$AY$9:$AY$25,"")</f>
        <v>23</v>
      </c>
      <c r="S28" s="87"/>
      <c r="T28" s="87">
        <f>_xlfn.XLOOKUP(_xlfn.XLOOKUP($AS$6&amp;$B28,公表[班別+時段],公表[備勤5],""),$AX$9:$AX$25,$AY$9:$AY$25,"")</f>
        <v>4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87"/>
      <c r="AC28" s="87"/>
      <c r="AD28" s="87"/>
      <c r="AE28" s="88">
        <f>_xlfn.XLOOKUP(_xlfn.XLOOKUP($AS$6&amp;$B28,公表[班別+時段],公表[指揮官],""),$AX$9:$AX$25,$AY$9:$AY$25,"")</f>
        <v>3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27">
        <v>20</v>
      </c>
      <c r="AP28" s="127" t="str">
        <v>呂奇霈</v>
      </c>
      <c r="AQ28" s="127" t="str" cm="1">
        <f t="array" ref="AQ28">IFERROR(_xlfn.XLOOKUP(_xlfn.XLOOKUP($AQ$3,輪休基準表!$C$6:$C$36,_xlfn.XLOOKUP(AP28,輪休基準表!$E$5:$AF$5,輪休基準表!$E$6:$AF$36,""),""),班別參數!$A$4:$A$20,班別參數!$B$4:$B$20,""),"")</f>
        <v>公假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27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6</v>
      </c>
      <c r="D29" s="95"/>
      <c r="E29" s="95"/>
      <c r="F29" s="95"/>
      <c r="G29" s="122" t="str">
        <f>IF(BC18="","",BC18)</f>
        <v/>
      </c>
      <c r="H29" s="37"/>
      <c r="I29" s="92">
        <v>19</v>
      </c>
      <c r="J29" s="92">
        <f>_xlfn.XLOOKUP(_xlfn.XLOOKUP($AS$6&amp;$B29,公表[班別+時段],公表[救護2],""),$AX$9:$AX$25,$AY$9:$AY$25,"")</f>
        <v>16</v>
      </c>
      <c r="K29" s="87"/>
      <c r="L29" s="87" t="s">
        <v>212</v>
      </c>
      <c r="M29" s="312"/>
      <c r="N29" s="87">
        <f>_xlfn.XLOOKUP(_xlfn.XLOOKUP($AS$6&amp;$B29,公表[班別+時段],公表[備勤1],""),$AX$9:$AX$25,$AY$9:$AY$25,"")</f>
        <v>18</v>
      </c>
      <c r="O29" s="87">
        <v>28</v>
      </c>
      <c r="P29" s="87"/>
      <c r="Q29" s="87">
        <f>_xlfn.XLOOKUP(_xlfn.XLOOKUP($AS$6&amp;$B29,公表[班別+時段],公表[備勤3],""),$AX$9:$AX$25,$AY$9:$AY$25,"")</f>
        <v>15</v>
      </c>
      <c r="R29" s="87">
        <f>_xlfn.XLOOKUP(_xlfn.XLOOKUP($AS$6&amp;$B29,公表[班別+時段],公表[備勤4],""),$AX$9:$AX$25,$AY$9:$AY$25,"")</f>
        <v>23</v>
      </c>
      <c r="S29" s="87"/>
      <c r="T29" s="87">
        <f>_xlfn.XLOOKUP(_xlfn.XLOOKUP($AS$6&amp;$B29,公表[班別+時段],公表[備勤5],""),$AX$9:$AX$25,$AY$9:$AY$25,"")</f>
        <v>4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87"/>
      <c r="AC29" s="87"/>
      <c r="AD29" s="87"/>
      <c r="AE29" s="88">
        <f>_xlfn.XLOOKUP(_xlfn.XLOOKUP($AS$6&amp;$B29,公表[班別+時段],公表[指揮官],""),$AX$9:$AX$25,$AY$9:$AY$25,"")</f>
        <v>3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27">
        <v>21</v>
      </c>
      <c r="AP29" s="127" t="str">
        <v>張家和</v>
      </c>
      <c r="AQ29" s="127" t="str" cm="1">
        <f t="array" ref="AQ29">IFERROR(_xlfn.XLOOKUP(_xlfn.XLOOKUP($AQ$3,輪休基準表!$C$6:$C$36,_xlfn.XLOOKUP(AP29,輪休基準表!$E$5:$AF$5,輪休基準表!$E$6:$AF$36,""),""),班別參數!$A$4:$A$20,班別參數!$B$4:$B$20,""),"")</f>
        <v>輪休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/>
      </c>
      <c r="AT29" s="180" t="str">
        <f t="shared" si="0"/>
        <v/>
      </c>
      <c r="AU29" s="180" t="str">
        <f t="shared" si="1"/>
        <v/>
      </c>
      <c r="AV29" s="10"/>
      <c r="AW29" s="47"/>
      <c r="AX29" s="45"/>
      <c r="AY29" s="25"/>
      <c r="AZ29" s="28"/>
      <c r="BA29" s="33"/>
      <c r="BB29" s="25"/>
      <c r="BD29" s="127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6</v>
      </c>
      <c r="D30" s="95"/>
      <c r="E30" s="95"/>
      <c r="F30" s="95"/>
      <c r="G30" s="122" t="str">
        <f>IF(BC19="","",BC19)</f>
        <v/>
      </c>
      <c r="H30" s="37"/>
      <c r="I30" s="92">
        <f>_xlfn.XLOOKUP(_xlfn.XLOOKUP($AS$6&amp;$B30,公表[班別+時段],公表[救護1],""),$AX$9:$AX$25,$AY$9:$AY$25,"")</f>
        <v>18</v>
      </c>
      <c r="J30" s="92">
        <v>28</v>
      </c>
      <c r="K30" s="87"/>
      <c r="L30" s="87" t="s">
        <v>212</v>
      </c>
      <c r="M30" s="312"/>
      <c r="N30" s="87">
        <v>19</v>
      </c>
      <c r="O30" s="87">
        <f>_xlfn.XLOOKUP(_xlfn.XLOOKUP($AS$6&amp;$B30,公表[班別+時段],公表[備勤2],""),$AX$9:$AX$25,$AY$9:$AY$25,"")</f>
        <v>23</v>
      </c>
      <c r="P30" s="87"/>
      <c r="Q30" s="87">
        <f>_xlfn.XLOOKUP(_xlfn.XLOOKUP($AS$6&amp;$B30,公表[班別+時段],公表[備勤3],""),$AX$9:$AX$25,$AY$9:$AY$25,"")</f>
        <v>16</v>
      </c>
      <c r="R30" s="87">
        <f>_xlfn.XLOOKUP(_xlfn.XLOOKUP($AS$6&amp;$B30,公表[班別+時段],公表[備勤4],""),$AX$9:$AX$25,$AY$9:$AY$25,"")</f>
        <v>15</v>
      </c>
      <c r="S30" s="87"/>
      <c r="T30" s="87">
        <f>_xlfn.XLOOKUP(_xlfn.XLOOKUP($AS$6&amp;$B30,公表[班別+時段],公表[備勤5],""),$AX$9:$AX$25,$AY$9:$AY$25,"")</f>
        <v>4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87"/>
      <c r="AC30" s="87"/>
      <c r="AD30" s="87"/>
      <c r="AE30" s="88">
        <f>_xlfn.XLOOKUP(_xlfn.XLOOKUP($AS$6&amp;$B30,公表[班別+時段],公表[指揮官],""),$AX$9:$AX$25,$AY$9:$AY$25,"")</f>
        <v>3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27">
        <v>22</v>
      </c>
      <c r="AP30" s="127" t="str">
        <v>陳俊瑋</v>
      </c>
      <c r="AQ30" s="127" t="str" cm="1">
        <f t="array" ref="AQ30">IFERROR(_xlfn.XLOOKUP(_xlfn.XLOOKUP($AQ$3,輪休基準表!$C$6:$C$36,_xlfn.XLOOKUP(AP30,輪休基準表!$E$5:$AF$5,輪休基準表!$E$6:$AF$36,""),""),班別參數!$A$4:$A$20,班別參數!$B$4:$B$20,""),"")</f>
        <v>公假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27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6</v>
      </c>
      <c r="D31" s="106"/>
      <c r="E31" s="96"/>
      <c r="F31" s="96"/>
      <c r="G31" s="123" t="str">
        <f>IF(BC19="","",BC19)</f>
        <v/>
      </c>
      <c r="H31" s="109"/>
      <c r="I31" s="216">
        <f>_xlfn.XLOOKUP(_xlfn.XLOOKUP($AS$6&amp;$B31,公表[班別+時段],公表[救護1],""),$AX$9:$AX$25,$AY$9:$AY$25,"")</f>
        <v>18</v>
      </c>
      <c r="J31" s="216">
        <v>28</v>
      </c>
      <c r="K31" s="108"/>
      <c r="L31" s="93" t="s">
        <v>212</v>
      </c>
      <c r="M31" s="312"/>
      <c r="N31" s="89">
        <v>19</v>
      </c>
      <c r="O31" s="89">
        <f>_xlfn.XLOOKUP(_xlfn.XLOOKUP($AS$6&amp;$B31,公表[班別+時段],公表[備勤2],""),$AX$9:$AX$25,$AY$9:$AY$25,"")</f>
        <v>23</v>
      </c>
      <c r="P31" s="89"/>
      <c r="Q31" s="89">
        <f>_xlfn.XLOOKUP(_xlfn.XLOOKUP($AS$6&amp;$B31,公表[班別+時段],公表[備勤3],""),$AX$9:$AX$25,$AY$9:$AY$25,"")</f>
        <v>16</v>
      </c>
      <c r="R31" s="89">
        <f>_xlfn.XLOOKUP(_xlfn.XLOOKUP($AS$6&amp;$B31,公表[班別+時段],公表[備勤4],""),$AX$9:$AX$25,$AY$9:$AY$25,"")</f>
        <v>15</v>
      </c>
      <c r="S31" s="89"/>
      <c r="T31" s="89">
        <f>_xlfn.XLOOKUP(_xlfn.XLOOKUP($AS$6&amp;$B31,公表[班別+時段],公表[備勤5],""),$AX$9:$AX$25,$AY$9:$AY$25,"")</f>
        <v>4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89"/>
      <c r="AC31" s="89"/>
      <c r="AD31" s="89"/>
      <c r="AE31" s="104">
        <f>_xlfn.XLOOKUP(_xlfn.XLOOKUP($AS$6&amp;$B31,公表[班別+時段],公表[指揮官],""),$AX$9:$AX$25,$AY$9:$AY$25,"")</f>
        <v>3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27">
        <v>23</v>
      </c>
      <c r="AP31" s="127" t="str">
        <v>陳俊翰</v>
      </c>
      <c r="AQ31" s="127" t="str" cm="1">
        <f t="array" ref="AQ31">IFERROR(_xlfn.XLOOKUP(_xlfn.XLOOKUP($AQ$3,輪休基準表!$C$6:$C$36,_xlfn.XLOOKUP(AP31,輪休基準表!$E$5:$AF$5,輪休基準表!$E$6:$AF$36,""),""),班別參數!$A$4:$A$20,班別參數!$B$4:$B$20,""),"")</f>
        <v>上班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>已排</v>
      </c>
      <c r="AT31" s="180">
        <f t="shared" si="0"/>
        <v>8</v>
      </c>
      <c r="AU31" s="180">
        <f t="shared" si="1"/>
        <v>8</v>
      </c>
      <c r="AW31" s="47"/>
      <c r="AX31" s="45"/>
      <c r="AY31" s="25"/>
      <c r="AZ31" s="28"/>
      <c r="BA31" s="33"/>
      <c r="BB31" s="25"/>
      <c r="BD31" s="127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6</v>
      </c>
      <c r="D32" s="97"/>
      <c r="E32" s="97"/>
      <c r="F32" s="97"/>
      <c r="G32" s="121">
        <v>15</v>
      </c>
      <c r="H32" s="56"/>
      <c r="I32" s="94">
        <f>_xlfn.XLOOKUP(_xlfn.XLOOKUP($AS$6&amp;$B32,公表[班別+時段],公表[救護1],""),$AX$9:$AX$25,$AY$9:$AY$25,"")</f>
        <v>18</v>
      </c>
      <c r="J32" s="94">
        <v>28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23</v>
      </c>
      <c r="O32" s="90">
        <f>_xlfn.XLOOKUP(_xlfn.XLOOKUP($AS$6&amp;$B32,公表[班別+時段],公表[備勤2],""),$AX$9:$AX$25,$AY$9:$AY$25,"")</f>
        <v>16</v>
      </c>
      <c r="P32" s="90"/>
      <c r="Q32" s="90">
        <v>19</v>
      </c>
      <c r="R32" s="90">
        <f>_xlfn.XLOOKUP(_xlfn.XLOOKUP($AS$6&amp;$B32,公表[班別+時段],公表[備勤4],""),$AX$9:$AX$25,$AY$9:$AY$25,"")</f>
        <v>0</v>
      </c>
      <c r="S32" s="90"/>
      <c r="T32" s="90">
        <v>4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90"/>
      <c r="AC32" s="90"/>
      <c r="AD32" s="90"/>
      <c r="AE32" s="91">
        <f>_xlfn.XLOOKUP(_xlfn.XLOOKUP($AS$6&amp;$B32,公表[班別+時段],公表[指揮官],""),$AX$9:$AX$25,$AY$9:$AY$25,"")</f>
        <v>3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27">
        <v>24</v>
      </c>
      <c r="AP32" s="127" t="str">
        <v>賴俊豪</v>
      </c>
      <c r="AQ32" s="127" t="str" cm="1">
        <f t="array" ref="AQ32">IFERROR(_xlfn.XLOOKUP(_xlfn.XLOOKUP($AQ$3,輪休基準表!$C$6:$C$36,_xlfn.XLOOKUP(AP32,輪休基準表!$E$5:$AF$5,輪休基準表!$E$6:$AF$36,""),""),班別參數!$A$4:$A$20,班別參數!$B$4:$B$20,""),"")</f>
        <v>補休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/>
      </c>
      <c r="AT32" s="180" t="str">
        <f t="shared" si="0"/>
        <v/>
      </c>
      <c r="AU32" s="180" t="str">
        <f t="shared" si="1"/>
        <v/>
      </c>
      <c r="AW32" s="47"/>
      <c r="AX32" s="45"/>
      <c r="AY32" s="25"/>
      <c r="AZ32" s="28"/>
      <c r="BA32" s="33"/>
      <c r="BB32" s="25"/>
      <c r="BD32" s="127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6</v>
      </c>
      <c r="D33" s="95"/>
      <c r="E33" s="95">
        <v>19</v>
      </c>
      <c r="F33" s="95"/>
      <c r="G33" s="122">
        <v>15</v>
      </c>
      <c r="H33" s="48"/>
      <c r="I33" s="92">
        <f>_xlfn.XLOOKUP(_xlfn.XLOOKUP($AS$6&amp;$B33,公表[班別+時段],公表[救護1],""),$AX$9:$AX$25,$AY$9:$AY$25,"")</f>
        <v>18</v>
      </c>
      <c r="J33" s="92">
        <v>28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23</v>
      </c>
      <c r="O33" s="87">
        <f>_xlfn.XLOOKUP(_xlfn.XLOOKUP($AS$6&amp;$B33,公表[班別+時段],公表[備勤2],""),$AX$9:$AX$25,$AY$9:$AY$25,"")</f>
        <v>16</v>
      </c>
      <c r="P33" s="87"/>
      <c r="Q33" s="87"/>
      <c r="R33" s="87">
        <f>_xlfn.XLOOKUP(_xlfn.XLOOKUP($AS$6&amp;$B33,公表[班別+時段],公表[備勤4],""),$AX$9:$AX$25,$AY$9:$AY$25,"")</f>
        <v>0</v>
      </c>
      <c r="S33" s="87"/>
      <c r="T33" s="87">
        <v>4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87"/>
      <c r="AC33" s="87"/>
      <c r="AD33" s="87"/>
      <c r="AE33" s="88">
        <f>_xlfn.XLOOKUP(_xlfn.XLOOKUP($AS$6&amp;$B33,公表[班別+時段],公表[指揮官],""),$AX$9:$AX$25,$AY$9:$AY$25,"")</f>
        <v>3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27">
        <v>25</v>
      </c>
      <c r="AP33" s="127" t="str">
        <v>郭國偵</v>
      </c>
      <c r="AQ33" s="127" t="str" cm="1">
        <f t="array" ref="AQ33">IFERROR(_xlfn.XLOOKUP(_xlfn.XLOOKUP($AQ$3,輪休基準表!$C$6:$C$36,_xlfn.XLOOKUP(AP33,輪休基準表!$E$5:$AF$5,輪休基準表!$E$6:$AF$36,""),""),班別參數!$A$4:$A$20,班別參數!$B$4:$B$20,""),"")</f>
        <v>輪休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/>
      </c>
      <c r="AT33" s="180" t="str">
        <f t="shared" si="0"/>
        <v/>
      </c>
      <c r="AU33" s="180" t="str">
        <f t="shared" si="1"/>
        <v/>
      </c>
      <c r="AW33" s="47"/>
      <c r="AX33" s="45"/>
      <c r="AY33" s="25"/>
      <c r="AZ33" s="28"/>
      <c r="BA33" s="25"/>
      <c r="BB33" s="25"/>
      <c r="BD33" s="127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一、本日主管輪休，職務由小隊長孫子翔代理。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27">
        <v>26</v>
      </c>
      <c r="AP34" s="127" t="str">
        <v>楊紹文</v>
      </c>
      <c r="AQ34" s="127" t="str" cm="1">
        <f t="array" ref="AQ34">IFERROR(_xlfn.XLOOKUP(_xlfn.XLOOKUP($AQ$3,輪休基準表!$C$6:$C$36,_xlfn.XLOOKUP(AP34,輪休基準表!$E$5:$AF$5,輪休基準表!$E$6:$AF$36,""),""),班別參數!$A$4:$A$20,班別參數!$B$4:$B$20,""),"")</f>
        <v>補休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/>
      </c>
      <c r="AT34" s="180" t="str">
        <f t="shared" si="0"/>
        <v/>
      </c>
      <c r="AU34" s="180" t="str">
        <f t="shared" si="1"/>
        <v/>
      </c>
      <c r="AW34" s="47"/>
      <c r="AX34" s="45"/>
      <c r="AY34" s="25"/>
      <c r="AZ34" s="28"/>
      <c r="BA34" s="25"/>
      <c r="BB34" s="25"/>
      <c r="BD34" s="127"/>
    </row>
    <row r="35" spans="2:56" ht="30" customHeight="1">
      <c r="B35" s="349"/>
      <c r="C35" s="359" t="str">
        <f>CONCATENATE("二、在隊訓練:09-12時:",H11,";14-17時:",H16,";19-21時:",H21,"。")</f>
        <v>二、在隊訓練:09-12時:河川抽水及水源運用;14-17時:SCBA訓練;19-21時:火災特性。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27">
        <v>27</v>
      </c>
      <c r="AP35" s="127" t="str">
        <v>林宏為</v>
      </c>
      <c r="AQ35" s="127" t="str" cm="1">
        <f t="array" ref="AQ35">IFERROR(_xlfn.XLOOKUP(_xlfn.XLOOKUP($AQ$3,輪休基準表!$C$6:$C$36,_xlfn.XLOOKUP(AP35,輪休基準表!$E$5:$AF$5,輪休基準表!$E$6:$AF$36,""),""),班別參數!$A$4:$A$20,班別參數!$B$4:$B$20,""),"")</f>
        <v>輪休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/>
      </c>
      <c r="AT35" s="180" t="str">
        <f t="shared" si="0"/>
        <v/>
      </c>
      <c r="AU35" s="180" t="str">
        <f t="shared" si="1"/>
        <v/>
      </c>
      <c r="AW35" s="47"/>
      <c r="AX35" s="45"/>
      <c r="AY35" s="25"/>
      <c r="AZ35" s="28"/>
      <c r="BA35" s="25"/>
      <c r="BB35" s="25"/>
      <c r="BD35" s="127"/>
    </row>
    <row r="36" spans="2:56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27">
        <v>28</v>
      </c>
      <c r="AP36" s="127" t="str">
        <v>林宸彥</v>
      </c>
      <c r="AQ36" s="127" t="str" cm="1">
        <f t="array" ref="AQ36">IFERROR(_xlfn.XLOOKUP(_xlfn.XLOOKUP($AQ$3,輪休基準表!$C$6:$C$36,_xlfn.XLOOKUP(AP36,輪休基準表!$E$5:$AF$5,輪休基準表!$E$6:$AF$36,""),""),班別參數!$A$4:$A$20,班別參數!$B$4:$B$20,""),"")</f>
        <v>上班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>已排</v>
      </c>
      <c r="AT36" s="180">
        <f t="shared" si="0"/>
        <v>6</v>
      </c>
      <c r="AU36" s="180">
        <f t="shared" si="1"/>
        <v>8</v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27"/>
      <c r="AP37" s="127"/>
      <c r="AQ37" s="127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27"/>
      <c r="BD37" s="10"/>
    </row>
    <row r="38" spans="2:56" ht="15" customHeight="1">
      <c r="AQ38" s="127"/>
      <c r="AR38" s="118"/>
      <c r="AS38" s="119"/>
      <c r="AT38" s="119"/>
    </row>
    <row r="39" spans="2:56" ht="15" customHeight="1">
      <c r="AR39" s="118"/>
      <c r="AS39" s="119"/>
      <c r="AT39" s="119"/>
    </row>
    <row r="40" spans="2:56" ht="15" customHeight="1">
      <c r="AR40" s="118"/>
      <c r="AS40" s="119"/>
      <c r="AT40" s="119"/>
    </row>
  </sheetData>
  <mergeCells count="72">
    <mergeCell ref="AG22:AK22"/>
    <mergeCell ref="AG23:AM23"/>
    <mergeCell ref="AG24:AI24"/>
    <mergeCell ref="AK24:AM24"/>
    <mergeCell ref="AF33:AG33"/>
    <mergeCell ref="AH33:AI33"/>
    <mergeCell ref="AJ33:AK33"/>
    <mergeCell ref="AF31:AG31"/>
    <mergeCell ref="AH31:AI31"/>
    <mergeCell ref="AJ31:AK31"/>
    <mergeCell ref="AF32:AG32"/>
    <mergeCell ref="AH32:AI32"/>
    <mergeCell ref="AJ32:AK32"/>
    <mergeCell ref="AF27:AF28"/>
    <mergeCell ref="AG27:AM27"/>
    <mergeCell ref="AG28:AM28"/>
    <mergeCell ref="B34:B36"/>
    <mergeCell ref="C34:AE34"/>
    <mergeCell ref="AF34:AM34"/>
    <mergeCell ref="C35:AE35"/>
    <mergeCell ref="AF35:AM35"/>
    <mergeCell ref="C36:AE36"/>
    <mergeCell ref="AF36:AM36"/>
    <mergeCell ref="AF29:AM29"/>
    <mergeCell ref="AF30:AG30"/>
    <mergeCell ref="AH30:AI30"/>
    <mergeCell ref="AJ30:AK30"/>
    <mergeCell ref="AG25:AI25"/>
    <mergeCell ref="AK25:AM25"/>
    <mergeCell ref="C8:AE8"/>
    <mergeCell ref="C9:AE9"/>
    <mergeCell ref="M10:M33"/>
    <mergeCell ref="H11:H13"/>
    <mergeCell ref="H16:H18"/>
    <mergeCell ref="H21:H22"/>
    <mergeCell ref="D11:D12"/>
    <mergeCell ref="I6:J6"/>
    <mergeCell ref="K6:L6"/>
    <mergeCell ref="N6:P6"/>
    <mergeCell ref="Q6:S6"/>
    <mergeCell ref="T6:V6"/>
    <mergeCell ref="AF5:AM6"/>
    <mergeCell ref="AO5:AO6"/>
    <mergeCell ref="T7:V7"/>
    <mergeCell ref="AR5:AR6"/>
    <mergeCell ref="AS5:AT5"/>
    <mergeCell ref="W6:Y6"/>
    <mergeCell ref="AE6:AE7"/>
    <mergeCell ref="AS6:AT6"/>
    <mergeCell ref="AP5:AQ6"/>
    <mergeCell ref="G5:G7"/>
    <mergeCell ref="B3:AM3"/>
    <mergeCell ref="AW3:AX3"/>
    <mergeCell ref="AY3:BB3"/>
    <mergeCell ref="B4:AI4"/>
    <mergeCell ref="AJ4:AM4"/>
    <mergeCell ref="AW4:AX4"/>
    <mergeCell ref="AY4:BB4"/>
    <mergeCell ref="B5:B7"/>
    <mergeCell ref="C5:C7"/>
    <mergeCell ref="D5:D7"/>
    <mergeCell ref="E5:E7"/>
    <mergeCell ref="F5:F7"/>
    <mergeCell ref="H5:H7"/>
    <mergeCell ref="I5:L5"/>
    <mergeCell ref="M5:AE5"/>
    <mergeCell ref="AY2:BB2"/>
    <mergeCell ref="B1:AE1"/>
    <mergeCell ref="AP1:AQ1"/>
    <mergeCell ref="B2:AE2"/>
    <mergeCell ref="AG2:AM2"/>
    <mergeCell ref="AW2:AX2"/>
  </mergeCells>
  <phoneticPr fontId="9" type="noConversion"/>
  <conditionalFormatting sqref="AO9:AQ36 AO37:AP37 AQ37:AQ38">
    <cfRule type="expression" dxfId="81" priority="16">
      <formula>COUNTIF($AQ9,"上班")&gt;=1</formula>
    </cfRule>
  </conditionalFormatting>
  <conditionalFormatting sqref="AF8:AF13 AH8:AH21 AJ8:AJ21 AL8:AM21">
    <cfRule type="expression" dxfId="80" priority="11">
      <formula>OR(VLOOKUP(AF8,$AO$9:$AQ$40,3,0)="上班",VLOOKUP(AF8,$AO$9:$AQ$40,3,0)="外宿")</formula>
    </cfRule>
  </conditionalFormatting>
  <conditionalFormatting sqref="AL8">
    <cfRule type="expression" dxfId="79" priority="10">
      <formula>OR(VLOOKUP(AL8,$AO$9:$AQ$36,3,0)="上班",VLOOKUP(AL8,$AO$9:$AQ$36,3,0)="外宿")</formula>
    </cfRule>
  </conditionalFormatting>
  <conditionalFormatting sqref="AR9:AR36">
    <cfRule type="notContainsText" dxfId="78" priority="2" operator="notContains" text="已排">
      <formula>ISERROR(SEARCH("已排",AR9))</formula>
    </cfRule>
  </conditionalFormatting>
  <conditionalFormatting sqref="AS9:AS36">
    <cfRule type="notContainsText" dxfId="77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5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05FDA-F5D9-4819-AD12-EE55733749C5}">
  <sheetPr codeName="工作表23">
    <pageSetUpPr fitToPage="1"/>
  </sheetPr>
  <dimension ref="B1:BD40"/>
  <sheetViews>
    <sheetView showZeros="0" view="pageBreakPreview" zoomScale="55" zoomScaleNormal="55" zoomScaleSheetLayoutView="55" workbookViewId="0">
      <selection activeCell="Q17" sqref="Q17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6" width="5.375" style="126" customWidth="1"/>
    <col min="7" max="8" width="8.625" style="126" customWidth="1"/>
    <col min="9" max="12" width="5.375" style="126" customWidth="1"/>
    <col min="13" max="13" width="6.625" style="126" customWidth="1"/>
    <col min="14" max="31" width="5.375" style="126" customWidth="1"/>
    <col min="32" max="32" width="7.625" style="126" customWidth="1"/>
    <col min="33" max="33" width="10.625" style="126" customWidth="1"/>
    <col min="34" max="34" width="7.625" style="126" customWidth="1"/>
    <col min="35" max="35" width="10.625" style="126" customWidth="1"/>
    <col min="36" max="36" width="7.625" style="126" customWidth="1"/>
    <col min="37" max="37" width="10.625" style="126" customWidth="1"/>
    <col min="38" max="38" width="7.625" style="126" customWidth="1"/>
    <col min="39" max="39" width="10.625" style="126" customWidth="1"/>
    <col min="40" max="40" width="4.125" style="213" customWidth="1"/>
    <col min="41" max="47" width="11.625" style="126" customWidth="1"/>
    <col min="48" max="48" width="4.125" style="126" customWidth="1"/>
    <col min="49" max="49" width="16" style="126" customWidth="1"/>
    <col min="50" max="51" width="8.25" style="126" customWidth="1"/>
    <col min="52" max="52" width="4.125" style="126" customWidth="1"/>
    <col min="53" max="53" width="16" style="126" customWidth="1"/>
    <col min="54" max="54" width="8.25" style="126" customWidth="1"/>
    <col min="55" max="55" width="10.875" style="126" customWidth="1"/>
    <col min="56" max="58" width="4.125" style="126" customWidth="1"/>
    <col min="59" max="16384" width="11.25" style="126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27"/>
      <c r="AP1" s="399"/>
      <c r="AQ1" s="399"/>
      <c r="AR1" s="127"/>
      <c r="AS1" s="127"/>
      <c r="AT1" s="127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3" t="s">
        <v>178</v>
      </c>
      <c r="AR2" s="146" t="s">
        <v>228</v>
      </c>
      <c r="AS2" s="142"/>
      <c r="AT2" s="140"/>
      <c r="AU2" s="127"/>
      <c r="AV2" s="127"/>
      <c r="AW2" s="362" t="s">
        <v>127</v>
      </c>
      <c r="AX2" s="287"/>
      <c r="AY2" s="367" t="str">
        <f>_xlfn.XLOOKUP($AR$3,訓練!$L$13:$L$19,訓練!$M$13:$M$19,"")</f>
        <v>通風排煙訓練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115年5月19日星期二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19</v>
      </c>
      <c r="AR3" s="141" t="str">
        <f>RIGHT(TEXT(1911+$AO$3&amp;"/"&amp;$AP$3&amp;"/"&amp;$AQ$3,"aaaa"),1)</f>
        <v>二</v>
      </c>
      <c r="AS3" s="145"/>
      <c r="AT3" s="145"/>
      <c r="AU3" s="127"/>
      <c r="AV3" s="127"/>
      <c r="AW3" s="362" t="s">
        <v>128</v>
      </c>
      <c r="AX3" s="287"/>
      <c r="AY3" s="368" t="str">
        <f>_xlfn.XLOOKUP($AR$3,訓練!$L$13:$L$19,訓練!$N$13:$N$19,"")</f>
        <v>人命救助訓練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27"/>
      <c r="AU4" s="127"/>
      <c r="AV4" s="127"/>
      <c r="AW4" s="362" t="s">
        <v>129</v>
      </c>
      <c r="AX4" s="287"/>
      <c r="AY4" s="363" t="str">
        <f>_xlfn.XLOOKUP($AR$3,訓練!$L$13:$L$19,訓練!$O$13:$O$19,"")</f>
        <v>火場控制及殘火處理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2" t="s">
        <v>408</v>
      </c>
      <c r="E5" s="340"/>
      <c r="F5" s="340"/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341"/>
      <c r="E6" s="341"/>
      <c r="F6" s="341"/>
      <c r="G6" s="312"/>
      <c r="H6" s="312"/>
      <c r="I6" s="334" t="s">
        <v>227</v>
      </c>
      <c r="J6" s="335"/>
      <c r="K6" s="334" t="s">
        <v>192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2+7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341"/>
      <c r="E7" s="341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346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27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27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27" cm="1">
        <f t="array" ref="AO9:AP36">TRANSPOSE(輪休基準表!E4:AF5)</f>
        <v>1</v>
      </c>
      <c r="AP9" s="127" t="str">
        <v>鄧力嘉</v>
      </c>
      <c r="AQ9" s="127" t="str" cm="1">
        <f t="array" ref="AQ9">IFERROR(_xlfn.XLOOKUP(_xlfn.XLOOKUP($AQ$3,輪休基準表!$C$6:$C$36,_xlfn.XLOOKUP(AP9,輪休基準表!$E$5:$AF$5,輪休基準表!$E$6:$AF$36,""),""),班別參數!$A$4:$A$20,班別參數!$B$4:$B$20,""),"")</f>
        <v>上班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>已排</v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 t="array" ref="AX9">IFERROR(INDEX(班別參數!$D$4:$S$20,MATCH(AW9,班別參數!$D$4:$D$20,0),MATCH($AS$6,班別參數!$D$4:$S$4,0)),"")</f>
        <v>A</v>
      </c>
      <c r="AY9" s="35"/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H,K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1</v>
      </c>
      <c r="BD9" s="127"/>
    </row>
    <row r="10" spans="2:56" ht="30" customHeight="1">
      <c r="B10" s="81" t="s">
        <v>70</v>
      </c>
      <c r="C10" s="87">
        <f>_xlfn.XLOOKUP(_xlfn.XLOOKUP($AS$6&amp;$B10,公表[班別+時段],公表[值班],""),$AX$9:$AX$25,$AY$9:$AY$25,"")</f>
        <v>0</v>
      </c>
      <c r="D10" s="95"/>
      <c r="E10" s="95"/>
      <c r="F10" s="95"/>
      <c r="G10" s="122" t="str">
        <f>IF(BC9="","",BC9)</f>
        <v>1</v>
      </c>
      <c r="H10" s="37"/>
      <c r="I10" s="92">
        <f>_xlfn.XLOOKUP(_xlfn.XLOOKUP($AS$6&amp;$B10,公表[班別+時段],公表[救護1],""),$AX$9:$AX$25,$AY$9:$AY$25,"")</f>
        <v>0</v>
      </c>
      <c r="J10" s="92">
        <f>_xlfn.XLOOKUP(_xlfn.XLOOKUP($AS$6&amp;$B10,公表[班別+時段],公表[救護2],""),$AX$9:$AX$25,$AY$9:$AY$25,"")</f>
        <v>0</v>
      </c>
      <c r="K10" s="87"/>
      <c r="L10" s="87" t="s">
        <v>212</v>
      </c>
      <c r="M10" s="311"/>
      <c r="N10" s="87">
        <f>_xlfn.XLOOKUP(_xlfn.XLOOKUP($AS$6&amp;$B10,公表[班別+時段],公表[備勤1],""),$AX$9:$AX$25,$AY$9:$AY$25,"")</f>
        <v>0</v>
      </c>
      <c r="O10" s="87">
        <f>_xlfn.XLOOKUP(_xlfn.XLOOKUP($AS$6&amp;$B10,公表[班別+時段],公表[備勤2],""),$AX$9:$AX$25,$AY$9:$AY$25,"")</f>
        <v>0</v>
      </c>
      <c r="P10" s="87"/>
      <c r="Q10" s="87">
        <f>_xlfn.XLOOKUP(_xlfn.XLOOKUP($AS$6&amp;$B10,公表[班別+時段],公表[備勤3],""),$AX$9:$AX$25,$AY$9:$AY$25,"")</f>
        <v>0</v>
      </c>
      <c r="R10" s="87">
        <f>_xlfn.XLOOKUP(_xlfn.XLOOKUP($AS$6&amp;$B10,公表[班別+時段],公表[備勤4],""),$AX$9:$AX$25,$AY$9:$AY$25,"")</f>
        <v>0</v>
      </c>
      <c r="S10" s="87"/>
      <c r="T10" s="87">
        <f>_xlfn.XLOOKUP(_xlfn.XLOOKUP($AS$6&amp;$B10,公表[班別+時段],公表[備勤5],""),$AX$9:$AX$25,$AY$9:$AY$25,"")</f>
        <v>0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87"/>
      <c r="AB10" s="87"/>
      <c r="AC10" s="87"/>
      <c r="AD10" s="87"/>
      <c r="AE10" s="88">
        <f>_xlfn.XLOOKUP(_xlfn.XLOOKUP($AS$6&amp;$B10,公表[班別+時段],公表[指揮官],""),$AX$9:$AX$25,$AY$9:$AY$25,"")</f>
        <v>2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27">
        <v>2</v>
      </c>
      <c r="AP10" s="127" t="str">
        <v>莊勝斌</v>
      </c>
      <c r="AQ10" s="127" t="str" cm="1">
        <f t="array" ref="AQ10">IFERROR(_xlfn.XLOOKUP(_xlfn.XLOOKUP($AQ$3,輪休基準表!$C$6:$C$36,_xlfn.XLOOKUP(AP10,輪休基準表!$E$5:$AF$5,輪休基準表!$E$6:$AF$36,""),""),班別參數!$A$4:$A$20,班別參數!$B$4:$B$20,""),"")</f>
        <v>上班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>已排</v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/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/>
      </c>
      <c r="BD10" s="127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0</v>
      </c>
      <c r="D11" s="95"/>
      <c r="E11" s="95"/>
      <c r="F11" s="95"/>
      <c r="G11" s="122" t="str">
        <f>IF(BC9="","",BC9)</f>
        <v>1</v>
      </c>
      <c r="H11" s="296" t="str">
        <f>AY2</f>
        <v>通風排煙訓練</v>
      </c>
      <c r="I11" s="92">
        <f>_xlfn.XLOOKUP(_xlfn.XLOOKUP($AS$6&amp;$B11,公表[班別+時段],公表[救護1],""),$AX$9:$AX$25,$AY$9:$AY$25,"")</f>
        <v>0</v>
      </c>
      <c r="J11" s="92">
        <f>_xlfn.XLOOKUP(_xlfn.XLOOKUP($AS$6&amp;$B11,公表[班別+時段],公表[救護2],""),$AX$9:$AX$25,$AY$9:$AY$25,"")</f>
        <v>0</v>
      </c>
      <c r="K11" s="87"/>
      <c r="L11" s="87" t="s">
        <v>212</v>
      </c>
      <c r="M11" s="312"/>
      <c r="N11" s="87">
        <f>_xlfn.XLOOKUP(_xlfn.XLOOKUP($AS$6&amp;$B11,公表[班別+時段],公表[備勤1],""),$AX$9:$AX$25,$AY$9:$AY$25,"")</f>
        <v>0</v>
      </c>
      <c r="O11" s="87">
        <f>_xlfn.XLOOKUP(_xlfn.XLOOKUP($AS$6&amp;$B11,公表[班別+時段],公表[備勤2],""),$AX$9:$AX$25,$AY$9:$AY$25,"")</f>
        <v>0</v>
      </c>
      <c r="P11" s="87"/>
      <c r="Q11" s="87">
        <f>_xlfn.XLOOKUP(_xlfn.XLOOKUP($AS$6&amp;$B11,公表[班別+時段],公表[備勤3],""),$AX$9:$AX$25,$AY$9:$AY$25,"")</f>
        <v>0</v>
      </c>
      <c r="R11" s="87">
        <f>_xlfn.XLOOKUP(_xlfn.XLOOKUP($AS$6&amp;$B11,公表[班別+時段],公表[備勤4],""),$AX$9:$AX$25,$AY$9:$AY$25,"")</f>
        <v>0</v>
      </c>
      <c r="S11" s="87"/>
      <c r="T11" s="87">
        <f>_xlfn.XLOOKUP(_xlfn.XLOOKUP($AS$6&amp;$B11,公表[班別+時段],公表[備勤5],""),$AX$9:$AX$25,$AY$9:$AY$25,"")</f>
        <v>0</v>
      </c>
      <c r="U11" s="87">
        <f>_xlfn.XLOOKUP(_xlfn.XLOOKUP($AS$6&amp;$B11,公表[班別+時段],公表[備勤6],""),$AX$9:$AX$25,$AY$9:$AY$25,"")</f>
        <v>0</v>
      </c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87"/>
      <c r="AB11" s="87"/>
      <c r="AC11" s="87"/>
      <c r="AD11" s="87"/>
      <c r="AE11" s="88">
        <f>_xlfn.XLOOKUP(_xlfn.XLOOKUP($AS$6&amp;$B11,公表[班別+時段],公表[指揮官],""),$AX$9:$AX$25,$AY$9:$AY$25,"")</f>
        <v>2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27">
        <v>3</v>
      </c>
      <c r="AP11" s="127" t="str">
        <v>孫子翔</v>
      </c>
      <c r="AQ11" s="127" t="str" cm="1">
        <f t="array" ref="AQ11">IFERROR(_xlfn.XLOOKUP(_xlfn.XLOOKUP($AQ$3,輪休基準表!$C$6:$C$36,_xlfn.XLOOKUP(AP11,輪休基準表!$E$5:$AF$5,輪休基準表!$E$6:$AF$36,""),""),班別參數!$A$4:$A$20,班別參數!$B$4:$B$20,""),"")</f>
        <v>輪休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/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/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F</v>
      </c>
      <c r="BC11" s="39" t="str">
        <f t="shared" si="2"/>
        <v/>
      </c>
      <c r="BD11" s="127"/>
    </row>
    <row r="12" spans="2:56" ht="30" customHeight="1">
      <c r="B12" s="81" t="s">
        <v>75</v>
      </c>
      <c r="C12" s="87">
        <f>_xlfn.XLOOKUP(_xlfn.XLOOKUP($AS$6&amp;$B12,公表[班別+時段],公表[值班],""),$AX$9:$AX$25,$AY$9:$AY$25,"")</f>
        <v>0</v>
      </c>
      <c r="D12" s="95"/>
      <c r="E12" s="95"/>
      <c r="F12" s="95"/>
      <c r="G12" s="122" t="str">
        <f>IF(BC10="","",BC10)</f>
        <v/>
      </c>
      <c r="H12" s="314"/>
      <c r="I12" s="92">
        <f>_xlfn.XLOOKUP(_xlfn.XLOOKUP($AS$6&amp;$B12,公表[班別+時段],公表[救護1],""),$AX$9:$AX$25,$AY$9:$AY$25,"")</f>
        <v>0</v>
      </c>
      <c r="J12" s="92">
        <f>_xlfn.XLOOKUP(_xlfn.XLOOKUP($AS$6&amp;$B12,公表[班別+時段],公表[救護2],""),$AX$9:$AX$25,$AY$9:$AY$25,"")</f>
        <v>0</v>
      </c>
      <c r="K12" s="92"/>
      <c r="L12" s="87" t="s">
        <v>212</v>
      </c>
      <c r="M12" s="312"/>
      <c r="N12" s="87">
        <f>_xlfn.XLOOKUP(_xlfn.XLOOKUP($AS$6&amp;$B12,公表[班別+時段],公表[備勤1],""),$AX$9:$AX$25,$AY$9:$AY$25,"")</f>
        <v>0</v>
      </c>
      <c r="O12" s="87">
        <f>_xlfn.XLOOKUP(_xlfn.XLOOKUP($AS$6&amp;$B12,公表[班別+時段],公表[備勤2],""),$AX$9:$AX$25,$AY$9:$AY$25,"")</f>
        <v>0</v>
      </c>
      <c r="P12" s="87"/>
      <c r="Q12" s="87">
        <f>_xlfn.XLOOKUP(_xlfn.XLOOKUP($AS$6&amp;$B12,公表[班別+時段],公表[備勤3],""),$AX$9:$AX$25,$AY$9:$AY$25,"")</f>
        <v>0</v>
      </c>
      <c r="R12" s="87">
        <f>_xlfn.XLOOKUP(_xlfn.XLOOKUP($AS$6&amp;$B12,公表[班別+時段],公表[備勤4],""),$AX$9:$AX$25,$AY$9:$AY$25,"")</f>
        <v>0</v>
      </c>
      <c r="S12" s="87"/>
      <c r="T12" s="87">
        <f>_xlfn.XLOOKUP(_xlfn.XLOOKUP($AS$6&amp;$B12,公表[班別+時段],公表[備勤5],""),$AX$9:$AX$25,$AY$9:$AY$25,"")</f>
        <v>2</v>
      </c>
      <c r="U12" s="87">
        <f>_xlfn.XLOOKUP(_xlfn.XLOOKUP($AS$6&amp;$B12,公表[班別+時段],公表[備勤6],""),$AX$9:$AX$25,$AY$9:$AY$25,"")</f>
        <v>0</v>
      </c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87"/>
      <c r="AC12" s="87"/>
      <c r="AD12" s="87"/>
      <c r="AE12" s="88">
        <f>_xlfn.XLOOKUP(_xlfn.XLOOKUP($AS$6&amp;$B12,公表[班別+時段],公表[指揮官],""),$AX$9:$AX$25,$AY$9:$AY$25,"")</f>
        <v>1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27">
        <v>4</v>
      </c>
      <c r="AP12" s="127" t="str">
        <v>簡永豐</v>
      </c>
      <c r="AQ12" s="127" t="str" cm="1">
        <f t="array" ref="AQ12">IFERROR(_xlfn.XLOOKUP(_xlfn.XLOOKUP($AQ$3,輪休基準表!$C$6:$C$36,_xlfn.XLOOKUP(AP12,輪休基準表!$E$5:$AF$5,輪休基準表!$E$6:$AF$36,""),""),班別參數!$A$4:$A$20,班別參數!$B$4:$B$20,""),"")</f>
        <v>輪休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/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/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27"/>
    </row>
    <row r="13" spans="2:56" ht="30" customHeight="1" thickBot="1">
      <c r="B13" s="82" t="s">
        <v>76</v>
      </c>
      <c r="C13" s="89">
        <f>_xlfn.XLOOKUP(_xlfn.XLOOKUP($AS$6&amp;$B13,公表[班別+時段],公表[值班],""),$AX$9:$AX$25,$AY$9:$AY$25,"")</f>
        <v>0</v>
      </c>
      <c r="D13" s="233"/>
      <c r="E13" s="96"/>
      <c r="F13" s="96"/>
      <c r="G13" s="123" t="str">
        <f>IF(BC10="","",BC10)</f>
        <v/>
      </c>
      <c r="H13" s="315"/>
      <c r="I13" s="216">
        <f>_xlfn.XLOOKUP(_xlfn.XLOOKUP($AS$6&amp;$B13,公表[班別+時段],公表[救護1],""),$AX$9:$AX$25,$AY$9:$AY$25,"")</f>
        <v>0</v>
      </c>
      <c r="J13" s="216">
        <f>_xlfn.XLOOKUP(_xlfn.XLOOKUP($AS$6&amp;$B13,公表[班別+時段],公表[救護2],""),$AX$9:$AX$25,$AY$9:$AY$25,"")</f>
        <v>0</v>
      </c>
      <c r="K13" s="105"/>
      <c r="L13" s="93" t="s">
        <v>212</v>
      </c>
      <c r="M13" s="312"/>
      <c r="N13" s="89">
        <f>_xlfn.XLOOKUP(_xlfn.XLOOKUP($AS$6&amp;$B13,公表[班別+時段],公表[備勤1],""),$AX$9:$AX$25,$AY$9:$AY$25,"")</f>
        <v>0</v>
      </c>
      <c r="O13" s="89">
        <f>_xlfn.XLOOKUP(_xlfn.XLOOKUP($AS$6&amp;$B13,公表[班別+時段],公表[備勤2],""),$AX$9:$AX$25,$AY$9:$AY$25,"")</f>
        <v>0</v>
      </c>
      <c r="P13" s="89"/>
      <c r="Q13" s="89">
        <f>_xlfn.XLOOKUP(_xlfn.XLOOKUP($AS$6&amp;$B13,公表[班別+時段],公表[備勤3],""),$AX$9:$AX$25,$AY$9:$AY$25,"")</f>
        <v>0</v>
      </c>
      <c r="R13" s="89">
        <f>_xlfn.XLOOKUP(_xlfn.XLOOKUP($AS$6&amp;$B13,公表[班別+時段],公表[備勤4],""),$AX$9:$AX$25,$AY$9:$AY$25,"")</f>
        <v>0</v>
      </c>
      <c r="S13" s="89"/>
      <c r="T13" s="89">
        <f>_xlfn.XLOOKUP(_xlfn.XLOOKUP($AS$6&amp;$B13,公表[班別+時段],公表[備勤5],""),$AX$9:$AX$25,$AY$9:$AY$25,"")</f>
        <v>2</v>
      </c>
      <c r="U13" s="89">
        <f>_xlfn.XLOOKUP(_xlfn.XLOOKUP($AS$6&amp;$B13,公表[班別+時段],公表[備勤6],""),$AX$9:$AX$25,$AY$9:$AY$25,"")</f>
        <v>0</v>
      </c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89"/>
      <c r="AC13" s="89"/>
      <c r="AD13" s="89"/>
      <c r="AE13" s="104">
        <f>_xlfn.XLOOKUP(_xlfn.XLOOKUP($AS$6&amp;$B13,公表[班別+時段],公表[指揮官],""),$AX$9:$AX$25,$AY$9:$AY$25,"")</f>
        <v>1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27">
        <v>5</v>
      </c>
      <c r="AP13" s="127" t="str">
        <v>張鴻志</v>
      </c>
      <c r="AQ13" s="127" t="str" cm="1">
        <f t="array" ref="AQ13">IFERROR(_xlfn.XLOOKUP(_xlfn.XLOOKUP($AQ$3,輪休基準表!$C$6:$C$36,_xlfn.XLOOKUP(AP13,輪休基準表!$E$5:$AF$5,輪休基準表!$E$6:$AF$36,""),""),班別參數!$A$4:$A$20,班別參數!$B$4:$B$20,""),"")</f>
        <v>月補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/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/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/>
      </c>
      <c r="BD13" s="127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0</v>
      </c>
      <c r="D14" s="234"/>
      <c r="E14" s="97"/>
      <c r="F14" s="97"/>
      <c r="G14" s="121" t="str">
        <f>IF(BC11="","",BC11)</f>
        <v/>
      </c>
      <c r="H14" s="55"/>
      <c r="I14" s="94">
        <f>_xlfn.XLOOKUP(_xlfn.XLOOKUP($AS$6&amp;$B14,公表[班別+時段],公表[救護1],""),$AX$9:$AX$25,$AY$9:$AY$25,"")</f>
        <v>0</v>
      </c>
      <c r="J14" s="94">
        <f>_xlfn.XLOOKUP(_xlfn.XLOOKUP($AS$6&amp;$B14,公表[班別+時段],公表[救護2],""),$AX$9:$AX$25,$AY$9:$AY$25,"")</f>
        <v>0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0</v>
      </c>
      <c r="O14" s="90">
        <f>_xlfn.XLOOKUP(_xlfn.XLOOKUP($AS$6&amp;$B14,公表[班別+時段],公表[備勤2],""),$AX$9:$AX$25,$AY$9:$AY$25,"")</f>
        <v>0</v>
      </c>
      <c r="P14" s="90"/>
      <c r="Q14" s="90">
        <f>_xlfn.XLOOKUP(_xlfn.XLOOKUP($AS$6&amp;$B14,公表[班別+時段],公表[備勤3],""),$AX$9:$AX$25,$AY$9:$AY$25,"")</f>
        <v>0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2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90"/>
      <c r="AC14" s="90"/>
      <c r="AD14" s="90"/>
      <c r="AE14" s="91">
        <f>_xlfn.XLOOKUP(_xlfn.XLOOKUP($AS$6&amp;$B14,公表[班別+時段],公表[指揮官],""),$AX$9:$AX$25,$AY$9:$AY$25,"")</f>
        <v>1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27">
        <v>6</v>
      </c>
      <c r="AP14" s="127" t="str">
        <v>吳宗耕</v>
      </c>
      <c r="AQ14" s="127" t="str" cm="1">
        <f t="array" ref="AQ14">IFERROR(_xlfn.XLOOKUP(_xlfn.XLOOKUP($AQ$3,輪休基準表!$C$6:$C$36,_xlfn.XLOOKUP(AP14,輪休基準表!$E$5:$AF$5,輪休基準表!$E$6:$AF$36,""),""),班別參數!$A$4:$A$20,班別參數!$B$4:$B$20,""),"")</f>
        <v>上班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>未排</v>
      </c>
      <c r="AT14" s="180" t="str">
        <f t="shared" si="0"/>
        <v/>
      </c>
      <c r="AU14" s="180" t="str">
        <f t="shared" si="1"/>
        <v/>
      </c>
      <c r="AV14" s="25"/>
      <c r="AW14" s="33" t="str">
        <f t="array" ref="AW14">INDEX(班別參數!$D$4:$D$20,ROW()-7,MATCH($AW$8,班別參數!$D$4:$D$20,0))</f>
        <v>18-20</v>
      </c>
      <c r="AX14" s="34">
        <f t="array" ref="AX14">IFERROR(INDEX(班別參數!$D$4:$S$20,MATCH(AW14,班別參數!$D$4:$D$20,0),MATCH($AS$6,班別參數!$D$4:$S$4,0)),"")</f>
        <v>0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</v>
      </c>
      <c r="BC14" s="39" t="str">
        <f t="shared" si="2"/>
        <v/>
      </c>
      <c r="BD14" s="127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0</v>
      </c>
      <c r="D15" s="235"/>
      <c r="E15" s="106"/>
      <c r="F15" s="96"/>
      <c r="G15" s="123" t="str">
        <f>IF(BC11="","",BC11)</f>
        <v/>
      </c>
      <c r="H15" s="40"/>
      <c r="I15" s="216">
        <f>_xlfn.XLOOKUP(_xlfn.XLOOKUP($AS$6&amp;$B15,公表[班別+時段],公表[救護1],""),$AX$9:$AX$25,$AY$9:$AY$25,"")</f>
        <v>0</v>
      </c>
      <c r="J15" s="216">
        <f>_xlfn.XLOOKUP(_xlfn.XLOOKUP($AS$6&amp;$B15,公表[班別+時段],公表[救護2],""),$AX$9:$AX$25,$AY$9:$AY$25,"")</f>
        <v>0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0</v>
      </c>
      <c r="O15" s="89">
        <f>_xlfn.XLOOKUP(_xlfn.XLOOKUP($AS$6&amp;$B15,公表[班別+時段],公表[備勤2],""),$AX$9:$AX$25,$AY$9:$AY$25,"")</f>
        <v>0</v>
      </c>
      <c r="P15" s="89"/>
      <c r="Q15" s="89">
        <f>_xlfn.XLOOKUP(_xlfn.XLOOKUP($AS$6&amp;$B15,公表[班別+時段],公表[備勤3],""),$AX$9:$AX$25,$AY$9:$AY$25,"")</f>
        <v>0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2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89"/>
      <c r="AC15" s="89"/>
      <c r="AD15" s="89"/>
      <c r="AE15" s="104">
        <f>_xlfn.XLOOKUP(_xlfn.XLOOKUP($AS$6&amp;$B15,公表[班別+時段],公表[指揮官],""),$AX$9:$AX$25,$AY$9:$AY$25,"")</f>
        <v>1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27">
        <v>7</v>
      </c>
      <c r="AP15" s="127" t="str">
        <v>包華先</v>
      </c>
      <c r="AQ15" s="127" t="str" cm="1">
        <f t="array" ref="AQ15">IFERROR(_xlfn.XLOOKUP(_xlfn.XLOOKUP($AQ$3,輪休基準表!$C$6:$C$36,_xlfn.XLOOKUP(AP15,輪休基準表!$E$5:$AF$5,輪休基準表!$E$6:$AF$36,""),""),班別參數!$A$4:$A$20,班別參數!$B$4:$B$20,""),"")</f>
        <v>上班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>未排</v>
      </c>
      <c r="AT15" s="180" t="str">
        <f t="shared" si="0"/>
        <v/>
      </c>
      <c r="AU15" s="180" t="str">
        <f t="shared" si="1"/>
        <v/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/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/>
      </c>
      <c r="BD15" s="127"/>
    </row>
    <row r="16" spans="2:56" ht="30" customHeight="1">
      <c r="B16" s="83" t="s">
        <v>79</v>
      </c>
      <c r="C16" s="90">
        <f>_xlfn.XLOOKUP(_xlfn.XLOOKUP($AS$6&amp;$B16,公表[班別+時段],公表[值班],""),$AX$9:$AX$25,$AY$9:$AY$25,"")</f>
        <v>0</v>
      </c>
      <c r="D16" s="98"/>
      <c r="E16" s="99"/>
      <c r="F16" s="98"/>
      <c r="G16" s="121" t="str">
        <f>IF(BC12="","",BC12)</f>
        <v/>
      </c>
      <c r="H16" s="316" t="str">
        <f>AY3</f>
        <v>人命救助訓練</v>
      </c>
      <c r="I16" s="94">
        <f>_xlfn.XLOOKUP(_xlfn.XLOOKUP($AS$6&amp;$B16,公表[班別+時段],公表[救護1],""),$AX$9:$AX$25,$AY$9:$AY$25,"")</f>
        <v>0</v>
      </c>
      <c r="J16" s="94">
        <f>_xlfn.XLOOKUP(_xlfn.XLOOKUP($AS$6&amp;$B16,公表[班別+時段],公表[救護2],""),$AX$9:$AX$25,$AY$9:$AY$25,"")</f>
        <v>0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0</v>
      </c>
      <c r="O16" s="90">
        <f>_xlfn.XLOOKUP(_xlfn.XLOOKUP($AS$6&amp;$B16,公表[班別+時段],公表[備勤2],""),$AX$9:$AX$25,$AY$9:$AY$25,"")</f>
        <v>0</v>
      </c>
      <c r="P16" s="90"/>
      <c r="Q16" s="90">
        <f>_xlfn.XLOOKUP(_xlfn.XLOOKUP($AS$6&amp;$B16,公表[班別+時段],公表[備勤3],""),$AX$9:$AX$25,$AY$9:$AY$25,"")</f>
        <v>0</v>
      </c>
      <c r="R16" s="90">
        <f>_xlfn.XLOOKUP(_xlfn.XLOOKUP($AS$6&amp;$B16,公表[班別+時段],公表[備勤4],""),$AX$9:$AX$25,$AY$9:$AY$25,"")</f>
        <v>0</v>
      </c>
      <c r="S16" s="90"/>
      <c r="T16" s="90">
        <f>_xlfn.XLOOKUP(_xlfn.XLOOKUP($AS$6&amp;$B16,公表[班別+時段],公表[備勤5],""),$AX$9:$AX$25,$AY$9:$AY$25,"")</f>
        <v>2</v>
      </c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90"/>
      <c r="AC16" s="90"/>
      <c r="AD16" s="90"/>
      <c r="AE16" s="91">
        <f>_xlfn.XLOOKUP(_xlfn.XLOOKUP($AS$6&amp;$B16,公表[班別+時段],公表[指揮官],""),$AX$9:$AX$25,$AY$9:$AY$25,"")</f>
        <v>1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27">
        <v>8</v>
      </c>
      <c r="AP16" s="127" t="str">
        <v>曾彥綸</v>
      </c>
      <c r="AQ16" s="127" t="str" cm="1">
        <f t="array" ref="AQ16">IFERROR(_xlfn.XLOOKUP(_xlfn.XLOOKUP($AQ$3,輪休基準表!$C$6:$C$36,_xlfn.XLOOKUP(AP16,輪休基準表!$E$5:$AF$5,輪休基準表!$E$6:$AF$36,""),""),班別參數!$A$4:$A$20,班別參數!$B$4:$B$20,""),"")</f>
        <v>上班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>未排</v>
      </c>
      <c r="AT16" s="180" t="str">
        <f t="shared" si="0"/>
        <v/>
      </c>
      <c r="AU16" s="180" t="str">
        <f t="shared" si="1"/>
        <v/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/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27"/>
    </row>
    <row r="17" spans="2:56" ht="30" customHeight="1">
      <c r="B17" s="81" t="s">
        <v>80</v>
      </c>
      <c r="C17" s="87">
        <f>_xlfn.XLOOKUP(_xlfn.XLOOKUP($AS$6&amp;$B17,公表[班別+時段],公表[值班],""),$AX$9:$AX$25,$AY$9:$AY$25,"")</f>
        <v>0</v>
      </c>
      <c r="D17" s="95"/>
      <c r="E17" s="95"/>
      <c r="F17" s="100"/>
      <c r="G17" s="122" t="str">
        <f>IF(BC12="","",BC12)</f>
        <v/>
      </c>
      <c r="H17" s="314"/>
      <c r="I17" s="92">
        <f>_xlfn.XLOOKUP(_xlfn.XLOOKUP($AS$6&amp;$B17,公表[班別+時段],公表[救護1],""),$AX$9:$AX$25,$AY$9:$AY$25,"")</f>
        <v>0</v>
      </c>
      <c r="J17" s="92">
        <f>_xlfn.XLOOKUP(_xlfn.XLOOKUP($AS$6&amp;$B17,公表[班別+時段],公表[救護2],""),$AX$9:$AX$25,$AY$9:$AY$25,"")</f>
        <v>0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0</v>
      </c>
      <c r="O17" s="87">
        <f>_xlfn.XLOOKUP(_xlfn.XLOOKUP($AS$6&amp;$B17,公表[班別+時段],公表[備勤2],""),$AX$9:$AX$25,$AY$9:$AY$25,"")</f>
        <v>0</v>
      </c>
      <c r="P17" s="87"/>
      <c r="Q17" s="87">
        <f>_xlfn.XLOOKUP(_xlfn.XLOOKUP($AS$6&amp;$B17,公表[班別+時段],公表[備勤3],""),$AX$9:$AX$25,$AY$9:$AY$25,"")</f>
        <v>0</v>
      </c>
      <c r="R17" s="87">
        <f>_xlfn.XLOOKUP(_xlfn.XLOOKUP($AS$6&amp;$B17,公表[班別+時段],公表[備勤4],""),$AX$9:$AX$25,$AY$9:$AY$25,"")</f>
        <v>0</v>
      </c>
      <c r="S17" s="87"/>
      <c r="T17" s="87">
        <f>_xlfn.XLOOKUP(_xlfn.XLOOKUP($AS$6&amp;$B17,公表[班別+時段],公表[備勤5],""),$AX$9:$AX$25,$AY$9:$AY$25,"")</f>
        <v>2</v>
      </c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87"/>
      <c r="AC17" s="87"/>
      <c r="AD17" s="87"/>
      <c r="AE17" s="88">
        <f>_xlfn.XLOOKUP(_xlfn.XLOOKUP($AS$6&amp;$B17,公表[班別+時段],公表[指揮官],""),$AX$9:$AX$25,$AY$9:$AY$25,"")</f>
        <v>1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27">
        <v>9</v>
      </c>
      <c r="AP17" s="127" t="str">
        <v>鍾佳諭</v>
      </c>
      <c r="AQ17" s="127" t="str" cm="1">
        <f t="array" ref="AQ17">IFERROR(_xlfn.XLOOKUP(_xlfn.XLOOKUP($AQ$3,輪休基準表!$C$6:$C$36,_xlfn.XLOOKUP(AP17,輪休基準表!$E$5:$AF$5,輪休基準表!$E$6:$AF$36,""),""),班別參數!$A$4:$A$20,班別參數!$B$4:$B$20,""),"")</f>
        <v>上班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>未排</v>
      </c>
      <c r="AT17" s="180" t="str">
        <f t="shared" si="0"/>
        <v/>
      </c>
      <c r="AU17" s="180" t="str">
        <f t="shared" si="1"/>
        <v/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27"/>
    </row>
    <row r="18" spans="2:56" ht="30" customHeight="1">
      <c r="B18" s="81" t="s">
        <v>81</v>
      </c>
      <c r="C18" s="87">
        <f>_xlfn.XLOOKUP(_xlfn.XLOOKUP($AS$6&amp;$B18,公表[班別+時段],公表[值班],""),$AX$9:$AX$25,$AY$9:$AY$25,"")</f>
        <v>0</v>
      </c>
      <c r="D18" s="100"/>
      <c r="E18" s="95"/>
      <c r="F18" s="100"/>
      <c r="G18" s="122" t="str">
        <f>IF(BC13="","",BC13)</f>
        <v/>
      </c>
      <c r="H18" s="297"/>
      <c r="I18" s="92">
        <f>_xlfn.XLOOKUP(_xlfn.XLOOKUP($AS$6&amp;$B18,公表[班別+時段],公表[救護1],""),$AX$9:$AX$25,$AY$9:$AY$25,"")</f>
        <v>0</v>
      </c>
      <c r="J18" s="92">
        <f>_xlfn.XLOOKUP(_xlfn.XLOOKUP($AS$6&amp;$B18,公表[班別+時段],公表[救護2],""),$AX$9:$AX$25,$AY$9:$AY$25,"")</f>
        <v>0</v>
      </c>
      <c r="K18" s="92"/>
      <c r="L18" s="87" t="s">
        <v>212</v>
      </c>
      <c r="M18" s="312"/>
      <c r="N18" s="87">
        <f>_xlfn.XLOOKUP(_xlfn.XLOOKUP($AS$6&amp;$B18,公表[班別+時段],公表[備勤1],""),$AX$9:$AX$25,$AY$9:$AY$25,"")</f>
        <v>0</v>
      </c>
      <c r="O18" s="87">
        <f>_xlfn.XLOOKUP(_xlfn.XLOOKUP($AS$6&amp;$B18,公表[班別+時段],公表[備勤2],""),$AX$9:$AX$25,$AY$9:$AY$25,"")</f>
        <v>0</v>
      </c>
      <c r="P18" s="87"/>
      <c r="Q18" s="87">
        <f>_xlfn.XLOOKUP(_xlfn.XLOOKUP($AS$6&amp;$B18,公表[班別+時段],公表[備勤3],""),$AX$9:$AX$25,$AY$9:$AY$25,"")</f>
        <v>0</v>
      </c>
      <c r="R18" s="87">
        <f>_xlfn.XLOOKUP(_xlfn.XLOOKUP($AS$6&amp;$B18,公表[班別+時段],公表[備勤4],""),$AX$9:$AX$25,$AY$9:$AY$25,"")</f>
        <v>0</v>
      </c>
      <c r="S18" s="87"/>
      <c r="T18" s="87">
        <f>_xlfn.XLOOKUP(_xlfn.XLOOKUP($AS$6&amp;$B18,公表[班別+時段],公表[備勤5],""),$AX$9:$AX$25,$AY$9:$AY$25,"")</f>
        <v>2</v>
      </c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87"/>
      <c r="AC18" s="87"/>
      <c r="AD18" s="87"/>
      <c r="AE18" s="88">
        <f>_xlfn.XLOOKUP(_xlfn.XLOOKUP($AS$6&amp;$B18,公表[班別+時段],公表[指揮官],""),$AX$9:$AX$25,$AY$9:$AY$25,"")</f>
        <v>1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27">
        <v>10</v>
      </c>
      <c r="AP18" s="127" t="str">
        <v>林宏澤</v>
      </c>
      <c r="AQ18" s="127" t="str" cm="1">
        <f t="array" ref="AQ18">IFERROR(_xlfn.XLOOKUP(_xlfn.XLOOKUP($AQ$3,輪休基準表!$C$6:$C$36,_xlfn.XLOOKUP(AP18,輪休基準表!$E$5:$AF$5,輪休基準表!$E$6:$AF$36,""),""),班別參數!$A$4:$A$20,班別參數!$B$4:$B$20,""),"")</f>
        <v>上班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>未排</v>
      </c>
      <c r="AT18" s="180" t="str">
        <f t="shared" si="0"/>
        <v/>
      </c>
      <c r="AU18" s="180" t="str">
        <f t="shared" si="1"/>
        <v/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27"/>
    </row>
    <row r="19" spans="2:56" ht="30" customHeight="1" thickBot="1">
      <c r="B19" s="110" t="s">
        <v>82</v>
      </c>
      <c r="C19" s="89">
        <f>_xlfn.XLOOKUP(_xlfn.XLOOKUP($AS$6&amp;$B19,公表[班別+時段],公表[值班],""),$AX$9:$AX$25,$AY$9:$AY$25,"")</f>
        <v>0</v>
      </c>
      <c r="D19" s="106"/>
      <c r="E19" s="96"/>
      <c r="F19" s="236"/>
      <c r="G19" s="123" t="str">
        <f>IF(BC13="","",BC13)</f>
        <v/>
      </c>
      <c r="H19" s="107"/>
      <c r="I19" s="216">
        <f>_xlfn.XLOOKUP(_xlfn.XLOOKUP($AS$6&amp;$B19,公表[班別+時段],公表[救護1],""),$AX$9:$AX$25,$AY$9:$AY$25,"")</f>
        <v>0</v>
      </c>
      <c r="J19" s="216">
        <f>_xlfn.XLOOKUP(_xlfn.XLOOKUP($AS$6&amp;$B19,公表[班別+時段],公表[救護2],""),$AX$9:$AX$25,$AY$9:$AY$25,"")</f>
        <v>0</v>
      </c>
      <c r="K19" s="105"/>
      <c r="L19" s="93" t="s">
        <v>212</v>
      </c>
      <c r="M19" s="312"/>
      <c r="N19" s="89">
        <f>_xlfn.XLOOKUP(_xlfn.XLOOKUP($AS$6&amp;$B19,公表[班別+時段],公表[備勤1],""),$AX$9:$AX$25,$AY$9:$AY$25,"")</f>
        <v>0</v>
      </c>
      <c r="O19" s="89">
        <f>_xlfn.XLOOKUP(_xlfn.XLOOKUP($AS$6&amp;$B19,公表[班別+時段],公表[備勤2],""),$AX$9:$AX$25,$AY$9:$AY$25,"")</f>
        <v>0</v>
      </c>
      <c r="P19" s="89"/>
      <c r="Q19" s="89">
        <f>_xlfn.XLOOKUP(_xlfn.XLOOKUP($AS$6&amp;$B19,公表[班別+時段],公表[備勤3],""),$AX$9:$AX$25,$AY$9:$AY$25,"")</f>
        <v>0</v>
      </c>
      <c r="R19" s="89">
        <f>_xlfn.XLOOKUP(_xlfn.XLOOKUP($AS$6&amp;$B19,公表[班別+時段],公表[備勤4],""),$AX$9:$AX$25,$AY$9:$AY$25,"")</f>
        <v>0</v>
      </c>
      <c r="S19" s="89"/>
      <c r="T19" s="89">
        <f>_xlfn.XLOOKUP(_xlfn.XLOOKUP($AS$6&amp;$B19,公表[班別+時段],公表[備勤5],""),$AX$9:$AX$25,$AY$9:$AY$25,"")</f>
        <v>2</v>
      </c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89"/>
      <c r="AC19" s="89"/>
      <c r="AD19" s="89"/>
      <c r="AE19" s="104">
        <f>_xlfn.XLOOKUP(_xlfn.XLOOKUP($AS$6&amp;$B19,公表[班別+時段],公表[指揮官],""),$AX$9:$AX$25,$AY$9:$AY$25,"")</f>
        <v>1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27">
        <v>11</v>
      </c>
      <c r="AP19" s="127" t="str">
        <v>簡君諺</v>
      </c>
      <c r="AQ19" s="127" t="str" cm="1">
        <f t="array" ref="AQ19">IFERROR(_xlfn.XLOOKUP(_xlfn.XLOOKUP($AQ$3,輪休基準表!$C$6:$C$36,_xlfn.XLOOKUP(AP19,輪休基準表!$E$5:$AF$5,輪休基準表!$E$6:$AF$36,""),""),班別參數!$A$4:$A$20,班別參數!$B$4:$B$20,""),"")</f>
        <v>請休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/>
      </c>
      <c r="AT19" s="180" t="str">
        <f t="shared" si="0"/>
        <v/>
      </c>
      <c r="AU19" s="180" t="str">
        <f t="shared" si="1"/>
        <v/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:AY20">IF(AX19="","",_xlfn._xlws.FILTER($AO$9:$AO$13,$AQ$9:$AQ$13="上班",""))</f>
        <v>1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27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2</v>
      </c>
      <c r="D20" s="97"/>
      <c r="E20" s="97"/>
      <c r="F20" s="97"/>
      <c r="G20" s="121" t="str">
        <f>IF(BC14="","",BC14)</f>
        <v/>
      </c>
      <c r="H20" s="55"/>
      <c r="I20" s="94">
        <f>_xlfn.XLOOKUP(_xlfn.XLOOKUP($AS$6&amp;$B20,公表[班別+時段],公表[救護1],""),$AX$9:$AX$25,$AY$9:$AY$25,"")</f>
        <v>0</v>
      </c>
      <c r="J20" s="94">
        <f>_xlfn.XLOOKUP(_xlfn.XLOOKUP($AS$6&amp;$B20,公表[班別+時段],公表[救護2],""),$AX$9:$AX$25,$AY$9:$AY$25,"")</f>
        <v>0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0</v>
      </c>
      <c r="O20" s="90">
        <f>_xlfn.XLOOKUP(_xlfn.XLOOKUP($AS$6&amp;$B20,公表[班別+時段],公表[備勤2],""),$AX$9:$AX$25,$AY$9:$AY$25,"")</f>
        <v>0</v>
      </c>
      <c r="P20" s="90"/>
      <c r="Q20" s="90">
        <f>_xlfn.XLOOKUP(_xlfn.XLOOKUP($AS$6&amp;$B20,公表[班別+時段],公表[備勤3],""),$AX$9:$AX$25,$AY$9:$AY$25,"")</f>
        <v>0</v>
      </c>
      <c r="R20" s="90">
        <f>_xlfn.XLOOKUP(_xlfn.XLOOKUP($AS$6&amp;$B20,公表[班別+時段],公表[備勤4],""),$AX$9:$AX$25,$AY$9:$AY$25,"")</f>
        <v>0</v>
      </c>
      <c r="S20" s="90"/>
      <c r="T20" s="90">
        <f>_xlfn.XLOOKUP(_xlfn.XLOOKUP($AS$6&amp;$B20,公表[班別+時段],公表[備勤5],""),$AX$9:$AX$25,$AY$9:$AY$25,"")</f>
        <v>0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90"/>
      <c r="AC20" s="90"/>
      <c r="AD20" s="90"/>
      <c r="AE20" s="91">
        <f>_xlfn.XLOOKUP(_xlfn.XLOOKUP($AS$6&amp;$B20,公表[班別+時段],公表[指揮官],""),$AX$9:$AX$25,$AY$9:$AY$25,"")</f>
        <v>1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27">
        <v>12</v>
      </c>
      <c r="AP20" s="127" t="str">
        <v>王昱勛</v>
      </c>
      <c r="AQ20" s="127" t="str" cm="1">
        <f t="array" ref="AQ20">IFERROR(_xlfn.XLOOKUP(_xlfn.XLOOKUP($AQ$3,輪休基準表!$C$6:$C$36,_xlfn.XLOOKUP(AP20,輪休基準表!$E$5:$AF$5,輪休基準表!$E$6:$AF$36,""),""),班別參數!$A$4:$A$20,班別參數!$B$4:$B$20,""),"")</f>
        <v>上班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>未排</v>
      </c>
      <c r="AT20" s="180" t="str">
        <f t="shared" si="0"/>
        <v/>
      </c>
      <c r="AU20" s="180" t="str">
        <f t="shared" si="1"/>
        <v/>
      </c>
      <c r="AV20" s="25"/>
      <c r="AW20" s="33" t="str">
        <f t="array" ref="AW20">INDEX(班別參數!$D$4:$D$20,ROW()-7,MATCH($AW$8,班別參數!$D$4:$D$20,0))</f>
        <v>帶隊官</v>
      </c>
      <c r="AX20" s="34" t="str">
        <f t="array" ref="AX20">IFERROR(INDEX(班別參數!$D$4:$S$20,MATCH(AW20,班別參數!$D$4:$D$20,0),MATCH($AS$6,班別參數!$D$4:$S$4,0)),"")</f>
        <v>L</v>
      </c>
      <c r="AY20" s="38">
        <v>2</v>
      </c>
      <c r="AZ20" s="32"/>
      <c r="BA20" s="33" t="s">
        <v>67</v>
      </c>
      <c r="BB20" s="34" t="str">
        <f t="array" ref="BB20">IFERROR(INDEX(班別參數!$D$23:$S$35,MATCH(BA20,班別參數!$D$23:$D$35,0),MATCH($AS$6,班別參數!$D$23:$S$23,0)),"")</f>
        <v>G,L</v>
      </c>
      <c r="BC20" s="41" t="str">
        <f t="shared" si="2"/>
        <v>2</v>
      </c>
      <c r="BD20" s="127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2</v>
      </c>
      <c r="D21" s="95"/>
      <c r="E21" s="95"/>
      <c r="F21" s="95"/>
      <c r="G21" s="122" t="str">
        <f>IF(BC14="","",BC14)</f>
        <v/>
      </c>
      <c r="H21" s="296" t="str">
        <f>AY4</f>
        <v>火場控制及殘火處理</v>
      </c>
      <c r="I21" s="92">
        <f>_xlfn.XLOOKUP(_xlfn.XLOOKUP($AS$6&amp;$B21,公表[班別+時段],公表[救護1],""),$AX$9:$AX$25,$AY$9:$AY$25,"")</f>
        <v>0</v>
      </c>
      <c r="J21" s="92">
        <f>_xlfn.XLOOKUP(_xlfn.XLOOKUP($AS$6&amp;$B21,公表[班別+時段],公表[救護2],""),$AX$9:$AX$25,$AY$9:$AY$25,"")</f>
        <v>0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0</v>
      </c>
      <c r="O21" s="87">
        <f>_xlfn.XLOOKUP(_xlfn.XLOOKUP($AS$6&amp;$B21,公表[班別+時段],公表[備勤2],""),$AX$9:$AX$25,$AY$9:$AY$25,"")</f>
        <v>0</v>
      </c>
      <c r="P21" s="87"/>
      <c r="Q21" s="87">
        <f>_xlfn.XLOOKUP(_xlfn.XLOOKUP($AS$6&amp;$B21,公表[班別+時段],公表[備勤3],""),$AX$9:$AX$25,$AY$9:$AY$25,"")</f>
        <v>0</v>
      </c>
      <c r="R21" s="87">
        <f>_xlfn.XLOOKUP(_xlfn.XLOOKUP($AS$6&amp;$B21,公表[班別+時段],公表[備勤4],""),$AX$9:$AX$25,$AY$9:$AY$25,"")</f>
        <v>0</v>
      </c>
      <c r="S21" s="87"/>
      <c r="T21" s="87">
        <f>_xlfn.XLOOKUP(_xlfn.XLOOKUP($AS$6&amp;$B21,公表[班別+時段],公表[備勤5],""),$AX$9:$AX$25,$AY$9:$AY$25,"")</f>
        <v>0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87"/>
      <c r="AC21" s="87"/>
      <c r="AD21" s="87"/>
      <c r="AE21" s="88">
        <f>_xlfn.XLOOKUP(_xlfn.XLOOKUP($AS$6&amp;$B21,公表[班別+時段],公表[指揮官],""),$AX$9:$AX$25,$AY$9:$AY$25,"")</f>
        <v>1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27">
        <v>13</v>
      </c>
      <c r="AP21" s="127" t="str">
        <v>葉宗哲</v>
      </c>
      <c r="AQ21" s="127" t="str" cm="1">
        <f t="array" ref="AQ21">IFERROR(_xlfn.XLOOKUP(_xlfn.XLOOKUP($AQ$3,輪休基準表!$C$6:$C$36,_xlfn.XLOOKUP(AP21,輪休基準表!$E$5:$AF$5,輪休基準表!$E$6:$AF$36,""),""),班別參數!$A$4:$A$20,班別參數!$B$4:$B$20,""),"")</f>
        <v>請休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/>
      </c>
      <c r="AT21" s="180" t="str">
        <f t="shared" si="0"/>
        <v/>
      </c>
      <c r="AU21" s="180" t="str">
        <f t="shared" si="1"/>
        <v/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27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0</v>
      </c>
      <c r="D22" s="95"/>
      <c r="E22" s="95"/>
      <c r="F22" s="95"/>
      <c r="G22" s="122" t="str">
        <f>IF(BC15="","",BC15)</f>
        <v/>
      </c>
      <c r="H22" s="297"/>
      <c r="I22" s="92">
        <f>_xlfn.XLOOKUP(_xlfn.XLOOKUP($AS$6&amp;$B22,公表[班別+時段],公表[救護1],""),$AX$9:$AX$25,$AY$9:$AY$25,"")</f>
        <v>0</v>
      </c>
      <c r="J22" s="92">
        <f>_xlfn.XLOOKUP(_xlfn.XLOOKUP($AS$6&amp;$B22,公表[班別+時段],公表[救護2],""),$AX$9:$AX$25,$AY$9:$AY$25,"")</f>
        <v>0</v>
      </c>
      <c r="K22" s="92"/>
      <c r="L22" s="87" t="s">
        <v>212</v>
      </c>
      <c r="M22" s="312"/>
      <c r="N22" s="87">
        <f>_xlfn.XLOOKUP(_xlfn.XLOOKUP($AS$6&amp;$B22,公表[班別+時段],公表[備勤1],""),$AX$9:$AX$25,$AY$9:$AY$25,"")</f>
        <v>0</v>
      </c>
      <c r="O22" s="87">
        <f>_xlfn.XLOOKUP(_xlfn.XLOOKUP($AS$6&amp;$B22,公表[班別+時段],公表[備勤2],""),$AX$9:$AX$25,$AY$9:$AY$25,"")</f>
        <v>0</v>
      </c>
      <c r="P22" s="87"/>
      <c r="Q22" s="87">
        <f>_xlfn.XLOOKUP(_xlfn.XLOOKUP($AS$6&amp;$B22,公表[班別+時段],公表[備勤3],""),$AX$9:$AX$25,$AY$9:$AY$25,"")</f>
        <v>0</v>
      </c>
      <c r="R22" s="87">
        <f>_xlfn.XLOOKUP(_xlfn.XLOOKUP($AS$6&amp;$B22,公表[班別+時段],公表[備勤4],""),$AX$9:$AX$25,$AY$9:$AY$25,"")</f>
        <v>0</v>
      </c>
      <c r="S22" s="87"/>
      <c r="T22" s="87">
        <f>_xlfn.XLOOKUP(_xlfn.XLOOKUP($AS$6&amp;$B22,公表[班別+時段],公表[備勤5],""),$AX$9:$AX$25,$AY$9:$AY$25,"")</f>
        <v>2</v>
      </c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87"/>
      <c r="AC22" s="87"/>
      <c r="AD22" s="87"/>
      <c r="AE22" s="88">
        <f>_xlfn.XLOOKUP(_xlfn.XLOOKUP($AS$6&amp;$B22,公表[班別+時段],公表[指揮官],""),$AX$9:$AX$25,$AY$9:$AY$25,"")</f>
        <v>1</v>
      </c>
      <c r="AF22" s="57" t="s">
        <v>213</v>
      </c>
      <c r="AG22" s="305" t="str" cm="1">
        <f t="array" ref="AG22">_xlfn.TEXTJOIN(".",1,_xlfn._xlws.FILTER($AO$9:$AO$40,$AQ$9:$AQ$40="上班",""))</f>
        <v>1.2.6.7.8.9.10.12.15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27">
        <v>14</v>
      </c>
      <c r="AP22" s="127" t="str">
        <v>王浩任</v>
      </c>
      <c r="AQ22" s="127" t="str" cm="1">
        <f t="array" ref="AQ22">IFERROR(_xlfn.XLOOKUP(_xlfn.XLOOKUP($AQ$3,輪休基準表!$C$6:$C$36,_xlfn.XLOOKUP(AP22,輪休基準表!$E$5:$AF$5,輪休基準表!$E$6:$AF$36,""),""),班別參數!$A$4:$A$20,班別參數!$B$4:$B$20,""),"")</f>
        <v>請休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/>
      </c>
      <c r="AT22" s="180" t="str">
        <f t="shared" si="0"/>
        <v/>
      </c>
      <c r="AU22" s="180" t="str">
        <f t="shared" si="1"/>
        <v/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27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0</v>
      </c>
      <c r="D23" s="106"/>
      <c r="E23" s="96"/>
      <c r="F23" s="96"/>
      <c r="G23" s="123" t="str">
        <f>IF(BC15="","",BC15)</f>
        <v/>
      </c>
      <c r="H23" s="107"/>
      <c r="I23" s="216">
        <f>_xlfn.XLOOKUP(_xlfn.XLOOKUP($AS$6&amp;$B23,公表[班別+時段],公表[救護1],""),$AX$9:$AX$25,$AY$9:$AY$25,"")</f>
        <v>0</v>
      </c>
      <c r="J23" s="216">
        <f>_xlfn.XLOOKUP(_xlfn.XLOOKUP($AS$6&amp;$B23,公表[班別+時段],公表[救護2],""),$AX$9:$AX$25,$AY$9:$AY$25,"")</f>
        <v>0</v>
      </c>
      <c r="K23" s="105"/>
      <c r="L23" s="93" t="s">
        <v>212</v>
      </c>
      <c r="M23" s="312"/>
      <c r="N23" s="89">
        <f>_xlfn.XLOOKUP(_xlfn.XLOOKUP($AS$6&amp;$B23,公表[班別+時段],公表[備勤1],""),$AX$9:$AX$25,$AY$9:$AY$25,"")</f>
        <v>0</v>
      </c>
      <c r="O23" s="89">
        <f>_xlfn.XLOOKUP(_xlfn.XLOOKUP($AS$6&amp;$B23,公表[班別+時段],公表[備勤2],""),$AX$9:$AX$25,$AY$9:$AY$25,"")</f>
        <v>0</v>
      </c>
      <c r="P23" s="89"/>
      <c r="Q23" s="89">
        <f>_xlfn.XLOOKUP(_xlfn.XLOOKUP($AS$6&amp;$B23,公表[班別+時段],公表[備勤3],""),$AX$9:$AX$25,$AY$9:$AY$25,"")</f>
        <v>0</v>
      </c>
      <c r="R23" s="89">
        <f>_xlfn.XLOOKUP(_xlfn.XLOOKUP($AS$6&amp;$B23,公表[班別+時段],公表[備勤4],""),$AX$9:$AX$25,$AY$9:$AY$25,"")</f>
        <v>0</v>
      </c>
      <c r="S23" s="89"/>
      <c r="T23" s="89">
        <f>_xlfn.XLOOKUP(_xlfn.XLOOKUP($AS$6&amp;$B23,公表[班別+時段],公表[備勤5],""),$AX$9:$AX$25,$AY$9:$AY$25,"")</f>
        <v>2</v>
      </c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89"/>
      <c r="AC23" s="89"/>
      <c r="AD23" s="89"/>
      <c r="AE23" s="104">
        <f>_xlfn.XLOOKUP(_xlfn.XLOOKUP($AS$6&amp;$B23,公表[班別+時段],公表[指揮官],""),$AX$9:$AX$25,$AY$9:$AY$25,"")</f>
        <v>1</v>
      </c>
      <c r="AF23" s="57" t="s">
        <v>6</v>
      </c>
      <c r="AG23" s="305" t="str" cm="1">
        <f t="array" ref="AG23">_xlfn.TEXTJOIN(".",1,_xlfn._xlws.FILTER($AO$9:$AO$40,$AQ$9:$AQ$40=$AF$23,""))</f>
        <v>3.4.16.17.18.19.21.23.25.26.28</v>
      </c>
      <c r="AH23" s="400"/>
      <c r="AI23" s="400"/>
      <c r="AJ23" s="400"/>
      <c r="AK23" s="400"/>
      <c r="AL23" s="400"/>
      <c r="AM23" s="401"/>
      <c r="AN23" s="214"/>
      <c r="AO23" s="127">
        <v>15</v>
      </c>
      <c r="AP23" s="127" t="str">
        <v>李仕詮</v>
      </c>
      <c r="AQ23" s="127" t="str" cm="1">
        <f t="array" ref="AQ23">IFERROR(_xlfn.XLOOKUP(_xlfn.XLOOKUP($AQ$3,輪休基準表!$C$6:$C$36,_xlfn.XLOOKUP(AP23,輪休基準表!$E$5:$AF$5,輪休基準表!$E$6:$AF$36,""),""),班別參數!$A$4:$A$20,班別參數!$B$4:$B$20,""),"")</f>
        <v>上班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>未排</v>
      </c>
      <c r="AT23" s="180" t="str">
        <f t="shared" si="0"/>
        <v/>
      </c>
      <c r="AU23" s="180" t="str">
        <f t="shared" si="1"/>
        <v/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27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0</v>
      </c>
      <c r="D24" s="97"/>
      <c r="E24" s="97"/>
      <c r="F24" s="97"/>
      <c r="G24" s="121" t="str">
        <f>IF(BC16="","",BC16)</f>
        <v/>
      </c>
      <c r="H24" s="55"/>
      <c r="I24" s="94">
        <f>_xlfn.XLOOKUP(_xlfn.XLOOKUP($AS$6&amp;$B24,公表[班別+時段],公表[救護1],""),$AX$9:$AX$25,$AY$9:$AY$25,"")</f>
        <v>0</v>
      </c>
      <c r="J24" s="94">
        <f>_xlfn.XLOOKUP(_xlfn.XLOOKUP($AS$6&amp;$B24,公表[班別+時段],公表[救護2],""),$AX$9:$AX$25,$AY$9:$AY$25,"")</f>
        <v>0</v>
      </c>
      <c r="K24" s="90"/>
      <c r="L24" s="90" t="s">
        <v>212</v>
      </c>
      <c r="M24" s="312"/>
      <c r="N24" s="90">
        <f>_xlfn.XLOOKUP(_xlfn.XLOOKUP($AS$6&amp;$B24,公表[班別+時段],公表[備勤1],""),$AX$9:$AX$25,$AY$9:$AY$25,"")</f>
        <v>0</v>
      </c>
      <c r="O24" s="90">
        <f>_xlfn.XLOOKUP(_xlfn.XLOOKUP($AS$6&amp;$B24,公表[班別+時段],公表[備勤2],""),$AX$9:$AX$25,$AY$9:$AY$25,"")</f>
        <v>0</v>
      </c>
      <c r="P24" s="90"/>
      <c r="Q24" s="90">
        <f>_xlfn.XLOOKUP(_xlfn.XLOOKUP($AS$6&amp;$B24,公表[班別+時段],公表[備勤3],""),$AX$9:$AX$25,$AY$9:$AY$25,"")</f>
        <v>0</v>
      </c>
      <c r="R24" s="90">
        <f>_xlfn.XLOOKUP(_xlfn.XLOOKUP($AS$6&amp;$B24,公表[班別+時段],公表[備勤4],""),$AX$9:$AX$25,$AY$9:$AY$25,"")</f>
        <v>0</v>
      </c>
      <c r="S24" s="90"/>
      <c r="T24" s="90">
        <f>_xlfn.XLOOKUP(_xlfn.XLOOKUP($AS$6&amp;$B24,公表[班別+時段],公表[備勤5],""),$AX$9:$AX$25,$AY$9:$AY$25,"")</f>
        <v>2</v>
      </c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90"/>
      <c r="AC24" s="90"/>
      <c r="AD24" s="90"/>
      <c r="AE24" s="91">
        <f>_xlfn.XLOOKUP(_xlfn.XLOOKUP($AS$6&amp;$B24,公表[班別+時段],公表[指揮官],""),$AX$9:$AX$25,$AY$9:$AY$25,"")</f>
        <v>1</v>
      </c>
      <c r="AF24" s="57" t="s">
        <v>17</v>
      </c>
      <c r="AG24" s="305" t="str" cm="1">
        <f t="array" ref="AG24">_xlfn.TEXTJOIN(".",1,_xlfn._xlws.FILTER($AO$9:$AO$40,$AQ$9:$AQ$40=$AF$24,""))</f>
        <v>5</v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>27</v>
      </c>
      <c r="AL24" s="400"/>
      <c r="AM24" s="401"/>
      <c r="AN24" s="214"/>
      <c r="AO24" s="127">
        <v>16</v>
      </c>
      <c r="AP24" s="127" t="str">
        <v>楊弘宇</v>
      </c>
      <c r="AQ24" s="127" t="str" cm="1">
        <f t="array" ref="AQ24">IFERROR(_xlfn.XLOOKUP(_xlfn.XLOOKUP($AQ$3,輪休基準表!$C$6:$C$36,_xlfn.XLOOKUP(AP24,輪休基準表!$E$5:$AF$5,輪休基準表!$E$6:$AF$36,""),""),班別參數!$A$4:$A$20,班別參數!$B$4:$B$20,""),"")</f>
        <v>輪休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/>
      </c>
      <c r="AT24" s="180" t="str">
        <f t="shared" si="0"/>
        <v/>
      </c>
      <c r="AU24" s="180" t="str">
        <f t="shared" si="1"/>
        <v/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27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0</v>
      </c>
      <c r="D25" s="95"/>
      <c r="E25" s="95"/>
      <c r="F25" s="95"/>
      <c r="G25" s="122" t="str">
        <f>IF(BC16="","",BC16)</f>
        <v/>
      </c>
      <c r="H25" s="37"/>
      <c r="I25" s="92">
        <f>_xlfn.XLOOKUP(_xlfn.XLOOKUP($AS$6&amp;$B25,公表[班別+時段],公表[救護1],""),$AX$9:$AX$25,$AY$9:$AY$25,"")</f>
        <v>0</v>
      </c>
      <c r="J25" s="92">
        <f>_xlfn.XLOOKUP(_xlfn.XLOOKUP($AS$6&amp;$B25,公表[班別+時段],公表[救護2],""),$AX$9:$AX$25,$AY$9:$AY$25,"")</f>
        <v>0</v>
      </c>
      <c r="K25" s="87"/>
      <c r="L25" s="87" t="s">
        <v>212</v>
      </c>
      <c r="M25" s="312"/>
      <c r="N25" s="87">
        <f>_xlfn.XLOOKUP(_xlfn.XLOOKUP($AS$6&amp;$B25,公表[班別+時段],公表[備勤1],""),$AX$9:$AX$25,$AY$9:$AY$25,"")</f>
        <v>0</v>
      </c>
      <c r="O25" s="87">
        <f>_xlfn.XLOOKUP(_xlfn.XLOOKUP($AS$6&amp;$B25,公表[班別+時段],公表[備勤2],""),$AX$9:$AX$25,$AY$9:$AY$25,"")</f>
        <v>0</v>
      </c>
      <c r="P25" s="87"/>
      <c r="Q25" s="87">
        <f>_xlfn.XLOOKUP(_xlfn.XLOOKUP($AS$6&amp;$B25,公表[班別+時段],公表[備勤3],""),$AX$9:$AX$25,$AY$9:$AY$25,"")</f>
        <v>0</v>
      </c>
      <c r="R25" s="87">
        <f>_xlfn.XLOOKUP(_xlfn.XLOOKUP($AS$6&amp;$B25,公表[班別+時段],公表[備勤4],""),$AX$9:$AX$25,$AY$9:$AY$25,"")</f>
        <v>0</v>
      </c>
      <c r="S25" s="87"/>
      <c r="T25" s="87">
        <f>_xlfn.XLOOKUP(_xlfn.XLOOKUP($AS$6&amp;$B25,公表[班別+時段],公表[備勤5],""),$AX$9:$AX$25,$AY$9:$AY$25,"")</f>
        <v>2</v>
      </c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87"/>
      <c r="AC25" s="87"/>
      <c r="AD25" s="87"/>
      <c r="AE25" s="88">
        <f>_xlfn.XLOOKUP(_xlfn.XLOOKUP($AS$6&amp;$B25,公表[班別+時段],公表[指揮官],""),$AX$9:$AX$25,$AY$9:$AY$25,"")</f>
        <v>1</v>
      </c>
      <c r="AF25" s="57" t="s">
        <v>28</v>
      </c>
      <c r="AG25" s="305" t="str" cm="1">
        <f t="array" ref="AG25">_xlfn.TEXTJOIN(".",1,_xlfn._xlws.FILTER($AO$9:$AO$40,$AQ$9:$AQ$40=$AF$25,""))</f>
        <v>11.13.14.24</v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>20.22</v>
      </c>
      <c r="AL25" s="309"/>
      <c r="AM25" s="310"/>
      <c r="AN25" s="214"/>
      <c r="AO25" s="127">
        <v>17</v>
      </c>
      <c r="AP25" s="127" t="str">
        <v>楊仲豪</v>
      </c>
      <c r="AQ25" s="127" t="str" cm="1">
        <f t="array" ref="AQ25">IFERROR(_xlfn.XLOOKUP(_xlfn.XLOOKUP($AQ$3,輪休基準表!$C$6:$C$36,_xlfn.XLOOKUP(AP25,輪休基準表!$E$5:$AF$5,輪休基準表!$E$6:$AF$36,""),""),班別參數!$A$4:$A$20,班別參數!$B$4:$B$20,""),"")</f>
        <v>輪休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/>
      </c>
      <c r="AT25" s="180" t="str">
        <f t="shared" si="0"/>
        <v/>
      </c>
      <c r="AU25" s="180" t="str">
        <f t="shared" si="1"/>
        <v/>
      </c>
      <c r="AW25" s="33"/>
      <c r="AX25" s="45"/>
      <c r="AY25" s="25"/>
      <c r="AZ25" s="28"/>
      <c r="BA25" s="33"/>
      <c r="BB25" s="25"/>
      <c r="BD25" s="127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0</v>
      </c>
      <c r="D26" s="95"/>
      <c r="E26" s="95"/>
      <c r="F26" s="95"/>
      <c r="G26" s="122" t="str">
        <f>IF(BC17="","",BC17)</f>
        <v/>
      </c>
      <c r="H26" s="37"/>
      <c r="I26" s="92">
        <f>_xlfn.XLOOKUP(_xlfn.XLOOKUP($AS$6&amp;$B26,公表[班別+時段],公表[救護1],""),$AX$9:$AX$25,$AY$9:$AY$25,"")</f>
        <v>0</v>
      </c>
      <c r="J26" s="92">
        <f>_xlfn.XLOOKUP(_xlfn.XLOOKUP($AS$6&amp;$B26,公表[班別+時段],公表[救護2],""),$AX$9:$AX$25,$AY$9:$AY$25,"")</f>
        <v>0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0</v>
      </c>
      <c r="O26" s="87">
        <f>_xlfn.XLOOKUP(_xlfn.XLOOKUP($AS$6&amp;$B26,公表[班別+時段],公表[備勤2],""),$AX$9:$AX$25,$AY$9:$AY$25,"")</f>
        <v>0</v>
      </c>
      <c r="P26" s="87"/>
      <c r="Q26" s="87">
        <f>_xlfn.XLOOKUP(_xlfn.XLOOKUP($AS$6&amp;$B26,公表[班別+時段],公表[備勤3],""),$AX$9:$AX$25,$AY$9:$AY$25,"")</f>
        <v>0</v>
      </c>
      <c r="R26" s="87">
        <f>_xlfn.XLOOKUP(_xlfn.XLOOKUP($AS$6&amp;$B26,公表[班別+時段],公表[備勤4],""),$AX$9:$AX$25,$AY$9:$AY$25,"")</f>
        <v>0</v>
      </c>
      <c r="S26" s="87"/>
      <c r="T26" s="87">
        <f>_xlfn.XLOOKUP(_xlfn.XLOOKUP($AS$6&amp;$B26,公表[班別+時段],公表[備勤5],""),$AX$9:$AX$25,$AY$9:$AY$25,"")</f>
        <v>2</v>
      </c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87"/>
      <c r="AC26" s="87"/>
      <c r="AD26" s="87"/>
      <c r="AE26" s="88">
        <f>_xlfn.XLOOKUP(_xlfn.XLOOKUP($AS$6&amp;$B26,公表[班別+時段],公表[指揮官],""),$AX$9:$AX$25,$AY$9:$AY$25,"")</f>
        <v>1</v>
      </c>
      <c r="AF26" s="57" t="s">
        <v>289</v>
      </c>
      <c r="AG26" s="178" t="str" cm="1">
        <f t="array" ref="AG26">_xlfn.TEXTJOIN(".",1,_xlfn._xlws.FILTER($AO$9:$AO$40,$AQ$9:$AQ$40=$AF$26,""))</f>
        <v/>
      </c>
      <c r="AH26" s="168" t="s">
        <v>290</v>
      </c>
      <c r="AI26" s="179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/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27">
        <v>18</v>
      </c>
      <c r="AP26" s="127" t="str">
        <v>林志偉</v>
      </c>
      <c r="AQ26" s="127" t="str" cm="1">
        <f t="array" ref="AQ26">IFERROR(_xlfn.XLOOKUP(_xlfn.XLOOKUP($AQ$3,輪休基準表!$C$6:$C$36,_xlfn.XLOOKUP(AP26,輪休基準表!$E$5:$AF$5,輪休基準表!$E$6:$AF$36,""),""),班別參數!$A$4:$A$20,班別參數!$B$4:$B$20,""),"")</f>
        <v>輪休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/>
      </c>
      <c r="AT26" s="180" t="str">
        <f t="shared" si="0"/>
        <v/>
      </c>
      <c r="AU26" s="180" t="str">
        <f t="shared" si="1"/>
        <v/>
      </c>
      <c r="AV26" s="10"/>
      <c r="AW26" s="46"/>
      <c r="AX26" s="45"/>
      <c r="AY26" s="25"/>
      <c r="AZ26" s="28"/>
      <c r="BA26" s="33"/>
      <c r="BB26" s="25"/>
      <c r="BD26" s="127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0</v>
      </c>
      <c r="D27" s="95"/>
      <c r="E27" s="95"/>
      <c r="F27" s="95"/>
      <c r="G27" s="122" t="str">
        <f>IF(BC17="","",BC17)</f>
        <v/>
      </c>
      <c r="H27" s="37"/>
      <c r="I27" s="92">
        <f>_xlfn.XLOOKUP(_xlfn.XLOOKUP($AS$6&amp;$B27,公表[班別+時段],公表[救護1],""),$AX$9:$AX$25,$AY$9:$AY$25,"")</f>
        <v>0</v>
      </c>
      <c r="J27" s="92">
        <f>_xlfn.XLOOKUP(_xlfn.XLOOKUP($AS$6&amp;$B27,公表[班別+時段],公表[救護2],""),$AX$9:$AX$25,$AY$9:$AY$25,"")</f>
        <v>0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0</v>
      </c>
      <c r="O27" s="87">
        <f>_xlfn.XLOOKUP(_xlfn.XLOOKUP($AS$6&amp;$B27,公表[班別+時段],公表[備勤2],""),$AX$9:$AX$25,$AY$9:$AY$25,"")</f>
        <v>0</v>
      </c>
      <c r="P27" s="87"/>
      <c r="Q27" s="87">
        <f>_xlfn.XLOOKUP(_xlfn.XLOOKUP($AS$6&amp;$B27,公表[班別+時段],公表[備勤3],""),$AX$9:$AX$25,$AY$9:$AY$25,"")</f>
        <v>0</v>
      </c>
      <c r="R27" s="87">
        <f>_xlfn.XLOOKUP(_xlfn.XLOOKUP($AS$6&amp;$B27,公表[班別+時段],公表[備勤4],""),$AX$9:$AX$25,$AY$9:$AY$25,"")</f>
        <v>0</v>
      </c>
      <c r="S27" s="87"/>
      <c r="T27" s="87">
        <f>_xlfn.XLOOKUP(_xlfn.XLOOKUP($AS$6&amp;$B27,公表[班別+時段],公表[備勤5],""),$AX$9:$AX$25,$AY$9:$AY$25,"")</f>
        <v>2</v>
      </c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87"/>
      <c r="AC27" s="87"/>
      <c r="AD27" s="87"/>
      <c r="AE27" s="88">
        <f>_xlfn.XLOOKUP(_xlfn.XLOOKUP($AS$6&amp;$B27,公表[班別+時段],公表[指揮官],""),$AX$9:$AX$25,$AY$9:$AY$25,"")</f>
        <v>1</v>
      </c>
      <c r="AF27" s="317" t="s">
        <v>215</v>
      </c>
      <c r="AG27" s="319"/>
      <c r="AH27" s="321"/>
      <c r="AI27" s="321"/>
      <c r="AJ27" s="321"/>
      <c r="AK27" s="321"/>
      <c r="AL27" s="321"/>
      <c r="AM27" s="322"/>
      <c r="AN27" s="214"/>
      <c r="AO27" s="127">
        <v>19</v>
      </c>
      <c r="AP27" s="127" t="str">
        <v>劉家誠</v>
      </c>
      <c r="AQ27" s="127" t="str" cm="1">
        <f t="array" ref="AQ27">IFERROR(_xlfn.XLOOKUP(_xlfn.XLOOKUP($AQ$3,輪休基準表!$C$6:$C$36,_xlfn.XLOOKUP(AP27,輪休基準表!$E$5:$AF$5,輪休基準表!$E$6:$AF$36,""),""),班別參數!$A$4:$A$20,班別參數!$B$4:$B$20,""),"")</f>
        <v>輪休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/>
      </c>
      <c r="AT27" s="180" t="str">
        <f t="shared" si="0"/>
        <v/>
      </c>
      <c r="AU27" s="180" t="str">
        <f t="shared" si="1"/>
        <v/>
      </c>
      <c r="AV27" s="10"/>
      <c r="AW27" s="46"/>
      <c r="AX27" s="45"/>
      <c r="AY27" s="25"/>
      <c r="AZ27" s="28"/>
      <c r="BA27" s="33"/>
      <c r="BB27" s="25"/>
      <c r="BD27" s="127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0</v>
      </c>
      <c r="D28" s="95"/>
      <c r="E28" s="95"/>
      <c r="F28" s="95"/>
      <c r="G28" s="122" t="str">
        <f>IF(BC18="","",BC18)</f>
        <v/>
      </c>
      <c r="H28" s="37"/>
      <c r="I28" s="92">
        <f>_xlfn.XLOOKUP(_xlfn.XLOOKUP($AS$6&amp;$B28,公表[班別+時段],公表[救護1],""),$AX$9:$AX$25,$AY$9:$AY$25,"")</f>
        <v>0</v>
      </c>
      <c r="J28" s="92">
        <f>_xlfn.XLOOKUP(_xlfn.XLOOKUP($AS$6&amp;$B28,公表[班別+時段],公表[救護2],""),$AX$9:$AX$25,$AY$9:$AY$25,"")</f>
        <v>0</v>
      </c>
      <c r="K28" s="87"/>
      <c r="L28" s="87" t="s">
        <v>212</v>
      </c>
      <c r="M28" s="312"/>
      <c r="N28" s="87">
        <f>_xlfn.XLOOKUP(_xlfn.XLOOKUP($AS$6&amp;$B28,公表[班別+時段],公表[備勤1],""),$AX$9:$AX$25,$AY$9:$AY$25,"")</f>
        <v>0</v>
      </c>
      <c r="O28" s="87">
        <f>_xlfn.XLOOKUP(_xlfn.XLOOKUP($AS$6&amp;$B28,公表[班別+時段],公表[備勤2],""),$AX$9:$AX$25,$AY$9:$AY$25,"")</f>
        <v>0</v>
      </c>
      <c r="P28" s="87"/>
      <c r="Q28" s="87">
        <f>_xlfn.XLOOKUP(_xlfn.XLOOKUP($AS$6&amp;$B28,公表[班別+時段],公表[備勤3],""),$AX$9:$AX$25,$AY$9:$AY$25,"")</f>
        <v>0</v>
      </c>
      <c r="R28" s="87">
        <f>_xlfn.XLOOKUP(_xlfn.XLOOKUP($AS$6&amp;$B28,公表[班別+時段],公表[備勤4],""),$AX$9:$AX$25,$AY$9:$AY$25,"")</f>
        <v>0</v>
      </c>
      <c r="S28" s="87"/>
      <c r="T28" s="87">
        <f>_xlfn.XLOOKUP(_xlfn.XLOOKUP($AS$6&amp;$B28,公表[班別+時段],公表[備勤5],""),$AX$9:$AX$25,$AY$9:$AY$25,"")</f>
        <v>2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87"/>
      <c r="AC28" s="87"/>
      <c r="AD28" s="87"/>
      <c r="AE28" s="88">
        <f>_xlfn.XLOOKUP(_xlfn.XLOOKUP($AS$6&amp;$B28,公表[班別+時段],公表[指揮官],""),$AX$9:$AX$25,$AY$9:$AY$25,"")</f>
        <v>1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27">
        <v>20</v>
      </c>
      <c r="AP28" s="127" t="str">
        <v>呂奇霈</v>
      </c>
      <c r="AQ28" s="127" t="str" cm="1">
        <f t="array" ref="AQ28">IFERROR(_xlfn.XLOOKUP(_xlfn.XLOOKUP($AQ$3,輪休基準表!$C$6:$C$36,_xlfn.XLOOKUP(AP28,輪休基準表!$E$5:$AF$5,輪休基準表!$E$6:$AF$36,""),""),班別參數!$A$4:$A$20,班別參數!$B$4:$B$20,""),"")</f>
        <v>公假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27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0</v>
      </c>
      <c r="D29" s="95"/>
      <c r="E29" s="95"/>
      <c r="F29" s="95"/>
      <c r="G29" s="122" t="str">
        <f>IF(BC18="","",BC18)</f>
        <v/>
      </c>
      <c r="H29" s="37"/>
      <c r="I29" s="92">
        <f>_xlfn.XLOOKUP(_xlfn.XLOOKUP($AS$6&amp;$B29,公表[班別+時段],公表[救護1],""),$AX$9:$AX$25,$AY$9:$AY$25,"")</f>
        <v>0</v>
      </c>
      <c r="J29" s="92">
        <f>_xlfn.XLOOKUP(_xlfn.XLOOKUP($AS$6&amp;$B29,公表[班別+時段],公表[救護2],""),$AX$9:$AX$25,$AY$9:$AY$25,"")</f>
        <v>0</v>
      </c>
      <c r="K29" s="87"/>
      <c r="L29" s="87" t="s">
        <v>212</v>
      </c>
      <c r="M29" s="312"/>
      <c r="N29" s="87">
        <f>_xlfn.XLOOKUP(_xlfn.XLOOKUP($AS$6&amp;$B29,公表[班別+時段],公表[備勤1],""),$AX$9:$AX$25,$AY$9:$AY$25,"")</f>
        <v>0</v>
      </c>
      <c r="O29" s="87">
        <f>_xlfn.XLOOKUP(_xlfn.XLOOKUP($AS$6&amp;$B29,公表[班別+時段],公表[備勤2],""),$AX$9:$AX$25,$AY$9:$AY$25,"")</f>
        <v>0</v>
      </c>
      <c r="P29" s="87"/>
      <c r="Q29" s="87">
        <f>_xlfn.XLOOKUP(_xlfn.XLOOKUP($AS$6&amp;$B29,公表[班別+時段],公表[備勤3],""),$AX$9:$AX$25,$AY$9:$AY$25,"")</f>
        <v>0</v>
      </c>
      <c r="R29" s="87">
        <f>_xlfn.XLOOKUP(_xlfn.XLOOKUP($AS$6&amp;$B29,公表[班別+時段],公表[備勤4],""),$AX$9:$AX$25,$AY$9:$AY$25,"")</f>
        <v>0</v>
      </c>
      <c r="S29" s="87"/>
      <c r="T29" s="87">
        <f>_xlfn.XLOOKUP(_xlfn.XLOOKUP($AS$6&amp;$B29,公表[班別+時段],公表[備勤5],""),$AX$9:$AX$25,$AY$9:$AY$25,"")</f>
        <v>2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87"/>
      <c r="AC29" s="87"/>
      <c r="AD29" s="87"/>
      <c r="AE29" s="88">
        <f>_xlfn.XLOOKUP(_xlfn.XLOOKUP($AS$6&amp;$B29,公表[班別+時段],公表[指揮官],""),$AX$9:$AX$25,$AY$9:$AY$25,"")</f>
        <v>1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27">
        <v>21</v>
      </c>
      <c r="AP29" s="127" t="str">
        <v>張家和</v>
      </c>
      <c r="AQ29" s="127" t="str" cm="1">
        <f t="array" ref="AQ29">IFERROR(_xlfn.XLOOKUP(_xlfn.XLOOKUP($AQ$3,輪休基準表!$C$6:$C$36,_xlfn.XLOOKUP(AP29,輪休基準表!$E$5:$AF$5,輪休基準表!$E$6:$AF$36,""),""),班別參數!$A$4:$A$20,班別參數!$B$4:$B$20,""),"")</f>
        <v>輪休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/>
      </c>
      <c r="AT29" s="180" t="str">
        <f t="shared" si="0"/>
        <v/>
      </c>
      <c r="AU29" s="180" t="str">
        <f t="shared" si="1"/>
        <v/>
      </c>
      <c r="AV29" s="10"/>
      <c r="AW29" s="47"/>
      <c r="AX29" s="45"/>
      <c r="AY29" s="25"/>
      <c r="AZ29" s="28"/>
      <c r="BA29" s="33"/>
      <c r="BB29" s="25"/>
      <c r="BD29" s="127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0</v>
      </c>
      <c r="D30" s="95"/>
      <c r="E30" s="95"/>
      <c r="F30" s="95"/>
      <c r="G30" s="122" t="str">
        <f>IF(BC19="","",BC19)</f>
        <v/>
      </c>
      <c r="H30" s="37"/>
      <c r="I30" s="92">
        <f>_xlfn.XLOOKUP(_xlfn.XLOOKUP($AS$6&amp;$B30,公表[班別+時段],公表[救護1],""),$AX$9:$AX$25,$AY$9:$AY$25,"")</f>
        <v>0</v>
      </c>
      <c r="J30" s="92">
        <f>_xlfn.XLOOKUP(_xlfn.XLOOKUP($AS$6&amp;$B30,公表[班別+時段],公表[救護2],""),$AX$9:$AX$25,$AY$9:$AY$25,"")</f>
        <v>0</v>
      </c>
      <c r="K30" s="87"/>
      <c r="L30" s="87" t="s">
        <v>212</v>
      </c>
      <c r="M30" s="312"/>
      <c r="N30" s="87">
        <f>_xlfn.XLOOKUP(_xlfn.XLOOKUP($AS$6&amp;$B30,公表[班別+時段],公表[備勤1],""),$AX$9:$AX$25,$AY$9:$AY$25,"")</f>
        <v>0</v>
      </c>
      <c r="O30" s="87">
        <f>_xlfn.XLOOKUP(_xlfn.XLOOKUP($AS$6&amp;$B30,公表[班別+時段],公表[備勤2],""),$AX$9:$AX$25,$AY$9:$AY$25,"")</f>
        <v>0</v>
      </c>
      <c r="P30" s="87"/>
      <c r="Q30" s="87">
        <f>_xlfn.XLOOKUP(_xlfn.XLOOKUP($AS$6&amp;$B30,公表[班別+時段],公表[備勤3],""),$AX$9:$AX$25,$AY$9:$AY$25,"")</f>
        <v>0</v>
      </c>
      <c r="R30" s="87">
        <f>_xlfn.XLOOKUP(_xlfn.XLOOKUP($AS$6&amp;$B30,公表[班別+時段],公表[備勤4],""),$AX$9:$AX$25,$AY$9:$AY$25,"")</f>
        <v>0</v>
      </c>
      <c r="S30" s="87"/>
      <c r="T30" s="87">
        <f>_xlfn.XLOOKUP(_xlfn.XLOOKUP($AS$6&amp;$B30,公表[班別+時段],公表[備勤5],""),$AX$9:$AX$25,$AY$9:$AY$25,"")</f>
        <v>2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87"/>
      <c r="AC30" s="87"/>
      <c r="AD30" s="87"/>
      <c r="AE30" s="88">
        <f>_xlfn.XLOOKUP(_xlfn.XLOOKUP($AS$6&amp;$B30,公表[班別+時段],公表[指揮官],""),$AX$9:$AX$25,$AY$9:$AY$25,"")</f>
        <v>1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27">
        <v>22</v>
      </c>
      <c r="AP30" s="127" t="str">
        <v>陳俊瑋</v>
      </c>
      <c r="AQ30" s="127" t="str" cm="1">
        <f t="array" ref="AQ30">IFERROR(_xlfn.XLOOKUP(_xlfn.XLOOKUP($AQ$3,輪休基準表!$C$6:$C$36,_xlfn.XLOOKUP(AP30,輪休基準表!$E$5:$AF$5,輪休基準表!$E$6:$AF$36,""),""),班別參數!$A$4:$A$20,班別參數!$B$4:$B$20,""),"")</f>
        <v>公假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27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0</v>
      </c>
      <c r="D31" s="106"/>
      <c r="E31" s="96"/>
      <c r="F31" s="96"/>
      <c r="G31" s="123" t="str">
        <f>IF(BC19="","",BC19)</f>
        <v/>
      </c>
      <c r="H31" s="109"/>
      <c r="I31" s="216">
        <f>_xlfn.XLOOKUP(_xlfn.XLOOKUP($AS$6&amp;$B31,公表[班別+時段],公表[救護1],""),$AX$9:$AX$25,$AY$9:$AY$25,"")</f>
        <v>0</v>
      </c>
      <c r="J31" s="216">
        <f>_xlfn.XLOOKUP(_xlfn.XLOOKUP($AS$6&amp;$B31,公表[班別+時段],公表[救護2],""),$AX$9:$AX$25,$AY$9:$AY$25,"")</f>
        <v>0</v>
      </c>
      <c r="K31" s="108"/>
      <c r="L31" s="93" t="s">
        <v>212</v>
      </c>
      <c r="M31" s="312"/>
      <c r="N31" s="89">
        <f>_xlfn.XLOOKUP(_xlfn.XLOOKUP($AS$6&amp;$B31,公表[班別+時段],公表[備勤1],""),$AX$9:$AX$25,$AY$9:$AY$25,"")</f>
        <v>0</v>
      </c>
      <c r="O31" s="89">
        <f>_xlfn.XLOOKUP(_xlfn.XLOOKUP($AS$6&amp;$B31,公表[班別+時段],公表[備勤2],""),$AX$9:$AX$25,$AY$9:$AY$25,"")</f>
        <v>0</v>
      </c>
      <c r="P31" s="89"/>
      <c r="Q31" s="89">
        <f>_xlfn.XLOOKUP(_xlfn.XLOOKUP($AS$6&amp;$B31,公表[班別+時段],公表[備勤3],""),$AX$9:$AX$25,$AY$9:$AY$25,"")</f>
        <v>0</v>
      </c>
      <c r="R31" s="89">
        <f>_xlfn.XLOOKUP(_xlfn.XLOOKUP($AS$6&amp;$B31,公表[班別+時段],公表[備勤4],""),$AX$9:$AX$25,$AY$9:$AY$25,"")</f>
        <v>0</v>
      </c>
      <c r="S31" s="89"/>
      <c r="T31" s="89">
        <f>_xlfn.XLOOKUP(_xlfn.XLOOKUP($AS$6&amp;$B31,公表[班別+時段],公表[備勤5],""),$AX$9:$AX$25,$AY$9:$AY$25,"")</f>
        <v>2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89"/>
      <c r="AC31" s="89"/>
      <c r="AD31" s="89"/>
      <c r="AE31" s="104">
        <f>_xlfn.XLOOKUP(_xlfn.XLOOKUP($AS$6&amp;$B31,公表[班別+時段],公表[指揮官],""),$AX$9:$AX$25,$AY$9:$AY$25,"")</f>
        <v>1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27">
        <v>23</v>
      </c>
      <c r="AP31" s="127" t="str">
        <v>陳俊翰</v>
      </c>
      <c r="AQ31" s="127" t="str" cm="1">
        <f t="array" ref="AQ31">IFERROR(_xlfn.XLOOKUP(_xlfn.XLOOKUP($AQ$3,輪休基準表!$C$6:$C$36,_xlfn.XLOOKUP(AP31,輪休基準表!$E$5:$AF$5,輪休基準表!$E$6:$AF$36,""),""),班別參數!$A$4:$A$20,班別參數!$B$4:$B$20,""),"")</f>
        <v>輪休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/>
      </c>
      <c r="AT31" s="180" t="str">
        <f t="shared" si="0"/>
        <v/>
      </c>
      <c r="AU31" s="180" t="str">
        <f t="shared" si="1"/>
        <v/>
      </c>
      <c r="AW31" s="47"/>
      <c r="AX31" s="45"/>
      <c r="AY31" s="25"/>
      <c r="AZ31" s="28"/>
      <c r="BA31" s="33"/>
      <c r="BB31" s="25"/>
      <c r="BD31" s="127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0</v>
      </c>
      <c r="D32" s="97"/>
      <c r="E32" s="97"/>
      <c r="F32" s="97"/>
      <c r="G32" s="121" t="str">
        <f>IF(BC20="","",BC20)</f>
        <v>2</v>
      </c>
      <c r="H32" s="56"/>
      <c r="I32" s="94">
        <f>_xlfn.XLOOKUP(_xlfn.XLOOKUP($AS$6&amp;$B32,公表[班別+時段],公表[救護1],""),$AX$9:$AX$25,$AY$9:$AY$25,"")</f>
        <v>0</v>
      </c>
      <c r="J32" s="94">
        <f>_xlfn.XLOOKUP(_xlfn.XLOOKUP($AS$6&amp;$B32,公表[班別+時段],公表[救護2],""),$AX$9:$AX$25,$AY$9:$AY$25,"")</f>
        <v>0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0</v>
      </c>
      <c r="O32" s="90">
        <f>_xlfn.XLOOKUP(_xlfn.XLOOKUP($AS$6&amp;$B32,公表[班別+時段],公表[備勤2],""),$AX$9:$AX$25,$AY$9:$AY$25,"")</f>
        <v>0</v>
      </c>
      <c r="P32" s="90"/>
      <c r="Q32" s="90">
        <f>_xlfn.XLOOKUP(_xlfn.XLOOKUP($AS$6&amp;$B32,公表[班別+時段],公表[備勤3],""),$AX$9:$AX$25,$AY$9:$AY$25,"")</f>
        <v>0</v>
      </c>
      <c r="R32" s="90">
        <f>_xlfn.XLOOKUP(_xlfn.XLOOKUP($AS$6&amp;$B32,公表[班別+時段],公表[備勤4],""),$AX$9:$AX$25,$AY$9:$AY$25,"")</f>
        <v>0</v>
      </c>
      <c r="S32" s="90"/>
      <c r="T32" s="90">
        <f>_xlfn.XLOOKUP(_xlfn.XLOOKUP($AS$6&amp;$B32,公表[班別+時段],公表[備勤5],""),$AX$9:$AX$25,$AY$9:$AY$25,"")</f>
        <v>0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90"/>
      <c r="AC32" s="90"/>
      <c r="AD32" s="90"/>
      <c r="AE32" s="91">
        <f>_xlfn.XLOOKUP(_xlfn.XLOOKUP($AS$6&amp;$B32,公表[班別+時段],公表[指揮官],""),$AX$9:$AX$25,$AY$9:$AY$25,"")</f>
        <v>1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27">
        <v>24</v>
      </c>
      <c r="AP32" s="127" t="str">
        <v>賴俊豪</v>
      </c>
      <c r="AQ32" s="127" t="str" cm="1">
        <f t="array" ref="AQ32">IFERROR(_xlfn.XLOOKUP(_xlfn.XLOOKUP($AQ$3,輪休基準表!$C$6:$C$36,_xlfn.XLOOKUP(AP32,輪休基準表!$E$5:$AF$5,輪休基準表!$E$6:$AF$36,""),""),班別參數!$A$4:$A$20,班別參數!$B$4:$B$20,""),"")</f>
        <v>請休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/>
      </c>
      <c r="AT32" s="180" t="str">
        <f t="shared" si="0"/>
        <v/>
      </c>
      <c r="AU32" s="180" t="str">
        <f t="shared" si="1"/>
        <v/>
      </c>
      <c r="AW32" s="47"/>
      <c r="AX32" s="45"/>
      <c r="AY32" s="25"/>
      <c r="AZ32" s="28"/>
      <c r="BA32" s="33"/>
      <c r="BB32" s="25"/>
      <c r="BD32" s="127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0</v>
      </c>
      <c r="D33" s="95"/>
      <c r="E33" s="95"/>
      <c r="F33" s="95"/>
      <c r="G33" s="122" t="str">
        <f>IF(BC20="","",BC20)</f>
        <v>2</v>
      </c>
      <c r="H33" s="48"/>
      <c r="I33" s="92">
        <f>_xlfn.XLOOKUP(_xlfn.XLOOKUP($AS$6&amp;$B33,公表[班別+時段],公表[救護1],""),$AX$9:$AX$25,$AY$9:$AY$25,"")</f>
        <v>0</v>
      </c>
      <c r="J33" s="92">
        <f>_xlfn.XLOOKUP(_xlfn.XLOOKUP($AS$6&amp;$B33,公表[班別+時段],公表[救護2],""),$AX$9:$AX$25,$AY$9:$AY$25,"")</f>
        <v>0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0</v>
      </c>
      <c r="O33" s="87">
        <f>_xlfn.XLOOKUP(_xlfn.XLOOKUP($AS$6&amp;$B33,公表[班別+時段],公表[備勤2],""),$AX$9:$AX$25,$AY$9:$AY$25,"")</f>
        <v>0</v>
      </c>
      <c r="P33" s="87"/>
      <c r="Q33" s="87">
        <f>_xlfn.XLOOKUP(_xlfn.XLOOKUP($AS$6&amp;$B33,公表[班別+時段],公表[備勤3],""),$AX$9:$AX$25,$AY$9:$AY$25,"")</f>
        <v>0</v>
      </c>
      <c r="R33" s="87">
        <f>_xlfn.XLOOKUP(_xlfn.XLOOKUP($AS$6&amp;$B33,公表[班別+時段],公表[備勤4],""),$AX$9:$AX$25,$AY$9:$AY$25,"")</f>
        <v>0</v>
      </c>
      <c r="S33" s="87"/>
      <c r="T33" s="87">
        <f>_xlfn.XLOOKUP(_xlfn.XLOOKUP($AS$6&amp;$B33,公表[班別+時段],公表[備勤5],""),$AX$9:$AX$25,$AY$9:$AY$25,"")</f>
        <v>0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87"/>
      <c r="AC33" s="87"/>
      <c r="AD33" s="87"/>
      <c r="AE33" s="88">
        <f>_xlfn.XLOOKUP(_xlfn.XLOOKUP($AS$6&amp;$B33,公表[班別+時段],公表[指揮官],""),$AX$9:$AX$25,$AY$9:$AY$25,"")</f>
        <v>1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27">
        <v>25</v>
      </c>
      <c r="AP33" s="127" t="str">
        <v>郭國偵</v>
      </c>
      <c r="AQ33" s="127" t="str" cm="1">
        <f t="array" ref="AQ33">IFERROR(_xlfn.XLOOKUP(_xlfn.XLOOKUP($AQ$3,輪休基準表!$C$6:$C$36,_xlfn.XLOOKUP(AP33,輪休基準表!$E$5:$AF$5,輪休基準表!$E$6:$AF$36,""),""),班別參數!$A$4:$A$20,班別參數!$B$4:$B$20,""),"")</f>
        <v>輪休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/>
      </c>
      <c r="AT33" s="180" t="str">
        <f t="shared" si="0"/>
        <v/>
      </c>
      <c r="AU33" s="180" t="str">
        <f t="shared" si="1"/>
        <v/>
      </c>
      <c r="AW33" s="47"/>
      <c r="AX33" s="45"/>
      <c r="AY33" s="25"/>
      <c r="AZ33" s="28"/>
      <c r="BA33" s="25"/>
      <c r="BB33" s="25"/>
      <c r="BD33" s="127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一、本日主管上班。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27">
        <v>26</v>
      </c>
      <c r="AP34" s="127" t="str">
        <v>楊紹文</v>
      </c>
      <c r="AQ34" s="127" t="str" cm="1">
        <f t="array" ref="AQ34">IFERROR(_xlfn.XLOOKUP(_xlfn.XLOOKUP($AQ$3,輪休基準表!$C$6:$C$36,_xlfn.XLOOKUP(AP34,輪休基準表!$E$5:$AF$5,輪休基準表!$E$6:$AF$36,""),""),班別參數!$A$4:$A$20,班別參數!$B$4:$B$20,""),"")</f>
        <v>輪休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/>
      </c>
      <c r="AT34" s="180" t="str">
        <f t="shared" si="0"/>
        <v/>
      </c>
      <c r="AU34" s="180" t="str">
        <f t="shared" si="1"/>
        <v/>
      </c>
      <c r="AW34" s="47"/>
      <c r="AX34" s="45"/>
      <c r="AY34" s="25"/>
      <c r="AZ34" s="28"/>
      <c r="BA34" s="25"/>
      <c r="BB34" s="25"/>
      <c r="BD34" s="127"/>
    </row>
    <row r="35" spans="2:56" ht="30" customHeight="1">
      <c r="B35" s="349"/>
      <c r="C35" s="359" t="str">
        <f>CONCATENATE("二、在隊訓練:09-12時:",H11,";14-17時:",H16,";19-21時:",H21,"。")</f>
        <v>二、在隊訓練:09-12時:通風排煙訓練;14-17時:人命救助訓練;19-21時:火場控制及殘火處理。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27">
        <v>27</v>
      </c>
      <c r="AP35" s="127" t="str">
        <v>林宏為</v>
      </c>
      <c r="AQ35" s="127" t="str" cm="1">
        <f t="array" ref="AQ35">IFERROR(_xlfn.XLOOKUP(_xlfn.XLOOKUP($AQ$3,輪休基準表!$C$6:$C$36,_xlfn.XLOOKUP(AP35,輪休基準表!$E$5:$AF$5,輪休基準表!$E$6:$AF$36,""),""),班別參數!$A$4:$A$20,班別參數!$B$4:$B$20,""),"")</f>
        <v>補休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/>
      </c>
      <c r="AT35" s="180" t="str">
        <f t="shared" si="0"/>
        <v/>
      </c>
      <c r="AU35" s="180" t="str">
        <f t="shared" si="1"/>
        <v/>
      </c>
      <c r="AW35" s="47"/>
      <c r="AX35" s="45"/>
      <c r="AY35" s="25"/>
      <c r="AZ35" s="28"/>
      <c r="BA35" s="25"/>
      <c r="BB35" s="25"/>
      <c r="BD35" s="127"/>
    </row>
    <row r="36" spans="2:56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27">
        <v>28</v>
      </c>
      <c r="AP36" s="127" t="str">
        <v>林宸彥</v>
      </c>
      <c r="AQ36" s="127" t="str" cm="1">
        <f t="array" ref="AQ36">IFERROR(_xlfn.XLOOKUP(_xlfn.XLOOKUP($AQ$3,輪休基準表!$C$6:$C$36,_xlfn.XLOOKUP(AP36,輪休基準表!$E$5:$AF$5,輪休基準表!$E$6:$AF$36,""),""),班別參數!$A$4:$A$20,班別參數!$B$4:$B$20,""),"")</f>
        <v>輪休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/>
      </c>
      <c r="AT36" s="180" t="str">
        <f t="shared" si="0"/>
        <v/>
      </c>
      <c r="AU36" s="180" t="str">
        <f t="shared" si="1"/>
        <v/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27"/>
      <c r="AP37" s="127"/>
      <c r="AQ37" s="127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27"/>
      <c r="BD37" s="10"/>
    </row>
    <row r="38" spans="2:56" ht="15" customHeight="1">
      <c r="AQ38" s="127"/>
      <c r="AR38" s="118"/>
      <c r="AS38" s="119"/>
      <c r="AT38" s="119"/>
    </row>
    <row r="39" spans="2:56" ht="15" customHeight="1">
      <c r="AR39" s="118"/>
      <c r="AS39" s="119"/>
      <c r="AT39" s="119"/>
    </row>
    <row r="40" spans="2:56" ht="15" customHeight="1">
      <c r="AR40" s="118"/>
      <c r="AS40" s="119"/>
      <c r="AT40" s="119"/>
    </row>
  </sheetData>
  <mergeCells count="71">
    <mergeCell ref="AG22:AK22"/>
    <mergeCell ref="AG23:AM23"/>
    <mergeCell ref="AG24:AI24"/>
    <mergeCell ref="AK24:AM24"/>
    <mergeCell ref="AF33:AG33"/>
    <mergeCell ref="AH33:AI33"/>
    <mergeCell ref="AJ33:AK33"/>
    <mergeCell ref="AF31:AG31"/>
    <mergeCell ref="AH31:AI31"/>
    <mergeCell ref="AJ31:AK31"/>
    <mergeCell ref="AF32:AG32"/>
    <mergeCell ref="AH32:AI32"/>
    <mergeCell ref="AJ32:AK32"/>
    <mergeCell ref="AF27:AF28"/>
    <mergeCell ref="AG27:AM27"/>
    <mergeCell ref="AG28:AM28"/>
    <mergeCell ref="B34:B36"/>
    <mergeCell ref="C34:AE34"/>
    <mergeCell ref="AF34:AM34"/>
    <mergeCell ref="C35:AE35"/>
    <mergeCell ref="AF35:AM35"/>
    <mergeCell ref="C36:AE36"/>
    <mergeCell ref="AF36:AM36"/>
    <mergeCell ref="AF29:AM29"/>
    <mergeCell ref="AF30:AG30"/>
    <mergeCell ref="AH30:AI30"/>
    <mergeCell ref="AJ30:AK30"/>
    <mergeCell ref="AG25:AI25"/>
    <mergeCell ref="AK25:AM25"/>
    <mergeCell ref="C8:AE8"/>
    <mergeCell ref="C9:AE9"/>
    <mergeCell ref="M10:M33"/>
    <mergeCell ref="H11:H13"/>
    <mergeCell ref="H16:H18"/>
    <mergeCell ref="H21:H22"/>
    <mergeCell ref="I6:J6"/>
    <mergeCell ref="K6:L6"/>
    <mergeCell ref="N6:P6"/>
    <mergeCell ref="Q6:S6"/>
    <mergeCell ref="T6:V6"/>
    <mergeCell ref="AF5:AM6"/>
    <mergeCell ref="AO5:AO6"/>
    <mergeCell ref="T7:V7"/>
    <mergeCell ref="AR5:AR6"/>
    <mergeCell ref="AS5:AT5"/>
    <mergeCell ref="W6:Y6"/>
    <mergeCell ref="AE6:AE7"/>
    <mergeCell ref="AS6:AT6"/>
    <mergeCell ref="AP5:AQ6"/>
    <mergeCell ref="G5:G7"/>
    <mergeCell ref="B3:AM3"/>
    <mergeCell ref="AW3:AX3"/>
    <mergeCell ref="AY3:BB3"/>
    <mergeCell ref="B4:AI4"/>
    <mergeCell ref="AJ4:AM4"/>
    <mergeCell ref="AW4:AX4"/>
    <mergeCell ref="AY4:BB4"/>
    <mergeCell ref="B5:B7"/>
    <mergeCell ref="C5:C7"/>
    <mergeCell ref="D5:D7"/>
    <mergeCell ref="E5:E7"/>
    <mergeCell ref="F5:F7"/>
    <mergeCell ref="H5:H7"/>
    <mergeCell ref="I5:L5"/>
    <mergeCell ref="M5:AE5"/>
    <mergeCell ref="AY2:BB2"/>
    <mergeCell ref="B1:AE1"/>
    <mergeCell ref="AP1:AQ1"/>
    <mergeCell ref="B2:AE2"/>
    <mergeCell ref="AG2:AM2"/>
    <mergeCell ref="AW2:AX2"/>
  </mergeCells>
  <phoneticPr fontId="9" type="noConversion"/>
  <conditionalFormatting sqref="AO9:AQ36 AO37:AP37 AQ37:AQ38">
    <cfRule type="expression" dxfId="76" priority="16">
      <formula>COUNTIF($AQ9,"上班")&gt;=1</formula>
    </cfRule>
  </conditionalFormatting>
  <conditionalFormatting sqref="AF8:AF13 AH8:AH21 AJ8:AJ21 AL8:AM21">
    <cfRule type="expression" dxfId="75" priority="11">
      <formula>OR(VLOOKUP(AF8,$AO$9:$AQ$40,3,0)="上班",VLOOKUP(AF8,$AO$9:$AQ$40,3,0)="外宿")</formula>
    </cfRule>
  </conditionalFormatting>
  <conditionalFormatting sqref="AL8">
    <cfRule type="expression" dxfId="74" priority="10">
      <formula>OR(VLOOKUP(AL8,$AO$9:$AQ$36,3,0)="上班",VLOOKUP(AL8,$AO$9:$AQ$36,3,0)="外宿")</formula>
    </cfRule>
  </conditionalFormatting>
  <conditionalFormatting sqref="AR9:AR36">
    <cfRule type="notContainsText" dxfId="73" priority="2" operator="notContains" text="已排">
      <formula>ISERROR(SEARCH("已排",AR9))</formula>
    </cfRule>
  </conditionalFormatting>
  <conditionalFormatting sqref="AS9:AS36">
    <cfRule type="notContainsText" dxfId="72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9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37DAA-95E3-4555-8E4C-D44F2CF415AA}">
  <sheetPr codeName="工作表24">
    <pageSetUpPr fitToPage="1"/>
  </sheetPr>
  <dimension ref="B1:BD40"/>
  <sheetViews>
    <sheetView showZeros="0" view="pageBreakPreview" zoomScale="55" zoomScaleNormal="55" zoomScaleSheetLayoutView="55" workbookViewId="0">
      <selection activeCell="AB15" sqref="AB15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6" width="5.375" style="126" customWidth="1"/>
    <col min="7" max="8" width="8.625" style="126" customWidth="1"/>
    <col min="9" max="12" width="5.375" style="126" customWidth="1"/>
    <col min="13" max="13" width="6.625" style="126" customWidth="1"/>
    <col min="14" max="31" width="5.375" style="126" customWidth="1"/>
    <col min="32" max="32" width="7.625" style="126" customWidth="1"/>
    <col min="33" max="33" width="10.625" style="126" customWidth="1"/>
    <col min="34" max="34" width="7.625" style="126" customWidth="1"/>
    <col min="35" max="35" width="10.625" style="126" customWidth="1"/>
    <col min="36" max="36" width="7.625" style="126" customWidth="1"/>
    <col min="37" max="37" width="10.625" style="126" customWidth="1"/>
    <col min="38" max="38" width="7.625" style="126" customWidth="1"/>
    <col min="39" max="39" width="10.625" style="126" customWidth="1"/>
    <col min="40" max="40" width="4.125" style="213" customWidth="1"/>
    <col min="41" max="47" width="11.625" style="126" customWidth="1"/>
    <col min="48" max="48" width="4.125" style="126" customWidth="1"/>
    <col min="49" max="49" width="16" style="126" customWidth="1"/>
    <col min="50" max="51" width="8.25" style="126" customWidth="1"/>
    <col min="52" max="52" width="4.125" style="126" customWidth="1"/>
    <col min="53" max="53" width="16" style="126" customWidth="1"/>
    <col min="54" max="54" width="8.25" style="126" customWidth="1"/>
    <col min="55" max="55" width="10.875" style="126" customWidth="1"/>
    <col min="56" max="58" width="4.125" style="126" customWidth="1"/>
    <col min="59" max="16384" width="11.25" style="126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27"/>
      <c r="AP1" s="399"/>
      <c r="AQ1" s="399"/>
      <c r="AR1" s="127"/>
      <c r="AS1" s="127"/>
      <c r="AT1" s="127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3" t="s">
        <v>178</v>
      </c>
      <c r="AR2" s="146" t="s">
        <v>228</v>
      </c>
      <c r="AS2" s="142"/>
      <c r="AT2" s="140"/>
      <c r="AU2" s="127"/>
      <c r="AV2" s="127"/>
      <c r="AW2" s="362" t="s">
        <v>127</v>
      </c>
      <c r="AX2" s="287"/>
      <c r="AY2" s="367" t="str">
        <f>_xlfn.XLOOKUP($AR$3,訓練!$L$13:$L$19,訓練!$M$13:$M$19,"")</f>
        <v>個人防護裝備操作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115年5月20日星期三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20</v>
      </c>
      <c r="AR3" s="141" t="str">
        <f>RIGHT(TEXT(1911+$AO$3&amp;"/"&amp;$AP$3&amp;"/"&amp;$AQ$3,"aaaa"),1)</f>
        <v>三</v>
      </c>
      <c r="AS3" s="145"/>
      <c r="AT3" s="145"/>
      <c r="AU3" s="127"/>
      <c r="AV3" s="127"/>
      <c r="AW3" s="362" t="s">
        <v>128</v>
      </c>
      <c r="AX3" s="287"/>
      <c r="AY3" s="368" t="str">
        <f>_xlfn.XLOOKUP($AR$3,訓練!$L$13:$L$19,訓練!$N$13:$N$19,"")</f>
        <v>常訓體技能訓練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27"/>
      <c r="AU4" s="127"/>
      <c r="AV4" s="127"/>
      <c r="AW4" s="362" t="s">
        <v>129</v>
      </c>
      <c r="AX4" s="287"/>
      <c r="AY4" s="363" t="str">
        <f>_xlfn.XLOOKUP($AR$3,訓練!$L$13:$L$19,訓練!$O$13:$O$19,"")</f>
        <v>救護訓練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2"/>
      <c r="E5" s="340"/>
      <c r="F5" s="340"/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341"/>
      <c r="E6" s="341"/>
      <c r="F6" s="341"/>
      <c r="G6" s="312"/>
      <c r="H6" s="312"/>
      <c r="I6" s="334" t="s">
        <v>227</v>
      </c>
      <c r="J6" s="335"/>
      <c r="K6" s="334" t="s">
        <v>192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1+8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341"/>
      <c r="E7" s="341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346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27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27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27" cm="1">
        <f t="array" ref="AO9:AP36">TRANSPOSE(輪休基準表!E4:AF5)</f>
        <v>1</v>
      </c>
      <c r="AP9" s="127" t="str">
        <v>鄧力嘉</v>
      </c>
      <c r="AQ9" s="127" t="str" cm="1">
        <f t="array" ref="AQ9">IFERROR(_xlfn.XLOOKUP(_xlfn.XLOOKUP($AQ$3,輪休基準表!$C$6:$C$36,_xlfn.XLOOKUP(AP9,輪休基準表!$E$5:$AF$5,輪休基準表!$E$6:$AF$36,""),""),班別參數!$A$4:$A$20,班別參數!$B$4:$B$20,""),"")</f>
        <v>輪休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/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 t="array" ref="AX9">IFERROR(INDEX(班別參數!$D$4:$S$20,MATCH(AW9,班別參數!$D$4:$D$20,0),MATCH($AS$6,班別參數!$D$4:$S$4,0)),"")</f>
        <v>A</v>
      </c>
      <c r="AY9" s="35"/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/>
      </c>
      <c r="BD9" s="127"/>
    </row>
    <row r="10" spans="2:56" ht="30" customHeight="1">
      <c r="B10" s="81" t="s">
        <v>70</v>
      </c>
      <c r="C10" s="87">
        <f>_xlfn.XLOOKUP(_xlfn.XLOOKUP($AS$6&amp;$B10,公表[班別+時段],公表[值班],""),$AX$9:$AX$25,$AY$9:$AY$25,"")</f>
        <v>0</v>
      </c>
      <c r="D10" s="95"/>
      <c r="E10" s="95"/>
      <c r="F10" s="95"/>
      <c r="G10" s="122" t="str">
        <f>IF(BC9="","",BC9)</f>
        <v/>
      </c>
      <c r="H10" s="37"/>
      <c r="I10" s="92">
        <f>_xlfn.XLOOKUP(_xlfn.XLOOKUP($AS$6&amp;$B10,公表[班別+時段],公表[救護1],""),$AX$9:$AX$25,$AY$9:$AY$25,"")</f>
        <v>0</v>
      </c>
      <c r="J10" s="92">
        <f>_xlfn.XLOOKUP(_xlfn.XLOOKUP($AS$6&amp;$B10,公表[班別+時段],公表[救護2],""),$AX$9:$AX$25,$AY$9:$AY$25,"")</f>
        <v>0</v>
      </c>
      <c r="K10" s="87"/>
      <c r="L10" s="87" t="s">
        <v>212</v>
      </c>
      <c r="M10" s="311"/>
      <c r="N10" s="87">
        <f>_xlfn.XLOOKUP(_xlfn.XLOOKUP($AS$6&amp;$B10,公表[班別+時段],公表[備勤1],""),$AX$9:$AX$25,$AY$9:$AY$25,"")</f>
        <v>0</v>
      </c>
      <c r="O10" s="87">
        <f>_xlfn.XLOOKUP(_xlfn.XLOOKUP($AS$6&amp;$B10,公表[班別+時段],公表[備勤2],""),$AX$9:$AX$25,$AY$9:$AY$25,"")</f>
        <v>0</v>
      </c>
      <c r="P10" s="87"/>
      <c r="Q10" s="87">
        <f>_xlfn.XLOOKUP(_xlfn.XLOOKUP($AS$6&amp;$B10,公表[班別+時段],公表[備勤3],""),$AX$9:$AX$25,$AY$9:$AY$25,"")</f>
        <v>0</v>
      </c>
      <c r="R10" s="87">
        <f>_xlfn.XLOOKUP(_xlfn.XLOOKUP($AS$6&amp;$B10,公表[班別+時段],公表[備勤4],""),$AX$9:$AX$25,$AY$9:$AY$25,"")</f>
        <v>0</v>
      </c>
      <c r="S10" s="87"/>
      <c r="T10" s="87">
        <f>_xlfn.XLOOKUP(_xlfn.XLOOKUP($AS$6&amp;$B10,公表[班別+時段],公表[備勤5],""),$AX$9:$AX$25,$AY$9:$AY$25,"")</f>
        <v>0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87"/>
      <c r="AB10" s="87"/>
      <c r="AC10" s="87"/>
      <c r="AD10" s="87"/>
      <c r="AE10" s="88">
        <f>_xlfn.XLOOKUP(_xlfn.XLOOKUP($AS$6&amp;$B10,公表[班別+時段],公表[指揮官],""),$AX$9:$AX$25,$AY$9:$AY$25,"")</f>
        <v>3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27">
        <v>2</v>
      </c>
      <c r="AP10" s="127" t="str">
        <v>莊勝斌</v>
      </c>
      <c r="AQ10" s="127" t="str" cm="1">
        <f t="array" ref="AQ10">IFERROR(_xlfn.XLOOKUP(_xlfn.XLOOKUP($AQ$3,輪休基準表!$C$6:$C$36,_xlfn.XLOOKUP(AP10,輪休基準表!$E$5:$AF$5,輪休基準表!$E$6:$AF$36,""),""),班別參數!$A$4:$A$20,班別參數!$B$4:$B$20,""),"")</f>
        <v>輪休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/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/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/>
      </c>
      <c r="BD10" s="127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0</v>
      </c>
      <c r="D11" s="95"/>
      <c r="E11" s="95"/>
      <c r="F11" s="95"/>
      <c r="G11" s="122" t="str">
        <f>IF(BC9="","",BC9)</f>
        <v/>
      </c>
      <c r="H11" s="296" t="str">
        <f>AY2</f>
        <v>個人防護裝備操作</v>
      </c>
      <c r="I11" s="92">
        <f>_xlfn.XLOOKUP(_xlfn.XLOOKUP($AS$6&amp;$B11,公表[班別+時段],公表[救護1],""),$AX$9:$AX$25,$AY$9:$AY$25,"")</f>
        <v>0</v>
      </c>
      <c r="J11" s="92">
        <f>_xlfn.XLOOKUP(_xlfn.XLOOKUP($AS$6&amp;$B11,公表[班別+時段],公表[救護2],""),$AX$9:$AX$25,$AY$9:$AY$25,"")</f>
        <v>0</v>
      </c>
      <c r="K11" s="87"/>
      <c r="L11" s="87" t="s">
        <v>212</v>
      </c>
      <c r="M11" s="312"/>
      <c r="N11" s="87">
        <f>_xlfn.XLOOKUP(_xlfn.XLOOKUP($AS$6&amp;$B11,公表[班別+時段],公表[備勤1],""),$AX$9:$AX$25,$AY$9:$AY$25,"")</f>
        <v>0</v>
      </c>
      <c r="O11" s="87">
        <f>_xlfn.XLOOKUP(_xlfn.XLOOKUP($AS$6&amp;$B11,公表[班別+時段],公表[備勤2],""),$AX$9:$AX$25,$AY$9:$AY$25,"")</f>
        <v>0</v>
      </c>
      <c r="P11" s="87"/>
      <c r="Q11" s="87">
        <f>_xlfn.XLOOKUP(_xlfn.XLOOKUP($AS$6&amp;$B11,公表[班別+時段],公表[備勤3],""),$AX$9:$AX$25,$AY$9:$AY$25,"")</f>
        <v>0</v>
      </c>
      <c r="R11" s="87">
        <f>_xlfn.XLOOKUP(_xlfn.XLOOKUP($AS$6&amp;$B11,公表[班別+時段],公表[備勤4],""),$AX$9:$AX$25,$AY$9:$AY$25,"")</f>
        <v>0</v>
      </c>
      <c r="S11" s="87"/>
      <c r="T11" s="87">
        <f>_xlfn.XLOOKUP(_xlfn.XLOOKUP($AS$6&amp;$B11,公表[班別+時段],公表[備勤5],""),$AX$9:$AX$25,$AY$9:$AY$25,"")</f>
        <v>0</v>
      </c>
      <c r="U11" s="87">
        <f>_xlfn.XLOOKUP(_xlfn.XLOOKUP($AS$6&amp;$B11,公表[班別+時段],公表[備勤6],""),$AX$9:$AX$25,$AY$9:$AY$25,"")</f>
        <v>0</v>
      </c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87"/>
      <c r="AB11" s="87"/>
      <c r="AC11" s="87"/>
      <c r="AD11" s="87"/>
      <c r="AE11" s="88">
        <f>_xlfn.XLOOKUP(_xlfn.XLOOKUP($AS$6&amp;$B11,公表[班別+時段],公表[指揮官],""),$AX$9:$AX$25,$AY$9:$AY$25,"")</f>
        <v>3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27">
        <v>3</v>
      </c>
      <c r="AP11" s="127" t="str">
        <v>孫子翔</v>
      </c>
      <c r="AQ11" s="127" t="str" cm="1">
        <f t="array" ref="AQ11">IFERROR(_xlfn.XLOOKUP(_xlfn.XLOOKUP($AQ$3,輪休基準表!$C$6:$C$36,_xlfn.XLOOKUP(AP11,輪休基準表!$E$5:$AF$5,輪休基準表!$E$6:$AF$36,""),""),班別參數!$A$4:$A$20,班別參數!$B$4:$B$20,""),"")</f>
        <v>上班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>已排</v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/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K</v>
      </c>
      <c r="BC11" s="39" t="str">
        <f t="shared" si="2"/>
        <v>3</v>
      </c>
      <c r="BD11" s="127"/>
    </row>
    <row r="12" spans="2:56" ht="30" customHeight="1">
      <c r="B12" s="81" t="s">
        <v>75</v>
      </c>
      <c r="C12" s="87">
        <f>_xlfn.XLOOKUP(_xlfn.XLOOKUP($AS$6&amp;$B12,公表[班別+時段],公表[值班],""),$AX$9:$AX$25,$AY$9:$AY$25,"")</f>
        <v>0</v>
      </c>
      <c r="D12" s="95"/>
      <c r="E12" s="95"/>
      <c r="F12" s="95"/>
      <c r="G12" s="122" t="str">
        <f>IF(BC10="","",BC10)</f>
        <v/>
      </c>
      <c r="H12" s="314"/>
      <c r="I12" s="92">
        <f>_xlfn.XLOOKUP(_xlfn.XLOOKUP($AS$6&amp;$B12,公表[班別+時段],公表[救護1],""),$AX$9:$AX$25,$AY$9:$AY$25,"")</f>
        <v>0</v>
      </c>
      <c r="J12" s="92">
        <f>_xlfn.XLOOKUP(_xlfn.XLOOKUP($AS$6&amp;$B12,公表[班別+時段],公表[救護2],""),$AX$9:$AX$25,$AY$9:$AY$25,"")</f>
        <v>0</v>
      </c>
      <c r="K12" s="92"/>
      <c r="L12" s="87" t="s">
        <v>212</v>
      </c>
      <c r="M12" s="312"/>
      <c r="N12" s="87">
        <f>_xlfn.XLOOKUP(_xlfn.XLOOKUP($AS$6&amp;$B12,公表[班別+時段],公表[備勤1],""),$AX$9:$AX$25,$AY$9:$AY$25,"")</f>
        <v>0</v>
      </c>
      <c r="O12" s="87">
        <f>_xlfn.XLOOKUP(_xlfn.XLOOKUP($AS$6&amp;$B12,公表[班別+時段],公表[備勤2],""),$AX$9:$AX$25,$AY$9:$AY$25,"")</f>
        <v>0</v>
      </c>
      <c r="P12" s="87"/>
      <c r="Q12" s="87">
        <f>_xlfn.XLOOKUP(_xlfn.XLOOKUP($AS$6&amp;$B12,公表[班別+時段],公表[備勤3],""),$AX$9:$AX$25,$AY$9:$AY$25,"")</f>
        <v>0</v>
      </c>
      <c r="R12" s="87">
        <f>_xlfn.XLOOKUP(_xlfn.XLOOKUP($AS$6&amp;$B12,公表[班別+時段],公表[備勤4],""),$AX$9:$AX$25,$AY$9:$AY$25,"")</f>
        <v>0</v>
      </c>
      <c r="S12" s="87"/>
      <c r="T12" s="87">
        <f>_xlfn.XLOOKUP(_xlfn.XLOOKUP($AS$6&amp;$B12,公表[班別+時段],公表[備勤5],""),$AX$9:$AX$25,$AY$9:$AY$25,"")</f>
        <v>0</v>
      </c>
      <c r="U12" s="87">
        <f>_xlfn.XLOOKUP(_xlfn.XLOOKUP($AS$6&amp;$B12,公表[班別+時段],公表[備勤6],""),$AX$9:$AX$25,$AY$9:$AY$25,"")</f>
        <v>0</v>
      </c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87"/>
      <c r="AC12" s="87"/>
      <c r="AD12" s="87"/>
      <c r="AE12" s="88">
        <f>_xlfn.XLOOKUP(_xlfn.XLOOKUP($AS$6&amp;$B12,公表[班別+時段],公表[指揮官],""),$AX$9:$AX$25,$AY$9:$AY$25,"")</f>
        <v>3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27">
        <v>4</v>
      </c>
      <c r="AP12" s="127" t="str">
        <v>簡永豐</v>
      </c>
      <c r="AQ12" s="127" t="str" cm="1">
        <f t="array" ref="AQ12">IFERROR(_xlfn.XLOOKUP(_xlfn.XLOOKUP($AQ$3,輪休基準表!$C$6:$C$36,_xlfn.XLOOKUP(AP12,輪休基準表!$E$5:$AF$5,輪休基準表!$E$6:$AF$36,""),""),班別參數!$A$4:$A$20,班別參數!$B$4:$B$20,""),"")</f>
        <v>請休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/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/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27"/>
    </row>
    <row r="13" spans="2:56" ht="30" customHeight="1" thickBot="1">
      <c r="B13" s="82" t="s">
        <v>76</v>
      </c>
      <c r="C13" s="89">
        <f>_xlfn.XLOOKUP(_xlfn.XLOOKUP($AS$6&amp;$B13,公表[班別+時段],公表[值班],""),$AX$9:$AX$25,$AY$9:$AY$25,"")</f>
        <v>0</v>
      </c>
      <c r="D13" s="233"/>
      <c r="E13" s="96"/>
      <c r="F13" s="96"/>
      <c r="G13" s="123" t="str">
        <f>IF(BC10="","",BC10)</f>
        <v/>
      </c>
      <c r="H13" s="315"/>
      <c r="I13" s="216">
        <f>_xlfn.XLOOKUP(_xlfn.XLOOKUP($AS$6&amp;$B13,公表[班別+時段],公表[救護1],""),$AX$9:$AX$25,$AY$9:$AY$25,"")</f>
        <v>0</v>
      </c>
      <c r="J13" s="216">
        <f>_xlfn.XLOOKUP(_xlfn.XLOOKUP($AS$6&amp;$B13,公表[班別+時段],公表[救護2],""),$AX$9:$AX$25,$AY$9:$AY$25,"")</f>
        <v>0</v>
      </c>
      <c r="K13" s="105"/>
      <c r="L13" s="93" t="s">
        <v>212</v>
      </c>
      <c r="M13" s="312"/>
      <c r="N13" s="89">
        <f>_xlfn.XLOOKUP(_xlfn.XLOOKUP($AS$6&amp;$B13,公表[班別+時段],公表[備勤1],""),$AX$9:$AX$25,$AY$9:$AY$25,"")</f>
        <v>0</v>
      </c>
      <c r="O13" s="89">
        <f>_xlfn.XLOOKUP(_xlfn.XLOOKUP($AS$6&amp;$B13,公表[班別+時段],公表[備勤2],""),$AX$9:$AX$25,$AY$9:$AY$25,"")</f>
        <v>0</v>
      </c>
      <c r="P13" s="89"/>
      <c r="Q13" s="89">
        <f>_xlfn.XLOOKUP(_xlfn.XLOOKUP($AS$6&amp;$B13,公表[班別+時段],公表[備勤3],""),$AX$9:$AX$25,$AY$9:$AY$25,"")</f>
        <v>0</v>
      </c>
      <c r="R13" s="89">
        <f>_xlfn.XLOOKUP(_xlfn.XLOOKUP($AS$6&amp;$B13,公表[班別+時段],公表[備勤4],""),$AX$9:$AX$25,$AY$9:$AY$25,"")</f>
        <v>0</v>
      </c>
      <c r="S13" s="89"/>
      <c r="T13" s="89">
        <f>_xlfn.XLOOKUP(_xlfn.XLOOKUP($AS$6&amp;$B13,公表[班別+時段],公表[備勤5],""),$AX$9:$AX$25,$AY$9:$AY$25,"")</f>
        <v>0</v>
      </c>
      <c r="U13" s="89">
        <f>_xlfn.XLOOKUP(_xlfn.XLOOKUP($AS$6&amp;$B13,公表[班別+時段],公表[備勤6],""),$AX$9:$AX$25,$AY$9:$AY$25,"")</f>
        <v>0</v>
      </c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89"/>
      <c r="AC13" s="89"/>
      <c r="AD13" s="89"/>
      <c r="AE13" s="104">
        <f>_xlfn.XLOOKUP(_xlfn.XLOOKUP($AS$6&amp;$B13,公表[班別+時段],公表[指揮官],""),$AX$9:$AX$25,$AY$9:$AY$25,"")</f>
        <v>3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27">
        <v>5</v>
      </c>
      <c r="AP13" s="127" t="str">
        <v>張鴻志</v>
      </c>
      <c r="AQ13" s="127" t="str" cm="1">
        <f t="array" ref="AQ13">IFERROR(_xlfn.XLOOKUP(_xlfn.XLOOKUP($AQ$3,輪休基準表!$C$6:$C$36,_xlfn.XLOOKUP(AP13,輪休基準表!$E$5:$AF$5,輪休基準表!$E$6:$AF$36,""),""),班別參數!$A$4:$A$20,班別參數!$B$4:$B$20,""),"")</f>
        <v>輪休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/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/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/>
      </c>
      <c r="BD13" s="127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0</v>
      </c>
      <c r="D14" s="234"/>
      <c r="E14" s="97"/>
      <c r="F14" s="97"/>
      <c r="G14" s="121" t="str">
        <f>IF(BC11="","",BC11)</f>
        <v>3</v>
      </c>
      <c r="H14" s="55"/>
      <c r="I14" s="94">
        <f>_xlfn.XLOOKUP(_xlfn.XLOOKUP($AS$6&amp;$B14,公表[班別+時段],公表[救護1],""),$AX$9:$AX$25,$AY$9:$AY$25,"")</f>
        <v>0</v>
      </c>
      <c r="J14" s="94">
        <f>_xlfn.XLOOKUP(_xlfn.XLOOKUP($AS$6&amp;$B14,公表[班別+時段],公表[救護2],""),$AX$9:$AX$25,$AY$9:$AY$25,"")</f>
        <v>0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0</v>
      </c>
      <c r="O14" s="90">
        <f>_xlfn.XLOOKUP(_xlfn.XLOOKUP($AS$6&amp;$B14,公表[班別+時段],公表[備勤2],""),$AX$9:$AX$25,$AY$9:$AY$25,"")</f>
        <v>0</v>
      </c>
      <c r="P14" s="90"/>
      <c r="Q14" s="90">
        <f>_xlfn.XLOOKUP(_xlfn.XLOOKUP($AS$6&amp;$B14,公表[班別+時段],公表[備勤3],""),$AX$9:$AX$25,$AY$9:$AY$25,"")</f>
        <v>0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0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90"/>
      <c r="AC14" s="90"/>
      <c r="AD14" s="90"/>
      <c r="AE14" s="91">
        <f>_xlfn.XLOOKUP(_xlfn.XLOOKUP($AS$6&amp;$B14,公表[班別+時段],公表[指揮官],""),$AX$9:$AX$25,$AY$9:$AY$25,"")</f>
        <v>0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27">
        <v>6</v>
      </c>
      <c r="AP14" s="127" t="str">
        <v>吳宗耕</v>
      </c>
      <c r="AQ14" s="127" t="str" cm="1">
        <f t="array" ref="AQ14">IFERROR(_xlfn.XLOOKUP(_xlfn.XLOOKUP($AQ$3,輪休基準表!$C$6:$C$36,_xlfn.XLOOKUP(AP14,輪休基準表!$E$5:$AF$5,輪休基準表!$E$6:$AF$36,""),""),班別參數!$A$4:$A$20,班別參數!$B$4:$B$20,""),"")</f>
        <v>輪休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/>
      </c>
      <c r="AT14" s="180" t="str">
        <f t="shared" si="0"/>
        <v/>
      </c>
      <c r="AU14" s="180" t="str">
        <f t="shared" si="1"/>
        <v/>
      </c>
      <c r="AV14" s="25"/>
      <c r="AW14" s="33" t="str">
        <f t="array" ref="AW14">INDEX(班別參數!$D$4:$D$20,ROW()-7,MATCH($AW$8,班別參數!$D$4:$D$20,0))</f>
        <v>18-20</v>
      </c>
      <c r="AX14" s="34" t="str">
        <f t="array" ref="AX14">IFERROR(INDEX(班別參數!$D$4:$S$20,MATCH(AW14,班別參數!$D$4:$D$20,0),MATCH($AS$6,班別參數!$D$4:$S$4,0)),"")</f>
        <v>E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B,F</v>
      </c>
      <c r="BC14" s="39" t="str">
        <f t="shared" si="2"/>
        <v/>
      </c>
      <c r="BD14" s="127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0</v>
      </c>
      <c r="D15" s="235"/>
      <c r="E15" s="106"/>
      <c r="F15" s="96"/>
      <c r="G15" s="123" t="str">
        <f>IF(BC11="","",BC11)</f>
        <v>3</v>
      </c>
      <c r="H15" s="40"/>
      <c r="I15" s="216">
        <f>_xlfn.XLOOKUP(_xlfn.XLOOKUP($AS$6&amp;$B15,公表[班別+時段],公表[救護1],""),$AX$9:$AX$25,$AY$9:$AY$25,"")</f>
        <v>0</v>
      </c>
      <c r="J15" s="216">
        <f>_xlfn.XLOOKUP(_xlfn.XLOOKUP($AS$6&amp;$B15,公表[班別+時段],公表[救護2],""),$AX$9:$AX$25,$AY$9:$AY$25,"")</f>
        <v>0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0</v>
      </c>
      <c r="O15" s="89">
        <f>_xlfn.XLOOKUP(_xlfn.XLOOKUP($AS$6&amp;$B15,公表[班別+時段],公表[備勤2],""),$AX$9:$AX$25,$AY$9:$AY$25,"")</f>
        <v>0</v>
      </c>
      <c r="P15" s="89"/>
      <c r="Q15" s="89">
        <f>_xlfn.XLOOKUP(_xlfn.XLOOKUP($AS$6&amp;$B15,公表[班別+時段],公表[備勤3],""),$AX$9:$AX$25,$AY$9:$AY$25,"")</f>
        <v>0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0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89"/>
      <c r="AC15" s="89"/>
      <c r="AD15" s="89"/>
      <c r="AE15" s="104">
        <f>_xlfn.XLOOKUP(_xlfn.XLOOKUP($AS$6&amp;$B15,公表[班別+時段],公表[指揮官],""),$AX$9:$AX$25,$AY$9:$AY$25,"")</f>
        <v>0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27">
        <v>7</v>
      </c>
      <c r="AP15" s="127" t="str">
        <v>包華先</v>
      </c>
      <c r="AQ15" s="127" t="str" cm="1">
        <f t="array" ref="AQ15">IFERROR(_xlfn.XLOOKUP(_xlfn.XLOOKUP($AQ$3,輪休基準表!$C$6:$C$36,_xlfn.XLOOKUP(AP15,輪休基準表!$E$5:$AF$5,輪休基準表!$E$6:$AF$36,""),""),班別參數!$A$4:$A$20,班別參數!$B$4:$B$20,""),"")</f>
        <v>輪休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/>
      </c>
      <c r="AT15" s="180" t="str">
        <f t="shared" si="0"/>
        <v/>
      </c>
      <c r="AU15" s="180" t="str">
        <f t="shared" si="1"/>
        <v/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/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/>
      </c>
      <c r="BD15" s="127"/>
    </row>
    <row r="16" spans="2:56" ht="30" customHeight="1">
      <c r="B16" s="83" t="s">
        <v>79</v>
      </c>
      <c r="C16" s="90">
        <f>_xlfn.XLOOKUP(_xlfn.XLOOKUP($AS$6&amp;$B16,公表[班別+時段],公表[值班],""),$AX$9:$AX$25,$AY$9:$AY$25,"")</f>
        <v>0</v>
      </c>
      <c r="D16" s="98"/>
      <c r="E16" s="99"/>
      <c r="F16" s="98"/>
      <c r="G16" s="121" t="str">
        <f>IF(BC12="","",BC12)</f>
        <v/>
      </c>
      <c r="H16" s="316" t="str">
        <f>AY3</f>
        <v>常訓體技能訓練</v>
      </c>
      <c r="I16" s="94">
        <f>_xlfn.XLOOKUP(_xlfn.XLOOKUP($AS$6&amp;$B16,公表[班別+時段],公表[救護1],""),$AX$9:$AX$25,$AY$9:$AY$25,"")</f>
        <v>0</v>
      </c>
      <c r="J16" s="94">
        <f>_xlfn.XLOOKUP(_xlfn.XLOOKUP($AS$6&amp;$B16,公表[班別+時段],公表[救護2],""),$AX$9:$AX$25,$AY$9:$AY$25,"")</f>
        <v>0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0</v>
      </c>
      <c r="O16" s="90">
        <f>_xlfn.XLOOKUP(_xlfn.XLOOKUP($AS$6&amp;$B16,公表[班別+時段],公表[備勤2],""),$AX$9:$AX$25,$AY$9:$AY$25,"")</f>
        <v>0</v>
      </c>
      <c r="P16" s="90"/>
      <c r="Q16" s="90">
        <f>_xlfn.XLOOKUP(_xlfn.XLOOKUP($AS$6&amp;$B16,公表[班別+時段],公表[備勤3],""),$AX$9:$AX$25,$AY$9:$AY$25,"")</f>
        <v>0</v>
      </c>
      <c r="R16" s="90">
        <f>_xlfn.XLOOKUP(_xlfn.XLOOKUP($AS$6&amp;$B16,公表[班別+時段],公表[備勤4],""),$AX$9:$AX$25,$AY$9:$AY$25,"")</f>
        <v>0</v>
      </c>
      <c r="S16" s="90"/>
      <c r="T16" s="90">
        <f>_xlfn.XLOOKUP(_xlfn.XLOOKUP($AS$6&amp;$B16,公表[班別+時段],公表[備勤5],""),$AX$9:$AX$25,$AY$9:$AY$25,"")</f>
        <v>0</v>
      </c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90"/>
      <c r="AC16" s="90"/>
      <c r="AD16" s="90"/>
      <c r="AE16" s="91">
        <f>_xlfn.XLOOKUP(_xlfn.XLOOKUP($AS$6&amp;$B16,公表[班別+時段],公表[指揮官],""),$AX$9:$AX$25,$AY$9:$AY$25,"")</f>
        <v>3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27">
        <v>8</v>
      </c>
      <c r="AP16" s="127" t="str">
        <v>曾彥綸</v>
      </c>
      <c r="AQ16" s="127" t="str" cm="1">
        <f t="array" ref="AQ16">IFERROR(_xlfn.XLOOKUP(_xlfn.XLOOKUP($AQ$3,輪休基準表!$C$6:$C$36,_xlfn.XLOOKUP(AP16,輪休基準表!$E$5:$AF$5,輪休基準表!$E$6:$AF$36,""),""),班別參數!$A$4:$A$20,班別參數!$B$4:$B$20,""),"")</f>
        <v>上班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>未排</v>
      </c>
      <c r="AT16" s="180" t="str">
        <f t="shared" si="0"/>
        <v/>
      </c>
      <c r="AU16" s="180" t="str">
        <f t="shared" si="1"/>
        <v/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/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27"/>
    </row>
    <row r="17" spans="2:56" ht="30" customHeight="1">
      <c r="B17" s="81" t="s">
        <v>80</v>
      </c>
      <c r="C17" s="87">
        <f>_xlfn.XLOOKUP(_xlfn.XLOOKUP($AS$6&amp;$B17,公表[班別+時段],公表[值班],""),$AX$9:$AX$25,$AY$9:$AY$25,"")</f>
        <v>0</v>
      </c>
      <c r="D17" s="95"/>
      <c r="E17" s="95"/>
      <c r="F17" s="100"/>
      <c r="G17" s="122" t="str">
        <f>IF(BC12="","",BC12)</f>
        <v/>
      </c>
      <c r="H17" s="314"/>
      <c r="I17" s="92">
        <f>_xlfn.XLOOKUP(_xlfn.XLOOKUP($AS$6&amp;$B17,公表[班別+時段],公表[救護1],""),$AX$9:$AX$25,$AY$9:$AY$25,"")</f>
        <v>0</v>
      </c>
      <c r="J17" s="92">
        <f>_xlfn.XLOOKUP(_xlfn.XLOOKUP($AS$6&amp;$B17,公表[班別+時段],公表[救護2],""),$AX$9:$AX$25,$AY$9:$AY$25,"")</f>
        <v>0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0</v>
      </c>
      <c r="O17" s="87">
        <f>_xlfn.XLOOKUP(_xlfn.XLOOKUP($AS$6&amp;$B17,公表[班別+時段],公表[備勤2],""),$AX$9:$AX$25,$AY$9:$AY$25,"")</f>
        <v>0</v>
      </c>
      <c r="P17" s="87"/>
      <c r="Q17" s="87">
        <f>_xlfn.XLOOKUP(_xlfn.XLOOKUP($AS$6&amp;$B17,公表[班別+時段],公表[備勤3],""),$AX$9:$AX$25,$AY$9:$AY$25,"")</f>
        <v>0</v>
      </c>
      <c r="R17" s="87">
        <f>_xlfn.XLOOKUP(_xlfn.XLOOKUP($AS$6&amp;$B17,公表[班別+時段],公表[備勤4],""),$AX$9:$AX$25,$AY$9:$AY$25,"")</f>
        <v>0</v>
      </c>
      <c r="S17" s="87"/>
      <c r="T17" s="87">
        <f>_xlfn.XLOOKUP(_xlfn.XLOOKUP($AS$6&amp;$B17,公表[班別+時段],公表[備勤5],""),$AX$9:$AX$25,$AY$9:$AY$25,"")</f>
        <v>0</v>
      </c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87"/>
      <c r="AC17" s="87"/>
      <c r="AD17" s="87"/>
      <c r="AE17" s="88">
        <f>_xlfn.XLOOKUP(_xlfn.XLOOKUP($AS$6&amp;$B17,公表[班別+時段],公表[指揮官],""),$AX$9:$AX$25,$AY$9:$AY$25,"")</f>
        <v>3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27">
        <v>9</v>
      </c>
      <c r="AP17" s="127" t="str">
        <v>鍾佳諭</v>
      </c>
      <c r="AQ17" s="127" t="str" cm="1">
        <f t="array" ref="AQ17">IFERROR(_xlfn.XLOOKUP(_xlfn.XLOOKUP($AQ$3,輪休基準表!$C$6:$C$36,_xlfn.XLOOKUP(AP17,輪休基準表!$E$5:$AF$5,輪休基準表!$E$6:$AF$36,""),""),班別參數!$A$4:$A$20,班別參數!$B$4:$B$20,""),"")</f>
        <v>輪休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/>
      </c>
      <c r="AT17" s="180" t="str">
        <f t="shared" si="0"/>
        <v/>
      </c>
      <c r="AU17" s="180" t="str">
        <f t="shared" si="1"/>
        <v/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27"/>
    </row>
    <row r="18" spans="2:56" ht="30" customHeight="1">
      <c r="B18" s="81" t="s">
        <v>81</v>
      </c>
      <c r="C18" s="87">
        <f>_xlfn.XLOOKUP(_xlfn.XLOOKUP($AS$6&amp;$B18,公表[班別+時段],公表[值班],""),$AX$9:$AX$25,$AY$9:$AY$25,"")</f>
        <v>0</v>
      </c>
      <c r="D18" s="100"/>
      <c r="E18" s="95"/>
      <c r="F18" s="100"/>
      <c r="G18" s="122" t="str">
        <f>IF(BC13="","",BC13)</f>
        <v/>
      </c>
      <c r="H18" s="297"/>
      <c r="I18" s="92">
        <f>_xlfn.XLOOKUP(_xlfn.XLOOKUP($AS$6&amp;$B18,公表[班別+時段],公表[救護1],""),$AX$9:$AX$25,$AY$9:$AY$25,"")</f>
        <v>0</v>
      </c>
      <c r="J18" s="92">
        <f>_xlfn.XLOOKUP(_xlfn.XLOOKUP($AS$6&amp;$B18,公表[班別+時段],公表[救護2],""),$AX$9:$AX$25,$AY$9:$AY$25,"")</f>
        <v>0</v>
      </c>
      <c r="K18" s="92"/>
      <c r="L18" s="87" t="s">
        <v>212</v>
      </c>
      <c r="M18" s="312"/>
      <c r="N18" s="87">
        <f>_xlfn.XLOOKUP(_xlfn.XLOOKUP($AS$6&amp;$B18,公表[班別+時段],公表[備勤1],""),$AX$9:$AX$25,$AY$9:$AY$25,"")</f>
        <v>0</v>
      </c>
      <c r="O18" s="87">
        <f>_xlfn.XLOOKUP(_xlfn.XLOOKUP($AS$6&amp;$B18,公表[班別+時段],公表[備勤2],""),$AX$9:$AX$25,$AY$9:$AY$25,"")</f>
        <v>0</v>
      </c>
      <c r="P18" s="87"/>
      <c r="Q18" s="87">
        <f>_xlfn.XLOOKUP(_xlfn.XLOOKUP($AS$6&amp;$B18,公表[班別+時段],公表[備勤3],""),$AX$9:$AX$25,$AY$9:$AY$25,"")</f>
        <v>0</v>
      </c>
      <c r="R18" s="87">
        <f>_xlfn.XLOOKUP(_xlfn.XLOOKUP($AS$6&amp;$B18,公表[班別+時段],公表[備勤4],""),$AX$9:$AX$25,$AY$9:$AY$25,"")</f>
        <v>0</v>
      </c>
      <c r="S18" s="87"/>
      <c r="T18" s="87">
        <f>_xlfn.XLOOKUP(_xlfn.XLOOKUP($AS$6&amp;$B18,公表[班別+時段],公表[備勤5],""),$AX$9:$AX$25,$AY$9:$AY$25,"")</f>
        <v>0</v>
      </c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87"/>
      <c r="AC18" s="87"/>
      <c r="AD18" s="87"/>
      <c r="AE18" s="88">
        <f>_xlfn.XLOOKUP(_xlfn.XLOOKUP($AS$6&amp;$B18,公表[班別+時段],公表[指揮官],""),$AX$9:$AX$25,$AY$9:$AY$25,"")</f>
        <v>3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27">
        <v>10</v>
      </c>
      <c r="AP18" s="127" t="str">
        <v>林宏澤</v>
      </c>
      <c r="AQ18" s="127" t="str" cm="1">
        <f t="array" ref="AQ18">IFERROR(_xlfn.XLOOKUP(_xlfn.XLOOKUP($AQ$3,輪休基準表!$C$6:$C$36,_xlfn.XLOOKUP(AP18,輪休基準表!$E$5:$AF$5,輪休基準表!$E$6:$AF$36,""),""),班別參數!$A$4:$A$20,班別參數!$B$4:$B$20,""),"")</f>
        <v>上班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>未排</v>
      </c>
      <c r="AT18" s="180" t="str">
        <f t="shared" si="0"/>
        <v/>
      </c>
      <c r="AU18" s="180" t="str">
        <f t="shared" si="1"/>
        <v/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27"/>
    </row>
    <row r="19" spans="2:56" ht="30" customHeight="1" thickBot="1">
      <c r="B19" s="110" t="s">
        <v>82</v>
      </c>
      <c r="C19" s="89">
        <f>_xlfn.XLOOKUP(_xlfn.XLOOKUP($AS$6&amp;$B19,公表[班別+時段],公表[值班],""),$AX$9:$AX$25,$AY$9:$AY$25,"")</f>
        <v>0</v>
      </c>
      <c r="D19" s="106"/>
      <c r="E19" s="96"/>
      <c r="F19" s="236"/>
      <c r="G19" s="123" t="str">
        <f>IF(BC13="","",BC13)</f>
        <v/>
      </c>
      <c r="H19" s="107"/>
      <c r="I19" s="216">
        <f>_xlfn.XLOOKUP(_xlfn.XLOOKUP($AS$6&amp;$B19,公表[班別+時段],公表[救護1],""),$AX$9:$AX$25,$AY$9:$AY$25,"")</f>
        <v>0</v>
      </c>
      <c r="J19" s="216">
        <f>_xlfn.XLOOKUP(_xlfn.XLOOKUP($AS$6&amp;$B19,公表[班別+時段],公表[救護2],""),$AX$9:$AX$25,$AY$9:$AY$25,"")</f>
        <v>0</v>
      </c>
      <c r="K19" s="105"/>
      <c r="L19" s="93" t="s">
        <v>212</v>
      </c>
      <c r="M19" s="312"/>
      <c r="N19" s="89">
        <f>_xlfn.XLOOKUP(_xlfn.XLOOKUP($AS$6&amp;$B19,公表[班別+時段],公表[備勤1],""),$AX$9:$AX$25,$AY$9:$AY$25,"")</f>
        <v>0</v>
      </c>
      <c r="O19" s="89">
        <f>_xlfn.XLOOKUP(_xlfn.XLOOKUP($AS$6&amp;$B19,公表[班別+時段],公表[備勤2],""),$AX$9:$AX$25,$AY$9:$AY$25,"")</f>
        <v>0</v>
      </c>
      <c r="P19" s="89"/>
      <c r="Q19" s="89">
        <f>_xlfn.XLOOKUP(_xlfn.XLOOKUP($AS$6&amp;$B19,公表[班別+時段],公表[備勤3],""),$AX$9:$AX$25,$AY$9:$AY$25,"")</f>
        <v>0</v>
      </c>
      <c r="R19" s="89">
        <f>_xlfn.XLOOKUP(_xlfn.XLOOKUP($AS$6&amp;$B19,公表[班別+時段],公表[備勤4],""),$AX$9:$AX$25,$AY$9:$AY$25,"")</f>
        <v>0</v>
      </c>
      <c r="S19" s="89"/>
      <c r="T19" s="89">
        <f>_xlfn.XLOOKUP(_xlfn.XLOOKUP($AS$6&amp;$B19,公表[班別+時段],公表[備勤5],""),$AX$9:$AX$25,$AY$9:$AY$25,"")</f>
        <v>0</v>
      </c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89"/>
      <c r="AC19" s="89"/>
      <c r="AD19" s="89"/>
      <c r="AE19" s="104">
        <f>_xlfn.XLOOKUP(_xlfn.XLOOKUP($AS$6&amp;$B19,公表[班別+時段],公表[指揮官],""),$AX$9:$AX$25,$AY$9:$AY$25,"")</f>
        <v>3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27">
        <v>11</v>
      </c>
      <c r="AP19" s="127" t="str">
        <v>簡君諺</v>
      </c>
      <c r="AQ19" s="127" t="str" cm="1">
        <f t="array" ref="AQ19">IFERROR(_xlfn.XLOOKUP(_xlfn.XLOOKUP($AQ$3,輪休基準表!$C$6:$C$36,_xlfn.XLOOKUP(AP19,輪休基準表!$E$5:$AF$5,輪休基準表!$E$6:$AF$36,""),""),班別參數!$A$4:$A$20,班別參數!$B$4:$B$20,""),"")</f>
        <v>輪休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/>
      </c>
      <c r="AT19" s="180" t="str">
        <f t="shared" si="0"/>
        <v/>
      </c>
      <c r="AU19" s="180" t="str">
        <f t="shared" si="1"/>
        <v/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">IF(AX19="","",_xlfn._xlws.FILTER($AO$9:$AO$13,$AQ$9:$AQ$13="上班",""))</f>
        <v>3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27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0</v>
      </c>
      <c r="D20" s="97"/>
      <c r="E20" s="97"/>
      <c r="F20" s="97"/>
      <c r="G20" s="121" t="str">
        <f>IF(BC14="","",BC14)</f>
        <v/>
      </c>
      <c r="H20" s="55"/>
      <c r="I20" s="94">
        <f>_xlfn.XLOOKUP(_xlfn.XLOOKUP($AS$6&amp;$B20,公表[班別+時段],公表[救護1],""),$AX$9:$AX$25,$AY$9:$AY$25,"")</f>
        <v>0</v>
      </c>
      <c r="J20" s="94">
        <f>_xlfn.XLOOKUP(_xlfn.XLOOKUP($AS$6&amp;$B20,公表[班別+時段],公表[救護2],""),$AX$9:$AX$25,$AY$9:$AY$25,"")</f>
        <v>0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0</v>
      </c>
      <c r="O20" s="90">
        <f>_xlfn.XLOOKUP(_xlfn.XLOOKUP($AS$6&amp;$B20,公表[班別+時段],公表[備勤2],""),$AX$9:$AX$25,$AY$9:$AY$25,"")</f>
        <v>0</v>
      </c>
      <c r="P20" s="90"/>
      <c r="Q20" s="90">
        <f>_xlfn.XLOOKUP(_xlfn.XLOOKUP($AS$6&amp;$B20,公表[班別+時段],公表[備勤3],""),$AX$9:$AX$25,$AY$9:$AY$25,"")</f>
        <v>0</v>
      </c>
      <c r="R20" s="90">
        <f>_xlfn.XLOOKUP(_xlfn.XLOOKUP($AS$6&amp;$B20,公表[班別+時段],公表[備勤4],""),$AX$9:$AX$25,$AY$9:$AY$25,"")</f>
        <v>0</v>
      </c>
      <c r="S20" s="90"/>
      <c r="T20" s="90">
        <f>_xlfn.XLOOKUP(_xlfn.XLOOKUP($AS$6&amp;$B20,公表[班別+時段],公表[備勤5],""),$AX$9:$AX$25,$AY$9:$AY$25,"")</f>
        <v>0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90"/>
      <c r="AC20" s="90"/>
      <c r="AD20" s="90"/>
      <c r="AE20" s="91">
        <f>_xlfn.XLOOKUP(_xlfn.XLOOKUP($AS$6&amp;$B20,公表[班別+時段],公表[指揮官],""),$AX$9:$AX$25,$AY$9:$AY$25,"")</f>
        <v>3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27">
        <v>12</v>
      </c>
      <c r="AP20" s="127" t="str">
        <v>王昱勛</v>
      </c>
      <c r="AQ20" s="127" t="str" cm="1">
        <f t="array" ref="AQ20">IFERROR(_xlfn.XLOOKUP(_xlfn.XLOOKUP($AQ$3,輪休基準表!$C$6:$C$36,_xlfn.XLOOKUP(AP20,輪休基準表!$E$5:$AF$5,輪休基準表!$E$6:$AF$36,""),""),班別參數!$A$4:$A$20,班別參數!$B$4:$B$20,""),"")</f>
        <v>輪休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/>
      </c>
      <c r="AT20" s="180" t="str">
        <f t="shared" si="0"/>
        <v/>
      </c>
      <c r="AU20" s="180" t="str">
        <f t="shared" si="1"/>
        <v/>
      </c>
      <c r="AV20" s="25"/>
      <c r="AW20" s="33" t="str">
        <f t="array" ref="AW20">INDEX(班別參數!$D$4:$D$20,ROW()-7,MATCH($AW$8,班別參數!$D$4:$D$20,0))</f>
        <v>帶隊官</v>
      </c>
      <c r="AX20" s="34">
        <f t="array" ref="AX20">IFERROR(INDEX(班別參數!$D$4:$S$20,MATCH(AW20,班別參數!$D$4:$D$20,0),MATCH($AS$6,班別參數!$D$4:$S$4,0)),"")</f>
        <v>0</v>
      </c>
      <c r="AY20" s="38"/>
      <c r="AZ20" s="32"/>
      <c r="BA20" s="33" t="s">
        <v>67</v>
      </c>
      <c r="BB20" s="34" t="str">
        <f t="array" ref="BB20">IFERROR(INDEX(班別參數!$D$23:$S$35,MATCH(BA20,班別參數!$D$23:$D$35,0),MATCH($AS$6,班別參數!$D$23:$S$23,0)),"")</f>
        <v>G,E</v>
      </c>
      <c r="BC20" s="41" t="str">
        <f t="shared" si="2"/>
        <v/>
      </c>
      <c r="BD20" s="127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0</v>
      </c>
      <c r="D21" s="95"/>
      <c r="E21" s="95"/>
      <c r="F21" s="95"/>
      <c r="G21" s="122" t="str">
        <f>IF(BC14="","",BC14)</f>
        <v/>
      </c>
      <c r="H21" s="296" t="str">
        <f>AY4</f>
        <v>救護訓練</v>
      </c>
      <c r="I21" s="92">
        <f>_xlfn.XLOOKUP(_xlfn.XLOOKUP($AS$6&amp;$B21,公表[班別+時段],公表[救護1],""),$AX$9:$AX$25,$AY$9:$AY$25,"")</f>
        <v>0</v>
      </c>
      <c r="J21" s="92">
        <f>_xlfn.XLOOKUP(_xlfn.XLOOKUP($AS$6&amp;$B21,公表[班別+時段],公表[救護2],""),$AX$9:$AX$25,$AY$9:$AY$25,"")</f>
        <v>0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0</v>
      </c>
      <c r="O21" s="87">
        <f>_xlfn.XLOOKUP(_xlfn.XLOOKUP($AS$6&amp;$B21,公表[班別+時段],公表[備勤2],""),$AX$9:$AX$25,$AY$9:$AY$25,"")</f>
        <v>0</v>
      </c>
      <c r="P21" s="87"/>
      <c r="Q21" s="87">
        <f>_xlfn.XLOOKUP(_xlfn.XLOOKUP($AS$6&amp;$B21,公表[班別+時段],公表[備勤3],""),$AX$9:$AX$25,$AY$9:$AY$25,"")</f>
        <v>0</v>
      </c>
      <c r="R21" s="87">
        <f>_xlfn.XLOOKUP(_xlfn.XLOOKUP($AS$6&amp;$B21,公表[班別+時段],公表[備勤4],""),$AX$9:$AX$25,$AY$9:$AY$25,"")</f>
        <v>0</v>
      </c>
      <c r="S21" s="87"/>
      <c r="T21" s="87">
        <f>_xlfn.XLOOKUP(_xlfn.XLOOKUP($AS$6&amp;$B21,公表[班別+時段],公表[備勤5],""),$AX$9:$AX$25,$AY$9:$AY$25,"")</f>
        <v>0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87"/>
      <c r="AC21" s="87"/>
      <c r="AD21" s="87"/>
      <c r="AE21" s="88">
        <f>_xlfn.XLOOKUP(_xlfn.XLOOKUP($AS$6&amp;$B21,公表[班別+時段],公表[指揮官],""),$AX$9:$AX$25,$AY$9:$AY$25,"")</f>
        <v>3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27">
        <v>13</v>
      </c>
      <c r="AP21" s="127" t="str">
        <v>葉宗哲</v>
      </c>
      <c r="AQ21" s="127" t="str" cm="1">
        <f t="array" ref="AQ21">IFERROR(_xlfn.XLOOKUP(_xlfn.XLOOKUP($AQ$3,輪休基準表!$C$6:$C$36,_xlfn.XLOOKUP(AP21,輪休基準表!$E$5:$AF$5,輪休基準表!$E$6:$AF$36,""),""),班別參數!$A$4:$A$20,班別參數!$B$4:$B$20,""),"")</f>
        <v>公假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/>
      </c>
      <c r="AT21" s="180" t="str">
        <f t="shared" si="0"/>
        <v/>
      </c>
      <c r="AU21" s="180" t="str">
        <f t="shared" si="1"/>
        <v/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27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0</v>
      </c>
      <c r="D22" s="95"/>
      <c r="E22" s="95"/>
      <c r="F22" s="95"/>
      <c r="G22" s="122" t="str">
        <f>IF(BC15="","",BC15)</f>
        <v/>
      </c>
      <c r="H22" s="297"/>
      <c r="I22" s="92">
        <f>_xlfn.XLOOKUP(_xlfn.XLOOKUP($AS$6&amp;$B22,公表[班別+時段],公表[救護1],""),$AX$9:$AX$25,$AY$9:$AY$25,"")</f>
        <v>0</v>
      </c>
      <c r="J22" s="92">
        <f>_xlfn.XLOOKUP(_xlfn.XLOOKUP($AS$6&amp;$B22,公表[班別+時段],公表[救護2],""),$AX$9:$AX$25,$AY$9:$AY$25,"")</f>
        <v>0</v>
      </c>
      <c r="K22" s="92"/>
      <c r="L22" s="87" t="s">
        <v>212</v>
      </c>
      <c r="M22" s="312"/>
      <c r="N22" s="87">
        <f>_xlfn.XLOOKUP(_xlfn.XLOOKUP($AS$6&amp;$B22,公表[班別+時段],公表[備勤1],""),$AX$9:$AX$25,$AY$9:$AY$25,"")</f>
        <v>0</v>
      </c>
      <c r="O22" s="87">
        <f>_xlfn.XLOOKUP(_xlfn.XLOOKUP($AS$6&amp;$B22,公表[班別+時段],公表[備勤2],""),$AX$9:$AX$25,$AY$9:$AY$25,"")</f>
        <v>0</v>
      </c>
      <c r="P22" s="87"/>
      <c r="Q22" s="87">
        <f>_xlfn.XLOOKUP(_xlfn.XLOOKUP($AS$6&amp;$B22,公表[班別+時段],公表[備勤3],""),$AX$9:$AX$25,$AY$9:$AY$25,"")</f>
        <v>0</v>
      </c>
      <c r="R22" s="87">
        <f>_xlfn.XLOOKUP(_xlfn.XLOOKUP($AS$6&amp;$B22,公表[班別+時段],公表[備勤4],""),$AX$9:$AX$25,$AY$9:$AY$25,"")</f>
        <v>0</v>
      </c>
      <c r="S22" s="87"/>
      <c r="T22" s="87">
        <f>_xlfn.XLOOKUP(_xlfn.XLOOKUP($AS$6&amp;$B22,公表[班別+時段],公表[備勤5],""),$AX$9:$AX$25,$AY$9:$AY$25,"")</f>
        <v>0</v>
      </c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87"/>
      <c r="AC22" s="87"/>
      <c r="AD22" s="87"/>
      <c r="AE22" s="88">
        <f>_xlfn.XLOOKUP(_xlfn.XLOOKUP($AS$6&amp;$B22,公表[班別+時段],公表[指揮官],""),$AX$9:$AX$25,$AY$9:$AY$25,"")</f>
        <v>3</v>
      </c>
      <c r="AF22" s="57" t="s">
        <v>213</v>
      </c>
      <c r="AG22" s="305" t="str" cm="1">
        <f t="array" ref="AG22">_xlfn.TEXTJOIN(".",1,_xlfn._xlws.FILTER($AO$9:$AO$40,$AQ$9:$AQ$40="上班",""))</f>
        <v>3.8.10.17.18.19.21.23.25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27">
        <v>14</v>
      </c>
      <c r="AP22" s="127" t="str">
        <v>王浩任</v>
      </c>
      <c r="AQ22" s="127" t="str" cm="1">
        <f t="array" ref="AQ22">IFERROR(_xlfn.XLOOKUP(_xlfn.XLOOKUP($AQ$3,輪休基準表!$C$6:$C$36,_xlfn.XLOOKUP(AP22,輪休基準表!$E$5:$AF$5,輪休基準表!$E$6:$AF$36,""),""),班別參數!$A$4:$A$20,班別參數!$B$4:$B$20,""),"")</f>
        <v>公假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/>
      </c>
      <c r="AT22" s="180" t="str">
        <f t="shared" si="0"/>
        <v/>
      </c>
      <c r="AU22" s="180" t="str">
        <f t="shared" si="1"/>
        <v/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27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0</v>
      </c>
      <c r="D23" s="106"/>
      <c r="E23" s="96"/>
      <c r="F23" s="96"/>
      <c r="G23" s="123" t="str">
        <f>IF(BC15="","",BC15)</f>
        <v/>
      </c>
      <c r="H23" s="107"/>
      <c r="I23" s="216">
        <f>_xlfn.XLOOKUP(_xlfn.XLOOKUP($AS$6&amp;$B23,公表[班別+時段],公表[救護1],""),$AX$9:$AX$25,$AY$9:$AY$25,"")</f>
        <v>0</v>
      </c>
      <c r="J23" s="216">
        <f>_xlfn.XLOOKUP(_xlfn.XLOOKUP($AS$6&amp;$B23,公表[班別+時段],公表[救護2],""),$AX$9:$AX$25,$AY$9:$AY$25,"")</f>
        <v>0</v>
      </c>
      <c r="K23" s="105"/>
      <c r="L23" s="93" t="s">
        <v>212</v>
      </c>
      <c r="M23" s="312"/>
      <c r="N23" s="89">
        <f>_xlfn.XLOOKUP(_xlfn.XLOOKUP($AS$6&amp;$B23,公表[班別+時段],公表[備勤1],""),$AX$9:$AX$25,$AY$9:$AY$25,"")</f>
        <v>0</v>
      </c>
      <c r="O23" s="89">
        <f>_xlfn.XLOOKUP(_xlfn.XLOOKUP($AS$6&amp;$B23,公表[班別+時段],公表[備勤2],""),$AX$9:$AX$25,$AY$9:$AY$25,"")</f>
        <v>0</v>
      </c>
      <c r="P23" s="89"/>
      <c r="Q23" s="89">
        <f>_xlfn.XLOOKUP(_xlfn.XLOOKUP($AS$6&amp;$B23,公表[班別+時段],公表[備勤3],""),$AX$9:$AX$25,$AY$9:$AY$25,"")</f>
        <v>0</v>
      </c>
      <c r="R23" s="89">
        <f>_xlfn.XLOOKUP(_xlfn.XLOOKUP($AS$6&amp;$B23,公表[班別+時段],公表[備勤4],""),$AX$9:$AX$25,$AY$9:$AY$25,"")</f>
        <v>0</v>
      </c>
      <c r="S23" s="89"/>
      <c r="T23" s="89">
        <f>_xlfn.XLOOKUP(_xlfn.XLOOKUP($AS$6&amp;$B23,公表[班別+時段],公表[備勤5],""),$AX$9:$AX$25,$AY$9:$AY$25,"")</f>
        <v>0</v>
      </c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89"/>
      <c r="AC23" s="89"/>
      <c r="AD23" s="89"/>
      <c r="AE23" s="104">
        <f>_xlfn.XLOOKUP(_xlfn.XLOOKUP($AS$6&amp;$B23,公表[班別+時段],公表[指揮官],""),$AX$9:$AX$25,$AY$9:$AY$25,"")</f>
        <v>3</v>
      </c>
      <c r="AF23" s="57" t="s">
        <v>6</v>
      </c>
      <c r="AG23" s="305" t="str" cm="1">
        <f t="array" ref="AG23">_xlfn.TEXTJOIN(".",1,_xlfn._xlws.FILTER($AO$9:$AO$40,$AQ$9:$AQ$40=$AF$23,""))</f>
        <v>1.2.5.6.7.9.11.12.15.16.26.27</v>
      </c>
      <c r="AH23" s="400"/>
      <c r="AI23" s="400"/>
      <c r="AJ23" s="400"/>
      <c r="AK23" s="400"/>
      <c r="AL23" s="400"/>
      <c r="AM23" s="401"/>
      <c r="AN23" s="214"/>
      <c r="AO23" s="127">
        <v>15</v>
      </c>
      <c r="AP23" s="127" t="str">
        <v>李仕詮</v>
      </c>
      <c r="AQ23" s="127" t="str" cm="1">
        <f t="array" ref="AQ23">IFERROR(_xlfn.XLOOKUP(_xlfn.XLOOKUP($AQ$3,輪休基準表!$C$6:$C$36,_xlfn.XLOOKUP(AP23,輪休基準表!$E$5:$AF$5,輪休基準表!$E$6:$AF$36,""),""),班別參數!$A$4:$A$20,班別參數!$B$4:$B$20,""),"")</f>
        <v>輪休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/>
      </c>
      <c r="AT23" s="180" t="str">
        <f t="shared" si="0"/>
        <v/>
      </c>
      <c r="AU23" s="180" t="str">
        <f t="shared" si="1"/>
        <v/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27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0</v>
      </c>
      <c r="D24" s="97"/>
      <c r="E24" s="97"/>
      <c r="F24" s="97"/>
      <c r="G24" s="121" t="str">
        <f>IF(BC16="","",BC16)</f>
        <v/>
      </c>
      <c r="H24" s="55"/>
      <c r="I24" s="94">
        <f>_xlfn.XLOOKUP(_xlfn.XLOOKUP($AS$6&amp;$B24,公表[班別+時段],公表[救護1],""),$AX$9:$AX$25,$AY$9:$AY$25,"")</f>
        <v>0</v>
      </c>
      <c r="J24" s="94">
        <f>_xlfn.XLOOKUP(_xlfn.XLOOKUP($AS$6&amp;$B24,公表[班別+時段],公表[救護2],""),$AX$9:$AX$25,$AY$9:$AY$25,"")</f>
        <v>0</v>
      </c>
      <c r="K24" s="90"/>
      <c r="L24" s="90" t="s">
        <v>212</v>
      </c>
      <c r="M24" s="312"/>
      <c r="N24" s="90">
        <f>_xlfn.XLOOKUP(_xlfn.XLOOKUP($AS$6&amp;$B24,公表[班別+時段],公表[備勤1],""),$AX$9:$AX$25,$AY$9:$AY$25,"")</f>
        <v>0</v>
      </c>
      <c r="O24" s="90">
        <f>_xlfn.XLOOKUP(_xlfn.XLOOKUP($AS$6&amp;$B24,公表[班別+時段],公表[備勤2],""),$AX$9:$AX$25,$AY$9:$AY$25,"")</f>
        <v>0</v>
      </c>
      <c r="P24" s="90"/>
      <c r="Q24" s="90">
        <f>_xlfn.XLOOKUP(_xlfn.XLOOKUP($AS$6&amp;$B24,公表[班別+時段],公表[備勤3],""),$AX$9:$AX$25,$AY$9:$AY$25,"")</f>
        <v>0</v>
      </c>
      <c r="R24" s="90">
        <f>_xlfn.XLOOKUP(_xlfn.XLOOKUP($AS$6&amp;$B24,公表[班別+時段],公表[備勤4],""),$AX$9:$AX$25,$AY$9:$AY$25,"")</f>
        <v>0</v>
      </c>
      <c r="S24" s="90"/>
      <c r="T24" s="90">
        <f>_xlfn.XLOOKUP(_xlfn.XLOOKUP($AS$6&amp;$B24,公表[班別+時段],公表[備勤5],""),$AX$9:$AX$25,$AY$9:$AY$25,"")</f>
        <v>0</v>
      </c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90"/>
      <c r="AC24" s="90"/>
      <c r="AD24" s="90"/>
      <c r="AE24" s="91">
        <f>_xlfn.XLOOKUP(_xlfn.XLOOKUP($AS$6&amp;$B24,公表[班別+時段],公表[指揮官],""),$AX$9:$AX$25,$AY$9:$AY$25,"")</f>
        <v>3</v>
      </c>
      <c r="AF24" s="57" t="s">
        <v>17</v>
      </c>
      <c r="AG24" s="305" t="str" cm="1">
        <f t="array" ref="AG24">_xlfn.TEXTJOIN(".",1,_xlfn._xlws.FILTER($AO$9:$AO$40,$AQ$9:$AQ$40=$AF$24,""))</f>
        <v>28</v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/>
      </c>
      <c r="AL24" s="400"/>
      <c r="AM24" s="401"/>
      <c r="AN24" s="214"/>
      <c r="AO24" s="127">
        <v>16</v>
      </c>
      <c r="AP24" s="127" t="str">
        <v>楊弘宇</v>
      </c>
      <c r="AQ24" s="127" t="str" cm="1">
        <f t="array" ref="AQ24">IFERROR(_xlfn.XLOOKUP(_xlfn.XLOOKUP($AQ$3,輪休基準表!$C$6:$C$36,_xlfn.XLOOKUP(AP24,輪休基準表!$E$5:$AF$5,輪休基準表!$E$6:$AF$36,""),""),班別參數!$A$4:$A$20,班別參數!$B$4:$B$20,""),"")</f>
        <v>輪休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/>
      </c>
      <c r="AT24" s="180" t="str">
        <f t="shared" si="0"/>
        <v/>
      </c>
      <c r="AU24" s="180" t="str">
        <f t="shared" si="1"/>
        <v/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27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0</v>
      </c>
      <c r="D25" s="95"/>
      <c r="E25" s="95"/>
      <c r="F25" s="95"/>
      <c r="G25" s="122" t="str">
        <f>IF(BC16="","",BC16)</f>
        <v/>
      </c>
      <c r="H25" s="37"/>
      <c r="I25" s="92">
        <f>_xlfn.XLOOKUP(_xlfn.XLOOKUP($AS$6&amp;$B25,公表[班別+時段],公表[救護1],""),$AX$9:$AX$25,$AY$9:$AY$25,"")</f>
        <v>0</v>
      </c>
      <c r="J25" s="92">
        <f>_xlfn.XLOOKUP(_xlfn.XLOOKUP($AS$6&amp;$B25,公表[班別+時段],公表[救護2],""),$AX$9:$AX$25,$AY$9:$AY$25,"")</f>
        <v>0</v>
      </c>
      <c r="K25" s="87"/>
      <c r="L25" s="87" t="s">
        <v>212</v>
      </c>
      <c r="M25" s="312"/>
      <c r="N25" s="87">
        <f>_xlfn.XLOOKUP(_xlfn.XLOOKUP($AS$6&amp;$B25,公表[班別+時段],公表[備勤1],""),$AX$9:$AX$25,$AY$9:$AY$25,"")</f>
        <v>0</v>
      </c>
      <c r="O25" s="87">
        <f>_xlfn.XLOOKUP(_xlfn.XLOOKUP($AS$6&amp;$B25,公表[班別+時段],公表[備勤2],""),$AX$9:$AX$25,$AY$9:$AY$25,"")</f>
        <v>0</v>
      </c>
      <c r="P25" s="87"/>
      <c r="Q25" s="87">
        <f>_xlfn.XLOOKUP(_xlfn.XLOOKUP($AS$6&amp;$B25,公表[班別+時段],公表[備勤3],""),$AX$9:$AX$25,$AY$9:$AY$25,"")</f>
        <v>0</v>
      </c>
      <c r="R25" s="87">
        <f>_xlfn.XLOOKUP(_xlfn.XLOOKUP($AS$6&amp;$B25,公表[班別+時段],公表[備勤4],""),$AX$9:$AX$25,$AY$9:$AY$25,"")</f>
        <v>0</v>
      </c>
      <c r="S25" s="87"/>
      <c r="T25" s="87">
        <f>_xlfn.XLOOKUP(_xlfn.XLOOKUP($AS$6&amp;$B25,公表[班別+時段],公表[備勤5],""),$AX$9:$AX$25,$AY$9:$AY$25,"")</f>
        <v>0</v>
      </c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87"/>
      <c r="AC25" s="87"/>
      <c r="AD25" s="87"/>
      <c r="AE25" s="88">
        <f>_xlfn.XLOOKUP(_xlfn.XLOOKUP($AS$6&amp;$B25,公表[班別+時段],公表[指揮官],""),$AX$9:$AX$25,$AY$9:$AY$25,"")</f>
        <v>3</v>
      </c>
      <c r="AF25" s="57" t="s">
        <v>28</v>
      </c>
      <c r="AG25" s="305" t="str" cm="1">
        <f t="array" ref="AG25">_xlfn.TEXTJOIN(".",1,_xlfn._xlws.FILTER($AO$9:$AO$40,$AQ$9:$AQ$40=$AF$25,""))</f>
        <v>4.24</v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>13.14.20.22</v>
      </c>
      <c r="AL25" s="309"/>
      <c r="AM25" s="310"/>
      <c r="AN25" s="214"/>
      <c r="AO25" s="127">
        <v>17</v>
      </c>
      <c r="AP25" s="127" t="str">
        <v>楊仲豪</v>
      </c>
      <c r="AQ25" s="127" t="str" cm="1">
        <f t="array" ref="AQ25">IFERROR(_xlfn.XLOOKUP(_xlfn.XLOOKUP($AQ$3,輪休基準表!$C$6:$C$36,_xlfn.XLOOKUP(AP25,輪休基準表!$E$5:$AF$5,輪休基準表!$E$6:$AF$36,""),""),班別參數!$A$4:$A$20,班別參數!$B$4:$B$20,""),"")</f>
        <v>上班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>未排</v>
      </c>
      <c r="AT25" s="180" t="str">
        <f t="shared" si="0"/>
        <v/>
      </c>
      <c r="AU25" s="180" t="str">
        <f t="shared" si="1"/>
        <v/>
      </c>
      <c r="AW25" s="33"/>
      <c r="AX25" s="45"/>
      <c r="AY25" s="25"/>
      <c r="AZ25" s="28"/>
      <c r="BA25" s="33"/>
      <c r="BB25" s="25"/>
      <c r="BD25" s="127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0</v>
      </c>
      <c r="D26" s="95"/>
      <c r="E26" s="95"/>
      <c r="F26" s="95"/>
      <c r="G26" s="122" t="str">
        <f>IF(BC17="","",BC17)</f>
        <v/>
      </c>
      <c r="H26" s="37"/>
      <c r="I26" s="92">
        <f>_xlfn.XLOOKUP(_xlfn.XLOOKUP($AS$6&amp;$B26,公表[班別+時段],公表[救護1],""),$AX$9:$AX$25,$AY$9:$AY$25,"")</f>
        <v>0</v>
      </c>
      <c r="J26" s="92">
        <f>_xlfn.XLOOKUP(_xlfn.XLOOKUP($AS$6&amp;$B26,公表[班別+時段],公表[救護2],""),$AX$9:$AX$25,$AY$9:$AY$25,"")</f>
        <v>0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0</v>
      </c>
      <c r="O26" s="87">
        <f>_xlfn.XLOOKUP(_xlfn.XLOOKUP($AS$6&amp;$B26,公表[班別+時段],公表[備勤2],""),$AX$9:$AX$25,$AY$9:$AY$25,"")</f>
        <v>0</v>
      </c>
      <c r="P26" s="87"/>
      <c r="Q26" s="87">
        <f>_xlfn.XLOOKUP(_xlfn.XLOOKUP($AS$6&amp;$B26,公表[班別+時段],公表[備勤3],""),$AX$9:$AX$25,$AY$9:$AY$25,"")</f>
        <v>0</v>
      </c>
      <c r="R26" s="87">
        <f>_xlfn.XLOOKUP(_xlfn.XLOOKUP($AS$6&amp;$B26,公表[班別+時段],公表[備勤4],""),$AX$9:$AX$25,$AY$9:$AY$25,"")</f>
        <v>0</v>
      </c>
      <c r="S26" s="87"/>
      <c r="T26" s="87">
        <f>_xlfn.XLOOKUP(_xlfn.XLOOKUP($AS$6&amp;$B26,公表[班別+時段],公表[備勤5],""),$AX$9:$AX$25,$AY$9:$AY$25,"")</f>
        <v>0</v>
      </c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87"/>
      <c r="AC26" s="87"/>
      <c r="AD26" s="87"/>
      <c r="AE26" s="88">
        <f>_xlfn.XLOOKUP(_xlfn.XLOOKUP($AS$6&amp;$B26,公表[班別+時段],公表[指揮官],""),$AX$9:$AX$25,$AY$9:$AY$25,"")</f>
        <v>3</v>
      </c>
      <c r="AF26" s="57" t="s">
        <v>289</v>
      </c>
      <c r="AG26" s="178" t="str" cm="1">
        <f t="array" ref="AG26">_xlfn.TEXTJOIN(".",1,_xlfn._xlws.FILTER($AO$9:$AO$40,$AQ$9:$AQ$40=$AF$26,""))</f>
        <v/>
      </c>
      <c r="AH26" s="168" t="s">
        <v>290</v>
      </c>
      <c r="AI26" s="179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/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27">
        <v>18</v>
      </c>
      <c r="AP26" s="127" t="str">
        <v>林志偉</v>
      </c>
      <c r="AQ26" s="127" t="str" cm="1">
        <f t="array" ref="AQ26">IFERROR(_xlfn.XLOOKUP(_xlfn.XLOOKUP($AQ$3,輪休基準表!$C$6:$C$36,_xlfn.XLOOKUP(AP26,輪休基準表!$E$5:$AF$5,輪休基準表!$E$6:$AF$36,""),""),班別參數!$A$4:$A$20,班別參數!$B$4:$B$20,""),"")</f>
        <v>上班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>未排</v>
      </c>
      <c r="AT26" s="180" t="str">
        <f t="shared" si="0"/>
        <v/>
      </c>
      <c r="AU26" s="180" t="str">
        <f t="shared" si="1"/>
        <v/>
      </c>
      <c r="AV26" s="10"/>
      <c r="AW26" s="46"/>
      <c r="AX26" s="45"/>
      <c r="AY26" s="25"/>
      <c r="AZ26" s="28"/>
      <c r="BA26" s="33"/>
      <c r="BB26" s="25"/>
      <c r="BD26" s="127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0</v>
      </c>
      <c r="D27" s="95"/>
      <c r="E27" s="95"/>
      <c r="F27" s="95"/>
      <c r="G27" s="122" t="str">
        <f>IF(BC17="","",BC17)</f>
        <v/>
      </c>
      <c r="H27" s="37"/>
      <c r="I27" s="92">
        <f>_xlfn.XLOOKUP(_xlfn.XLOOKUP($AS$6&amp;$B27,公表[班別+時段],公表[救護1],""),$AX$9:$AX$25,$AY$9:$AY$25,"")</f>
        <v>0</v>
      </c>
      <c r="J27" s="92">
        <f>_xlfn.XLOOKUP(_xlfn.XLOOKUP($AS$6&amp;$B27,公表[班別+時段],公表[救護2],""),$AX$9:$AX$25,$AY$9:$AY$25,"")</f>
        <v>0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0</v>
      </c>
      <c r="O27" s="87">
        <f>_xlfn.XLOOKUP(_xlfn.XLOOKUP($AS$6&amp;$B27,公表[班別+時段],公表[備勤2],""),$AX$9:$AX$25,$AY$9:$AY$25,"")</f>
        <v>0</v>
      </c>
      <c r="P27" s="87"/>
      <c r="Q27" s="87">
        <f>_xlfn.XLOOKUP(_xlfn.XLOOKUP($AS$6&amp;$B27,公表[班別+時段],公表[備勤3],""),$AX$9:$AX$25,$AY$9:$AY$25,"")</f>
        <v>0</v>
      </c>
      <c r="R27" s="87">
        <f>_xlfn.XLOOKUP(_xlfn.XLOOKUP($AS$6&amp;$B27,公表[班別+時段],公表[備勤4],""),$AX$9:$AX$25,$AY$9:$AY$25,"")</f>
        <v>0</v>
      </c>
      <c r="S27" s="87"/>
      <c r="T27" s="87">
        <f>_xlfn.XLOOKUP(_xlfn.XLOOKUP($AS$6&amp;$B27,公表[班別+時段],公表[備勤5],""),$AX$9:$AX$25,$AY$9:$AY$25,"")</f>
        <v>0</v>
      </c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87"/>
      <c r="AC27" s="87"/>
      <c r="AD27" s="87"/>
      <c r="AE27" s="88">
        <f>_xlfn.XLOOKUP(_xlfn.XLOOKUP($AS$6&amp;$B27,公表[班別+時段],公表[指揮官],""),$AX$9:$AX$25,$AY$9:$AY$25,"")</f>
        <v>3</v>
      </c>
      <c r="AF27" s="317" t="s">
        <v>215</v>
      </c>
      <c r="AG27" s="319"/>
      <c r="AH27" s="321"/>
      <c r="AI27" s="321"/>
      <c r="AJ27" s="321"/>
      <c r="AK27" s="321"/>
      <c r="AL27" s="321"/>
      <c r="AM27" s="322"/>
      <c r="AN27" s="214"/>
      <c r="AO27" s="127">
        <v>19</v>
      </c>
      <c r="AP27" s="127" t="str">
        <v>劉家誠</v>
      </c>
      <c r="AQ27" s="127" t="str" cm="1">
        <f t="array" ref="AQ27">IFERROR(_xlfn.XLOOKUP(_xlfn.XLOOKUP($AQ$3,輪休基準表!$C$6:$C$36,_xlfn.XLOOKUP(AP27,輪休基準表!$E$5:$AF$5,輪休基準表!$E$6:$AF$36,""),""),班別參數!$A$4:$A$20,班別參數!$B$4:$B$20,""),"")</f>
        <v>上班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>未排</v>
      </c>
      <c r="AT27" s="180" t="str">
        <f t="shared" si="0"/>
        <v/>
      </c>
      <c r="AU27" s="180" t="str">
        <f t="shared" si="1"/>
        <v/>
      </c>
      <c r="AV27" s="10"/>
      <c r="AW27" s="46"/>
      <c r="AX27" s="45"/>
      <c r="AY27" s="25"/>
      <c r="AZ27" s="28"/>
      <c r="BA27" s="33"/>
      <c r="BB27" s="25"/>
      <c r="BD27" s="127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0</v>
      </c>
      <c r="D28" s="95"/>
      <c r="E28" s="95"/>
      <c r="F28" s="95"/>
      <c r="G28" s="122" t="str">
        <f>IF(BC18="","",BC18)</f>
        <v/>
      </c>
      <c r="H28" s="37"/>
      <c r="I28" s="92">
        <f>_xlfn.XLOOKUP(_xlfn.XLOOKUP($AS$6&amp;$B28,公表[班別+時段],公表[救護1],""),$AX$9:$AX$25,$AY$9:$AY$25,"")</f>
        <v>0</v>
      </c>
      <c r="J28" s="92">
        <f>_xlfn.XLOOKUP(_xlfn.XLOOKUP($AS$6&amp;$B28,公表[班別+時段],公表[救護2],""),$AX$9:$AX$25,$AY$9:$AY$25,"")</f>
        <v>0</v>
      </c>
      <c r="K28" s="87"/>
      <c r="L28" s="87" t="s">
        <v>212</v>
      </c>
      <c r="M28" s="312"/>
      <c r="N28" s="87">
        <f>_xlfn.XLOOKUP(_xlfn.XLOOKUP($AS$6&amp;$B28,公表[班別+時段],公表[備勤1],""),$AX$9:$AX$25,$AY$9:$AY$25,"")</f>
        <v>0</v>
      </c>
      <c r="O28" s="87">
        <f>_xlfn.XLOOKUP(_xlfn.XLOOKUP($AS$6&amp;$B28,公表[班別+時段],公表[備勤2],""),$AX$9:$AX$25,$AY$9:$AY$25,"")</f>
        <v>0</v>
      </c>
      <c r="P28" s="87"/>
      <c r="Q28" s="87">
        <f>_xlfn.XLOOKUP(_xlfn.XLOOKUP($AS$6&amp;$B28,公表[班別+時段],公表[備勤3],""),$AX$9:$AX$25,$AY$9:$AY$25,"")</f>
        <v>0</v>
      </c>
      <c r="R28" s="87">
        <f>_xlfn.XLOOKUP(_xlfn.XLOOKUP($AS$6&amp;$B28,公表[班別+時段],公表[備勤4],""),$AX$9:$AX$25,$AY$9:$AY$25,"")</f>
        <v>0</v>
      </c>
      <c r="S28" s="87"/>
      <c r="T28" s="87">
        <f>_xlfn.XLOOKUP(_xlfn.XLOOKUP($AS$6&amp;$B28,公表[班別+時段],公表[備勤5],""),$AX$9:$AX$25,$AY$9:$AY$25,"")</f>
        <v>0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87"/>
      <c r="AC28" s="87"/>
      <c r="AD28" s="87"/>
      <c r="AE28" s="88">
        <f>_xlfn.XLOOKUP(_xlfn.XLOOKUP($AS$6&amp;$B28,公表[班別+時段],公表[指揮官],""),$AX$9:$AX$25,$AY$9:$AY$25,"")</f>
        <v>3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27">
        <v>20</v>
      </c>
      <c r="AP28" s="127" t="str">
        <v>呂奇霈</v>
      </c>
      <c r="AQ28" s="127" t="str" cm="1">
        <f t="array" ref="AQ28">IFERROR(_xlfn.XLOOKUP(_xlfn.XLOOKUP($AQ$3,輪休基準表!$C$6:$C$36,_xlfn.XLOOKUP(AP28,輪休基準表!$E$5:$AF$5,輪休基準表!$E$6:$AF$36,""),""),班別參數!$A$4:$A$20,班別參數!$B$4:$B$20,""),"")</f>
        <v>公假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27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0</v>
      </c>
      <c r="D29" s="95"/>
      <c r="E29" s="95"/>
      <c r="F29" s="95"/>
      <c r="G29" s="122" t="str">
        <f>IF(BC18="","",BC18)</f>
        <v/>
      </c>
      <c r="H29" s="37"/>
      <c r="I29" s="92">
        <f>_xlfn.XLOOKUP(_xlfn.XLOOKUP($AS$6&amp;$B29,公表[班別+時段],公表[救護1],""),$AX$9:$AX$25,$AY$9:$AY$25,"")</f>
        <v>0</v>
      </c>
      <c r="J29" s="92">
        <f>_xlfn.XLOOKUP(_xlfn.XLOOKUP($AS$6&amp;$B29,公表[班別+時段],公表[救護2],""),$AX$9:$AX$25,$AY$9:$AY$25,"")</f>
        <v>0</v>
      </c>
      <c r="K29" s="87"/>
      <c r="L29" s="87" t="s">
        <v>212</v>
      </c>
      <c r="M29" s="312"/>
      <c r="N29" s="87">
        <f>_xlfn.XLOOKUP(_xlfn.XLOOKUP($AS$6&amp;$B29,公表[班別+時段],公表[備勤1],""),$AX$9:$AX$25,$AY$9:$AY$25,"")</f>
        <v>0</v>
      </c>
      <c r="O29" s="87">
        <f>_xlfn.XLOOKUP(_xlfn.XLOOKUP($AS$6&amp;$B29,公表[班別+時段],公表[備勤2],""),$AX$9:$AX$25,$AY$9:$AY$25,"")</f>
        <v>0</v>
      </c>
      <c r="P29" s="87"/>
      <c r="Q29" s="87">
        <f>_xlfn.XLOOKUP(_xlfn.XLOOKUP($AS$6&amp;$B29,公表[班別+時段],公表[備勤3],""),$AX$9:$AX$25,$AY$9:$AY$25,"")</f>
        <v>0</v>
      </c>
      <c r="R29" s="87">
        <f>_xlfn.XLOOKUP(_xlfn.XLOOKUP($AS$6&amp;$B29,公表[班別+時段],公表[備勤4],""),$AX$9:$AX$25,$AY$9:$AY$25,"")</f>
        <v>0</v>
      </c>
      <c r="S29" s="87"/>
      <c r="T29" s="87">
        <f>_xlfn.XLOOKUP(_xlfn.XLOOKUP($AS$6&amp;$B29,公表[班別+時段],公表[備勤5],""),$AX$9:$AX$25,$AY$9:$AY$25,"")</f>
        <v>0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87"/>
      <c r="AC29" s="87"/>
      <c r="AD29" s="87"/>
      <c r="AE29" s="88">
        <f>_xlfn.XLOOKUP(_xlfn.XLOOKUP($AS$6&amp;$B29,公表[班別+時段],公表[指揮官],""),$AX$9:$AX$25,$AY$9:$AY$25,"")</f>
        <v>3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27">
        <v>21</v>
      </c>
      <c r="AP29" s="127" t="str">
        <v>張家和</v>
      </c>
      <c r="AQ29" s="127" t="str" cm="1">
        <f t="array" ref="AQ29">IFERROR(_xlfn.XLOOKUP(_xlfn.XLOOKUP($AQ$3,輪休基準表!$C$6:$C$36,_xlfn.XLOOKUP(AP29,輪休基準表!$E$5:$AF$5,輪休基準表!$E$6:$AF$36,""),""),班別參數!$A$4:$A$20,班別參數!$B$4:$B$20,""),"")</f>
        <v>上班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>未排</v>
      </c>
      <c r="AT29" s="180" t="str">
        <f t="shared" si="0"/>
        <v/>
      </c>
      <c r="AU29" s="180" t="str">
        <f t="shared" si="1"/>
        <v/>
      </c>
      <c r="AV29" s="10"/>
      <c r="AW29" s="47"/>
      <c r="AX29" s="45"/>
      <c r="AY29" s="25"/>
      <c r="AZ29" s="28"/>
      <c r="BA29" s="33"/>
      <c r="BB29" s="25"/>
      <c r="BD29" s="127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0</v>
      </c>
      <c r="D30" s="95"/>
      <c r="E30" s="95"/>
      <c r="F30" s="95"/>
      <c r="G30" s="122" t="str">
        <f>IF(BC19="","",BC19)</f>
        <v/>
      </c>
      <c r="H30" s="37"/>
      <c r="I30" s="92">
        <f>_xlfn.XLOOKUP(_xlfn.XLOOKUP($AS$6&amp;$B30,公表[班別+時段],公表[救護1],""),$AX$9:$AX$25,$AY$9:$AY$25,"")</f>
        <v>0</v>
      </c>
      <c r="J30" s="92">
        <f>_xlfn.XLOOKUP(_xlfn.XLOOKUP($AS$6&amp;$B30,公表[班別+時段],公表[救護2],""),$AX$9:$AX$25,$AY$9:$AY$25,"")</f>
        <v>0</v>
      </c>
      <c r="K30" s="87"/>
      <c r="L30" s="87" t="s">
        <v>212</v>
      </c>
      <c r="M30" s="312"/>
      <c r="N30" s="87">
        <f>_xlfn.XLOOKUP(_xlfn.XLOOKUP($AS$6&amp;$B30,公表[班別+時段],公表[備勤1],""),$AX$9:$AX$25,$AY$9:$AY$25,"")</f>
        <v>0</v>
      </c>
      <c r="O30" s="87">
        <f>_xlfn.XLOOKUP(_xlfn.XLOOKUP($AS$6&amp;$B30,公表[班別+時段],公表[備勤2],""),$AX$9:$AX$25,$AY$9:$AY$25,"")</f>
        <v>0</v>
      </c>
      <c r="P30" s="87"/>
      <c r="Q30" s="87">
        <f>_xlfn.XLOOKUP(_xlfn.XLOOKUP($AS$6&amp;$B30,公表[班別+時段],公表[備勤3],""),$AX$9:$AX$25,$AY$9:$AY$25,"")</f>
        <v>0</v>
      </c>
      <c r="R30" s="87">
        <f>_xlfn.XLOOKUP(_xlfn.XLOOKUP($AS$6&amp;$B30,公表[班別+時段],公表[備勤4],""),$AX$9:$AX$25,$AY$9:$AY$25,"")</f>
        <v>0</v>
      </c>
      <c r="S30" s="87"/>
      <c r="T30" s="87">
        <f>_xlfn.XLOOKUP(_xlfn.XLOOKUP($AS$6&amp;$B30,公表[班別+時段],公表[備勤5],""),$AX$9:$AX$25,$AY$9:$AY$25,"")</f>
        <v>0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87"/>
      <c r="AC30" s="87"/>
      <c r="AD30" s="87"/>
      <c r="AE30" s="88">
        <f>_xlfn.XLOOKUP(_xlfn.XLOOKUP($AS$6&amp;$B30,公表[班別+時段],公表[指揮官],""),$AX$9:$AX$25,$AY$9:$AY$25,"")</f>
        <v>3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27">
        <v>22</v>
      </c>
      <c r="AP30" s="127" t="str">
        <v>陳俊瑋</v>
      </c>
      <c r="AQ30" s="127" t="str" cm="1">
        <f t="array" ref="AQ30">IFERROR(_xlfn.XLOOKUP(_xlfn.XLOOKUP($AQ$3,輪休基準表!$C$6:$C$36,_xlfn.XLOOKUP(AP30,輪休基準表!$E$5:$AF$5,輪休基準表!$E$6:$AF$36,""),""),班別參數!$A$4:$A$20,班別參數!$B$4:$B$20,""),"")</f>
        <v>公假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27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0</v>
      </c>
      <c r="D31" s="106"/>
      <c r="E31" s="96"/>
      <c r="F31" s="96"/>
      <c r="G31" s="123" t="str">
        <f>IF(BC19="","",BC19)</f>
        <v/>
      </c>
      <c r="H31" s="109"/>
      <c r="I31" s="216">
        <f>_xlfn.XLOOKUP(_xlfn.XLOOKUP($AS$6&amp;$B31,公表[班別+時段],公表[救護1],""),$AX$9:$AX$25,$AY$9:$AY$25,"")</f>
        <v>0</v>
      </c>
      <c r="J31" s="216">
        <f>_xlfn.XLOOKUP(_xlfn.XLOOKUP($AS$6&amp;$B31,公表[班別+時段],公表[救護2],""),$AX$9:$AX$25,$AY$9:$AY$25,"")</f>
        <v>0</v>
      </c>
      <c r="K31" s="108"/>
      <c r="L31" s="93" t="s">
        <v>212</v>
      </c>
      <c r="M31" s="312"/>
      <c r="N31" s="89">
        <f>_xlfn.XLOOKUP(_xlfn.XLOOKUP($AS$6&amp;$B31,公表[班別+時段],公表[備勤1],""),$AX$9:$AX$25,$AY$9:$AY$25,"")</f>
        <v>0</v>
      </c>
      <c r="O31" s="89">
        <f>_xlfn.XLOOKUP(_xlfn.XLOOKUP($AS$6&amp;$B31,公表[班別+時段],公表[備勤2],""),$AX$9:$AX$25,$AY$9:$AY$25,"")</f>
        <v>0</v>
      </c>
      <c r="P31" s="89"/>
      <c r="Q31" s="89">
        <f>_xlfn.XLOOKUP(_xlfn.XLOOKUP($AS$6&amp;$B31,公表[班別+時段],公表[備勤3],""),$AX$9:$AX$25,$AY$9:$AY$25,"")</f>
        <v>0</v>
      </c>
      <c r="R31" s="89">
        <f>_xlfn.XLOOKUP(_xlfn.XLOOKUP($AS$6&amp;$B31,公表[班別+時段],公表[備勤4],""),$AX$9:$AX$25,$AY$9:$AY$25,"")</f>
        <v>0</v>
      </c>
      <c r="S31" s="89"/>
      <c r="T31" s="89">
        <f>_xlfn.XLOOKUP(_xlfn.XLOOKUP($AS$6&amp;$B31,公表[班別+時段],公表[備勤5],""),$AX$9:$AX$25,$AY$9:$AY$25,"")</f>
        <v>0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89"/>
      <c r="AC31" s="89"/>
      <c r="AD31" s="89"/>
      <c r="AE31" s="104">
        <f>_xlfn.XLOOKUP(_xlfn.XLOOKUP($AS$6&amp;$B31,公表[班別+時段],公表[指揮官],""),$AX$9:$AX$25,$AY$9:$AY$25,"")</f>
        <v>3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27">
        <v>23</v>
      </c>
      <c r="AP31" s="127" t="str">
        <v>陳俊翰</v>
      </c>
      <c r="AQ31" s="127" t="str" cm="1">
        <f t="array" ref="AQ31">IFERROR(_xlfn.XLOOKUP(_xlfn.XLOOKUP($AQ$3,輪休基準表!$C$6:$C$36,_xlfn.XLOOKUP(AP31,輪休基準表!$E$5:$AF$5,輪休基準表!$E$6:$AF$36,""),""),班別參數!$A$4:$A$20,班別參數!$B$4:$B$20,""),"")</f>
        <v>上班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>未排</v>
      </c>
      <c r="AT31" s="180" t="str">
        <f t="shared" si="0"/>
        <v/>
      </c>
      <c r="AU31" s="180" t="str">
        <f t="shared" si="1"/>
        <v/>
      </c>
      <c r="AW31" s="47"/>
      <c r="AX31" s="45"/>
      <c r="AY31" s="25"/>
      <c r="AZ31" s="28"/>
      <c r="BA31" s="33"/>
      <c r="BB31" s="25"/>
      <c r="BD31" s="127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0</v>
      </c>
      <c r="D32" s="97"/>
      <c r="E32" s="97"/>
      <c r="F32" s="97"/>
      <c r="G32" s="121" t="str">
        <f>IF(BC20="","",BC20)</f>
        <v/>
      </c>
      <c r="H32" s="56"/>
      <c r="I32" s="94">
        <f>_xlfn.XLOOKUP(_xlfn.XLOOKUP($AS$6&amp;$B32,公表[班別+時段],公表[救護1],""),$AX$9:$AX$25,$AY$9:$AY$25,"")</f>
        <v>0</v>
      </c>
      <c r="J32" s="94">
        <f>_xlfn.XLOOKUP(_xlfn.XLOOKUP($AS$6&amp;$B32,公表[班別+時段],公表[救護2],""),$AX$9:$AX$25,$AY$9:$AY$25,"")</f>
        <v>0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0</v>
      </c>
      <c r="O32" s="90">
        <f>_xlfn.XLOOKUP(_xlfn.XLOOKUP($AS$6&amp;$B32,公表[班別+時段],公表[備勤2],""),$AX$9:$AX$25,$AY$9:$AY$25,"")</f>
        <v>0</v>
      </c>
      <c r="P32" s="90"/>
      <c r="Q32" s="90">
        <f>_xlfn.XLOOKUP(_xlfn.XLOOKUP($AS$6&amp;$B32,公表[班別+時段],公表[備勤3],""),$AX$9:$AX$25,$AY$9:$AY$25,"")</f>
        <v>0</v>
      </c>
      <c r="R32" s="90">
        <f>_xlfn.XLOOKUP(_xlfn.XLOOKUP($AS$6&amp;$B32,公表[班別+時段],公表[備勤4],""),$AX$9:$AX$25,$AY$9:$AY$25,"")</f>
        <v>0</v>
      </c>
      <c r="S32" s="90"/>
      <c r="T32" s="90">
        <f>_xlfn.XLOOKUP(_xlfn.XLOOKUP($AS$6&amp;$B32,公表[班別+時段],公表[備勤5],""),$AX$9:$AX$25,$AY$9:$AY$25,"")</f>
        <v>0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90"/>
      <c r="AC32" s="90"/>
      <c r="AD32" s="90"/>
      <c r="AE32" s="91">
        <f>_xlfn.XLOOKUP(_xlfn.XLOOKUP($AS$6&amp;$B32,公表[班別+時段],公表[指揮官],""),$AX$9:$AX$25,$AY$9:$AY$25,"")</f>
        <v>3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27">
        <v>24</v>
      </c>
      <c r="AP32" s="127" t="str">
        <v>賴俊豪</v>
      </c>
      <c r="AQ32" s="127" t="str" cm="1">
        <f t="array" ref="AQ32">IFERROR(_xlfn.XLOOKUP(_xlfn.XLOOKUP($AQ$3,輪休基準表!$C$6:$C$36,_xlfn.XLOOKUP(AP32,輪休基準表!$E$5:$AF$5,輪休基準表!$E$6:$AF$36,""),""),班別參數!$A$4:$A$20,班別參數!$B$4:$B$20,""),"")</f>
        <v>請休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/>
      </c>
      <c r="AT32" s="180" t="str">
        <f t="shared" si="0"/>
        <v/>
      </c>
      <c r="AU32" s="180" t="str">
        <f t="shared" si="1"/>
        <v/>
      </c>
      <c r="AW32" s="47"/>
      <c r="AX32" s="45"/>
      <c r="AY32" s="25"/>
      <c r="AZ32" s="28"/>
      <c r="BA32" s="33"/>
      <c r="BB32" s="25"/>
      <c r="BD32" s="127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0</v>
      </c>
      <c r="D33" s="95"/>
      <c r="E33" s="95"/>
      <c r="F33" s="95"/>
      <c r="G33" s="122" t="str">
        <f>IF(BC20="","",BC20)</f>
        <v/>
      </c>
      <c r="H33" s="48"/>
      <c r="I33" s="92">
        <f>_xlfn.XLOOKUP(_xlfn.XLOOKUP($AS$6&amp;$B33,公表[班別+時段],公表[救護1],""),$AX$9:$AX$25,$AY$9:$AY$25,"")</f>
        <v>0</v>
      </c>
      <c r="J33" s="92">
        <f>_xlfn.XLOOKUP(_xlfn.XLOOKUP($AS$6&amp;$B33,公表[班別+時段],公表[救護2],""),$AX$9:$AX$25,$AY$9:$AY$25,"")</f>
        <v>0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0</v>
      </c>
      <c r="O33" s="87">
        <f>_xlfn.XLOOKUP(_xlfn.XLOOKUP($AS$6&amp;$B33,公表[班別+時段],公表[備勤2],""),$AX$9:$AX$25,$AY$9:$AY$25,"")</f>
        <v>0</v>
      </c>
      <c r="P33" s="87"/>
      <c r="Q33" s="87">
        <f>_xlfn.XLOOKUP(_xlfn.XLOOKUP($AS$6&amp;$B33,公表[班別+時段],公表[備勤3],""),$AX$9:$AX$25,$AY$9:$AY$25,"")</f>
        <v>0</v>
      </c>
      <c r="R33" s="87">
        <f>_xlfn.XLOOKUP(_xlfn.XLOOKUP($AS$6&amp;$B33,公表[班別+時段],公表[備勤4],""),$AX$9:$AX$25,$AY$9:$AY$25,"")</f>
        <v>0</v>
      </c>
      <c r="S33" s="87"/>
      <c r="T33" s="87">
        <f>_xlfn.XLOOKUP(_xlfn.XLOOKUP($AS$6&amp;$B33,公表[班別+時段],公表[備勤5],""),$AX$9:$AX$25,$AY$9:$AY$25,"")</f>
        <v>0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87"/>
      <c r="AC33" s="87"/>
      <c r="AD33" s="87"/>
      <c r="AE33" s="88">
        <f>_xlfn.XLOOKUP(_xlfn.XLOOKUP($AS$6&amp;$B33,公表[班別+時段],公表[指揮官],""),$AX$9:$AX$25,$AY$9:$AY$25,"")</f>
        <v>3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27">
        <v>25</v>
      </c>
      <c r="AP33" s="127" t="str">
        <v>郭國偵</v>
      </c>
      <c r="AQ33" s="127" t="str" cm="1">
        <f t="array" ref="AQ33">IFERROR(_xlfn.XLOOKUP(_xlfn.XLOOKUP($AQ$3,輪休基準表!$C$6:$C$36,_xlfn.XLOOKUP(AP33,輪休基準表!$E$5:$AF$5,輪休基準表!$E$6:$AF$36,""),""),班別參數!$A$4:$A$20,班別參數!$B$4:$B$20,""),"")</f>
        <v>上班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>未排</v>
      </c>
      <c r="AT33" s="180" t="str">
        <f t="shared" si="0"/>
        <v/>
      </c>
      <c r="AU33" s="180" t="str">
        <f t="shared" si="1"/>
        <v/>
      </c>
      <c r="AW33" s="47"/>
      <c r="AX33" s="45"/>
      <c r="AY33" s="25"/>
      <c r="AZ33" s="28"/>
      <c r="BA33" s="25"/>
      <c r="BB33" s="25"/>
      <c r="BD33" s="127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一、本日主管輪休，職務由小隊長孫子翔代理。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27">
        <v>26</v>
      </c>
      <c r="AP34" s="127" t="str">
        <v>楊紹文</v>
      </c>
      <c r="AQ34" s="127" t="str" cm="1">
        <f t="array" ref="AQ34">IFERROR(_xlfn.XLOOKUP(_xlfn.XLOOKUP($AQ$3,輪休基準表!$C$6:$C$36,_xlfn.XLOOKUP(AP34,輪休基準表!$E$5:$AF$5,輪休基準表!$E$6:$AF$36,""),""),班別參數!$A$4:$A$20,班別參數!$B$4:$B$20,""),"")</f>
        <v>輪休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/>
      </c>
      <c r="AT34" s="180" t="str">
        <f t="shared" si="0"/>
        <v/>
      </c>
      <c r="AU34" s="180" t="str">
        <f t="shared" si="1"/>
        <v/>
      </c>
      <c r="AW34" s="47"/>
      <c r="AX34" s="45"/>
      <c r="AY34" s="25"/>
      <c r="AZ34" s="28"/>
      <c r="BA34" s="25"/>
      <c r="BB34" s="25"/>
      <c r="BD34" s="127"/>
    </row>
    <row r="35" spans="2:56" ht="30" customHeight="1">
      <c r="B35" s="349"/>
      <c r="C35" s="359" t="str">
        <f>CONCATENATE("二、在隊訓練:09-12時:",H11,";14-17時:",H16,";19-21時:",H21,"。")</f>
        <v>二、在隊訓練:09-12時:個人防護裝備操作;14-17時:常訓體技能訓練;19-21時:救護訓練。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27">
        <v>27</v>
      </c>
      <c r="AP35" s="127" t="str">
        <v>林宏為</v>
      </c>
      <c r="AQ35" s="127" t="str" cm="1">
        <f t="array" ref="AQ35">IFERROR(_xlfn.XLOOKUP(_xlfn.XLOOKUP($AQ$3,輪休基準表!$C$6:$C$36,_xlfn.XLOOKUP(AP35,輪休基準表!$E$5:$AF$5,輪休基準表!$E$6:$AF$36,""),""),班別參數!$A$4:$A$20,班別參數!$B$4:$B$20,""),"")</f>
        <v>輪休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/>
      </c>
      <c r="AT35" s="180" t="str">
        <f t="shared" si="0"/>
        <v/>
      </c>
      <c r="AU35" s="180" t="str">
        <f t="shared" si="1"/>
        <v/>
      </c>
      <c r="AW35" s="47"/>
      <c r="AX35" s="45"/>
      <c r="AY35" s="25"/>
      <c r="AZ35" s="28"/>
      <c r="BA35" s="25"/>
      <c r="BB35" s="25"/>
      <c r="BD35" s="127"/>
    </row>
    <row r="36" spans="2:56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27">
        <v>28</v>
      </c>
      <c r="AP36" s="127" t="str">
        <v>林宸彥</v>
      </c>
      <c r="AQ36" s="127" t="str" cm="1">
        <f t="array" ref="AQ36">IFERROR(_xlfn.XLOOKUP(_xlfn.XLOOKUP($AQ$3,輪休基準表!$C$6:$C$36,_xlfn.XLOOKUP(AP36,輪休基準表!$E$5:$AF$5,輪休基準表!$E$6:$AF$36,""),""),班別參數!$A$4:$A$20,班別參數!$B$4:$B$20,""),"")</f>
        <v>月補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/>
      </c>
      <c r="AT36" s="180" t="str">
        <f t="shared" si="0"/>
        <v/>
      </c>
      <c r="AU36" s="180" t="str">
        <f t="shared" si="1"/>
        <v/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27"/>
      <c r="AP37" s="127"/>
      <c r="AQ37" s="127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27"/>
      <c r="BD37" s="10"/>
    </row>
    <row r="38" spans="2:56" ht="15" customHeight="1">
      <c r="AQ38" s="127"/>
      <c r="AR38" s="118"/>
      <c r="AS38" s="119"/>
      <c r="AT38" s="119"/>
    </row>
    <row r="39" spans="2:56" ht="15" customHeight="1">
      <c r="AR39" s="118"/>
      <c r="AS39" s="119"/>
      <c r="AT39" s="119"/>
    </row>
    <row r="40" spans="2:56" ht="15" customHeight="1">
      <c r="AR40" s="118"/>
      <c r="AS40" s="119"/>
      <c r="AT40" s="119"/>
    </row>
  </sheetData>
  <mergeCells count="71">
    <mergeCell ref="AG22:AK22"/>
    <mergeCell ref="AG23:AM23"/>
    <mergeCell ref="AG24:AI24"/>
    <mergeCell ref="AK24:AM24"/>
    <mergeCell ref="AF33:AG33"/>
    <mergeCell ref="AH33:AI33"/>
    <mergeCell ref="AJ33:AK33"/>
    <mergeCell ref="AF31:AG31"/>
    <mergeCell ref="AH31:AI31"/>
    <mergeCell ref="AJ31:AK31"/>
    <mergeCell ref="AF32:AG32"/>
    <mergeCell ref="AH32:AI32"/>
    <mergeCell ref="AJ32:AK32"/>
    <mergeCell ref="AF27:AF28"/>
    <mergeCell ref="AG27:AM27"/>
    <mergeCell ref="AG28:AM28"/>
    <mergeCell ref="B34:B36"/>
    <mergeCell ref="C34:AE34"/>
    <mergeCell ref="AF34:AM34"/>
    <mergeCell ref="C35:AE35"/>
    <mergeCell ref="AF35:AM35"/>
    <mergeCell ref="C36:AE36"/>
    <mergeCell ref="AF36:AM36"/>
    <mergeCell ref="AF29:AM29"/>
    <mergeCell ref="AF30:AG30"/>
    <mergeCell ref="AH30:AI30"/>
    <mergeCell ref="AJ30:AK30"/>
    <mergeCell ref="AG25:AI25"/>
    <mergeCell ref="AK25:AM25"/>
    <mergeCell ref="C8:AE8"/>
    <mergeCell ref="C9:AE9"/>
    <mergeCell ref="M10:M33"/>
    <mergeCell ref="H11:H13"/>
    <mergeCell ref="H16:H18"/>
    <mergeCell ref="H21:H22"/>
    <mergeCell ref="I6:J6"/>
    <mergeCell ref="K6:L6"/>
    <mergeCell ref="N6:P6"/>
    <mergeCell ref="Q6:S6"/>
    <mergeCell ref="T6:V6"/>
    <mergeCell ref="AF5:AM6"/>
    <mergeCell ref="AO5:AO6"/>
    <mergeCell ref="T7:V7"/>
    <mergeCell ref="AR5:AR6"/>
    <mergeCell ref="AS5:AT5"/>
    <mergeCell ref="W6:Y6"/>
    <mergeCell ref="AE6:AE7"/>
    <mergeCell ref="AS6:AT6"/>
    <mergeCell ref="AP5:AQ6"/>
    <mergeCell ref="G5:G7"/>
    <mergeCell ref="B3:AM3"/>
    <mergeCell ref="AW3:AX3"/>
    <mergeCell ref="AY3:BB3"/>
    <mergeCell ref="B4:AI4"/>
    <mergeCell ref="AJ4:AM4"/>
    <mergeCell ref="AW4:AX4"/>
    <mergeCell ref="AY4:BB4"/>
    <mergeCell ref="B5:B7"/>
    <mergeCell ref="C5:C7"/>
    <mergeCell ref="D5:D7"/>
    <mergeCell ref="E5:E7"/>
    <mergeCell ref="F5:F7"/>
    <mergeCell ref="H5:H7"/>
    <mergeCell ref="I5:L5"/>
    <mergeCell ref="M5:AE5"/>
    <mergeCell ref="AY2:BB2"/>
    <mergeCell ref="B1:AE1"/>
    <mergeCell ref="AP1:AQ1"/>
    <mergeCell ref="B2:AE2"/>
    <mergeCell ref="AG2:AM2"/>
    <mergeCell ref="AW2:AX2"/>
  </mergeCells>
  <phoneticPr fontId="9" type="noConversion"/>
  <conditionalFormatting sqref="AO9:AQ36 AO37:AP37 AQ37:AQ38">
    <cfRule type="expression" dxfId="71" priority="16">
      <formula>COUNTIF($AQ9,"上班")&gt;=1</formula>
    </cfRule>
  </conditionalFormatting>
  <conditionalFormatting sqref="AF8:AF13 AH8:AH21 AJ8:AJ21 AL8:AM21">
    <cfRule type="expression" dxfId="70" priority="11">
      <formula>OR(VLOOKUP(AF8,$AO$9:$AQ$40,3,0)="上班",VLOOKUP(AF8,$AO$9:$AQ$40,3,0)="外宿")</formula>
    </cfRule>
  </conditionalFormatting>
  <conditionalFormatting sqref="AL8">
    <cfRule type="expression" dxfId="69" priority="10">
      <formula>OR(VLOOKUP(AL8,$AO$9:$AQ$36,3,0)="上班",VLOOKUP(AL8,$AO$9:$AQ$36,3,0)="外宿")</formula>
    </cfRule>
  </conditionalFormatting>
  <conditionalFormatting sqref="AR9:AR36">
    <cfRule type="notContainsText" dxfId="68" priority="2" operator="notContains" text="已排">
      <formula>ISERROR(SEARCH("已排",AR9))</formula>
    </cfRule>
  </conditionalFormatting>
  <conditionalFormatting sqref="AS9:AS36">
    <cfRule type="notContainsText" dxfId="67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3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55C93-64BC-41DB-BC9D-981F29B2D461}">
  <sheetPr codeName="工作表25">
    <pageSetUpPr fitToPage="1"/>
  </sheetPr>
  <dimension ref="B1:BD40"/>
  <sheetViews>
    <sheetView showZeros="0" view="pageBreakPreview" zoomScale="55" zoomScaleNormal="55" zoomScaleSheetLayoutView="55" workbookViewId="0">
      <selection activeCell="I6" sqref="I6:V7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6" width="5.375" style="126" customWidth="1"/>
    <col min="7" max="8" width="8.625" style="126" customWidth="1"/>
    <col min="9" max="12" width="5.375" style="126" customWidth="1"/>
    <col min="13" max="13" width="6.625" style="126" customWidth="1"/>
    <col min="14" max="31" width="5.375" style="126" customWidth="1"/>
    <col min="32" max="32" width="7.625" style="126" customWidth="1"/>
    <col min="33" max="33" width="10.625" style="126" customWidth="1"/>
    <col min="34" max="34" width="7.625" style="126" customWidth="1"/>
    <col min="35" max="35" width="10.625" style="126" customWidth="1"/>
    <col min="36" max="36" width="7.625" style="126" customWidth="1"/>
    <col min="37" max="37" width="10.625" style="126" customWidth="1"/>
    <col min="38" max="38" width="7.625" style="126" customWidth="1"/>
    <col min="39" max="39" width="10.625" style="126" customWidth="1"/>
    <col min="40" max="40" width="4.125" style="213" customWidth="1"/>
    <col min="41" max="47" width="11.625" style="126" customWidth="1"/>
    <col min="48" max="48" width="4.125" style="126" customWidth="1"/>
    <col min="49" max="49" width="16" style="126" customWidth="1"/>
    <col min="50" max="51" width="8.25" style="126" customWidth="1"/>
    <col min="52" max="52" width="4.125" style="126" customWidth="1"/>
    <col min="53" max="53" width="16" style="126" customWidth="1"/>
    <col min="54" max="54" width="8.25" style="126" customWidth="1"/>
    <col min="55" max="55" width="10.875" style="126" customWidth="1"/>
    <col min="56" max="58" width="4.125" style="126" customWidth="1"/>
    <col min="59" max="16384" width="11.25" style="126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27"/>
      <c r="AP1" s="399"/>
      <c r="AQ1" s="399"/>
      <c r="AR1" s="127"/>
      <c r="AS1" s="127"/>
      <c r="AT1" s="127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3" t="s">
        <v>178</v>
      </c>
      <c r="AR2" s="146" t="s">
        <v>228</v>
      </c>
      <c r="AS2" s="142"/>
      <c r="AT2" s="140"/>
      <c r="AU2" s="127"/>
      <c r="AV2" s="127"/>
      <c r="AW2" s="362" t="s">
        <v>127</v>
      </c>
      <c r="AX2" s="287"/>
      <c r="AY2" s="367" t="str">
        <f>_xlfn.XLOOKUP($AR$3,訓練!$L$13:$L$19,訓練!$M$13:$M$19,"")</f>
        <v>車輛裝備基礎保養維護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115年5月21日星期四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21</v>
      </c>
      <c r="AR3" s="141" t="str">
        <f>RIGHT(TEXT(1911+$AO$3&amp;"/"&amp;$AP$3&amp;"/"&amp;$AQ$3,"aaaa"),1)</f>
        <v>四</v>
      </c>
      <c r="AS3" s="145"/>
      <c r="AT3" s="145"/>
      <c r="AU3" s="127"/>
      <c r="AV3" s="127"/>
      <c r="AW3" s="362" t="s">
        <v>128</v>
      </c>
      <c r="AX3" s="287"/>
      <c r="AY3" s="368" t="str">
        <f>_xlfn.XLOOKUP($AR$3,訓練!$L$13:$L$19,訓練!$N$13:$N$19,"")</f>
        <v>戰術體能訓練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27"/>
      <c r="AU4" s="127"/>
      <c r="AV4" s="127"/>
      <c r="AW4" s="362" t="s">
        <v>129</v>
      </c>
      <c r="AX4" s="287"/>
      <c r="AY4" s="363" t="str">
        <f>_xlfn.XLOOKUP($AR$3,訓練!$L$13:$L$19,訓練!$O$13:$O$19,"")</f>
        <v>救護訓練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2"/>
      <c r="E5" s="340"/>
      <c r="F5" s="340"/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341"/>
      <c r="E6" s="341"/>
      <c r="F6" s="341"/>
      <c r="G6" s="312"/>
      <c r="H6" s="312"/>
      <c r="I6" s="334" t="s">
        <v>227</v>
      </c>
      <c r="J6" s="335"/>
      <c r="K6" s="334" t="s">
        <v>346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2+7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341"/>
      <c r="E7" s="341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192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27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27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27" cm="1">
        <f t="array" ref="AO9:AP36">TRANSPOSE(輪休基準表!E4:AF5)</f>
        <v>1</v>
      </c>
      <c r="AP9" s="127" t="str">
        <v>鄧力嘉</v>
      </c>
      <c r="AQ9" s="127" t="str" cm="1">
        <f t="array" ref="AQ9">IFERROR(_xlfn.XLOOKUP(_xlfn.XLOOKUP($AQ$3,輪休基準表!$C$6:$C$36,_xlfn.XLOOKUP(AP9,輪休基準表!$E$5:$AF$5,輪休基準表!$E$6:$AF$36,""),""),班別參數!$A$4:$A$20,班別參數!$B$4:$B$20,""),"")</f>
        <v>上班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>已排</v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 t="array" ref="AX9">IFERROR(INDEX(班別參數!$D$4:$S$20,MATCH(AW9,班別參數!$D$4:$D$20,0),MATCH($AS$6,班別參數!$D$4:$S$4,0)),"")</f>
        <v>A</v>
      </c>
      <c r="AY9" s="35"/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H,K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1</v>
      </c>
      <c r="BD9" s="127"/>
    </row>
    <row r="10" spans="2:56" ht="30" customHeight="1">
      <c r="B10" s="81" t="s">
        <v>70</v>
      </c>
      <c r="C10" s="87">
        <f>_xlfn.XLOOKUP(_xlfn.XLOOKUP($AS$6&amp;$B10,公表[班別+時段],公表[值班],""),$AX$9:$AX$25,$AY$9:$AY$25,"")</f>
        <v>0</v>
      </c>
      <c r="D10" s="95"/>
      <c r="E10" s="95"/>
      <c r="F10" s="95"/>
      <c r="G10" s="122" t="str">
        <f>IF(BC9="","",BC9)</f>
        <v>1</v>
      </c>
      <c r="H10" s="37"/>
      <c r="I10" s="92">
        <f>_xlfn.XLOOKUP(_xlfn.XLOOKUP($AS$6&amp;$B10,公表[班別+時段],公表[救護1],""),$AX$9:$AX$25,$AY$9:$AY$25,"")</f>
        <v>0</v>
      </c>
      <c r="J10" s="92">
        <f>_xlfn.XLOOKUP(_xlfn.XLOOKUP($AS$6&amp;$B10,公表[班別+時段],公表[救護2],""),$AX$9:$AX$25,$AY$9:$AY$25,"")</f>
        <v>0</v>
      </c>
      <c r="K10" s="87"/>
      <c r="L10" s="87" t="s">
        <v>212</v>
      </c>
      <c r="M10" s="311"/>
      <c r="N10" s="87">
        <f>_xlfn.XLOOKUP(_xlfn.XLOOKUP($AS$6&amp;$B10,公表[班別+時段],公表[備勤1],""),$AX$9:$AX$25,$AY$9:$AY$25,"")</f>
        <v>0</v>
      </c>
      <c r="O10" s="87">
        <f>_xlfn.XLOOKUP(_xlfn.XLOOKUP($AS$6&amp;$B10,公表[班別+時段],公表[備勤2],""),$AX$9:$AX$25,$AY$9:$AY$25,"")</f>
        <v>0</v>
      </c>
      <c r="P10" s="87"/>
      <c r="Q10" s="87">
        <f>_xlfn.XLOOKUP(_xlfn.XLOOKUP($AS$6&amp;$B10,公表[班別+時段],公表[備勤3],""),$AX$9:$AX$25,$AY$9:$AY$25,"")</f>
        <v>0</v>
      </c>
      <c r="R10" s="87">
        <f>_xlfn.XLOOKUP(_xlfn.XLOOKUP($AS$6&amp;$B10,公表[班別+時段],公表[備勤4],""),$AX$9:$AX$25,$AY$9:$AY$25,"")</f>
        <v>0</v>
      </c>
      <c r="S10" s="87"/>
      <c r="T10" s="87">
        <f>_xlfn.XLOOKUP(_xlfn.XLOOKUP($AS$6&amp;$B10,公表[班別+時段],公表[備勤5],""),$AX$9:$AX$25,$AY$9:$AY$25,"")</f>
        <v>0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87"/>
      <c r="AB10" s="87"/>
      <c r="AC10" s="87"/>
      <c r="AD10" s="87"/>
      <c r="AE10" s="88">
        <f>_xlfn.XLOOKUP(_xlfn.XLOOKUP($AS$6&amp;$B10,公表[班別+時段],公表[指揮官],""),$AX$9:$AX$25,$AY$9:$AY$25,"")</f>
        <v>2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27">
        <v>2</v>
      </c>
      <c r="AP10" s="127" t="str">
        <v>莊勝斌</v>
      </c>
      <c r="AQ10" s="127" t="str" cm="1">
        <f t="array" ref="AQ10">IFERROR(_xlfn.XLOOKUP(_xlfn.XLOOKUP($AQ$3,輪休基準表!$C$6:$C$36,_xlfn.XLOOKUP(AP10,輪休基準表!$E$5:$AF$5,輪休基準表!$E$6:$AF$36,""),""),班別參數!$A$4:$A$20,班別參數!$B$4:$B$20,""),"")</f>
        <v>上班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>已排</v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/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/>
      </c>
      <c r="BD10" s="127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0</v>
      </c>
      <c r="D11" s="95"/>
      <c r="E11" s="95"/>
      <c r="F11" s="95"/>
      <c r="G11" s="122" t="str">
        <f>IF(BC9="","",BC9)</f>
        <v>1</v>
      </c>
      <c r="H11" s="296" t="str">
        <f>AY2</f>
        <v>車輛裝備基礎保養維護</v>
      </c>
      <c r="I11" s="92">
        <f>_xlfn.XLOOKUP(_xlfn.XLOOKUP($AS$6&amp;$B11,公表[班別+時段],公表[救護1],""),$AX$9:$AX$25,$AY$9:$AY$25,"")</f>
        <v>0</v>
      </c>
      <c r="J11" s="92">
        <f>_xlfn.XLOOKUP(_xlfn.XLOOKUP($AS$6&amp;$B11,公表[班別+時段],公表[救護2],""),$AX$9:$AX$25,$AY$9:$AY$25,"")</f>
        <v>0</v>
      </c>
      <c r="K11" s="87"/>
      <c r="L11" s="87" t="s">
        <v>212</v>
      </c>
      <c r="M11" s="312"/>
      <c r="N11" s="87">
        <f>_xlfn.XLOOKUP(_xlfn.XLOOKUP($AS$6&amp;$B11,公表[班別+時段],公表[備勤1],""),$AX$9:$AX$25,$AY$9:$AY$25,"")</f>
        <v>0</v>
      </c>
      <c r="O11" s="87">
        <f>_xlfn.XLOOKUP(_xlfn.XLOOKUP($AS$6&amp;$B11,公表[班別+時段],公表[備勤2],""),$AX$9:$AX$25,$AY$9:$AY$25,"")</f>
        <v>0</v>
      </c>
      <c r="P11" s="87"/>
      <c r="Q11" s="87">
        <f>_xlfn.XLOOKUP(_xlfn.XLOOKUP($AS$6&amp;$B11,公表[班別+時段],公表[備勤3],""),$AX$9:$AX$25,$AY$9:$AY$25,"")</f>
        <v>0</v>
      </c>
      <c r="R11" s="87">
        <f>_xlfn.XLOOKUP(_xlfn.XLOOKUP($AS$6&amp;$B11,公表[班別+時段],公表[備勤4],""),$AX$9:$AX$25,$AY$9:$AY$25,"")</f>
        <v>0</v>
      </c>
      <c r="S11" s="87"/>
      <c r="T11" s="87">
        <f>_xlfn.XLOOKUP(_xlfn.XLOOKUP($AS$6&amp;$B11,公表[班別+時段],公表[備勤5],""),$AX$9:$AX$25,$AY$9:$AY$25,"")</f>
        <v>0</v>
      </c>
      <c r="U11" s="87">
        <f>_xlfn.XLOOKUP(_xlfn.XLOOKUP($AS$6&amp;$B11,公表[班別+時段],公表[備勤6],""),$AX$9:$AX$25,$AY$9:$AY$25,"")</f>
        <v>0</v>
      </c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87"/>
      <c r="AB11" s="87"/>
      <c r="AC11" s="87"/>
      <c r="AD11" s="87"/>
      <c r="AE11" s="88">
        <f>_xlfn.XLOOKUP(_xlfn.XLOOKUP($AS$6&amp;$B11,公表[班別+時段],公表[指揮官],""),$AX$9:$AX$25,$AY$9:$AY$25,"")</f>
        <v>2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27">
        <v>3</v>
      </c>
      <c r="AP11" s="127" t="str">
        <v>孫子翔</v>
      </c>
      <c r="AQ11" s="127" t="str" cm="1">
        <f t="array" ref="AQ11">IFERROR(_xlfn.XLOOKUP(_xlfn.XLOOKUP($AQ$3,輪休基準表!$C$6:$C$36,_xlfn.XLOOKUP(AP11,輪休基準表!$E$5:$AF$5,輪休基準表!$E$6:$AF$36,""),""),班別參數!$A$4:$A$20,班別參數!$B$4:$B$20,""),"")</f>
        <v>輪休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/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/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F</v>
      </c>
      <c r="BC11" s="39" t="str">
        <f t="shared" si="2"/>
        <v/>
      </c>
      <c r="BD11" s="127"/>
    </row>
    <row r="12" spans="2:56" ht="30" customHeight="1">
      <c r="B12" s="81" t="s">
        <v>75</v>
      </c>
      <c r="C12" s="87">
        <f>_xlfn.XLOOKUP(_xlfn.XLOOKUP($AS$6&amp;$B12,公表[班別+時段],公表[值班],""),$AX$9:$AX$25,$AY$9:$AY$25,"")</f>
        <v>0</v>
      </c>
      <c r="D12" s="95"/>
      <c r="E12" s="95"/>
      <c r="F12" s="95"/>
      <c r="G12" s="122" t="str">
        <f>IF(BC10="","",BC10)</f>
        <v/>
      </c>
      <c r="H12" s="314"/>
      <c r="I12" s="92">
        <f>_xlfn.XLOOKUP(_xlfn.XLOOKUP($AS$6&amp;$B12,公表[班別+時段],公表[救護1],""),$AX$9:$AX$25,$AY$9:$AY$25,"")</f>
        <v>0</v>
      </c>
      <c r="J12" s="92">
        <f>_xlfn.XLOOKUP(_xlfn.XLOOKUP($AS$6&amp;$B12,公表[班別+時段],公表[救護2],""),$AX$9:$AX$25,$AY$9:$AY$25,"")</f>
        <v>0</v>
      </c>
      <c r="K12" s="92"/>
      <c r="L12" s="87" t="s">
        <v>212</v>
      </c>
      <c r="M12" s="312"/>
      <c r="N12" s="87">
        <f>_xlfn.XLOOKUP(_xlfn.XLOOKUP($AS$6&amp;$B12,公表[班別+時段],公表[備勤1],""),$AX$9:$AX$25,$AY$9:$AY$25,"")</f>
        <v>0</v>
      </c>
      <c r="O12" s="87">
        <f>_xlfn.XLOOKUP(_xlfn.XLOOKUP($AS$6&amp;$B12,公表[班別+時段],公表[備勤2],""),$AX$9:$AX$25,$AY$9:$AY$25,"")</f>
        <v>0</v>
      </c>
      <c r="P12" s="87"/>
      <c r="Q12" s="87">
        <f>_xlfn.XLOOKUP(_xlfn.XLOOKUP($AS$6&amp;$B12,公表[班別+時段],公表[備勤3],""),$AX$9:$AX$25,$AY$9:$AY$25,"")</f>
        <v>0</v>
      </c>
      <c r="R12" s="87">
        <f>_xlfn.XLOOKUP(_xlfn.XLOOKUP($AS$6&amp;$B12,公表[班別+時段],公表[備勤4],""),$AX$9:$AX$25,$AY$9:$AY$25,"")</f>
        <v>0</v>
      </c>
      <c r="S12" s="87"/>
      <c r="T12" s="87">
        <f>_xlfn.XLOOKUP(_xlfn.XLOOKUP($AS$6&amp;$B12,公表[班別+時段],公表[備勤5],""),$AX$9:$AX$25,$AY$9:$AY$25,"")</f>
        <v>2</v>
      </c>
      <c r="U12" s="87">
        <f>_xlfn.XLOOKUP(_xlfn.XLOOKUP($AS$6&amp;$B12,公表[班別+時段],公表[備勤6],""),$AX$9:$AX$25,$AY$9:$AY$25,"")</f>
        <v>0</v>
      </c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87"/>
      <c r="AC12" s="87"/>
      <c r="AD12" s="87"/>
      <c r="AE12" s="88">
        <f>_xlfn.XLOOKUP(_xlfn.XLOOKUP($AS$6&amp;$B12,公表[班別+時段],公表[指揮官],""),$AX$9:$AX$25,$AY$9:$AY$25,"")</f>
        <v>1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27">
        <v>4</v>
      </c>
      <c r="AP12" s="127" t="str">
        <v>簡永豐</v>
      </c>
      <c r="AQ12" s="127" t="str" cm="1">
        <f t="array" ref="AQ12">IFERROR(_xlfn.XLOOKUP(_xlfn.XLOOKUP($AQ$3,輪休基準表!$C$6:$C$36,_xlfn.XLOOKUP(AP12,輪休基準表!$E$5:$AF$5,輪休基準表!$E$6:$AF$36,""),""),班別參數!$A$4:$A$20,班別參數!$B$4:$B$20,""),"")</f>
        <v>輪休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/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/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27"/>
    </row>
    <row r="13" spans="2:56" ht="30" customHeight="1" thickBot="1">
      <c r="B13" s="82" t="s">
        <v>76</v>
      </c>
      <c r="C13" s="89">
        <f>_xlfn.XLOOKUP(_xlfn.XLOOKUP($AS$6&amp;$B13,公表[班別+時段],公表[值班],""),$AX$9:$AX$25,$AY$9:$AY$25,"")</f>
        <v>0</v>
      </c>
      <c r="D13" s="233"/>
      <c r="E13" s="96"/>
      <c r="F13" s="96"/>
      <c r="G13" s="123" t="str">
        <f>IF(BC10="","",BC10)</f>
        <v/>
      </c>
      <c r="H13" s="315"/>
      <c r="I13" s="216">
        <f>_xlfn.XLOOKUP(_xlfn.XLOOKUP($AS$6&amp;$B13,公表[班別+時段],公表[救護1],""),$AX$9:$AX$25,$AY$9:$AY$25,"")</f>
        <v>0</v>
      </c>
      <c r="J13" s="216">
        <f>_xlfn.XLOOKUP(_xlfn.XLOOKUP($AS$6&amp;$B13,公表[班別+時段],公表[救護2],""),$AX$9:$AX$25,$AY$9:$AY$25,"")</f>
        <v>0</v>
      </c>
      <c r="K13" s="105"/>
      <c r="L13" s="93" t="s">
        <v>212</v>
      </c>
      <c r="M13" s="312"/>
      <c r="N13" s="89">
        <f>_xlfn.XLOOKUP(_xlfn.XLOOKUP($AS$6&amp;$B13,公表[班別+時段],公表[備勤1],""),$AX$9:$AX$25,$AY$9:$AY$25,"")</f>
        <v>0</v>
      </c>
      <c r="O13" s="89">
        <f>_xlfn.XLOOKUP(_xlfn.XLOOKUP($AS$6&amp;$B13,公表[班別+時段],公表[備勤2],""),$AX$9:$AX$25,$AY$9:$AY$25,"")</f>
        <v>0</v>
      </c>
      <c r="P13" s="89"/>
      <c r="Q13" s="89">
        <f>_xlfn.XLOOKUP(_xlfn.XLOOKUP($AS$6&amp;$B13,公表[班別+時段],公表[備勤3],""),$AX$9:$AX$25,$AY$9:$AY$25,"")</f>
        <v>0</v>
      </c>
      <c r="R13" s="89">
        <f>_xlfn.XLOOKUP(_xlfn.XLOOKUP($AS$6&amp;$B13,公表[班別+時段],公表[備勤4],""),$AX$9:$AX$25,$AY$9:$AY$25,"")</f>
        <v>0</v>
      </c>
      <c r="S13" s="89"/>
      <c r="T13" s="89">
        <f>_xlfn.XLOOKUP(_xlfn.XLOOKUP($AS$6&amp;$B13,公表[班別+時段],公表[備勤5],""),$AX$9:$AX$25,$AY$9:$AY$25,"")</f>
        <v>2</v>
      </c>
      <c r="U13" s="89">
        <f>_xlfn.XLOOKUP(_xlfn.XLOOKUP($AS$6&amp;$B13,公表[班別+時段],公表[備勤6],""),$AX$9:$AX$25,$AY$9:$AY$25,"")</f>
        <v>0</v>
      </c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89"/>
      <c r="AC13" s="89"/>
      <c r="AD13" s="89"/>
      <c r="AE13" s="104">
        <f>_xlfn.XLOOKUP(_xlfn.XLOOKUP($AS$6&amp;$B13,公表[班別+時段],公表[指揮官],""),$AX$9:$AX$25,$AY$9:$AY$25,"")</f>
        <v>1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27">
        <v>5</v>
      </c>
      <c r="AP13" s="127" t="str">
        <v>張鴻志</v>
      </c>
      <c r="AQ13" s="127" t="str" cm="1">
        <f t="array" ref="AQ13">IFERROR(_xlfn.XLOOKUP(_xlfn.XLOOKUP($AQ$3,輪休基準表!$C$6:$C$36,_xlfn.XLOOKUP(AP13,輪休基準表!$E$5:$AF$5,輪休基準表!$E$6:$AF$36,""),""),班別參數!$A$4:$A$20,班別參數!$B$4:$B$20,""),"")</f>
        <v>請休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/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/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/>
      </c>
      <c r="BD13" s="127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0</v>
      </c>
      <c r="D14" s="234"/>
      <c r="E14" s="97"/>
      <c r="F14" s="97"/>
      <c r="G14" s="121" t="str">
        <f>IF(BC11="","",BC11)</f>
        <v/>
      </c>
      <c r="H14" s="55"/>
      <c r="I14" s="94">
        <f>_xlfn.XLOOKUP(_xlfn.XLOOKUP($AS$6&amp;$B14,公表[班別+時段],公表[救護1],""),$AX$9:$AX$25,$AY$9:$AY$25,"")</f>
        <v>0</v>
      </c>
      <c r="J14" s="94">
        <f>_xlfn.XLOOKUP(_xlfn.XLOOKUP($AS$6&amp;$B14,公表[班別+時段],公表[救護2],""),$AX$9:$AX$25,$AY$9:$AY$25,"")</f>
        <v>0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0</v>
      </c>
      <c r="O14" s="90">
        <f>_xlfn.XLOOKUP(_xlfn.XLOOKUP($AS$6&amp;$B14,公表[班別+時段],公表[備勤2],""),$AX$9:$AX$25,$AY$9:$AY$25,"")</f>
        <v>0</v>
      </c>
      <c r="P14" s="90"/>
      <c r="Q14" s="90">
        <f>_xlfn.XLOOKUP(_xlfn.XLOOKUP($AS$6&amp;$B14,公表[班別+時段],公表[備勤3],""),$AX$9:$AX$25,$AY$9:$AY$25,"")</f>
        <v>0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2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90"/>
      <c r="AC14" s="90"/>
      <c r="AD14" s="90"/>
      <c r="AE14" s="91">
        <f>_xlfn.XLOOKUP(_xlfn.XLOOKUP($AS$6&amp;$B14,公表[班別+時段],公表[指揮官],""),$AX$9:$AX$25,$AY$9:$AY$25,"")</f>
        <v>1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27">
        <v>6</v>
      </c>
      <c r="AP14" s="127" t="str">
        <v>吳宗耕</v>
      </c>
      <c r="AQ14" s="127" t="str" cm="1">
        <f t="array" ref="AQ14">IFERROR(_xlfn.XLOOKUP(_xlfn.XLOOKUP($AQ$3,輪休基準表!$C$6:$C$36,_xlfn.XLOOKUP(AP14,輪休基準表!$E$5:$AF$5,輪休基準表!$E$6:$AF$36,""),""),班別參數!$A$4:$A$20,班別參數!$B$4:$B$20,""),"")</f>
        <v>上班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>未排</v>
      </c>
      <c r="AT14" s="180" t="str">
        <f t="shared" si="0"/>
        <v/>
      </c>
      <c r="AU14" s="180" t="str">
        <f t="shared" si="1"/>
        <v/>
      </c>
      <c r="AV14" s="25"/>
      <c r="AW14" s="33" t="str">
        <f t="array" ref="AW14">INDEX(班別參數!$D$4:$D$20,ROW()-7,MATCH($AW$8,班別參數!$D$4:$D$20,0))</f>
        <v>18-20</v>
      </c>
      <c r="AX14" s="34">
        <f t="array" ref="AX14">IFERROR(INDEX(班別參數!$D$4:$S$20,MATCH(AW14,班別參數!$D$4:$D$20,0),MATCH($AS$6,班別參數!$D$4:$S$4,0)),"")</f>
        <v>0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</v>
      </c>
      <c r="BC14" s="39" t="str">
        <f t="shared" si="2"/>
        <v/>
      </c>
      <c r="BD14" s="127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0</v>
      </c>
      <c r="D15" s="235"/>
      <c r="E15" s="106"/>
      <c r="F15" s="96"/>
      <c r="G15" s="123" t="str">
        <f>IF(BC11="","",BC11)</f>
        <v/>
      </c>
      <c r="H15" s="40"/>
      <c r="I15" s="216">
        <f>_xlfn.XLOOKUP(_xlfn.XLOOKUP($AS$6&amp;$B15,公表[班別+時段],公表[救護1],""),$AX$9:$AX$25,$AY$9:$AY$25,"")</f>
        <v>0</v>
      </c>
      <c r="J15" s="216">
        <f>_xlfn.XLOOKUP(_xlfn.XLOOKUP($AS$6&amp;$B15,公表[班別+時段],公表[救護2],""),$AX$9:$AX$25,$AY$9:$AY$25,"")</f>
        <v>0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0</v>
      </c>
      <c r="O15" s="89">
        <f>_xlfn.XLOOKUP(_xlfn.XLOOKUP($AS$6&amp;$B15,公表[班別+時段],公表[備勤2],""),$AX$9:$AX$25,$AY$9:$AY$25,"")</f>
        <v>0</v>
      </c>
      <c r="P15" s="89"/>
      <c r="Q15" s="89">
        <f>_xlfn.XLOOKUP(_xlfn.XLOOKUP($AS$6&amp;$B15,公表[班別+時段],公表[備勤3],""),$AX$9:$AX$25,$AY$9:$AY$25,"")</f>
        <v>0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2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89"/>
      <c r="AC15" s="89"/>
      <c r="AD15" s="89"/>
      <c r="AE15" s="104">
        <f>_xlfn.XLOOKUP(_xlfn.XLOOKUP($AS$6&amp;$B15,公表[班別+時段],公表[指揮官],""),$AX$9:$AX$25,$AY$9:$AY$25,"")</f>
        <v>1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27">
        <v>7</v>
      </c>
      <c r="AP15" s="127" t="str">
        <v>包華先</v>
      </c>
      <c r="AQ15" s="127" t="str" cm="1">
        <f t="array" ref="AQ15">IFERROR(_xlfn.XLOOKUP(_xlfn.XLOOKUP($AQ$3,輪休基準表!$C$6:$C$36,_xlfn.XLOOKUP(AP15,輪休基準表!$E$5:$AF$5,輪休基準表!$E$6:$AF$36,""),""),班別參數!$A$4:$A$20,班別參數!$B$4:$B$20,""),"")</f>
        <v>請休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/>
      </c>
      <c r="AT15" s="180" t="str">
        <f t="shared" si="0"/>
        <v/>
      </c>
      <c r="AU15" s="180" t="str">
        <f t="shared" si="1"/>
        <v/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/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/>
      </c>
      <c r="BD15" s="127"/>
    </row>
    <row r="16" spans="2:56" ht="30" customHeight="1">
      <c r="B16" s="83" t="s">
        <v>79</v>
      </c>
      <c r="C16" s="90">
        <f>_xlfn.XLOOKUP(_xlfn.XLOOKUP($AS$6&amp;$B16,公表[班別+時段],公表[值班],""),$AX$9:$AX$25,$AY$9:$AY$25,"")</f>
        <v>0</v>
      </c>
      <c r="D16" s="98"/>
      <c r="E16" s="99"/>
      <c r="F16" s="98"/>
      <c r="G16" s="121" t="str">
        <f>IF(BC12="","",BC12)</f>
        <v/>
      </c>
      <c r="H16" s="316" t="str">
        <f>AY3</f>
        <v>戰術體能訓練</v>
      </c>
      <c r="I16" s="94">
        <f>_xlfn.XLOOKUP(_xlfn.XLOOKUP($AS$6&amp;$B16,公表[班別+時段],公表[救護1],""),$AX$9:$AX$25,$AY$9:$AY$25,"")</f>
        <v>0</v>
      </c>
      <c r="J16" s="94">
        <f>_xlfn.XLOOKUP(_xlfn.XLOOKUP($AS$6&amp;$B16,公表[班別+時段],公表[救護2],""),$AX$9:$AX$25,$AY$9:$AY$25,"")</f>
        <v>0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0</v>
      </c>
      <c r="O16" s="90">
        <f>_xlfn.XLOOKUP(_xlfn.XLOOKUP($AS$6&amp;$B16,公表[班別+時段],公表[備勤2],""),$AX$9:$AX$25,$AY$9:$AY$25,"")</f>
        <v>0</v>
      </c>
      <c r="P16" s="90"/>
      <c r="Q16" s="90">
        <f>_xlfn.XLOOKUP(_xlfn.XLOOKUP($AS$6&amp;$B16,公表[班別+時段],公表[備勤3],""),$AX$9:$AX$25,$AY$9:$AY$25,"")</f>
        <v>0</v>
      </c>
      <c r="R16" s="90">
        <f>_xlfn.XLOOKUP(_xlfn.XLOOKUP($AS$6&amp;$B16,公表[班別+時段],公表[備勤4],""),$AX$9:$AX$25,$AY$9:$AY$25,"")</f>
        <v>0</v>
      </c>
      <c r="S16" s="90"/>
      <c r="T16" s="90">
        <f>_xlfn.XLOOKUP(_xlfn.XLOOKUP($AS$6&amp;$B16,公表[班別+時段],公表[備勤5],""),$AX$9:$AX$25,$AY$9:$AY$25,"")</f>
        <v>2</v>
      </c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90"/>
      <c r="AC16" s="90"/>
      <c r="AD16" s="90"/>
      <c r="AE16" s="91">
        <f>_xlfn.XLOOKUP(_xlfn.XLOOKUP($AS$6&amp;$B16,公表[班別+時段],公表[指揮官],""),$AX$9:$AX$25,$AY$9:$AY$25,"")</f>
        <v>1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27">
        <v>8</v>
      </c>
      <c r="AP16" s="127" t="str">
        <v>曾彥綸</v>
      </c>
      <c r="AQ16" s="127" t="str" cm="1">
        <f t="array" ref="AQ16">IFERROR(_xlfn.XLOOKUP(_xlfn.XLOOKUP($AQ$3,輪休基準表!$C$6:$C$36,_xlfn.XLOOKUP(AP16,輪休基準表!$E$5:$AF$5,輪休基準表!$E$6:$AF$36,""),""),班別參數!$A$4:$A$20,班別參數!$B$4:$B$20,""),"")</f>
        <v>輪休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/>
      </c>
      <c r="AT16" s="180" t="str">
        <f t="shared" si="0"/>
        <v/>
      </c>
      <c r="AU16" s="180" t="str">
        <f t="shared" si="1"/>
        <v/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/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27"/>
    </row>
    <row r="17" spans="2:56" ht="30" customHeight="1">
      <c r="B17" s="81" t="s">
        <v>80</v>
      </c>
      <c r="C17" s="87">
        <f>_xlfn.XLOOKUP(_xlfn.XLOOKUP($AS$6&amp;$B17,公表[班別+時段],公表[值班],""),$AX$9:$AX$25,$AY$9:$AY$25,"")</f>
        <v>0</v>
      </c>
      <c r="D17" s="95"/>
      <c r="E17" s="95"/>
      <c r="F17" s="100"/>
      <c r="G17" s="122" t="str">
        <f>IF(BC12="","",BC12)</f>
        <v/>
      </c>
      <c r="H17" s="314"/>
      <c r="I17" s="92">
        <f>_xlfn.XLOOKUP(_xlfn.XLOOKUP($AS$6&amp;$B17,公表[班別+時段],公表[救護1],""),$AX$9:$AX$25,$AY$9:$AY$25,"")</f>
        <v>0</v>
      </c>
      <c r="J17" s="92">
        <f>_xlfn.XLOOKUP(_xlfn.XLOOKUP($AS$6&amp;$B17,公表[班別+時段],公表[救護2],""),$AX$9:$AX$25,$AY$9:$AY$25,"")</f>
        <v>0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0</v>
      </c>
      <c r="O17" s="87">
        <f>_xlfn.XLOOKUP(_xlfn.XLOOKUP($AS$6&amp;$B17,公表[班別+時段],公表[備勤2],""),$AX$9:$AX$25,$AY$9:$AY$25,"")</f>
        <v>0</v>
      </c>
      <c r="P17" s="87"/>
      <c r="Q17" s="87">
        <f>_xlfn.XLOOKUP(_xlfn.XLOOKUP($AS$6&amp;$B17,公表[班別+時段],公表[備勤3],""),$AX$9:$AX$25,$AY$9:$AY$25,"")</f>
        <v>0</v>
      </c>
      <c r="R17" s="87">
        <f>_xlfn.XLOOKUP(_xlfn.XLOOKUP($AS$6&amp;$B17,公表[班別+時段],公表[備勤4],""),$AX$9:$AX$25,$AY$9:$AY$25,"")</f>
        <v>0</v>
      </c>
      <c r="S17" s="87"/>
      <c r="T17" s="87">
        <f>_xlfn.XLOOKUP(_xlfn.XLOOKUP($AS$6&amp;$B17,公表[班別+時段],公表[備勤5],""),$AX$9:$AX$25,$AY$9:$AY$25,"")</f>
        <v>2</v>
      </c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87"/>
      <c r="AC17" s="87"/>
      <c r="AD17" s="87"/>
      <c r="AE17" s="88">
        <f>_xlfn.XLOOKUP(_xlfn.XLOOKUP($AS$6&amp;$B17,公表[班別+時段],公表[指揮官],""),$AX$9:$AX$25,$AY$9:$AY$25,"")</f>
        <v>1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27">
        <v>9</v>
      </c>
      <c r="AP17" s="127" t="str">
        <v>鍾佳諭</v>
      </c>
      <c r="AQ17" s="127" t="str" cm="1">
        <f t="array" ref="AQ17">IFERROR(_xlfn.XLOOKUP(_xlfn.XLOOKUP($AQ$3,輪休基準表!$C$6:$C$36,_xlfn.XLOOKUP(AP17,輪休基準表!$E$5:$AF$5,輪休基準表!$E$6:$AF$36,""),""),班別參數!$A$4:$A$20,班別參數!$B$4:$B$20,""),"")</f>
        <v>請休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/>
      </c>
      <c r="AT17" s="180" t="str">
        <f t="shared" si="0"/>
        <v/>
      </c>
      <c r="AU17" s="180" t="str">
        <f t="shared" si="1"/>
        <v/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27"/>
    </row>
    <row r="18" spans="2:56" ht="30" customHeight="1">
      <c r="B18" s="81" t="s">
        <v>81</v>
      </c>
      <c r="C18" s="87">
        <f>_xlfn.XLOOKUP(_xlfn.XLOOKUP($AS$6&amp;$B18,公表[班別+時段],公表[值班],""),$AX$9:$AX$25,$AY$9:$AY$25,"")</f>
        <v>0</v>
      </c>
      <c r="D18" s="100"/>
      <c r="E18" s="95"/>
      <c r="F18" s="100"/>
      <c r="G18" s="122" t="str">
        <f>IF(BC13="","",BC13)</f>
        <v/>
      </c>
      <c r="H18" s="297"/>
      <c r="I18" s="92">
        <f>_xlfn.XLOOKUP(_xlfn.XLOOKUP($AS$6&amp;$B18,公表[班別+時段],公表[救護1],""),$AX$9:$AX$25,$AY$9:$AY$25,"")</f>
        <v>0</v>
      </c>
      <c r="J18" s="92">
        <f>_xlfn.XLOOKUP(_xlfn.XLOOKUP($AS$6&amp;$B18,公表[班別+時段],公表[救護2],""),$AX$9:$AX$25,$AY$9:$AY$25,"")</f>
        <v>0</v>
      </c>
      <c r="K18" s="92"/>
      <c r="L18" s="87" t="s">
        <v>212</v>
      </c>
      <c r="M18" s="312"/>
      <c r="N18" s="87">
        <f>_xlfn.XLOOKUP(_xlfn.XLOOKUP($AS$6&amp;$B18,公表[班別+時段],公表[備勤1],""),$AX$9:$AX$25,$AY$9:$AY$25,"")</f>
        <v>0</v>
      </c>
      <c r="O18" s="87">
        <f>_xlfn.XLOOKUP(_xlfn.XLOOKUP($AS$6&amp;$B18,公表[班別+時段],公表[備勤2],""),$AX$9:$AX$25,$AY$9:$AY$25,"")</f>
        <v>0</v>
      </c>
      <c r="P18" s="87"/>
      <c r="Q18" s="87">
        <f>_xlfn.XLOOKUP(_xlfn.XLOOKUP($AS$6&amp;$B18,公表[班別+時段],公表[備勤3],""),$AX$9:$AX$25,$AY$9:$AY$25,"")</f>
        <v>0</v>
      </c>
      <c r="R18" s="87">
        <f>_xlfn.XLOOKUP(_xlfn.XLOOKUP($AS$6&amp;$B18,公表[班別+時段],公表[備勤4],""),$AX$9:$AX$25,$AY$9:$AY$25,"")</f>
        <v>0</v>
      </c>
      <c r="S18" s="87"/>
      <c r="T18" s="87">
        <f>_xlfn.XLOOKUP(_xlfn.XLOOKUP($AS$6&amp;$B18,公表[班別+時段],公表[備勤5],""),$AX$9:$AX$25,$AY$9:$AY$25,"")</f>
        <v>2</v>
      </c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87"/>
      <c r="AC18" s="87"/>
      <c r="AD18" s="87"/>
      <c r="AE18" s="88">
        <f>_xlfn.XLOOKUP(_xlfn.XLOOKUP($AS$6&amp;$B18,公表[班別+時段],公表[指揮官],""),$AX$9:$AX$25,$AY$9:$AY$25,"")</f>
        <v>1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27">
        <v>10</v>
      </c>
      <c r="AP18" s="127" t="str">
        <v>林宏澤</v>
      </c>
      <c r="AQ18" s="127" t="str" cm="1">
        <f t="array" ref="AQ18">IFERROR(_xlfn.XLOOKUP(_xlfn.XLOOKUP($AQ$3,輪休基準表!$C$6:$C$36,_xlfn.XLOOKUP(AP18,輪休基準表!$E$5:$AF$5,輪休基準表!$E$6:$AF$36,""),""),班別參數!$A$4:$A$20,班別參數!$B$4:$B$20,""),"")</f>
        <v>輪休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/>
      </c>
      <c r="AT18" s="180" t="str">
        <f t="shared" si="0"/>
        <v/>
      </c>
      <c r="AU18" s="180" t="str">
        <f t="shared" si="1"/>
        <v/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27"/>
    </row>
    <row r="19" spans="2:56" ht="30" customHeight="1" thickBot="1">
      <c r="B19" s="110" t="s">
        <v>82</v>
      </c>
      <c r="C19" s="89">
        <f>_xlfn.XLOOKUP(_xlfn.XLOOKUP($AS$6&amp;$B19,公表[班別+時段],公表[值班],""),$AX$9:$AX$25,$AY$9:$AY$25,"")</f>
        <v>0</v>
      </c>
      <c r="D19" s="106"/>
      <c r="E19" s="96"/>
      <c r="F19" s="236"/>
      <c r="G19" s="123" t="str">
        <f>IF(BC13="","",BC13)</f>
        <v/>
      </c>
      <c r="H19" s="107"/>
      <c r="I19" s="216">
        <f>_xlfn.XLOOKUP(_xlfn.XLOOKUP($AS$6&amp;$B19,公表[班別+時段],公表[救護1],""),$AX$9:$AX$25,$AY$9:$AY$25,"")</f>
        <v>0</v>
      </c>
      <c r="J19" s="216">
        <f>_xlfn.XLOOKUP(_xlfn.XLOOKUP($AS$6&amp;$B19,公表[班別+時段],公表[救護2],""),$AX$9:$AX$25,$AY$9:$AY$25,"")</f>
        <v>0</v>
      </c>
      <c r="K19" s="105"/>
      <c r="L19" s="93" t="s">
        <v>212</v>
      </c>
      <c r="M19" s="312"/>
      <c r="N19" s="89">
        <f>_xlfn.XLOOKUP(_xlfn.XLOOKUP($AS$6&amp;$B19,公表[班別+時段],公表[備勤1],""),$AX$9:$AX$25,$AY$9:$AY$25,"")</f>
        <v>0</v>
      </c>
      <c r="O19" s="89">
        <f>_xlfn.XLOOKUP(_xlfn.XLOOKUP($AS$6&amp;$B19,公表[班別+時段],公表[備勤2],""),$AX$9:$AX$25,$AY$9:$AY$25,"")</f>
        <v>0</v>
      </c>
      <c r="P19" s="89"/>
      <c r="Q19" s="89">
        <f>_xlfn.XLOOKUP(_xlfn.XLOOKUP($AS$6&amp;$B19,公表[班別+時段],公表[備勤3],""),$AX$9:$AX$25,$AY$9:$AY$25,"")</f>
        <v>0</v>
      </c>
      <c r="R19" s="89">
        <f>_xlfn.XLOOKUP(_xlfn.XLOOKUP($AS$6&amp;$B19,公表[班別+時段],公表[備勤4],""),$AX$9:$AX$25,$AY$9:$AY$25,"")</f>
        <v>0</v>
      </c>
      <c r="S19" s="89"/>
      <c r="T19" s="89">
        <f>_xlfn.XLOOKUP(_xlfn.XLOOKUP($AS$6&amp;$B19,公表[班別+時段],公表[備勤5],""),$AX$9:$AX$25,$AY$9:$AY$25,"")</f>
        <v>2</v>
      </c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89"/>
      <c r="AC19" s="89"/>
      <c r="AD19" s="89"/>
      <c r="AE19" s="104">
        <f>_xlfn.XLOOKUP(_xlfn.XLOOKUP($AS$6&amp;$B19,公表[班別+時段],公表[指揮官],""),$AX$9:$AX$25,$AY$9:$AY$25,"")</f>
        <v>1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27">
        <v>11</v>
      </c>
      <c r="AP19" s="127" t="str">
        <v>簡君諺</v>
      </c>
      <c r="AQ19" s="127" t="str" cm="1">
        <f t="array" ref="AQ19">IFERROR(_xlfn.XLOOKUP(_xlfn.XLOOKUP($AQ$3,輪休基準表!$C$6:$C$36,_xlfn.XLOOKUP(AP19,輪休基準表!$E$5:$AF$5,輪休基準表!$E$6:$AF$36,""),""),班別參數!$A$4:$A$20,班別參數!$B$4:$B$20,""),"")</f>
        <v>輪休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/>
      </c>
      <c r="AT19" s="180" t="str">
        <f t="shared" si="0"/>
        <v/>
      </c>
      <c r="AU19" s="180" t="str">
        <f t="shared" si="1"/>
        <v/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:AY20">IF(AX19="","",_xlfn._xlws.FILTER($AO$9:$AO$13,$AQ$9:$AQ$13="上班",""))</f>
        <v>1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27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2</v>
      </c>
      <c r="D20" s="97"/>
      <c r="E20" s="97"/>
      <c r="F20" s="97"/>
      <c r="G20" s="121" t="str">
        <f>IF(BC14="","",BC14)</f>
        <v/>
      </c>
      <c r="H20" s="55"/>
      <c r="I20" s="94">
        <f>_xlfn.XLOOKUP(_xlfn.XLOOKUP($AS$6&amp;$B20,公表[班別+時段],公表[救護1],""),$AX$9:$AX$25,$AY$9:$AY$25,"")</f>
        <v>0</v>
      </c>
      <c r="J20" s="94">
        <f>_xlfn.XLOOKUP(_xlfn.XLOOKUP($AS$6&amp;$B20,公表[班別+時段],公表[救護2],""),$AX$9:$AX$25,$AY$9:$AY$25,"")</f>
        <v>0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0</v>
      </c>
      <c r="O20" s="90">
        <f>_xlfn.XLOOKUP(_xlfn.XLOOKUP($AS$6&amp;$B20,公表[班別+時段],公表[備勤2],""),$AX$9:$AX$25,$AY$9:$AY$25,"")</f>
        <v>0</v>
      </c>
      <c r="P20" s="90"/>
      <c r="Q20" s="90">
        <f>_xlfn.XLOOKUP(_xlfn.XLOOKUP($AS$6&amp;$B20,公表[班別+時段],公表[備勤3],""),$AX$9:$AX$25,$AY$9:$AY$25,"")</f>
        <v>0</v>
      </c>
      <c r="R20" s="90">
        <f>_xlfn.XLOOKUP(_xlfn.XLOOKUP($AS$6&amp;$B20,公表[班別+時段],公表[備勤4],""),$AX$9:$AX$25,$AY$9:$AY$25,"")</f>
        <v>0</v>
      </c>
      <c r="S20" s="90"/>
      <c r="T20" s="90">
        <f>_xlfn.XLOOKUP(_xlfn.XLOOKUP($AS$6&amp;$B20,公表[班別+時段],公表[備勤5],""),$AX$9:$AX$25,$AY$9:$AY$25,"")</f>
        <v>0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90"/>
      <c r="AC20" s="90"/>
      <c r="AD20" s="90"/>
      <c r="AE20" s="91">
        <f>_xlfn.XLOOKUP(_xlfn.XLOOKUP($AS$6&amp;$B20,公表[班別+時段],公表[指揮官],""),$AX$9:$AX$25,$AY$9:$AY$25,"")</f>
        <v>1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27">
        <v>12</v>
      </c>
      <c r="AP20" s="127" t="str">
        <v>王昱勛</v>
      </c>
      <c r="AQ20" s="127" t="str" cm="1">
        <f t="array" ref="AQ20">IFERROR(_xlfn.XLOOKUP(_xlfn.XLOOKUP($AQ$3,輪休基準表!$C$6:$C$36,_xlfn.XLOOKUP(AP20,輪休基準表!$E$5:$AF$5,輪休基準表!$E$6:$AF$36,""),""),班別參數!$A$4:$A$20,班別參數!$B$4:$B$20,""),"")</f>
        <v>上班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>未排</v>
      </c>
      <c r="AT20" s="180" t="str">
        <f t="shared" si="0"/>
        <v/>
      </c>
      <c r="AU20" s="180" t="str">
        <f t="shared" si="1"/>
        <v/>
      </c>
      <c r="AV20" s="25"/>
      <c r="AW20" s="33" t="str">
        <f t="array" ref="AW20">INDEX(班別參數!$D$4:$D$20,ROW()-7,MATCH($AW$8,班別參數!$D$4:$D$20,0))</f>
        <v>帶隊官</v>
      </c>
      <c r="AX20" s="34" t="str">
        <f t="array" ref="AX20">IFERROR(INDEX(班別參數!$D$4:$S$20,MATCH(AW20,班別參數!$D$4:$D$20,0),MATCH($AS$6,班別參數!$D$4:$S$4,0)),"")</f>
        <v>L</v>
      </c>
      <c r="AY20" s="38">
        <v>2</v>
      </c>
      <c r="AZ20" s="32"/>
      <c r="BA20" s="33" t="s">
        <v>67</v>
      </c>
      <c r="BB20" s="34" t="str">
        <f t="array" ref="BB20">IFERROR(INDEX(班別參數!$D$23:$S$35,MATCH(BA20,班別參數!$D$23:$D$35,0),MATCH($AS$6,班別參數!$D$23:$S$23,0)),"")</f>
        <v>G,L</v>
      </c>
      <c r="BC20" s="41" t="str">
        <f t="shared" si="2"/>
        <v>2</v>
      </c>
      <c r="BD20" s="127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2</v>
      </c>
      <c r="D21" s="95"/>
      <c r="E21" s="95"/>
      <c r="F21" s="95"/>
      <c r="G21" s="122" t="str">
        <f>IF(BC14="","",BC14)</f>
        <v/>
      </c>
      <c r="H21" s="296" t="str">
        <f>AY4</f>
        <v>救護訓練</v>
      </c>
      <c r="I21" s="92">
        <f>_xlfn.XLOOKUP(_xlfn.XLOOKUP($AS$6&amp;$B21,公表[班別+時段],公表[救護1],""),$AX$9:$AX$25,$AY$9:$AY$25,"")</f>
        <v>0</v>
      </c>
      <c r="J21" s="92">
        <f>_xlfn.XLOOKUP(_xlfn.XLOOKUP($AS$6&amp;$B21,公表[班別+時段],公表[救護2],""),$AX$9:$AX$25,$AY$9:$AY$25,"")</f>
        <v>0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0</v>
      </c>
      <c r="O21" s="87">
        <f>_xlfn.XLOOKUP(_xlfn.XLOOKUP($AS$6&amp;$B21,公表[班別+時段],公表[備勤2],""),$AX$9:$AX$25,$AY$9:$AY$25,"")</f>
        <v>0</v>
      </c>
      <c r="P21" s="87"/>
      <c r="Q21" s="87">
        <f>_xlfn.XLOOKUP(_xlfn.XLOOKUP($AS$6&amp;$B21,公表[班別+時段],公表[備勤3],""),$AX$9:$AX$25,$AY$9:$AY$25,"")</f>
        <v>0</v>
      </c>
      <c r="R21" s="87">
        <f>_xlfn.XLOOKUP(_xlfn.XLOOKUP($AS$6&amp;$B21,公表[班別+時段],公表[備勤4],""),$AX$9:$AX$25,$AY$9:$AY$25,"")</f>
        <v>0</v>
      </c>
      <c r="S21" s="87"/>
      <c r="T21" s="87">
        <f>_xlfn.XLOOKUP(_xlfn.XLOOKUP($AS$6&amp;$B21,公表[班別+時段],公表[備勤5],""),$AX$9:$AX$25,$AY$9:$AY$25,"")</f>
        <v>0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87"/>
      <c r="AC21" s="87"/>
      <c r="AD21" s="87"/>
      <c r="AE21" s="88">
        <f>_xlfn.XLOOKUP(_xlfn.XLOOKUP($AS$6&amp;$B21,公表[班別+時段],公表[指揮官],""),$AX$9:$AX$25,$AY$9:$AY$25,"")</f>
        <v>1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27">
        <v>13</v>
      </c>
      <c r="AP21" s="127" t="str">
        <v>葉宗哲</v>
      </c>
      <c r="AQ21" s="127" t="str" cm="1">
        <f t="array" ref="AQ21">IFERROR(_xlfn.XLOOKUP(_xlfn.XLOOKUP($AQ$3,輪休基準表!$C$6:$C$36,_xlfn.XLOOKUP(AP21,輪休基準表!$E$5:$AF$5,輪休基準表!$E$6:$AF$36,""),""),班別參數!$A$4:$A$20,班別參數!$B$4:$B$20,""),"")</f>
        <v>公假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/>
      </c>
      <c r="AT21" s="180" t="str">
        <f t="shared" si="0"/>
        <v/>
      </c>
      <c r="AU21" s="180" t="str">
        <f t="shared" si="1"/>
        <v/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27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0</v>
      </c>
      <c r="D22" s="95"/>
      <c r="E22" s="95"/>
      <c r="F22" s="95"/>
      <c r="G22" s="122" t="str">
        <f>IF(BC15="","",BC15)</f>
        <v/>
      </c>
      <c r="H22" s="297"/>
      <c r="I22" s="92">
        <f>_xlfn.XLOOKUP(_xlfn.XLOOKUP($AS$6&amp;$B22,公表[班別+時段],公表[救護1],""),$AX$9:$AX$25,$AY$9:$AY$25,"")</f>
        <v>0</v>
      </c>
      <c r="J22" s="92">
        <f>_xlfn.XLOOKUP(_xlfn.XLOOKUP($AS$6&amp;$B22,公表[班別+時段],公表[救護2],""),$AX$9:$AX$25,$AY$9:$AY$25,"")</f>
        <v>0</v>
      </c>
      <c r="K22" s="92"/>
      <c r="L22" s="87" t="s">
        <v>212</v>
      </c>
      <c r="M22" s="312"/>
      <c r="N22" s="87">
        <f>_xlfn.XLOOKUP(_xlfn.XLOOKUP($AS$6&amp;$B22,公表[班別+時段],公表[備勤1],""),$AX$9:$AX$25,$AY$9:$AY$25,"")</f>
        <v>0</v>
      </c>
      <c r="O22" s="87">
        <f>_xlfn.XLOOKUP(_xlfn.XLOOKUP($AS$6&amp;$B22,公表[班別+時段],公表[備勤2],""),$AX$9:$AX$25,$AY$9:$AY$25,"")</f>
        <v>0</v>
      </c>
      <c r="P22" s="87"/>
      <c r="Q22" s="87">
        <f>_xlfn.XLOOKUP(_xlfn.XLOOKUP($AS$6&amp;$B22,公表[班別+時段],公表[備勤3],""),$AX$9:$AX$25,$AY$9:$AY$25,"")</f>
        <v>0</v>
      </c>
      <c r="R22" s="87">
        <f>_xlfn.XLOOKUP(_xlfn.XLOOKUP($AS$6&amp;$B22,公表[班別+時段],公表[備勤4],""),$AX$9:$AX$25,$AY$9:$AY$25,"")</f>
        <v>0</v>
      </c>
      <c r="S22" s="87"/>
      <c r="T22" s="87">
        <f>_xlfn.XLOOKUP(_xlfn.XLOOKUP($AS$6&amp;$B22,公表[班別+時段],公表[備勤5],""),$AX$9:$AX$25,$AY$9:$AY$25,"")</f>
        <v>2</v>
      </c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87"/>
      <c r="AC22" s="87"/>
      <c r="AD22" s="87"/>
      <c r="AE22" s="88">
        <f>_xlfn.XLOOKUP(_xlfn.XLOOKUP($AS$6&amp;$B22,公表[班別+時段],公表[指揮官],""),$AX$9:$AX$25,$AY$9:$AY$25,"")</f>
        <v>1</v>
      </c>
      <c r="AF22" s="57" t="s">
        <v>213</v>
      </c>
      <c r="AG22" s="305" t="str" cm="1">
        <f t="array" ref="AG22">_xlfn.TEXTJOIN(".",1,_xlfn._xlws.FILTER($AO$9:$AO$40,$AQ$9:$AQ$40="上班",""))</f>
        <v>1.2.6.12.15.16.18.23.26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27">
        <v>14</v>
      </c>
      <c r="AP22" s="127" t="str">
        <v>王浩任</v>
      </c>
      <c r="AQ22" s="127" t="str" cm="1">
        <f t="array" ref="AQ22">IFERROR(_xlfn.XLOOKUP(_xlfn.XLOOKUP($AQ$3,輪休基準表!$C$6:$C$36,_xlfn.XLOOKUP(AP22,輪休基準表!$E$5:$AF$5,輪休基準表!$E$6:$AF$36,""),""),班別參數!$A$4:$A$20,班別參數!$B$4:$B$20,""),"")</f>
        <v>公假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/>
      </c>
      <c r="AT22" s="180" t="str">
        <f t="shared" si="0"/>
        <v/>
      </c>
      <c r="AU22" s="180" t="str">
        <f t="shared" si="1"/>
        <v/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27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0</v>
      </c>
      <c r="D23" s="106"/>
      <c r="E23" s="96"/>
      <c r="F23" s="96"/>
      <c r="G23" s="123" t="str">
        <f>IF(BC15="","",BC15)</f>
        <v/>
      </c>
      <c r="H23" s="107"/>
      <c r="I23" s="216">
        <f>_xlfn.XLOOKUP(_xlfn.XLOOKUP($AS$6&amp;$B23,公表[班別+時段],公表[救護1],""),$AX$9:$AX$25,$AY$9:$AY$25,"")</f>
        <v>0</v>
      </c>
      <c r="J23" s="216">
        <f>_xlfn.XLOOKUP(_xlfn.XLOOKUP($AS$6&amp;$B23,公表[班別+時段],公表[救護2],""),$AX$9:$AX$25,$AY$9:$AY$25,"")</f>
        <v>0</v>
      </c>
      <c r="K23" s="105"/>
      <c r="L23" s="93" t="s">
        <v>212</v>
      </c>
      <c r="M23" s="312"/>
      <c r="N23" s="89">
        <f>_xlfn.XLOOKUP(_xlfn.XLOOKUP($AS$6&amp;$B23,公表[班別+時段],公表[備勤1],""),$AX$9:$AX$25,$AY$9:$AY$25,"")</f>
        <v>0</v>
      </c>
      <c r="O23" s="89">
        <f>_xlfn.XLOOKUP(_xlfn.XLOOKUP($AS$6&amp;$B23,公表[班別+時段],公表[備勤2],""),$AX$9:$AX$25,$AY$9:$AY$25,"")</f>
        <v>0</v>
      </c>
      <c r="P23" s="89"/>
      <c r="Q23" s="89">
        <f>_xlfn.XLOOKUP(_xlfn.XLOOKUP($AS$6&amp;$B23,公表[班別+時段],公表[備勤3],""),$AX$9:$AX$25,$AY$9:$AY$25,"")</f>
        <v>0</v>
      </c>
      <c r="R23" s="89">
        <f>_xlfn.XLOOKUP(_xlfn.XLOOKUP($AS$6&amp;$B23,公表[班別+時段],公表[備勤4],""),$AX$9:$AX$25,$AY$9:$AY$25,"")</f>
        <v>0</v>
      </c>
      <c r="S23" s="89"/>
      <c r="T23" s="89">
        <f>_xlfn.XLOOKUP(_xlfn.XLOOKUP($AS$6&amp;$B23,公表[班別+時段],公表[備勤5],""),$AX$9:$AX$25,$AY$9:$AY$25,"")</f>
        <v>2</v>
      </c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89"/>
      <c r="AC23" s="89"/>
      <c r="AD23" s="89"/>
      <c r="AE23" s="104">
        <f>_xlfn.XLOOKUP(_xlfn.XLOOKUP($AS$6&amp;$B23,公表[班別+時段],公表[指揮官],""),$AX$9:$AX$25,$AY$9:$AY$25,"")</f>
        <v>1</v>
      </c>
      <c r="AF23" s="57" t="s">
        <v>6</v>
      </c>
      <c r="AG23" s="305" t="str" cm="1">
        <f t="array" ref="AG23">_xlfn.TEXTJOIN(".",1,_xlfn._xlws.FILTER($AO$9:$AO$40,$AQ$9:$AQ$40=$AF$23,""))</f>
        <v>3.4.8.10.11.17.19.21.24.25.27.28</v>
      </c>
      <c r="AH23" s="400"/>
      <c r="AI23" s="400"/>
      <c r="AJ23" s="400"/>
      <c r="AK23" s="400"/>
      <c r="AL23" s="400"/>
      <c r="AM23" s="401"/>
      <c r="AN23" s="214"/>
      <c r="AO23" s="127">
        <v>15</v>
      </c>
      <c r="AP23" s="127" t="str">
        <v>李仕詮</v>
      </c>
      <c r="AQ23" s="127" t="str" cm="1">
        <f t="array" ref="AQ23">IFERROR(_xlfn.XLOOKUP(_xlfn.XLOOKUP($AQ$3,輪休基準表!$C$6:$C$36,_xlfn.XLOOKUP(AP23,輪休基準表!$E$5:$AF$5,輪休基準表!$E$6:$AF$36,""),""),班別參數!$A$4:$A$20,班別參數!$B$4:$B$20,""),"")</f>
        <v>上班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>未排</v>
      </c>
      <c r="AT23" s="180" t="str">
        <f t="shared" si="0"/>
        <v/>
      </c>
      <c r="AU23" s="180" t="str">
        <f t="shared" si="1"/>
        <v/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27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0</v>
      </c>
      <c r="D24" s="97"/>
      <c r="E24" s="97"/>
      <c r="F24" s="97"/>
      <c r="G24" s="121" t="str">
        <f>IF(BC16="","",BC16)</f>
        <v/>
      </c>
      <c r="H24" s="55"/>
      <c r="I24" s="94">
        <f>_xlfn.XLOOKUP(_xlfn.XLOOKUP($AS$6&amp;$B24,公表[班別+時段],公表[救護1],""),$AX$9:$AX$25,$AY$9:$AY$25,"")</f>
        <v>0</v>
      </c>
      <c r="J24" s="94">
        <f>_xlfn.XLOOKUP(_xlfn.XLOOKUP($AS$6&amp;$B24,公表[班別+時段],公表[救護2],""),$AX$9:$AX$25,$AY$9:$AY$25,"")</f>
        <v>0</v>
      </c>
      <c r="K24" s="90"/>
      <c r="L24" s="90" t="s">
        <v>212</v>
      </c>
      <c r="M24" s="312"/>
      <c r="N24" s="90">
        <f>_xlfn.XLOOKUP(_xlfn.XLOOKUP($AS$6&amp;$B24,公表[班別+時段],公表[備勤1],""),$AX$9:$AX$25,$AY$9:$AY$25,"")</f>
        <v>0</v>
      </c>
      <c r="O24" s="90">
        <f>_xlfn.XLOOKUP(_xlfn.XLOOKUP($AS$6&amp;$B24,公表[班別+時段],公表[備勤2],""),$AX$9:$AX$25,$AY$9:$AY$25,"")</f>
        <v>0</v>
      </c>
      <c r="P24" s="90"/>
      <c r="Q24" s="90">
        <f>_xlfn.XLOOKUP(_xlfn.XLOOKUP($AS$6&amp;$B24,公表[班別+時段],公表[備勤3],""),$AX$9:$AX$25,$AY$9:$AY$25,"")</f>
        <v>0</v>
      </c>
      <c r="R24" s="90">
        <f>_xlfn.XLOOKUP(_xlfn.XLOOKUP($AS$6&amp;$B24,公表[班別+時段],公表[備勤4],""),$AX$9:$AX$25,$AY$9:$AY$25,"")</f>
        <v>0</v>
      </c>
      <c r="S24" s="90"/>
      <c r="T24" s="90">
        <f>_xlfn.XLOOKUP(_xlfn.XLOOKUP($AS$6&amp;$B24,公表[班別+時段],公表[備勤5],""),$AX$9:$AX$25,$AY$9:$AY$25,"")</f>
        <v>2</v>
      </c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90"/>
      <c r="AC24" s="90"/>
      <c r="AD24" s="90"/>
      <c r="AE24" s="91">
        <f>_xlfn.XLOOKUP(_xlfn.XLOOKUP($AS$6&amp;$B24,公表[班別+時段],公表[指揮官],""),$AX$9:$AX$25,$AY$9:$AY$25,"")</f>
        <v>1</v>
      </c>
      <c r="AF24" s="57" t="s">
        <v>17</v>
      </c>
      <c r="AG24" s="305" t="str" cm="1">
        <f t="array" ref="AG24">_xlfn.TEXTJOIN(".",1,_xlfn._xlws.FILTER($AO$9:$AO$40,$AQ$9:$AQ$40=$AF$24,""))</f>
        <v/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/>
      </c>
      <c r="AL24" s="400"/>
      <c r="AM24" s="401"/>
      <c r="AN24" s="214"/>
      <c r="AO24" s="127">
        <v>16</v>
      </c>
      <c r="AP24" s="127" t="str">
        <v>楊弘宇</v>
      </c>
      <c r="AQ24" s="127" t="str" cm="1">
        <f t="array" ref="AQ24">IFERROR(_xlfn.XLOOKUP(_xlfn.XLOOKUP($AQ$3,輪休基準表!$C$6:$C$36,_xlfn.XLOOKUP(AP24,輪休基準表!$E$5:$AF$5,輪休基準表!$E$6:$AF$36,""),""),班別參數!$A$4:$A$20,班別參數!$B$4:$B$20,""),"")</f>
        <v>上班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>未排</v>
      </c>
      <c r="AT24" s="180" t="str">
        <f t="shared" si="0"/>
        <v/>
      </c>
      <c r="AU24" s="180" t="str">
        <f t="shared" si="1"/>
        <v/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27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0</v>
      </c>
      <c r="D25" s="95"/>
      <c r="E25" s="95"/>
      <c r="F25" s="95"/>
      <c r="G25" s="122" t="str">
        <f>IF(BC16="","",BC16)</f>
        <v/>
      </c>
      <c r="H25" s="37"/>
      <c r="I25" s="92">
        <f>_xlfn.XLOOKUP(_xlfn.XLOOKUP($AS$6&amp;$B25,公表[班別+時段],公表[救護1],""),$AX$9:$AX$25,$AY$9:$AY$25,"")</f>
        <v>0</v>
      </c>
      <c r="J25" s="92">
        <f>_xlfn.XLOOKUP(_xlfn.XLOOKUP($AS$6&amp;$B25,公表[班別+時段],公表[救護2],""),$AX$9:$AX$25,$AY$9:$AY$25,"")</f>
        <v>0</v>
      </c>
      <c r="K25" s="87"/>
      <c r="L25" s="87" t="s">
        <v>212</v>
      </c>
      <c r="M25" s="312"/>
      <c r="N25" s="87">
        <f>_xlfn.XLOOKUP(_xlfn.XLOOKUP($AS$6&amp;$B25,公表[班別+時段],公表[備勤1],""),$AX$9:$AX$25,$AY$9:$AY$25,"")</f>
        <v>0</v>
      </c>
      <c r="O25" s="87">
        <f>_xlfn.XLOOKUP(_xlfn.XLOOKUP($AS$6&amp;$B25,公表[班別+時段],公表[備勤2],""),$AX$9:$AX$25,$AY$9:$AY$25,"")</f>
        <v>0</v>
      </c>
      <c r="P25" s="87"/>
      <c r="Q25" s="87">
        <f>_xlfn.XLOOKUP(_xlfn.XLOOKUP($AS$6&amp;$B25,公表[班別+時段],公表[備勤3],""),$AX$9:$AX$25,$AY$9:$AY$25,"")</f>
        <v>0</v>
      </c>
      <c r="R25" s="87">
        <f>_xlfn.XLOOKUP(_xlfn.XLOOKUP($AS$6&amp;$B25,公表[班別+時段],公表[備勤4],""),$AX$9:$AX$25,$AY$9:$AY$25,"")</f>
        <v>0</v>
      </c>
      <c r="S25" s="87"/>
      <c r="T25" s="87">
        <f>_xlfn.XLOOKUP(_xlfn.XLOOKUP($AS$6&amp;$B25,公表[班別+時段],公表[備勤5],""),$AX$9:$AX$25,$AY$9:$AY$25,"")</f>
        <v>2</v>
      </c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87"/>
      <c r="AC25" s="87"/>
      <c r="AD25" s="87"/>
      <c r="AE25" s="88">
        <f>_xlfn.XLOOKUP(_xlfn.XLOOKUP($AS$6&amp;$B25,公表[班別+時段],公表[指揮官],""),$AX$9:$AX$25,$AY$9:$AY$25,"")</f>
        <v>1</v>
      </c>
      <c r="AF25" s="57" t="s">
        <v>28</v>
      </c>
      <c r="AG25" s="305" t="str" cm="1">
        <f t="array" ref="AG25">_xlfn.TEXTJOIN(".",1,_xlfn._xlws.FILTER($AO$9:$AO$40,$AQ$9:$AQ$40=$AF$25,""))</f>
        <v>5.7.9</v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>13.14.20.22</v>
      </c>
      <c r="AL25" s="309"/>
      <c r="AM25" s="310"/>
      <c r="AN25" s="214"/>
      <c r="AO25" s="127">
        <v>17</v>
      </c>
      <c r="AP25" s="127" t="str">
        <v>楊仲豪</v>
      </c>
      <c r="AQ25" s="127" t="str" cm="1">
        <f t="array" ref="AQ25">IFERROR(_xlfn.XLOOKUP(_xlfn.XLOOKUP($AQ$3,輪休基準表!$C$6:$C$36,_xlfn.XLOOKUP(AP25,輪休基準表!$E$5:$AF$5,輪休基準表!$E$6:$AF$36,""),""),班別參數!$A$4:$A$20,班別參數!$B$4:$B$20,""),"")</f>
        <v>輪休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/>
      </c>
      <c r="AT25" s="180" t="str">
        <f t="shared" si="0"/>
        <v/>
      </c>
      <c r="AU25" s="180" t="str">
        <f t="shared" si="1"/>
        <v/>
      </c>
      <c r="AW25" s="33"/>
      <c r="AX25" s="45"/>
      <c r="AY25" s="25"/>
      <c r="AZ25" s="28"/>
      <c r="BA25" s="33"/>
      <c r="BB25" s="25"/>
      <c r="BD25" s="127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0</v>
      </c>
      <c r="D26" s="95"/>
      <c r="E26" s="95"/>
      <c r="F26" s="95"/>
      <c r="G26" s="122" t="str">
        <f>IF(BC17="","",BC17)</f>
        <v/>
      </c>
      <c r="H26" s="37"/>
      <c r="I26" s="92">
        <f>_xlfn.XLOOKUP(_xlfn.XLOOKUP($AS$6&amp;$B26,公表[班別+時段],公表[救護1],""),$AX$9:$AX$25,$AY$9:$AY$25,"")</f>
        <v>0</v>
      </c>
      <c r="J26" s="92">
        <f>_xlfn.XLOOKUP(_xlfn.XLOOKUP($AS$6&amp;$B26,公表[班別+時段],公表[救護2],""),$AX$9:$AX$25,$AY$9:$AY$25,"")</f>
        <v>0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0</v>
      </c>
      <c r="O26" s="87">
        <f>_xlfn.XLOOKUP(_xlfn.XLOOKUP($AS$6&amp;$B26,公表[班別+時段],公表[備勤2],""),$AX$9:$AX$25,$AY$9:$AY$25,"")</f>
        <v>0</v>
      </c>
      <c r="P26" s="87"/>
      <c r="Q26" s="87">
        <f>_xlfn.XLOOKUP(_xlfn.XLOOKUP($AS$6&amp;$B26,公表[班別+時段],公表[備勤3],""),$AX$9:$AX$25,$AY$9:$AY$25,"")</f>
        <v>0</v>
      </c>
      <c r="R26" s="87">
        <f>_xlfn.XLOOKUP(_xlfn.XLOOKUP($AS$6&amp;$B26,公表[班別+時段],公表[備勤4],""),$AX$9:$AX$25,$AY$9:$AY$25,"")</f>
        <v>0</v>
      </c>
      <c r="S26" s="87"/>
      <c r="T26" s="87">
        <f>_xlfn.XLOOKUP(_xlfn.XLOOKUP($AS$6&amp;$B26,公表[班別+時段],公表[備勤5],""),$AX$9:$AX$25,$AY$9:$AY$25,"")</f>
        <v>2</v>
      </c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87"/>
      <c r="AC26" s="87"/>
      <c r="AD26" s="87"/>
      <c r="AE26" s="88">
        <f>_xlfn.XLOOKUP(_xlfn.XLOOKUP($AS$6&amp;$B26,公表[班別+時段],公表[指揮官],""),$AX$9:$AX$25,$AY$9:$AY$25,"")</f>
        <v>1</v>
      </c>
      <c r="AF26" s="57" t="s">
        <v>289</v>
      </c>
      <c r="AG26" s="178" t="str" cm="1">
        <f t="array" ref="AG26">_xlfn.TEXTJOIN(".",1,_xlfn._xlws.FILTER($AO$9:$AO$40,$AQ$9:$AQ$40=$AF$26,""))</f>
        <v/>
      </c>
      <c r="AH26" s="168" t="s">
        <v>290</v>
      </c>
      <c r="AI26" s="179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/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27">
        <v>18</v>
      </c>
      <c r="AP26" s="127" t="str">
        <v>林志偉</v>
      </c>
      <c r="AQ26" s="127" t="str" cm="1">
        <f t="array" ref="AQ26">IFERROR(_xlfn.XLOOKUP(_xlfn.XLOOKUP($AQ$3,輪休基準表!$C$6:$C$36,_xlfn.XLOOKUP(AP26,輪休基準表!$E$5:$AF$5,輪休基準表!$E$6:$AF$36,""),""),班別參數!$A$4:$A$20,班別參數!$B$4:$B$20,""),"")</f>
        <v>上班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>未排</v>
      </c>
      <c r="AT26" s="180" t="str">
        <f t="shared" si="0"/>
        <v/>
      </c>
      <c r="AU26" s="180" t="str">
        <f t="shared" si="1"/>
        <v/>
      </c>
      <c r="AV26" s="10"/>
      <c r="AW26" s="46"/>
      <c r="AX26" s="45"/>
      <c r="AY26" s="25"/>
      <c r="AZ26" s="28"/>
      <c r="BA26" s="33"/>
      <c r="BB26" s="25"/>
      <c r="BD26" s="127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0</v>
      </c>
      <c r="D27" s="95"/>
      <c r="E27" s="95"/>
      <c r="F27" s="95"/>
      <c r="G27" s="122" t="str">
        <f>IF(BC17="","",BC17)</f>
        <v/>
      </c>
      <c r="H27" s="37"/>
      <c r="I27" s="92">
        <f>_xlfn.XLOOKUP(_xlfn.XLOOKUP($AS$6&amp;$B27,公表[班別+時段],公表[救護1],""),$AX$9:$AX$25,$AY$9:$AY$25,"")</f>
        <v>0</v>
      </c>
      <c r="J27" s="92">
        <f>_xlfn.XLOOKUP(_xlfn.XLOOKUP($AS$6&amp;$B27,公表[班別+時段],公表[救護2],""),$AX$9:$AX$25,$AY$9:$AY$25,"")</f>
        <v>0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0</v>
      </c>
      <c r="O27" s="87">
        <f>_xlfn.XLOOKUP(_xlfn.XLOOKUP($AS$6&amp;$B27,公表[班別+時段],公表[備勤2],""),$AX$9:$AX$25,$AY$9:$AY$25,"")</f>
        <v>0</v>
      </c>
      <c r="P27" s="87"/>
      <c r="Q27" s="87">
        <f>_xlfn.XLOOKUP(_xlfn.XLOOKUP($AS$6&amp;$B27,公表[班別+時段],公表[備勤3],""),$AX$9:$AX$25,$AY$9:$AY$25,"")</f>
        <v>0</v>
      </c>
      <c r="R27" s="87">
        <f>_xlfn.XLOOKUP(_xlfn.XLOOKUP($AS$6&amp;$B27,公表[班別+時段],公表[備勤4],""),$AX$9:$AX$25,$AY$9:$AY$25,"")</f>
        <v>0</v>
      </c>
      <c r="S27" s="87"/>
      <c r="T27" s="87">
        <f>_xlfn.XLOOKUP(_xlfn.XLOOKUP($AS$6&amp;$B27,公表[班別+時段],公表[備勤5],""),$AX$9:$AX$25,$AY$9:$AY$25,"")</f>
        <v>2</v>
      </c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87"/>
      <c r="AC27" s="87"/>
      <c r="AD27" s="87"/>
      <c r="AE27" s="88">
        <f>_xlfn.XLOOKUP(_xlfn.XLOOKUP($AS$6&amp;$B27,公表[班別+時段],公表[指揮官],""),$AX$9:$AX$25,$AY$9:$AY$25,"")</f>
        <v>1</v>
      </c>
      <c r="AF27" s="317" t="s">
        <v>215</v>
      </c>
      <c r="AG27" s="319"/>
      <c r="AH27" s="321"/>
      <c r="AI27" s="321"/>
      <c r="AJ27" s="321"/>
      <c r="AK27" s="321"/>
      <c r="AL27" s="321"/>
      <c r="AM27" s="322"/>
      <c r="AN27" s="214"/>
      <c r="AO27" s="127">
        <v>19</v>
      </c>
      <c r="AP27" s="127" t="str">
        <v>劉家誠</v>
      </c>
      <c r="AQ27" s="127" t="str" cm="1">
        <f t="array" ref="AQ27">IFERROR(_xlfn.XLOOKUP(_xlfn.XLOOKUP($AQ$3,輪休基準表!$C$6:$C$36,_xlfn.XLOOKUP(AP27,輪休基準表!$E$5:$AF$5,輪休基準表!$E$6:$AF$36,""),""),班別參數!$A$4:$A$20,班別參數!$B$4:$B$20,""),"")</f>
        <v>輪休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/>
      </c>
      <c r="AT27" s="180" t="str">
        <f t="shared" si="0"/>
        <v/>
      </c>
      <c r="AU27" s="180" t="str">
        <f t="shared" si="1"/>
        <v/>
      </c>
      <c r="AV27" s="10"/>
      <c r="AW27" s="46"/>
      <c r="AX27" s="45"/>
      <c r="AY27" s="25"/>
      <c r="AZ27" s="28"/>
      <c r="BA27" s="33"/>
      <c r="BB27" s="25"/>
      <c r="BD27" s="127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0</v>
      </c>
      <c r="D28" s="95"/>
      <c r="E28" s="95"/>
      <c r="F28" s="95"/>
      <c r="G28" s="122" t="str">
        <f>IF(BC18="","",BC18)</f>
        <v/>
      </c>
      <c r="H28" s="37"/>
      <c r="I28" s="92">
        <f>_xlfn.XLOOKUP(_xlfn.XLOOKUP($AS$6&amp;$B28,公表[班別+時段],公表[救護1],""),$AX$9:$AX$25,$AY$9:$AY$25,"")</f>
        <v>0</v>
      </c>
      <c r="J28" s="92">
        <f>_xlfn.XLOOKUP(_xlfn.XLOOKUP($AS$6&amp;$B28,公表[班別+時段],公表[救護2],""),$AX$9:$AX$25,$AY$9:$AY$25,"")</f>
        <v>0</v>
      </c>
      <c r="K28" s="87"/>
      <c r="L28" s="87" t="s">
        <v>212</v>
      </c>
      <c r="M28" s="312"/>
      <c r="N28" s="87">
        <f>_xlfn.XLOOKUP(_xlfn.XLOOKUP($AS$6&amp;$B28,公表[班別+時段],公表[備勤1],""),$AX$9:$AX$25,$AY$9:$AY$25,"")</f>
        <v>0</v>
      </c>
      <c r="O28" s="87">
        <f>_xlfn.XLOOKUP(_xlfn.XLOOKUP($AS$6&amp;$B28,公表[班別+時段],公表[備勤2],""),$AX$9:$AX$25,$AY$9:$AY$25,"")</f>
        <v>0</v>
      </c>
      <c r="P28" s="87"/>
      <c r="Q28" s="87">
        <f>_xlfn.XLOOKUP(_xlfn.XLOOKUP($AS$6&amp;$B28,公表[班別+時段],公表[備勤3],""),$AX$9:$AX$25,$AY$9:$AY$25,"")</f>
        <v>0</v>
      </c>
      <c r="R28" s="87">
        <f>_xlfn.XLOOKUP(_xlfn.XLOOKUP($AS$6&amp;$B28,公表[班別+時段],公表[備勤4],""),$AX$9:$AX$25,$AY$9:$AY$25,"")</f>
        <v>0</v>
      </c>
      <c r="S28" s="87"/>
      <c r="T28" s="87">
        <f>_xlfn.XLOOKUP(_xlfn.XLOOKUP($AS$6&amp;$B28,公表[班別+時段],公表[備勤5],""),$AX$9:$AX$25,$AY$9:$AY$25,"")</f>
        <v>2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87"/>
      <c r="AC28" s="87"/>
      <c r="AD28" s="87"/>
      <c r="AE28" s="88">
        <f>_xlfn.XLOOKUP(_xlfn.XLOOKUP($AS$6&amp;$B28,公表[班別+時段],公表[指揮官],""),$AX$9:$AX$25,$AY$9:$AY$25,"")</f>
        <v>1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27">
        <v>20</v>
      </c>
      <c r="AP28" s="127" t="str">
        <v>呂奇霈</v>
      </c>
      <c r="AQ28" s="127" t="str" cm="1">
        <f t="array" ref="AQ28">IFERROR(_xlfn.XLOOKUP(_xlfn.XLOOKUP($AQ$3,輪休基準表!$C$6:$C$36,_xlfn.XLOOKUP(AP28,輪休基準表!$E$5:$AF$5,輪休基準表!$E$6:$AF$36,""),""),班別參數!$A$4:$A$20,班別參數!$B$4:$B$20,""),"")</f>
        <v>公假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27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0</v>
      </c>
      <c r="D29" s="95"/>
      <c r="E29" s="95"/>
      <c r="F29" s="95"/>
      <c r="G29" s="122" t="str">
        <f>IF(BC18="","",BC18)</f>
        <v/>
      </c>
      <c r="H29" s="37"/>
      <c r="I29" s="92">
        <f>_xlfn.XLOOKUP(_xlfn.XLOOKUP($AS$6&amp;$B29,公表[班別+時段],公表[救護1],""),$AX$9:$AX$25,$AY$9:$AY$25,"")</f>
        <v>0</v>
      </c>
      <c r="J29" s="92">
        <f>_xlfn.XLOOKUP(_xlfn.XLOOKUP($AS$6&amp;$B29,公表[班別+時段],公表[救護2],""),$AX$9:$AX$25,$AY$9:$AY$25,"")</f>
        <v>0</v>
      </c>
      <c r="K29" s="87"/>
      <c r="L29" s="87" t="s">
        <v>212</v>
      </c>
      <c r="M29" s="312"/>
      <c r="N29" s="87">
        <f>_xlfn.XLOOKUP(_xlfn.XLOOKUP($AS$6&amp;$B29,公表[班別+時段],公表[備勤1],""),$AX$9:$AX$25,$AY$9:$AY$25,"")</f>
        <v>0</v>
      </c>
      <c r="O29" s="87">
        <f>_xlfn.XLOOKUP(_xlfn.XLOOKUP($AS$6&amp;$B29,公表[班別+時段],公表[備勤2],""),$AX$9:$AX$25,$AY$9:$AY$25,"")</f>
        <v>0</v>
      </c>
      <c r="P29" s="87"/>
      <c r="Q29" s="87">
        <f>_xlfn.XLOOKUP(_xlfn.XLOOKUP($AS$6&amp;$B29,公表[班別+時段],公表[備勤3],""),$AX$9:$AX$25,$AY$9:$AY$25,"")</f>
        <v>0</v>
      </c>
      <c r="R29" s="87">
        <f>_xlfn.XLOOKUP(_xlfn.XLOOKUP($AS$6&amp;$B29,公表[班別+時段],公表[備勤4],""),$AX$9:$AX$25,$AY$9:$AY$25,"")</f>
        <v>0</v>
      </c>
      <c r="S29" s="87"/>
      <c r="T29" s="87">
        <f>_xlfn.XLOOKUP(_xlfn.XLOOKUP($AS$6&amp;$B29,公表[班別+時段],公表[備勤5],""),$AX$9:$AX$25,$AY$9:$AY$25,"")</f>
        <v>2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87"/>
      <c r="AC29" s="87"/>
      <c r="AD29" s="87"/>
      <c r="AE29" s="88">
        <f>_xlfn.XLOOKUP(_xlfn.XLOOKUP($AS$6&amp;$B29,公表[班別+時段],公表[指揮官],""),$AX$9:$AX$25,$AY$9:$AY$25,"")</f>
        <v>1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27">
        <v>21</v>
      </c>
      <c r="AP29" s="127" t="str">
        <v>張家和</v>
      </c>
      <c r="AQ29" s="127" t="str" cm="1">
        <f t="array" ref="AQ29">IFERROR(_xlfn.XLOOKUP(_xlfn.XLOOKUP($AQ$3,輪休基準表!$C$6:$C$36,_xlfn.XLOOKUP(AP29,輪休基準表!$E$5:$AF$5,輪休基準表!$E$6:$AF$36,""),""),班別參數!$A$4:$A$20,班別參數!$B$4:$B$20,""),"")</f>
        <v>輪休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/>
      </c>
      <c r="AT29" s="180" t="str">
        <f t="shared" si="0"/>
        <v/>
      </c>
      <c r="AU29" s="180" t="str">
        <f t="shared" si="1"/>
        <v/>
      </c>
      <c r="AV29" s="10"/>
      <c r="AW29" s="47"/>
      <c r="AX29" s="45"/>
      <c r="AY29" s="25"/>
      <c r="AZ29" s="28"/>
      <c r="BA29" s="33"/>
      <c r="BB29" s="25"/>
      <c r="BD29" s="127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0</v>
      </c>
      <c r="D30" s="95"/>
      <c r="E30" s="95"/>
      <c r="F30" s="95"/>
      <c r="G30" s="122" t="str">
        <f>IF(BC19="","",BC19)</f>
        <v/>
      </c>
      <c r="H30" s="37"/>
      <c r="I30" s="92">
        <f>_xlfn.XLOOKUP(_xlfn.XLOOKUP($AS$6&amp;$B30,公表[班別+時段],公表[救護1],""),$AX$9:$AX$25,$AY$9:$AY$25,"")</f>
        <v>0</v>
      </c>
      <c r="J30" s="92">
        <f>_xlfn.XLOOKUP(_xlfn.XLOOKUP($AS$6&amp;$B30,公表[班別+時段],公表[救護2],""),$AX$9:$AX$25,$AY$9:$AY$25,"")</f>
        <v>0</v>
      </c>
      <c r="K30" s="87"/>
      <c r="L30" s="87" t="s">
        <v>212</v>
      </c>
      <c r="M30" s="312"/>
      <c r="N30" s="87">
        <f>_xlfn.XLOOKUP(_xlfn.XLOOKUP($AS$6&amp;$B30,公表[班別+時段],公表[備勤1],""),$AX$9:$AX$25,$AY$9:$AY$25,"")</f>
        <v>0</v>
      </c>
      <c r="O30" s="87">
        <f>_xlfn.XLOOKUP(_xlfn.XLOOKUP($AS$6&amp;$B30,公表[班別+時段],公表[備勤2],""),$AX$9:$AX$25,$AY$9:$AY$25,"")</f>
        <v>0</v>
      </c>
      <c r="P30" s="87"/>
      <c r="Q30" s="87">
        <f>_xlfn.XLOOKUP(_xlfn.XLOOKUP($AS$6&amp;$B30,公表[班別+時段],公表[備勤3],""),$AX$9:$AX$25,$AY$9:$AY$25,"")</f>
        <v>0</v>
      </c>
      <c r="R30" s="87">
        <f>_xlfn.XLOOKUP(_xlfn.XLOOKUP($AS$6&amp;$B30,公表[班別+時段],公表[備勤4],""),$AX$9:$AX$25,$AY$9:$AY$25,"")</f>
        <v>0</v>
      </c>
      <c r="S30" s="87"/>
      <c r="T30" s="87">
        <f>_xlfn.XLOOKUP(_xlfn.XLOOKUP($AS$6&amp;$B30,公表[班別+時段],公表[備勤5],""),$AX$9:$AX$25,$AY$9:$AY$25,"")</f>
        <v>2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87"/>
      <c r="AC30" s="87"/>
      <c r="AD30" s="87"/>
      <c r="AE30" s="88">
        <f>_xlfn.XLOOKUP(_xlfn.XLOOKUP($AS$6&amp;$B30,公表[班別+時段],公表[指揮官],""),$AX$9:$AX$25,$AY$9:$AY$25,"")</f>
        <v>1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27">
        <v>22</v>
      </c>
      <c r="AP30" s="127" t="str">
        <v>陳俊瑋</v>
      </c>
      <c r="AQ30" s="127" t="str" cm="1">
        <f t="array" ref="AQ30">IFERROR(_xlfn.XLOOKUP(_xlfn.XLOOKUP($AQ$3,輪休基準表!$C$6:$C$36,_xlfn.XLOOKUP(AP30,輪休基準表!$E$5:$AF$5,輪休基準表!$E$6:$AF$36,""),""),班別參數!$A$4:$A$20,班別參數!$B$4:$B$20,""),"")</f>
        <v>公假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27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0</v>
      </c>
      <c r="D31" s="106"/>
      <c r="E31" s="96"/>
      <c r="F31" s="96"/>
      <c r="G31" s="123" t="str">
        <f>IF(BC19="","",BC19)</f>
        <v/>
      </c>
      <c r="H31" s="109"/>
      <c r="I31" s="216">
        <f>_xlfn.XLOOKUP(_xlfn.XLOOKUP($AS$6&amp;$B31,公表[班別+時段],公表[救護1],""),$AX$9:$AX$25,$AY$9:$AY$25,"")</f>
        <v>0</v>
      </c>
      <c r="J31" s="216">
        <f>_xlfn.XLOOKUP(_xlfn.XLOOKUP($AS$6&amp;$B31,公表[班別+時段],公表[救護2],""),$AX$9:$AX$25,$AY$9:$AY$25,"")</f>
        <v>0</v>
      </c>
      <c r="K31" s="108"/>
      <c r="L31" s="93" t="s">
        <v>212</v>
      </c>
      <c r="M31" s="312"/>
      <c r="N31" s="89">
        <f>_xlfn.XLOOKUP(_xlfn.XLOOKUP($AS$6&amp;$B31,公表[班別+時段],公表[備勤1],""),$AX$9:$AX$25,$AY$9:$AY$25,"")</f>
        <v>0</v>
      </c>
      <c r="O31" s="89">
        <f>_xlfn.XLOOKUP(_xlfn.XLOOKUP($AS$6&amp;$B31,公表[班別+時段],公表[備勤2],""),$AX$9:$AX$25,$AY$9:$AY$25,"")</f>
        <v>0</v>
      </c>
      <c r="P31" s="89"/>
      <c r="Q31" s="89">
        <f>_xlfn.XLOOKUP(_xlfn.XLOOKUP($AS$6&amp;$B31,公表[班別+時段],公表[備勤3],""),$AX$9:$AX$25,$AY$9:$AY$25,"")</f>
        <v>0</v>
      </c>
      <c r="R31" s="89">
        <f>_xlfn.XLOOKUP(_xlfn.XLOOKUP($AS$6&amp;$B31,公表[班別+時段],公表[備勤4],""),$AX$9:$AX$25,$AY$9:$AY$25,"")</f>
        <v>0</v>
      </c>
      <c r="S31" s="89"/>
      <c r="T31" s="89">
        <f>_xlfn.XLOOKUP(_xlfn.XLOOKUP($AS$6&amp;$B31,公表[班別+時段],公表[備勤5],""),$AX$9:$AX$25,$AY$9:$AY$25,"")</f>
        <v>2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89"/>
      <c r="AC31" s="89"/>
      <c r="AD31" s="89"/>
      <c r="AE31" s="104">
        <f>_xlfn.XLOOKUP(_xlfn.XLOOKUP($AS$6&amp;$B31,公表[班別+時段],公表[指揮官],""),$AX$9:$AX$25,$AY$9:$AY$25,"")</f>
        <v>1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27">
        <v>23</v>
      </c>
      <c r="AP31" s="127" t="str">
        <v>陳俊翰</v>
      </c>
      <c r="AQ31" s="127" t="str" cm="1">
        <f t="array" ref="AQ31">IFERROR(_xlfn.XLOOKUP(_xlfn.XLOOKUP($AQ$3,輪休基準表!$C$6:$C$36,_xlfn.XLOOKUP(AP31,輪休基準表!$E$5:$AF$5,輪休基準表!$E$6:$AF$36,""),""),班別參數!$A$4:$A$20,班別參數!$B$4:$B$20,""),"")</f>
        <v>上班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>未排</v>
      </c>
      <c r="AT31" s="180" t="str">
        <f t="shared" si="0"/>
        <v/>
      </c>
      <c r="AU31" s="180" t="str">
        <f t="shared" si="1"/>
        <v/>
      </c>
      <c r="AW31" s="47"/>
      <c r="AX31" s="45"/>
      <c r="AY31" s="25"/>
      <c r="AZ31" s="28"/>
      <c r="BA31" s="33"/>
      <c r="BB31" s="25"/>
      <c r="BD31" s="127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0</v>
      </c>
      <c r="D32" s="97"/>
      <c r="E32" s="97"/>
      <c r="F32" s="97"/>
      <c r="G32" s="121" t="str">
        <f>IF(BC20="","",BC20)</f>
        <v>2</v>
      </c>
      <c r="H32" s="56"/>
      <c r="I32" s="94">
        <f>_xlfn.XLOOKUP(_xlfn.XLOOKUP($AS$6&amp;$B32,公表[班別+時段],公表[救護1],""),$AX$9:$AX$25,$AY$9:$AY$25,"")</f>
        <v>0</v>
      </c>
      <c r="J32" s="94">
        <f>_xlfn.XLOOKUP(_xlfn.XLOOKUP($AS$6&amp;$B32,公表[班別+時段],公表[救護2],""),$AX$9:$AX$25,$AY$9:$AY$25,"")</f>
        <v>0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0</v>
      </c>
      <c r="O32" s="90">
        <f>_xlfn.XLOOKUP(_xlfn.XLOOKUP($AS$6&amp;$B32,公表[班別+時段],公表[備勤2],""),$AX$9:$AX$25,$AY$9:$AY$25,"")</f>
        <v>0</v>
      </c>
      <c r="P32" s="90"/>
      <c r="Q32" s="90">
        <f>_xlfn.XLOOKUP(_xlfn.XLOOKUP($AS$6&amp;$B32,公表[班別+時段],公表[備勤3],""),$AX$9:$AX$25,$AY$9:$AY$25,"")</f>
        <v>0</v>
      </c>
      <c r="R32" s="90">
        <f>_xlfn.XLOOKUP(_xlfn.XLOOKUP($AS$6&amp;$B32,公表[班別+時段],公表[備勤4],""),$AX$9:$AX$25,$AY$9:$AY$25,"")</f>
        <v>0</v>
      </c>
      <c r="S32" s="90"/>
      <c r="T32" s="90">
        <f>_xlfn.XLOOKUP(_xlfn.XLOOKUP($AS$6&amp;$B32,公表[班別+時段],公表[備勤5],""),$AX$9:$AX$25,$AY$9:$AY$25,"")</f>
        <v>0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90"/>
      <c r="AC32" s="90"/>
      <c r="AD32" s="90"/>
      <c r="AE32" s="91">
        <f>_xlfn.XLOOKUP(_xlfn.XLOOKUP($AS$6&amp;$B32,公表[班別+時段],公表[指揮官],""),$AX$9:$AX$25,$AY$9:$AY$25,"")</f>
        <v>1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27">
        <v>24</v>
      </c>
      <c r="AP32" s="127" t="str">
        <v>賴俊豪</v>
      </c>
      <c r="AQ32" s="127" t="str" cm="1">
        <f t="array" ref="AQ32">IFERROR(_xlfn.XLOOKUP(_xlfn.XLOOKUP($AQ$3,輪休基準表!$C$6:$C$36,_xlfn.XLOOKUP(AP32,輪休基準表!$E$5:$AF$5,輪休基準表!$E$6:$AF$36,""),""),班別參數!$A$4:$A$20,班別參數!$B$4:$B$20,""),"")</f>
        <v>輪休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/>
      </c>
      <c r="AT32" s="180" t="str">
        <f t="shared" si="0"/>
        <v/>
      </c>
      <c r="AU32" s="180" t="str">
        <f t="shared" si="1"/>
        <v/>
      </c>
      <c r="AW32" s="47"/>
      <c r="AX32" s="45"/>
      <c r="AY32" s="25"/>
      <c r="AZ32" s="28"/>
      <c r="BA32" s="33"/>
      <c r="BB32" s="25"/>
      <c r="BD32" s="127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0</v>
      </c>
      <c r="D33" s="95"/>
      <c r="E33" s="95"/>
      <c r="F33" s="95"/>
      <c r="G33" s="122" t="str">
        <f>IF(BC20="","",BC20)</f>
        <v>2</v>
      </c>
      <c r="H33" s="48"/>
      <c r="I33" s="92">
        <f>_xlfn.XLOOKUP(_xlfn.XLOOKUP($AS$6&amp;$B33,公表[班別+時段],公表[救護1],""),$AX$9:$AX$25,$AY$9:$AY$25,"")</f>
        <v>0</v>
      </c>
      <c r="J33" s="92">
        <f>_xlfn.XLOOKUP(_xlfn.XLOOKUP($AS$6&amp;$B33,公表[班別+時段],公表[救護2],""),$AX$9:$AX$25,$AY$9:$AY$25,"")</f>
        <v>0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0</v>
      </c>
      <c r="O33" s="87">
        <f>_xlfn.XLOOKUP(_xlfn.XLOOKUP($AS$6&amp;$B33,公表[班別+時段],公表[備勤2],""),$AX$9:$AX$25,$AY$9:$AY$25,"")</f>
        <v>0</v>
      </c>
      <c r="P33" s="87"/>
      <c r="Q33" s="87">
        <f>_xlfn.XLOOKUP(_xlfn.XLOOKUP($AS$6&amp;$B33,公表[班別+時段],公表[備勤3],""),$AX$9:$AX$25,$AY$9:$AY$25,"")</f>
        <v>0</v>
      </c>
      <c r="R33" s="87">
        <f>_xlfn.XLOOKUP(_xlfn.XLOOKUP($AS$6&amp;$B33,公表[班別+時段],公表[備勤4],""),$AX$9:$AX$25,$AY$9:$AY$25,"")</f>
        <v>0</v>
      </c>
      <c r="S33" s="87"/>
      <c r="T33" s="87">
        <f>_xlfn.XLOOKUP(_xlfn.XLOOKUP($AS$6&amp;$B33,公表[班別+時段],公表[備勤5],""),$AX$9:$AX$25,$AY$9:$AY$25,"")</f>
        <v>0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87"/>
      <c r="AC33" s="87"/>
      <c r="AD33" s="87"/>
      <c r="AE33" s="88">
        <f>_xlfn.XLOOKUP(_xlfn.XLOOKUP($AS$6&amp;$B33,公表[班別+時段],公表[指揮官],""),$AX$9:$AX$25,$AY$9:$AY$25,"")</f>
        <v>1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27">
        <v>25</v>
      </c>
      <c r="AP33" s="127" t="str">
        <v>郭國偵</v>
      </c>
      <c r="AQ33" s="127" t="str" cm="1">
        <f t="array" ref="AQ33">IFERROR(_xlfn.XLOOKUP(_xlfn.XLOOKUP($AQ$3,輪休基準表!$C$6:$C$36,_xlfn.XLOOKUP(AP33,輪休基準表!$E$5:$AF$5,輪休基準表!$E$6:$AF$36,""),""),班別參數!$A$4:$A$20,班別參數!$B$4:$B$20,""),"")</f>
        <v>輪休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/>
      </c>
      <c r="AT33" s="180" t="str">
        <f t="shared" si="0"/>
        <v/>
      </c>
      <c r="AU33" s="180" t="str">
        <f t="shared" si="1"/>
        <v/>
      </c>
      <c r="AW33" s="47"/>
      <c r="AX33" s="45"/>
      <c r="AY33" s="25"/>
      <c r="AZ33" s="28"/>
      <c r="BA33" s="25"/>
      <c r="BB33" s="25"/>
      <c r="BD33" s="127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一、本日主管上班。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27">
        <v>26</v>
      </c>
      <c r="AP34" s="127" t="str">
        <v>楊紹文</v>
      </c>
      <c r="AQ34" s="127" t="str" cm="1">
        <f t="array" ref="AQ34">IFERROR(_xlfn.XLOOKUP(_xlfn.XLOOKUP($AQ$3,輪休基準表!$C$6:$C$36,_xlfn.XLOOKUP(AP34,輪休基準表!$E$5:$AF$5,輪休基準表!$E$6:$AF$36,""),""),班別參數!$A$4:$A$20,班別參數!$B$4:$B$20,""),"")</f>
        <v>上班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>未排</v>
      </c>
      <c r="AT34" s="180" t="str">
        <f t="shared" si="0"/>
        <v/>
      </c>
      <c r="AU34" s="180" t="str">
        <f t="shared" si="1"/>
        <v/>
      </c>
      <c r="AW34" s="47"/>
      <c r="AX34" s="45"/>
      <c r="AY34" s="25"/>
      <c r="AZ34" s="28"/>
      <c r="BA34" s="25"/>
      <c r="BB34" s="25"/>
      <c r="BD34" s="127"/>
    </row>
    <row r="35" spans="2:56" ht="30" customHeight="1">
      <c r="B35" s="349"/>
      <c r="C35" s="359" t="str">
        <f>CONCATENATE("二、在隊訓練:09-12時:",H11,";14-17時:",H16,";19-21時:",H21,"。")</f>
        <v>二、在隊訓練:09-12時:車輛裝備基礎保養維護;14-17時:戰術體能訓練;19-21時:救護訓練。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27">
        <v>27</v>
      </c>
      <c r="AP35" s="127" t="str">
        <v>林宏為</v>
      </c>
      <c r="AQ35" s="127" t="str" cm="1">
        <f t="array" ref="AQ35">IFERROR(_xlfn.XLOOKUP(_xlfn.XLOOKUP($AQ$3,輪休基準表!$C$6:$C$36,_xlfn.XLOOKUP(AP35,輪休基準表!$E$5:$AF$5,輪休基準表!$E$6:$AF$36,""),""),班別參數!$A$4:$A$20,班別參數!$B$4:$B$20,""),"")</f>
        <v>輪休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/>
      </c>
      <c r="AT35" s="180" t="str">
        <f t="shared" si="0"/>
        <v/>
      </c>
      <c r="AU35" s="180" t="str">
        <f t="shared" si="1"/>
        <v/>
      </c>
      <c r="AW35" s="47"/>
      <c r="AX35" s="45"/>
      <c r="AY35" s="25"/>
      <c r="AZ35" s="28"/>
      <c r="BA35" s="25"/>
      <c r="BB35" s="25"/>
      <c r="BD35" s="127"/>
    </row>
    <row r="36" spans="2:56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27">
        <v>28</v>
      </c>
      <c r="AP36" s="127" t="str">
        <v>林宸彥</v>
      </c>
      <c r="AQ36" s="127" t="str" cm="1">
        <f t="array" ref="AQ36">IFERROR(_xlfn.XLOOKUP(_xlfn.XLOOKUP($AQ$3,輪休基準表!$C$6:$C$36,_xlfn.XLOOKUP(AP36,輪休基準表!$E$5:$AF$5,輪休基準表!$E$6:$AF$36,""),""),班別參數!$A$4:$A$20,班別參數!$B$4:$B$20,""),"")</f>
        <v>輪休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/>
      </c>
      <c r="AT36" s="180" t="str">
        <f t="shared" si="0"/>
        <v/>
      </c>
      <c r="AU36" s="180" t="str">
        <f t="shared" si="1"/>
        <v/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27"/>
      <c r="AP37" s="127"/>
      <c r="AQ37" s="127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27"/>
      <c r="BD37" s="10"/>
    </row>
    <row r="38" spans="2:56" ht="15" customHeight="1">
      <c r="AQ38" s="127"/>
      <c r="AR38" s="118"/>
      <c r="AS38" s="119"/>
      <c r="AT38" s="119"/>
    </row>
    <row r="39" spans="2:56" ht="15" customHeight="1">
      <c r="AR39" s="118"/>
      <c r="AS39" s="119"/>
      <c r="AT39" s="119"/>
    </row>
    <row r="40" spans="2:56" ht="15" customHeight="1">
      <c r="AR40" s="118"/>
      <c r="AS40" s="119"/>
      <c r="AT40" s="119"/>
    </row>
  </sheetData>
  <mergeCells count="71">
    <mergeCell ref="AG22:AK22"/>
    <mergeCell ref="AG23:AM23"/>
    <mergeCell ref="AG24:AI24"/>
    <mergeCell ref="AK24:AM24"/>
    <mergeCell ref="AF33:AG33"/>
    <mergeCell ref="AH33:AI33"/>
    <mergeCell ref="AJ33:AK33"/>
    <mergeCell ref="AF31:AG31"/>
    <mergeCell ref="AH31:AI31"/>
    <mergeCell ref="AJ31:AK31"/>
    <mergeCell ref="AF32:AG32"/>
    <mergeCell ref="AH32:AI32"/>
    <mergeCell ref="AJ32:AK32"/>
    <mergeCell ref="AF27:AF28"/>
    <mergeCell ref="AG27:AM27"/>
    <mergeCell ref="AG28:AM28"/>
    <mergeCell ref="B34:B36"/>
    <mergeCell ref="C34:AE34"/>
    <mergeCell ref="AF34:AM34"/>
    <mergeCell ref="C35:AE35"/>
    <mergeCell ref="AF35:AM35"/>
    <mergeCell ref="C36:AE36"/>
    <mergeCell ref="AF36:AM36"/>
    <mergeCell ref="AF29:AM29"/>
    <mergeCell ref="AF30:AG30"/>
    <mergeCell ref="AH30:AI30"/>
    <mergeCell ref="AJ30:AK30"/>
    <mergeCell ref="AG25:AI25"/>
    <mergeCell ref="AK25:AM25"/>
    <mergeCell ref="C8:AE8"/>
    <mergeCell ref="C9:AE9"/>
    <mergeCell ref="M10:M33"/>
    <mergeCell ref="H11:H13"/>
    <mergeCell ref="H16:H18"/>
    <mergeCell ref="H21:H22"/>
    <mergeCell ref="I6:J6"/>
    <mergeCell ref="K6:L6"/>
    <mergeCell ref="N6:P6"/>
    <mergeCell ref="Q6:S6"/>
    <mergeCell ref="T6:V6"/>
    <mergeCell ref="AF5:AM6"/>
    <mergeCell ref="AO5:AO6"/>
    <mergeCell ref="T7:V7"/>
    <mergeCell ref="AR5:AR6"/>
    <mergeCell ref="AS5:AT5"/>
    <mergeCell ref="W6:Y6"/>
    <mergeCell ref="AE6:AE7"/>
    <mergeCell ref="AS6:AT6"/>
    <mergeCell ref="AP5:AQ6"/>
    <mergeCell ref="G5:G7"/>
    <mergeCell ref="B3:AM3"/>
    <mergeCell ref="AW3:AX3"/>
    <mergeCell ref="AY3:BB3"/>
    <mergeCell ref="B4:AI4"/>
    <mergeCell ref="AJ4:AM4"/>
    <mergeCell ref="AW4:AX4"/>
    <mergeCell ref="AY4:BB4"/>
    <mergeCell ref="B5:B7"/>
    <mergeCell ref="C5:C7"/>
    <mergeCell ref="D5:D7"/>
    <mergeCell ref="E5:E7"/>
    <mergeCell ref="F5:F7"/>
    <mergeCell ref="H5:H7"/>
    <mergeCell ref="I5:L5"/>
    <mergeCell ref="M5:AE5"/>
    <mergeCell ref="AY2:BB2"/>
    <mergeCell ref="B1:AE1"/>
    <mergeCell ref="AP1:AQ1"/>
    <mergeCell ref="B2:AE2"/>
    <mergeCell ref="AG2:AM2"/>
    <mergeCell ref="AW2:AX2"/>
  </mergeCells>
  <phoneticPr fontId="9" type="noConversion"/>
  <conditionalFormatting sqref="AO9:AQ36 AO37:AP37 AQ37:AQ38">
    <cfRule type="expression" dxfId="66" priority="16">
      <formula>COUNTIF($AQ9,"上班")&gt;=1</formula>
    </cfRule>
  </conditionalFormatting>
  <conditionalFormatting sqref="AF8:AF13 AH8:AH21 AJ8:AJ21 AL8:AM21">
    <cfRule type="expression" dxfId="65" priority="11">
      <formula>OR(VLOOKUP(AF8,$AO$9:$AQ$40,3,0)="上班",VLOOKUP(AF8,$AO$9:$AQ$40,3,0)="外宿")</formula>
    </cfRule>
  </conditionalFormatting>
  <conditionalFormatting sqref="AL8">
    <cfRule type="expression" dxfId="64" priority="10">
      <formula>OR(VLOOKUP(AL8,$AO$9:$AQ$36,3,0)="上班",VLOOKUP(AL8,$AO$9:$AQ$36,3,0)="外宿")</formula>
    </cfRule>
  </conditionalFormatting>
  <conditionalFormatting sqref="AR9:AR36">
    <cfRule type="notContainsText" dxfId="63" priority="2" operator="notContains" text="已排">
      <formula>ISERROR(SEARCH("已排",AR9))</formula>
    </cfRule>
  </conditionalFormatting>
  <conditionalFormatting sqref="AS9:AS36">
    <cfRule type="notContainsText" dxfId="62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7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A940-58FB-40B4-BB11-344C7A7C1781}">
  <sheetPr codeName="工作表26">
    <pageSetUpPr fitToPage="1"/>
  </sheetPr>
  <dimension ref="B1:BD40"/>
  <sheetViews>
    <sheetView showZeros="0" view="pageBreakPreview" zoomScale="55" zoomScaleNormal="55" zoomScaleSheetLayoutView="55" workbookViewId="0">
      <selection activeCell="I6" sqref="I6:V7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6" width="5.375" style="126" customWidth="1"/>
    <col min="7" max="8" width="8.625" style="126" customWidth="1"/>
    <col min="9" max="12" width="5.375" style="126" customWidth="1"/>
    <col min="13" max="13" width="6.625" style="126" customWidth="1"/>
    <col min="14" max="31" width="5.375" style="126" customWidth="1"/>
    <col min="32" max="32" width="7.625" style="126" customWidth="1"/>
    <col min="33" max="33" width="10.625" style="126" customWidth="1"/>
    <col min="34" max="34" width="7.625" style="126" customWidth="1"/>
    <col min="35" max="35" width="10.625" style="126" customWidth="1"/>
    <col min="36" max="36" width="7.625" style="126" customWidth="1"/>
    <col min="37" max="37" width="10.625" style="126" customWidth="1"/>
    <col min="38" max="38" width="7.625" style="126" customWidth="1"/>
    <col min="39" max="39" width="10.625" style="126" customWidth="1"/>
    <col min="40" max="40" width="4.125" style="213" customWidth="1"/>
    <col min="41" max="47" width="11.625" style="126" customWidth="1"/>
    <col min="48" max="48" width="4.125" style="126" customWidth="1"/>
    <col min="49" max="49" width="16" style="126" customWidth="1"/>
    <col min="50" max="51" width="8.25" style="126" customWidth="1"/>
    <col min="52" max="52" width="4.125" style="126" customWidth="1"/>
    <col min="53" max="53" width="16" style="126" customWidth="1"/>
    <col min="54" max="54" width="8.25" style="126" customWidth="1"/>
    <col min="55" max="55" width="10.875" style="126" customWidth="1"/>
    <col min="56" max="58" width="4.125" style="126" customWidth="1"/>
    <col min="59" max="16384" width="11.25" style="126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27"/>
      <c r="AP1" s="399"/>
      <c r="AQ1" s="399"/>
      <c r="AR1" s="127"/>
      <c r="AS1" s="127"/>
      <c r="AT1" s="127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3" t="s">
        <v>178</v>
      </c>
      <c r="AR2" s="146" t="s">
        <v>228</v>
      </c>
      <c r="AS2" s="142"/>
      <c r="AT2" s="140"/>
      <c r="AU2" s="127"/>
      <c r="AV2" s="127"/>
      <c r="AW2" s="362" t="s">
        <v>127</v>
      </c>
      <c r="AX2" s="287"/>
      <c r="AY2" s="367" t="str">
        <f>_xlfn.XLOOKUP($AR$3,訓練!$L$13:$L$19,訓練!$M$13:$M$19,"")</f>
        <v>救生艇拆裝組合訓練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115年5月22日星期五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22</v>
      </c>
      <c r="AR3" s="141" t="str">
        <f>RIGHT(TEXT(1911+$AO$3&amp;"/"&amp;$AP$3&amp;"/"&amp;$AQ$3,"aaaa"),1)</f>
        <v>五</v>
      </c>
      <c r="AS3" s="145"/>
      <c r="AT3" s="145"/>
      <c r="AU3" s="127"/>
      <c r="AV3" s="127"/>
      <c r="AW3" s="362" t="s">
        <v>128</v>
      </c>
      <c r="AX3" s="287"/>
      <c r="AY3" s="368" t="str">
        <f>_xlfn.XLOOKUP($AR$3,訓練!$L$13:$L$19,訓練!$N$13:$N$19,"")</f>
        <v>船外機與橡皮艇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27"/>
      <c r="AU4" s="127"/>
      <c r="AV4" s="127"/>
      <c r="AW4" s="362" t="s">
        <v>129</v>
      </c>
      <c r="AX4" s="287"/>
      <c r="AY4" s="363" t="str">
        <f>_xlfn.XLOOKUP($AR$3,訓練!$L$13:$L$19,訓練!$O$13:$O$19,"")</f>
        <v>個人水域防護裝備介紹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2"/>
      <c r="E5" s="340"/>
      <c r="F5" s="340"/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341"/>
      <c r="E6" s="341"/>
      <c r="F6" s="341"/>
      <c r="G6" s="312"/>
      <c r="H6" s="312"/>
      <c r="I6" s="334" t="s">
        <v>227</v>
      </c>
      <c r="J6" s="335"/>
      <c r="K6" s="334" t="s">
        <v>346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2+7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341"/>
      <c r="E7" s="341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192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27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27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27" cm="1">
        <f t="array" ref="AO9:AP36">TRANSPOSE(輪休基準表!E4:AF5)</f>
        <v>1</v>
      </c>
      <c r="AP9" s="127" t="str">
        <v>鄧力嘉</v>
      </c>
      <c r="AQ9" s="127" t="str" cm="1">
        <f t="array" ref="AQ9">IFERROR(_xlfn.XLOOKUP(_xlfn.XLOOKUP($AQ$3,輪休基準表!$C$6:$C$36,_xlfn.XLOOKUP(AP9,輪休基準表!$E$5:$AF$5,輪休基準表!$E$6:$AF$36,""),""),班別參數!$A$4:$A$20,班別參數!$B$4:$B$20,""),"")</f>
        <v>輪休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/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 t="array" ref="AX9">IFERROR(INDEX(班別參數!$D$4:$S$20,MATCH(AW9,班別參數!$D$4:$D$20,0),MATCH($AS$6,班別參數!$D$4:$S$4,0)),"")</f>
        <v>A</v>
      </c>
      <c r="AY9" s="35"/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H,K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3</v>
      </c>
      <c r="BD9" s="127"/>
    </row>
    <row r="10" spans="2:56" ht="30" customHeight="1">
      <c r="B10" s="81" t="s">
        <v>70</v>
      </c>
      <c r="C10" s="87">
        <f>_xlfn.XLOOKUP(_xlfn.XLOOKUP($AS$6&amp;$B10,公表[班別+時段],公表[值班],""),$AX$9:$AX$25,$AY$9:$AY$25,"")</f>
        <v>0</v>
      </c>
      <c r="D10" s="95"/>
      <c r="E10" s="95"/>
      <c r="F10" s="95"/>
      <c r="G10" s="122" t="str">
        <f>IF(BC9="","",BC9)</f>
        <v>3</v>
      </c>
      <c r="H10" s="37"/>
      <c r="I10" s="92">
        <f>_xlfn.XLOOKUP(_xlfn.XLOOKUP($AS$6&amp;$B10,公表[班別+時段],公表[救護1],""),$AX$9:$AX$25,$AY$9:$AY$25,"")</f>
        <v>0</v>
      </c>
      <c r="J10" s="92">
        <f>_xlfn.XLOOKUP(_xlfn.XLOOKUP($AS$6&amp;$B10,公表[班別+時段],公表[救護2],""),$AX$9:$AX$25,$AY$9:$AY$25,"")</f>
        <v>0</v>
      </c>
      <c r="K10" s="87"/>
      <c r="L10" s="87" t="s">
        <v>212</v>
      </c>
      <c r="M10" s="311"/>
      <c r="N10" s="87">
        <f>_xlfn.XLOOKUP(_xlfn.XLOOKUP($AS$6&amp;$B10,公表[班別+時段],公表[備勤1],""),$AX$9:$AX$25,$AY$9:$AY$25,"")</f>
        <v>0</v>
      </c>
      <c r="O10" s="87">
        <f>_xlfn.XLOOKUP(_xlfn.XLOOKUP($AS$6&amp;$B10,公表[班別+時段],公表[備勤2],""),$AX$9:$AX$25,$AY$9:$AY$25,"")</f>
        <v>0</v>
      </c>
      <c r="P10" s="87"/>
      <c r="Q10" s="87">
        <f>_xlfn.XLOOKUP(_xlfn.XLOOKUP($AS$6&amp;$B10,公表[班別+時段],公表[備勤3],""),$AX$9:$AX$25,$AY$9:$AY$25,"")</f>
        <v>0</v>
      </c>
      <c r="R10" s="87">
        <f>_xlfn.XLOOKUP(_xlfn.XLOOKUP($AS$6&amp;$B10,公表[班別+時段],公表[備勤4],""),$AX$9:$AX$25,$AY$9:$AY$25,"")</f>
        <v>0</v>
      </c>
      <c r="S10" s="87"/>
      <c r="T10" s="87">
        <f>_xlfn.XLOOKUP(_xlfn.XLOOKUP($AS$6&amp;$B10,公表[班別+時段],公表[備勤5],""),$AX$9:$AX$25,$AY$9:$AY$25,"")</f>
        <v>0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87"/>
      <c r="AB10" s="87"/>
      <c r="AC10" s="87"/>
      <c r="AD10" s="87"/>
      <c r="AE10" s="88">
        <f>_xlfn.XLOOKUP(_xlfn.XLOOKUP($AS$6&amp;$B10,公表[班別+時段],公表[指揮官],""),$AX$9:$AX$25,$AY$9:$AY$25,"")</f>
        <v>4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27">
        <v>2</v>
      </c>
      <c r="AP10" s="127" t="str">
        <v>莊勝斌</v>
      </c>
      <c r="AQ10" s="127" t="str" cm="1">
        <f t="array" ref="AQ10">IFERROR(_xlfn.XLOOKUP(_xlfn.XLOOKUP($AQ$3,輪休基準表!$C$6:$C$36,_xlfn.XLOOKUP(AP10,輪休基準表!$E$5:$AF$5,輪休基準表!$E$6:$AF$36,""),""),班別參數!$A$4:$A$20,班別參數!$B$4:$B$20,""),"")</f>
        <v>請休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/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/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/>
      </c>
      <c r="BD10" s="127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0</v>
      </c>
      <c r="D11" s="95"/>
      <c r="E11" s="95"/>
      <c r="F11" s="95"/>
      <c r="G11" s="122" t="str">
        <f>IF(BC9="","",BC9)</f>
        <v>3</v>
      </c>
      <c r="H11" s="296" t="str">
        <f>AY2</f>
        <v>救生艇拆裝組合訓練</v>
      </c>
      <c r="I11" s="92">
        <f>_xlfn.XLOOKUP(_xlfn.XLOOKUP($AS$6&amp;$B11,公表[班別+時段],公表[救護1],""),$AX$9:$AX$25,$AY$9:$AY$25,"")</f>
        <v>0</v>
      </c>
      <c r="J11" s="92">
        <f>_xlfn.XLOOKUP(_xlfn.XLOOKUP($AS$6&amp;$B11,公表[班別+時段],公表[救護2],""),$AX$9:$AX$25,$AY$9:$AY$25,"")</f>
        <v>0</v>
      </c>
      <c r="K11" s="87"/>
      <c r="L11" s="87" t="s">
        <v>212</v>
      </c>
      <c r="M11" s="312"/>
      <c r="N11" s="87">
        <f>_xlfn.XLOOKUP(_xlfn.XLOOKUP($AS$6&amp;$B11,公表[班別+時段],公表[備勤1],""),$AX$9:$AX$25,$AY$9:$AY$25,"")</f>
        <v>0</v>
      </c>
      <c r="O11" s="87">
        <f>_xlfn.XLOOKUP(_xlfn.XLOOKUP($AS$6&amp;$B11,公表[班別+時段],公表[備勤2],""),$AX$9:$AX$25,$AY$9:$AY$25,"")</f>
        <v>0</v>
      </c>
      <c r="P11" s="87"/>
      <c r="Q11" s="87">
        <f>_xlfn.XLOOKUP(_xlfn.XLOOKUP($AS$6&amp;$B11,公表[班別+時段],公表[備勤3],""),$AX$9:$AX$25,$AY$9:$AY$25,"")</f>
        <v>0</v>
      </c>
      <c r="R11" s="87">
        <f>_xlfn.XLOOKUP(_xlfn.XLOOKUP($AS$6&amp;$B11,公表[班別+時段],公表[備勤4],""),$AX$9:$AX$25,$AY$9:$AY$25,"")</f>
        <v>0</v>
      </c>
      <c r="S11" s="87"/>
      <c r="T11" s="87">
        <f>_xlfn.XLOOKUP(_xlfn.XLOOKUP($AS$6&amp;$B11,公表[班別+時段],公表[備勤5],""),$AX$9:$AX$25,$AY$9:$AY$25,"")</f>
        <v>0</v>
      </c>
      <c r="U11" s="87">
        <f>_xlfn.XLOOKUP(_xlfn.XLOOKUP($AS$6&amp;$B11,公表[班別+時段],公表[備勤6],""),$AX$9:$AX$25,$AY$9:$AY$25,"")</f>
        <v>0</v>
      </c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87"/>
      <c r="AB11" s="87"/>
      <c r="AC11" s="87"/>
      <c r="AD11" s="87"/>
      <c r="AE11" s="88">
        <f>_xlfn.XLOOKUP(_xlfn.XLOOKUP($AS$6&amp;$B11,公表[班別+時段],公表[指揮官],""),$AX$9:$AX$25,$AY$9:$AY$25,"")</f>
        <v>4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27">
        <v>3</v>
      </c>
      <c r="AP11" s="127" t="str">
        <v>孫子翔</v>
      </c>
      <c r="AQ11" s="127" t="str" cm="1">
        <f t="array" ref="AQ11">IFERROR(_xlfn.XLOOKUP(_xlfn.XLOOKUP($AQ$3,輪休基準表!$C$6:$C$36,_xlfn.XLOOKUP(AP11,輪休基準表!$E$5:$AF$5,輪休基準表!$E$6:$AF$36,""),""),班別參數!$A$4:$A$20,班別參數!$B$4:$B$20,""),"")</f>
        <v>上班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>已排</v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/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F</v>
      </c>
      <c r="BC11" s="39" t="str">
        <f t="shared" si="2"/>
        <v/>
      </c>
      <c r="BD11" s="127"/>
    </row>
    <row r="12" spans="2:56" ht="30" customHeight="1">
      <c r="B12" s="81" t="s">
        <v>75</v>
      </c>
      <c r="C12" s="87">
        <f>_xlfn.XLOOKUP(_xlfn.XLOOKUP($AS$6&amp;$B12,公表[班別+時段],公表[值班],""),$AX$9:$AX$25,$AY$9:$AY$25,"")</f>
        <v>0</v>
      </c>
      <c r="D12" s="95"/>
      <c r="E12" s="95"/>
      <c r="F12" s="95"/>
      <c r="G12" s="122" t="str">
        <f>IF(BC10="","",BC10)</f>
        <v/>
      </c>
      <c r="H12" s="314"/>
      <c r="I12" s="92">
        <f>_xlfn.XLOOKUP(_xlfn.XLOOKUP($AS$6&amp;$B12,公表[班別+時段],公表[救護1],""),$AX$9:$AX$25,$AY$9:$AY$25,"")</f>
        <v>0</v>
      </c>
      <c r="J12" s="92">
        <f>_xlfn.XLOOKUP(_xlfn.XLOOKUP($AS$6&amp;$B12,公表[班別+時段],公表[救護2],""),$AX$9:$AX$25,$AY$9:$AY$25,"")</f>
        <v>0</v>
      </c>
      <c r="K12" s="92"/>
      <c r="L12" s="87" t="s">
        <v>212</v>
      </c>
      <c r="M12" s="312"/>
      <c r="N12" s="87">
        <f>_xlfn.XLOOKUP(_xlfn.XLOOKUP($AS$6&amp;$B12,公表[班別+時段],公表[備勤1],""),$AX$9:$AX$25,$AY$9:$AY$25,"")</f>
        <v>0</v>
      </c>
      <c r="O12" s="87">
        <f>_xlfn.XLOOKUP(_xlfn.XLOOKUP($AS$6&amp;$B12,公表[班別+時段],公表[備勤2],""),$AX$9:$AX$25,$AY$9:$AY$25,"")</f>
        <v>0</v>
      </c>
      <c r="P12" s="87"/>
      <c r="Q12" s="87">
        <f>_xlfn.XLOOKUP(_xlfn.XLOOKUP($AS$6&amp;$B12,公表[班別+時段],公表[備勤3],""),$AX$9:$AX$25,$AY$9:$AY$25,"")</f>
        <v>0</v>
      </c>
      <c r="R12" s="87">
        <f>_xlfn.XLOOKUP(_xlfn.XLOOKUP($AS$6&amp;$B12,公表[班別+時段],公表[備勤4],""),$AX$9:$AX$25,$AY$9:$AY$25,"")</f>
        <v>0</v>
      </c>
      <c r="S12" s="87"/>
      <c r="T12" s="87">
        <f>_xlfn.XLOOKUP(_xlfn.XLOOKUP($AS$6&amp;$B12,公表[班別+時段],公表[備勤5],""),$AX$9:$AX$25,$AY$9:$AY$25,"")</f>
        <v>4</v>
      </c>
      <c r="U12" s="87">
        <f>_xlfn.XLOOKUP(_xlfn.XLOOKUP($AS$6&amp;$B12,公表[班別+時段],公表[備勤6],""),$AX$9:$AX$25,$AY$9:$AY$25,"")</f>
        <v>0</v>
      </c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87"/>
      <c r="AC12" s="87"/>
      <c r="AD12" s="87"/>
      <c r="AE12" s="88">
        <f>_xlfn.XLOOKUP(_xlfn.XLOOKUP($AS$6&amp;$B12,公表[班別+時段],公表[指揮官],""),$AX$9:$AX$25,$AY$9:$AY$25,"")</f>
        <v>3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27">
        <v>4</v>
      </c>
      <c r="AP12" s="127" t="str">
        <v>簡永豐</v>
      </c>
      <c r="AQ12" s="127" t="str" cm="1">
        <f t="array" ref="AQ12">IFERROR(_xlfn.XLOOKUP(_xlfn.XLOOKUP($AQ$3,輪休基準表!$C$6:$C$36,_xlfn.XLOOKUP(AP12,輪休基準表!$E$5:$AF$5,輪休基準表!$E$6:$AF$36,""),""),班別參數!$A$4:$A$20,班別參數!$B$4:$B$20,""),"")</f>
        <v>上班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>已排</v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/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27"/>
    </row>
    <row r="13" spans="2:56" ht="30" customHeight="1" thickBot="1">
      <c r="B13" s="82" t="s">
        <v>76</v>
      </c>
      <c r="C13" s="89">
        <f>_xlfn.XLOOKUP(_xlfn.XLOOKUP($AS$6&amp;$B13,公表[班別+時段],公表[值班],""),$AX$9:$AX$25,$AY$9:$AY$25,"")</f>
        <v>0</v>
      </c>
      <c r="D13" s="233"/>
      <c r="E13" s="96"/>
      <c r="F13" s="96"/>
      <c r="G13" s="123" t="str">
        <f>IF(BC10="","",BC10)</f>
        <v/>
      </c>
      <c r="H13" s="315"/>
      <c r="I13" s="216">
        <f>_xlfn.XLOOKUP(_xlfn.XLOOKUP($AS$6&amp;$B13,公表[班別+時段],公表[救護1],""),$AX$9:$AX$25,$AY$9:$AY$25,"")</f>
        <v>0</v>
      </c>
      <c r="J13" s="216">
        <f>_xlfn.XLOOKUP(_xlfn.XLOOKUP($AS$6&amp;$B13,公表[班別+時段],公表[救護2],""),$AX$9:$AX$25,$AY$9:$AY$25,"")</f>
        <v>0</v>
      </c>
      <c r="K13" s="105"/>
      <c r="L13" s="93" t="s">
        <v>212</v>
      </c>
      <c r="M13" s="312"/>
      <c r="N13" s="89">
        <f>_xlfn.XLOOKUP(_xlfn.XLOOKUP($AS$6&amp;$B13,公表[班別+時段],公表[備勤1],""),$AX$9:$AX$25,$AY$9:$AY$25,"")</f>
        <v>0</v>
      </c>
      <c r="O13" s="89">
        <f>_xlfn.XLOOKUP(_xlfn.XLOOKUP($AS$6&amp;$B13,公表[班別+時段],公表[備勤2],""),$AX$9:$AX$25,$AY$9:$AY$25,"")</f>
        <v>0</v>
      </c>
      <c r="P13" s="89"/>
      <c r="Q13" s="89">
        <f>_xlfn.XLOOKUP(_xlfn.XLOOKUP($AS$6&amp;$B13,公表[班別+時段],公表[備勤3],""),$AX$9:$AX$25,$AY$9:$AY$25,"")</f>
        <v>0</v>
      </c>
      <c r="R13" s="89">
        <f>_xlfn.XLOOKUP(_xlfn.XLOOKUP($AS$6&amp;$B13,公表[班別+時段],公表[備勤4],""),$AX$9:$AX$25,$AY$9:$AY$25,"")</f>
        <v>0</v>
      </c>
      <c r="S13" s="89"/>
      <c r="T13" s="89">
        <f>_xlfn.XLOOKUP(_xlfn.XLOOKUP($AS$6&amp;$B13,公表[班別+時段],公表[備勤5],""),$AX$9:$AX$25,$AY$9:$AY$25,"")</f>
        <v>4</v>
      </c>
      <c r="U13" s="89">
        <f>_xlfn.XLOOKUP(_xlfn.XLOOKUP($AS$6&amp;$B13,公表[班別+時段],公表[備勤6],""),$AX$9:$AX$25,$AY$9:$AY$25,"")</f>
        <v>0</v>
      </c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89"/>
      <c r="AC13" s="89"/>
      <c r="AD13" s="89"/>
      <c r="AE13" s="104">
        <f>_xlfn.XLOOKUP(_xlfn.XLOOKUP($AS$6&amp;$B13,公表[班別+時段],公表[指揮官],""),$AX$9:$AX$25,$AY$9:$AY$25,"")</f>
        <v>3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27">
        <v>5</v>
      </c>
      <c r="AP13" s="127" t="str">
        <v>張鴻志</v>
      </c>
      <c r="AQ13" s="127" t="str" cm="1">
        <f t="array" ref="AQ13">IFERROR(_xlfn.XLOOKUP(_xlfn.XLOOKUP($AQ$3,輪休基準表!$C$6:$C$36,_xlfn.XLOOKUP(AP13,輪休基準表!$E$5:$AF$5,輪休基準表!$E$6:$AF$36,""),""),班別參數!$A$4:$A$20,班別參數!$B$4:$B$20,""),"")</f>
        <v>輪休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/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/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/>
      </c>
      <c r="BD13" s="127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0</v>
      </c>
      <c r="D14" s="234"/>
      <c r="E14" s="97"/>
      <c r="F14" s="97"/>
      <c r="G14" s="121" t="str">
        <f>IF(BC11="","",BC11)</f>
        <v/>
      </c>
      <c r="H14" s="55"/>
      <c r="I14" s="94">
        <f>_xlfn.XLOOKUP(_xlfn.XLOOKUP($AS$6&amp;$B14,公表[班別+時段],公表[救護1],""),$AX$9:$AX$25,$AY$9:$AY$25,"")</f>
        <v>0</v>
      </c>
      <c r="J14" s="94">
        <f>_xlfn.XLOOKUP(_xlfn.XLOOKUP($AS$6&amp;$B14,公表[班別+時段],公表[救護2],""),$AX$9:$AX$25,$AY$9:$AY$25,"")</f>
        <v>0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0</v>
      </c>
      <c r="O14" s="90">
        <f>_xlfn.XLOOKUP(_xlfn.XLOOKUP($AS$6&amp;$B14,公表[班別+時段],公表[備勤2],""),$AX$9:$AX$25,$AY$9:$AY$25,"")</f>
        <v>0</v>
      </c>
      <c r="P14" s="90"/>
      <c r="Q14" s="90">
        <f>_xlfn.XLOOKUP(_xlfn.XLOOKUP($AS$6&amp;$B14,公表[班別+時段],公表[備勤3],""),$AX$9:$AX$25,$AY$9:$AY$25,"")</f>
        <v>0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4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90"/>
      <c r="AC14" s="90"/>
      <c r="AD14" s="90"/>
      <c r="AE14" s="91">
        <f>_xlfn.XLOOKUP(_xlfn.XLOOKUP($AS$6&amp;$B14,公表[班別+時段],公表[指揮官],""),$AX$9:$AX$25,$AY$9:$AY$25,"")</f>
        <v>3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27">
        <v>6</v>
      </c>
      <c r="AP14" s="127" t="str">
        <v>吳宗耕</v>
      </c>
      <c r="AQ14" s="127" t="str" cm="1">
        <f t="array" ref="AQ14">IFERROR(_xlfn.XLOOKUP(_xlfn.XLOOKUP($AQ$3,輪休基準表!$C$6:$C$36,_xlfn.XLOOKUP(AP14,輪休基準表!$E$5:$AF$5,輪休基準表!$E$6:$AF$36,""),""),班別參數!$A$4:$A$20,班別參數!$B$4:$B$20,""),"")</f>
        <v>輪休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/>
      </c>
      <c r="AT14" s="180" t="str">
        <f t="shared" si="0"/>
        <v/>
      </c>
      <c r="AU14" s="180" t="str">
        <f t="shared" si="1"/>
        <v/>
      </c>
      <c r="AV14" s="25"/>
      <c r="AW14" s="33" t="str">
        <f t="array" ref="AW14">INDEX(班別參數!$D$4:$D$20,ROW()-7,MATCH($AW$8,班別參數!$D$4:$D$20,0))</f>
        <v>18-20</v>
      </c>
      <c r="AX14" s="34">
        <f t="array" ref="AX14">IFERROR(INDEX(班別參數!$D$4:$S$20,MATCH(AW14,班別參數!$D$4:$D$20,0),MATCH($AS$6,班別參數!$D$4:$S$4,0)),"")</f>
        <v>0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</v>
      </c>
      <c r="BC14" s="39" t="str">
        <f t="shared" si="2"/>
        <v/>
      </c>
      <c r="BD14" s="127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0</v>
      </c>
      <c r="D15" s="235"/>
      <c r="E15" s="106"/>
      <c r="F15" s="96"/>
      <c r="G15" s="123" t="str">
        <f>IF(BC11="","",BC11)</f>
        <v/>
      </c>
      <c r="H15" s="40"/>
      <c r="I15" s="216">
        <f>_xlfn.XLOOKUP(_xlfn.XLOOKUP($AS$6&amp;$B15,公表[班別+時段],公表[救護1],""),$AX$9:$AX$25,$AY$9:$AY$25,"")</f>
        <v>0</v>
      </c>
      <c r="J15" s="216">
        <f>_xlfn.XLOOKUP(_xlfn.XLOOKUP($AS$6&amp;$B15,公表[班別+時段],公表[救護2],""),$AX$9:$AX$25,$AY$9:$AY$25,"")</f>
        <v>0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0</v>
      </c>
      <c r="O15" s="89">
        <f>_xlfn.XLOOKUP(_xlfn.XLOOKUP($AS$6&amp;$B15,公表[班別+時段],公表[備勤2],""),$AX$9:$AX$25,$AY$9:$AY$25,"")</f>
        <v>0</v>
      </c>
      <c r="P15" s="89"/>
      <c r="Q15" s="89">
        <f>_xlfn.XLOOKUP(_xlfn.XLOOKUP($AS$6&amp;$B15,公表[班別+時段],公表[備勤3],""),$AX$9:$AX$25,$AY$9:$AY$25,"")</f>
        <v>0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4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89"/>
      <c r="AC15" s="89"/>
      <c r="AD15" s="89"/>
      <c r="AE15" s="104">
        <f>_xlfn.XLOOKUP(_xlfn.XLOOKUP($AS$6&amp;$B15,公表[班別+時段],公表[指揮官],""),$AX$9:$AX$25,$AY$9:$AY$25,"")</f>
        <v>3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27">
        <v>7</v>
      </c>
      <c r="AP15" s="127" t="str">
        <v>包華先</v>
      </c>
      <c r="AQ15" s="127" t="str" cm="1">
        <f t="array" ref="AQ15">IFERROR(_xlfn.XLOOKUP(_xlfn.XLOOKUP($AQ$3,輪休基準表!$C$6:$C$36,_xlfn.XLOOKUP(AP15,輪休基準表!$E$5:$AF$5,輪休基準表!$E$6:$AF$36,""),""),班別參數!$A$4:$A$20,班別參數!$B$4:$B$20,""),"")</f>
        <v>輪休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/>
      </c>
      <c r="AT15" s="180" t="str">
        <f t="shared" si="0"/>
        <v/>
      </c>
      <c r="AU15" s="180" t="str">
        <f t="shared" si="1"/>
        <v/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/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/>
      </c>
      <c r="BD15" s="127"/>
    </row>
    <row r="16" spans="2:56" ht="30" customHeight="1">
      <c r="B16" s="83" t="s">
        <v>79</v>
      </c>
      <c r="C16" s="90">
        <f>_xlfn.XLOOKUP(_xlfn.XLOOKUP($AS$6&amp;$B16,公表[班別+時段],公表[值班],""),$AX$9:$AX$25,$AY$9:$AY$25,"")</f>
        <v>0</v>
      </c>
      <c r="D16" s="98"/>
      <c r="E16" s="99"/>
      <c r="F16" s="98"/>
      <c r="G16" s="121" t="str">
        <f>IF(BC12="","",BC12)</f>
        <v/>
      </c>
      <c r="H16" s="316" t="str">
        <f>AY3</f>
        <v>船外機與橡皮艇</v>
      </c>
      <c r="I16" s="94">
        <f>_xlfn.XLOOKUP(_xlfn.XLOOKUP($AS$6&amp;$B16,公表[班別+時段],公表[救護1],""),$AX$9:$AX$25,$AY$9:$AY$25,"")</f>
        <v>0</v>
      </c>
      <c r="J16" s="94">
        <f>_xlfn.XLOOKUP(_xlfn.XLOOKUP($AS$6&amp;$B16,公表[班別+時段],公表[救護2],""),$AX$9:$AX$25,$AY$9:$AY$25,"")</f>
        <v>0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0</v>
      </c>
      <c r="O16" s="90">
        <f>_xlfn.XLOOKUP(_xlfn.XLOOKUP($AS$6&amp;$B16,公表[班別+時段],公表[備勤2],""),$AX$9:$AX$25,$AY$9:$AY$25,"")</f>
        <v>0</v>
      </c>
      <c r="P16" s="90"/>
      <c r="Q16" s="90">
        <f>_xlfn.XLOOKUP(_xlfn.XLOOKUP($AS$6&amp;$B16,公表[班別+時段],公表[備勤3],""),$AX$9:$AX$25,$AY$9:$AY$25,"")</f>
        <v>0</v>
      </c>
      <c r="R16" s="90">
        <f>_xlfn.XLOOKUP(_xlfn.XLOOKUP($AS$6&amp;$B16,公表[班別+時段],公表[備勤4],""),$AX$9:$AX$25,$AY$9:$AY$25,"")</f>
        <v>0</v>
      </c>
      <c r="S16" s="90"/>
      <c r="T16" s="90">
        <f>_xlfn.XLOOKUP(_xlfn.XLOOKUP($AS$6&amp;$B16,公表[班別+時段],公表[備勤5],""),$AX$9:$AX$25,$AY$9:$AY$25,"")</f>
        <v>4</v>
      </c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90"/>
      <c r="AC16" s="90"/>
      <c r="AD16" s="90"/>
      <c r="AE16" s="91">
        <f>_xlfn.XLOOKUP(_xlfn.XLOOKUP($AS$6&amp;$B16,公表[班別+時段],公表[指揮官],""),$AX$9:$AX$25,$AY$9:$AY$25,"")</f>
        <v>3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27">
        <v>8</v>
      </c>
      <c r="AP16" s="127" t="str">
        <v>曾彥綸</v>
      </c>
      <c r="AQ16" s="127" t="str" cm="1">
        <f t="array" ref="AQ16">IFERROR(_xlfn.XLOOKUP(_xlfn.XLOOKUP($AQ$3,輪休基準表!$C$6:$C$36,_xlfn.XLOOKUP(AP16,輪休基準表!$E$5:$AF$5,輪休基準表!$E$6:$AF$36,""),""),班別參數!$A$4:$A$20,班別參數!$B$4:$B$20,""),"")</f>
        <v>上班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>未排</v>
      </c>
      <c r="AT16" s="180" t="str">
        <f t="shared" si="0"/>
        <v/>
      </c>
      <c r="AU16" s="180" t="str">
        <f t="shared" si="1"/>
        <v/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/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27"/>
    </row>
    <row r="17" spans="2:56" ht="30" customHeight="1">
      <c r="B17" s="81" t="s">
        <v>80</v>
      </c>
      <c r="C17" s="87">
        <f>_xlfn.XLOOKUP(_xlfn.XLOOKUP($AS$6&amp;$B17,公表[班別+時段],公表[值班],""),$AX$9:$AX$25,$AY$9:$AY$25,"")</f>
        <v>0</v>
      </c>
      <c r="D17" s="95"/>
      <c r="E17" s="95"/>
      <c r="F17" s="100"/>
      <c r="G17" s="122" t="str">
        <f>IF(BC12="","",BC12)</f>
        <v/>
      </c>
      <c r="H17" s="314"/>
      <c r="I17" s="92">
        <f>_xlfn.XLOOKUP(_xlfn.XLOOKUP($AS$6&amp;$B17,公表[班別+時段],公表[救護1],""),$AX$9:$AX$25,$AY$9:$AY$25,"")</f>
        <v>0</v>
      </c>
      <c r="J17" s="92">
        <f>_xlfn.XLOOKUP(_xlfn.XLOOKUP($AS$6&amp;$B17,公表[班別+時段],公表[救護2],""),$AX$9:$AX$25,$AY$9:$AY$25,"")</f>
        <v>0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0</v>
      </c>
      <c r="O17" s="87">
        <f>_xlfn.XLOOKUP(_xlfn.XLOOKUP($AS$6&amp;$B17,公表[班別+時段],公表[備勤2],""),$AX$9:$AX$25,$AY$9:$AY$25,"")</f>
        <v>0</v>
      </c>
      <c r="P17" s="87"/>
      <c r="Q17" s="87">
        <f>_xlfn.XLOOKUP(_xlfn.XLOOKUP($AS$6&amp;$B17,公表[班別+時段],公表[備勤3],""),$AX$9:$AX$25,$AY$9:$AY$25,"")</f>
        <v>0</v>
      </c>
      <c r="R17" s="87">
        <f>_xlfn.XLOOKUP(_xlfn.XLOOKUP($AS$6&amp;$B17,公表[班別+時段],公表[備勤4],""),$AX$9:$AX$25,$AY$9:$AY$25,"")</f>
        <v>0</v>
      </c>
      <c r="S17" s="87"/>
      <c r="T17" s="87">
        <f>_xlfn.XLOOKUP(_xlfn.XLOOKUP($AS$6&amp;$B17,公表[班別+時段],公表[備勤5],""),$AX$9:$AX$25,$AY$9:$AY$25,"")</f>
        <v>4</v>
      </c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87"/>
      <c r="AC17" s="87"/>
      <c r="AD17" s="87"/>
      <c r="AE17" s="88">
        <f>_xlfn.XLOOKUP(_xlfn.XLOOKUP($AS$6&amp;$B17,公表[班別+時段],公表[指揮官],""),$AX$9:$AX$25,$AY$9:$AY$25,"")</f>
        <v>3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27">
        <v>9</v>
      </c>
      <c r="AP17" s="127" t="str">
        <v>鍾佳諭</v>
      </c>
      <c r="AQ17" s="127" t="str" cm="1">
        <f t="array" ref="AQ17">IFERROR(_xlfn.XLOOKUP(_xlfn.XLOOKUP($AQ$3,輪休基準表!$C$6:$C$36,_xlfn.XLOOKUP(AP17,輪休基準表!$E$5:$AF$5,輪休基準表!$E$6:$AF$36,""),""),班別參數!$A$4:$A$20,班別參數!$B$4:$B$20,""),"")</f>
        <v>輪休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/>
      </c>
      <c r="AT17" s="180" t="str">
        <f t="shared" si="0"/>
        <v/>
      </c>
      <c r="AU17" s="180" t="str">
        <f t="shared" si="1"/>
        <v/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27"/>
    </row>
    <row r="18" spans="2:56" ht="30" customHeight="1">
      <c r="B18" s="81" t="s">
        <v>81</v>
      </c>
      <c r="C18" s="87">
        <f>_xlfn.XLOOKUP(_xlfn.XLOOKUP($AS$6&amp;$B18,公表[班別+時段],公表[值班],""),$AX$9:$AX$25,$AY$9:$AY$25,"")</f>
        <v>0</v>
      </c>
      <c r="D18" s="100"/>
      <c r="E18" s="95"/>
      <c r="F18" s="100"/>
      <c r="G18" s="122" t="str">
        <f>IF(BC13="","",BC13)</f>
        <v/>
      </c>
      <c r="H18" s="297"/>
      <c r="I18" s="92">
        <f>_xlfn.XLOOKUP(_xlfn.XLOOKUP($AS$6&amp;$B18,公表[班別+時段],公表[救護1],""),$AX$9:$AX$25,$AY$9:$AY$25,"")</f>
        <v>0</v>
      </c>
      <c r="J18" s="92">
        <f>_xlfn.XLOOKUP(_xlfn.XLOOKUP($AS$6&amp;$B18,公表[班別+時段],公表[救護2],""),$AX$9:$AX$25,$AY$9:$AY$25,"")</f>
        <v>0</v>
      </c>
      <c r="K18" s="92"/>
      <c r="L18" s="87" t="s">
        <v>212</v>
      </c>
      <c r="M18" s="312"/>
      <c r="N18" s="87">
        <f>_xlfn.XLOOKUP(_xlfn.XLOOKUP($AS$6&amp;$B18,公表[班別+時段],公表[備勤1],""),$AX$9:$AX$25,$AY$9:$AY$25,"")</f>
        <v>0</v>
      </c>
      <c r="O18" s="87">
        <f>_xlfn.XLOOKUP(_xlfn.XLOOKUP($AS$6&amp;$B18,公表[班別+時段],公表[備勤2],""),$AX$9:$AX$25,$AY$9:$AY$25,"")</f>
        <v>0</v>
      </c>
      <c r="P18" s="87"/>
      <c r="Q18" s="87">
        <f>_xlfn.XLOOKUP(_xlfn.XLOOKUP($AS$6&amp;$B18,公表[班別+時段],公表[備勤3],""),$AX$9:$AX$25,$AY$9:$AY$25,"")</f>
        <v>0</v>
      </c>
      <c r="R18" s="87">
        <f>_xlfn.XLOOKUP(_xlfn.XLOOKUP($AS$6&amp;$B18,公表[班別+時段],公表[備勤4],""),$AX$9:$AX$25,$AY$9:$AY$25,"")</f>
        <v>0</v>
      </c>
      <c r="S18" s="87"/>
      <c r="T18" s="87">
        <f>_xlfn.XLOOKUP(_xlfn.XLOOKUP($AS$6&amp;$B18,公表[班別+時段],公表[備勤5],""),$AX$9:$AX$25,$AY$9:$AY$25,"")</f>
        <v>4</v>
      </c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87"/>
      <c r="AC18" s="87"/>
      <c r="AD18" s="87"/>
      <c r="AE18" s="88">
        <f>_xlfn.XLOOKUP(_xlfn.XLOOKUP($AS$6&amp;$B18,公表[班別+時段],公表[指揮官],""),$AX$9:$AX$25,$AY$9:$AY$25,"")</f>
        <v>3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27">
        <v>10</v>
      </c>
      <c r="AP18" s="127" t="str">
        <v>林宏澤</v>
      </c>
      <c r="AQ18" s="127" t="str" cm="1">
        <f t="array" ref="AQ18">IFERROR(_xlfn.XLOOKUP(_xlfn.XLOOKUP($AQ$3,輪休基準表!$C$6:$C$36,_xlfn.XLOOKUP(AP18,輪休基準表!$E$5:$AF$5,輪休基準表!$E$6:$AF$36,""),""),班別參數!$A$4:$A$20,班別參數!$B$4:$B$20,""),"")</f>
        <v>輪休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/>
      </c>
      <c r="AT18" s="180" t="str">
        <f t="shared" si="0"/>
        <v/>
      </c>
      <c r="AU18" s="180" t="str">
        <f t="shared" si="1"/>
        <v/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27"/>
    </row>
    <row r="19" spans="2:56" ht="30" customHeight="1" thickBot="1">
      <c r="B19" s="110" t="s">
        <v>82</v>
      </c>
      <c r="C19" s="89">
        <f>_xlfn.XLOOKUP(_xlfn.XLOOKUP($AS$6&amp;$B19,公表[班別+時段],公表[值班],""),$AX$9:$AX$25,$AY$9:$AY$25,"")</f>
        <v>0</v>
      </c>
      <c r="D19" s="106"/>
      <c r="E19" s="96"/>
      <c r="F19" s="236"/>
      <c r="G19" s="123" t="str">
        <f>IF(BC13="","",BC13)</f>
        <v/>
      </c>
      <c r="H19" s="107"/>
      <c r="I19" s="216">
        <f>_xlfn.XLOOKUP(_xlfn.XLOOKUP($AS$6&amp;$B19,公表[班別+時段],公表[救護1],""),$AX$9:$AX$25,$AY$9:$AY$25,"")</f>
        <v>0</v>
      </c>
      <c r="J19" s="216">
        <f>_xlfn.XLOOKUP(_xlfn.XLOOKUP($AS$6&amp;$B19,公表[班別+時段],公表[救護2],""),$AX$9:$AX$25,$AY$9:$AY$25,"")</f>
        <v>0</v>
      </c>
      <c r="K19" s="105"/>
      <c r="L19" s="93" t="s">
        <v>212</v>
      </c>
      <c r="M19" s="312"/>
      <c r="N19" s="89">
        <f>_xlfn.XLOOKUP(_xlfn.XLOOKUP($AS$6&amp;$B19,公表[班別+時段],公表[備勤1],""),$AX$9:$AX$25,$AY$9:$AY$25,"")</f>
        <v>0</v>
      </c>
      <c r="O19" s="89">
        <f>_xlfn.XLOOKUP(_xlfn.XLOOKUP($AS$6&amp;$B19,公表[班別+時段],公表[備勤2],""),$AX$9:$AX$25,$AY$9:$AY$25,"")</f>
        <v>0</v>
      </c>
      <c r="P19" s="89"/>
      <c r="Q19" s="89">
        <f>_xlfn.XLOOKUP(_xlfn.XLOOKUP($AS$6&amp;$B19,公表[班別+時段],公表[備勤3],""),$AX$9:$AX$25,$AY$9:$AY$25,"")</f>
        <v>0</v>
      </c>
      <c r="R19" s="89">
        <f>_xlfn.XLOOKUP(_xlfn.XLOOKUP($AS$6&amp;$B19,公表[班別+時段],公表[備勤4],""),$AX$9:$AX$25,$AY$9:$AY$25,"")</f>
        <v>0</v>
      </c>
      <c r="S19" s="89"/>
      <c r="T19" s="89">
        <f>_xlfn.XLOOKUP(_xlfn.XLOOKUP($AS$6&amp;$B19,公表[班別+時段],公表[備勤5],""),$AX$9:$AX$25,$AY$9:$AY$25,"")</f>
        <v>4</v>
      </c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89"/>
      <c r="AC19" s="89"/>
      <c r="AD19" s="89"/>
      <c r="AE19" s="104">
        <f>_xlfn.XLOOKUP(_xlfn.XLOOKUP($AS$6&amp;$B19,公表[班別+時段],公表[指揮官],""),$AX$9:$AX$25,$AY$9:$AY$25,"")</f>
        <v>3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27">
        <v>11</v>
      </c>
      <c r="AP19" s="127" t="str">
        <v>簡君諺</v>
      </c>
      <c r="AQ19" s="127" t="str" cm="1">
        <f t="array" ref="AQ19">IFERROR(_xlfn.XLOOKUP(_xlfn.XLOOKUP($AQ$3,輪休基準表!$C$6:$C$36,_xlfn.XLOOKUP(AP19,輪休基準表!$E$5:$AF$5,輪休基準表!$E$6:$AF$36,""),""),班別參數!$A$4:$A$20,班別參數!$B$4:$B$20,""),"")</f>
        <v>上班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>未排</v>
      </c>
      <c r="AT19" s="180" t="str">
        <f t="shared" si="0"/>
        <v/>
      </c>
      <c r="AU19" s="180" t="str">
        <f t="shared" si="1"/>
        <v/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:AY20">IF(AX19="","",_xlfn._xlws.FILTER($AO$9:$AO$13,$AQ$9:$AQ$13="上班",""))</f>
        <v>3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27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4</v>
      </c>
      <c r="D20" s="97"/>
      <c r="E20" s="97"/>
      <c r="F20" s="97"/>
      <c r="G20" s="121" t="str">
        <f>IF(BC14="","",BC14)</f>
        <v/>
      </c>
      <c r="H20" s="55"/>
      <c r="I20" s="94">
        <f>_xlfn.XLOOKUP(_xlfn.XLOOKUP($AS$6&amp;$B20,公表[班別+時段],公表[救護1],""),$AX$9:$AX$25,$AY$9:$AY$25,"")</f>
        <v>0</v>
      </c>
      <c r="J20" s="94">
        <f>_xlfn.XLOOKUP(_xlfn.XLOOKUP($AS$6&amp;$B20,公表[班別+時段],公表[救護2],""),$AX$9:$AX$25,$AY$9:$AY$25,"")</f>
        <v>0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0</v>
      </c>
      <c r="O20" s="90">
        <f>_xlfn.XLOOKUP(_xlfn.XLOOKUP($AS$6&amp;$B20,公表[班別+時段],公表[備勤2],""),$AX$9:$AX$25,$AY$9:$AY$25,"")</f>
        <v>0</v>
      </c>
      <c r="P20" s="90"/>
      <c r="Q20" s="90">
        <f>_xlfn.XLOOKUP(_xlfn.XLOOKUP($AS$6&amp;$B20,公表[班別+時段],公表[備勤3],""),$AX$9:$AX$25,$AY$9:$AY$25,"")</f>
        <v>0</v>
      </c>
      <c r="R20" s="90">
        <f>_xlfn.XLOOKUP(_xlfn.XLOOKUP($AS$6&amp;$B20,公表[班別+時段],公表[備勤4],""),$AX$9:$AX$25,$AY$9:$AY$25,"")</f>
        <v>0</v>
      </c>
      <c r="S20" s="90"/>
      <c r="T20" s="90">
        <f>_xlfn.XLOOKUP(_xlfn.XLOOKUP($AS$6&amp;$B20,公表[班別+時段],公表[備勤5],""),$AX$9:$AX$25,$AY$9:$AY$25,"")</f>
        <v>0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90"/>
      <c r="AC20" s="90"/>
      <c r="AD20" s="90"/>
      <c r="AE20" s="91">
        <f>_xlfn.XLOOKUP(_xlfn.XLOOKUP($AS$6&amp;$B20,公表[班別+時段],公表[指揮官],""),$AX$9:$AX$25,$AY$9:$AY$25,"")</f>
        <v>3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27">
        <v>12</v>
      </c>
      <c r="AP20" s="127" t="str">
        <v>王昱勛</v>
      </c>
      <c r="AQ20" s="127" t="str" cm="1">
        <f t="array" ref="AQ20">IFERROR(_xlfn.XLOOKUP(_xlfn.XLOOKUP($AQ$3,輪休基準表!$C$6:$C$36,_xlfn.XLOOKUP(AP20,輪休基準表!$E$5:$AF$5,輪休基準表!$E$6:$AF$36,""),""),班別參數!$A$4:$A$20,班別參數!$B$4:$B$20,""),"")</f>
        <v>輪休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/>
      </c>
      <c r="AT20" s="180" t="str">
        <f t="shared" si="0"/>
        <v/>
      </c>
      <c r="AU20" s="180" t="str">
        <f t="shared" si="1"/>
        <v/>
      </c>
      <c r="AV20" s="25"/>
      <c r="AW20" s="33" t="str">
        <f t="array" ref="AW20">INDEX(班別參數!$D$4:$D$20,ROW()-7,MATCH($AW$8,班別參數!$D$4:$D$20,0))</f>
        <v>帶隊官</v>
      </c>
      <c r="AX20" s="34" t="str">
        <f t="array" ref="AX20">IFERROR(INDEX(班別參數!$D$4:$S$20,MATCH(AW20,班別參數!$D$4:$D$20,0),MATCH($AS$6,班別參數!$D$4:$S$4,0)),"")</f>
        <v>L</v>
      </c>
      <c r="AY20" s="38">
        <v>4</v>
      </c>
      <c r="AZ20" s="32"/>
      <c r="BA20" s="33" t="s">
        <v>67</v>
      </c>
      <c r="BB20" s="34" t="str">
        <f t="array" ref="BB20">IFERROR(INDEX(班別參數!$D$23:$S$35,MATCH(BA20,班別參數!$D$23:$D$35,0),MATCH($AS$6,班別參數!$D$23:$S$23,0)),"")</f>
        <v>G,L</v>
      </c>
      <c r="BC20" s="41" t="str">
        <f t="shared" si="2"/>
        <v>4</v>
      </c>
      <c r="BD20" s="127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4</v>
      </c>
      <c r="D21" s="95"/>
      <c r="E21" s="95"/>
      <c r="F21" s="95"/>
      <c r="G21" s="122" t="str">
        <f>IF(BC14="","",BC14)</f>
        <v/>
      </c>
      <c r="H21" s="296" t="str">
        <f>AY4</f>
        <v>個人水域防護裝備介紹</v>
      </c>
      <c r="I21" s="92">
        <f>_xlfn.XLOOKUP(_xlfn.XLOOKUP($AS$6&amp;$B21,公表[班別+時段],公表[救護1],""),$AX$9:$AX$25,$AY$9:$AY$25,"")</f>
        <v>0</v>
      </c>
      <c r="J21" s="92">
        <f>_xlfn.XLOOKUP(_xlfn.XLOOKUP($AS$6&amp;$B21,公表[班別+時段],公表[救護2],""),$AX$9:$AX$25,$AY$9:$AY$25,"")</f>
        <v>0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0</v>
      </c>
      <c r="O21" s="87">
        <f>_xlfn.XLOOKUP(_xlfn.XLOOKUP($AS$6&amp;$B21,公表[班別+時段],公表[備勤2],""),$AX$9:$AX$25,$AY$9:$AY$25,"")</f>
        <v>0</v>
      </c>
      <c r="P21" s="87"/>
      <c r="Q21" s="87">
        <f>_xlfn.XLOOKUP(_xlfn.XLOOKUP($AS$6&amp;$B21,公表[班別+時段],公表[備勤3],""),$AX$9:$AX$25,$AY$9:$AY$25,"")</f>
        <v>0</v>
      </c>
      <c r="R21" s="87">
        <f>_xlfn.XLOOKUP(_xlfn.XLOOKUP($AS$6&amp;$B21,公表[班別+時段],公表[備勤4],""),$AX$9:$AX$25,$AY$9:$AY$25,"")</f>
        <v>0</v>
      </c>
      <c r="S21" s="87"/>
      <c r="T21" s="87">
        <f>_xlfn.XLOOKUP(_xlfn.XLOOKUP($AS$6&amp;$B21,公表[班別+時段],公表[備勤5],""),$AX$9:$AX$25,$AY$9:$AY$25,"")</f>
        <v>0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87"/>
      <c r="AC21" s="87"/>
      <c r="AD21" s="87"/>
      <c r="AE21" s="88">
        <f>_xlfn.XLOOKUP(_xlfn.XLOOKUP($AS$6&amp;$B21,公表[班別+時段],公表[指揮官],""),$AX$9:$AX$25,$AY$9:$AY$25,"")</f>
        <v>3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27">
        <v>13</v>
      </c>
      <c r="AP21" s="127" t="str">
        <v>葉宗哲</v>
      </c>
      <c r="AQ21" s="127" t="str" cm="1">
        <f t="array" ref="AQ21">IFERROR(_xlfn.XLOOKUP(_xlfn.XLOOKUP($AQ$3,輪休基準表!$C$6:$C$36,_xlfn.XLOOKUP(AP21,輪休基準表!$E$5:$AF$5,輪休基準表!$E$6:$AF$36,""),""),班別參數!$A$4:$A$20,班別參數!$B$4:$B$20,""),"")</f>
        <v>公假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/>
      </c>
      <c r="AT21" s="180" t="str">
        <f t="shared" si="0"/>
        <v/>
      </c>
      <c r="AU21" s="180" t="str">
        <f t="shared" si="1"/>
        <v/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27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0</v>
      </c>
      <c r="D22" s="95"/>
      <c r="E22" s="95"/>
      <c r="F22" s="95"/>
      <c r="G22" s="122" t="str">
        <f>IF(BC15="","",BC15)</f>
        <v/>
      </c>
      <c r="H22" s="297"/>
      <c r="I22" s="92">
        <f>_xlfn.XLOOKUP(_xlfn.XLOOKUP($AS$6&amp;$B22,公表[班別+時段],公表[救護1],""),$AX$9:$AX$25,$AY$9:$AY$25,"")</f>
        <v>0</v>
      </c>
      <c r="J22" s="92">
        <f>_xlfn.XLOOKUP(_xlfn.XLOOKUP($AS$6&amp;$B22,公表[班別+時段],公表[救護2],""),$AX$9:$AX$25,$AY$9:$AY$25,"")</f>
        <v>0</v>
      </c>
      <c r="K22" s="92"/>
      <c r="L22" s="87" t="s">
        <v>212</v>
      </c>
      <c r="M22" s="312"/>
      <c r="N22" s="87">
        <f>_xlfn.XLOOKUP(_xlfn.XLOOKUP($AS$6&amp;$B22,公表[班別+時段],公表[備勤1],""),$AX$9:$AX$25,$AY$9:$AY$25,"")</f>
        <v>0</v>
      </c>
      <c r="O22" s="87">
        <f>_xlfn.XLOOKUP(_xlfn.XLOOKUP($AS$6&amp;$B22,公表[班別+時段],公表[備勤2],""),$AX$9:$AX$25,$AY$9:$AY$25,"")</f>
        <v>0</v>
      </c>
      <c r="P22" s="87"/>
      <c r="Q22" s="87">
        <f>_xlfn.XLOOKUP(_xlfn.XLOOKUP($AS$6&amp;$B22,公表[班別+時段],公表[備勤3],""),$AX$9:$AX$25,$AY$9:$AY$25,"")</f>
        <v>0</v>
      </c>
      <c r="R22" s="87">
        <f>_xlfn.XLOOKUP(_xlfn.XLOOKUP($AS$6&amp;$B22,公表[班別+時段],公表[備勤4],""),$AX$9:$AX$25,$AY$9:$AY$25,"")</f>
        <v>0</v>
      </c>
      <c r="S22" s="87"/>
      <c r="T22" s="87">
        <f>_xlfn.XLOOKUP(_xlfn.XLOOKUP($AS$6&amp;$B22,公表[班別+時段],公表[備勤5],""),$AX$9:$AX$25,$AY$9:$AY$25,"")</f>
        <v>4</v>
      </c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87"/>
      <c r="AC22" s="87"/>
      <c r="AD22" s="87"/>
      <c r="AE22" s="88">
        <f>_xlfn.XLOOKUP(_xlfn.XLOOKUP($AS$6&amp;$B22,公表[班別+時段],公表[指揮官],""),$AX$9:$AX$25,$AY$9:$AY$25,"")</f>
        <v>3</v>
      </c>
      <c r="AF22" s="57" t="s">
        <v>213</v>
      </c>
      <c r="AG22" s="305" t="str" cm="1">
        <f t="array" ref="AG22">_xlfn.TEXTJOIN(".",1,_xlfn._xlws.FILTER($AO$9:$AO$40,$AQ$9:$AQ$40="上班",""))</f>
        <v>3.4.8.11.15.17.24.27.28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27">
        <v>14</v>
      </c>
      <c r="AP22" s="127" t="str">
        <v>王浩任</v>
      </c>
      <c r="AQ22" s="127" t="str" cm="1">
        <f t="array" ref="AQ22">IFERROR(_xlfn.XLOOKUP(_xlfn.XLOOKUP($AQ$3,輪休基準表!$C$6:$C$36,_xlfn.XLOOKUP(AP22,輪休基準表!$E$5:$AF$5,輪休基準表!$E$6:$AF$36,""),""),班別參數!$A$4:$A$20,班別參數!$B$4:$B$20,""),"")</f>
        <v>公假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/>
      </c>
      <c r="AT22" s="180" t="str">
        <f t="shared" si="0"/>
        <v/>
      </c>
      <c r="AU22" s="180" t="str">
        <f t="shared" si="1"/>
        <v/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27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0</v>
      </c>
      <c r="D23" s="106"/>
      <c r="E23" s="96"/>
      <c r="F23" s="96"/>
      <c r="G23" s="123" t="str">
        <f>IF(BC15="","",BC15)</f>
        <v/>
      </c>
      <c r="H23" s="107"/>
      <c r="I23" s="216">
        <f>_xlfn.XLOOKUP(_xlfn.XLOOKUP($AS$6&amp;$B23,公表[班別+時段],公表[救護1],""),$AX$9:$AX$25,$AY$9:$AY$25,"")</f>
        <v>0</v>
      </c>
      <c r="J23" s="216">
        <f>_xlfn.XLOOKUP(_xlfn.XLOOKUP($AS$6&amp;$B23,公表[班別+時段],公表[救護2],""),$AX$9:$AX$25,$AY$9:$AY$25,"")</f>
        <v>0</v>
      </c>
      <c r="K23" s="105"/>
      <c r="L23" s="93" t="s">
        <v>212</v>
      </c>
      <c r="M23" s="312"/>
      <c r="N23" s="89">
        <f>_xlfn.XLOOKUP(_xlfn.XLOOKUP($AS$6&amp;$B23,公表[班別+時段],公表[備勤1],""),$AX$9:$AX$25,$AY$9:$AY$25,"")</f>
        <v>0</v>
      </c>
      <c r="O23" s="89">
        <f>_xlfn.XLOOKUP(_xlfn.XLOOKUP($AS$6&amp;$B23,公表[班別+時段],公表[備勤2],""),$AX$9:$AX$25,$AY$9:$AY$25,"")</f>
        <v>0</v>
      </c>
      <c r="P23" s="89"/>
      <c r="Q23" s="89">
        <f>_xlfn.XLOOKUP(_xlfn.XLOOKUP($AS$6&amp;$B23,公表[班別+時段],公表[備勤3],""),$AX$9:$AX$25,$AY$9:$AY$25,"")</f>
        <v>0</v>
      </c>
      <c r="R23" s="89">
        <f>_xlfn.XLOOKUP(_xlfn.XLOOKUP($AS$6&amp;$B23,公表[班別+時段],公表[備勤4],""),$AX$9:$AX$25,$AY$9:$AY$25,"")</f>
        <v>0</v>
      </c>
      <c r="S23" s="89"/>
      <c r="T23" s="89">
        <f>_xlfn.XLOOKUP(_xlfn.XLOOKUP($AS$6&amp;$B23,公表[班別+時段],公表[備勤5],""),$AX$9:$AX$25,$AY$9:$AY$25,"")</f>
        <v>4</v>
      </c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89"/>
      <c r="AC23" s="89"/>
      <c r="AD23" s="89"/>
      <c r="AE23" s="104">
        <f>_xlfn.XLOOKUP(_xlfn.XLOOKUP($AS$6&amp;$B23,公表[班別+時段],公表[指揮官],""),$AX$9:$AX$25,$AY$9:$AY$25,"")</f>
        <v>3</v>
      </c>
      <c r="AF23" s="57" t="s">
        <v>6</v>
      </c>
      <c r="AG23" s="305" t="str" cm="1">
        <f t="array" ref="AG23">_xlfn.TEXTJOIN(".",1,_xlfn._xlws.FILTER($AO$9:$AO$40,$AQ$9:$AQ$40=$AF$23,""))</f>
        <v>1.5.6.7.9.10.12.16.18.21.23</v>
      </c>
      <c r="AH23" s="400"/>
      <c r="AI23" s="400"/>
      <c r="AJ23" s="400"/>
      <c r="AK23" s="400"/>
      <c r="AL23" s="400"/>
      <c r="AM23" s="401"/>
      <c r="AN23" s="214"/>
      <c r="AO23" s="127">
        <v>15</v>
      </c>
      <c r="AP23" s="127" t="str">
        <v>李仕詮</v>
      </c>
      <c r="AQ23" s="127" t="str" cm="1">
        <f t="array" ref="AQ23">IFERROR(_xlfn.XLOOKUP(_xlfn.XLOOKUP($AQ$3,輪休基準表!$C$6:$C$36,_xlfn.XLOOKUP(AP23,輪休基準表!$E$5:$AF$5,輪休基準表!$E$6:$AF$36,""),""),班別參數!$A$4:$A$20,班別參數!$B$4:$B$20,""),"")</f>
        <v>上班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>未排</v>
      </c>
      <c r="AT23" s="180" t="str">
        <f t="shared" si="0"/>
        <v/>
      </c>
      <c r="AU23" s="180" t="str">
        <f t="shared" si="1"/>
        <v/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27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0</v>
      </c>
      <c r="D24" s="97"/>
      <c r="E24" s="97"/>
      <c r="F24" s="97"/>
      <c r="G24" s="121" t="str">
        <f>IF(BC16="","",BC16)</f>
        <v/>
      </c>
      <c r="H24" s="55"/>
      <c r="I24" s="94">
        <f>_xlfn.XLOOKUP(_xlfn.XLOOKUP($AS$6&amp;$B24,公表[班別+時段],公表[救護1],""),$AX$9:$AX$25,$AY$9:$AY$25,"")</f>
        <v>0</v>
      </c>
      <c r="J24" s="94">
        <f>_xlfn.XLOOKUP(_xlfn.XLOOKUP($AS$6&amp;$B24,公表[班別+時段],公表[救護2],""),$AX$9:$AX$25,$AY$9:$AY$25,"")</f>
        <v>0</v>
      </c>
      <c r="K24" s="90"/>
      <c r="L24" s="90" t="s">
        <v>212</v>
      </c>
      <c r="M24" s="312"/>
      <c r="N24" s="90">
        <f>_xlfn.XLOOKUP(_xlfn.XLOOKUP($AS$6&amp;$B24,公表[班別+時段],公表[備勤1],""),$AX$9:$AX$25,$AY$9:$AY$25,"")</f>
        <v>0</v>
      </c>
      <c r="O24" s="90">
        <f>_xlfn.XLOOKUP(_xlfn.XLOOKUP($AS$6&amp;$B24,公表[班別+時段],公表[備勤2],""),$AX$9:$AX$25,$AY$9:$AY$25,"")</f>
        <v>0</v>
      </c>
      <c r="P24" s="90"/>
      <c r="Q24" s="90">
        <f>_xlfn.XLOOKUP(_xlfn.XLOOKUP($AS$6&amp;$B24,公表[班別+時段],公表[備勤3],""),$AX$9:$AX$25,$AY$9:$AY$25,"")</f>
        <v>0</v>
      </c>
      <c r="R24" s="90">
        <f>_xlfn.XLOOKUP(_xlfn.XLOOKUP($AS$6&amp;$B24,公表[班別+時段],公表[備勤4],""),$AX$9:$AX$25,$AY$9:$AY$25,"")</f>
        <v>0</v>
      </c>
      <c r="S24" s="90"/>
      <c r="T24" s="90">
        <f>_xlfn.XLOOKUP(_xlfn.XLOOKUP($AS$6&amp;$B24,公表[班別+時段],公表[備勤5],""),$AX$9:$AX$25,$AY$9:$AY$25,"")</f>
        <v>4</v>
      </c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90"/>
      <c r="AC24" s="90"/>
      <c r="AD24" s="90"/>
      <c r="AE24" s="91">
        <f>_xlfn.XLOOKUP(_xlfn.XLOOKUP($AS$6&amp;$B24,公表[班別+時段],公表[指揮官],""),$AX$9:$AX$25,$AY$9:$AY$25,"")</f>
        <v>3</v>
      </c>
      <c r="AF24" s="57" t="s">
        <v>17</v>
      </c>
      <c r="AG24" s="305" t="str" cm="1">
        <f t="array" ref="AG24">_xlfn.TEXTJOIN(".",1,_xlfn._xlws.FILTER($AO$9:$AO$40,$AQ$9:$AQ$40=$AF$24,""))</f>
        <v>26</v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>19</v>
      </c>
      <c r="AL24" s="400"/>
      <c r="AM24" s="401"/>
      <c r="AN24" s="214"/>
      <c r="AO24" s="127">
        <v>16</v>
      </c>
      <c r="AP24" s="127" t="str">
        <v>楊弘宇</v>
      </c>
      <c r="AQ24" s="127" t="str" cm="1">
        <f t="array" ref="AQ24">IFERROR(_xlfn.XLOOKUP(_xlfn.XLOOKUP($AQ$3,輪休基準表!$C$6:$C$36,_xlfn.XLOOKUP(AP24,輪休基準表!$E$5:$AF$5,輪休基準表!$E$6:$AF$36,""),""),班別參數!$A$4:$A$20,班別參數!$B$4:$B$20,""),"")</f>
        <v>輪休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/>
      </c>
      <c r="AT24" s="180" t="str">
        <f t="shared" si="0"/>
        <v/>
      </c>
      <c r="AU24" s="180" t="str">
        <f t="shared" si="1"/>
        <v/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27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0</v>
      </c>
      <c r="D25" s="95"/>
      <c r="E25" s="95"/>
      <c r="F25" s="95"/>
      <c r="G25" s="122" t="str">
        <f>IF(BC16="","",BC16)</f>
        <v/>
      </c>
      <c r="H25" s="37"/>
      <c r="I25" s="92">
        <f>_xlfn.XLOOKUP(_xlfn.XLOOKUP($AS$6&amp;$B25,公表[班別+時段],公表[救護1],""),$AX$9:$AX$25,$AY$9:$AY$25,"")</f>
        <v>0</v>
      </c>
      <c r="J25" s="92">
        <f>_xlfn.XLOOKUP(_xlfn.XLOOKUP($AS$6&amp;$B25,公表[班別+時段],公表[救護2],""),$AX$9:$AX$25,$AY$9:$AY$25,"")</f>
        <v>0</v>
      </c>
      <c r="K25" s="87"/>
      <c r="L25" s="87" t="s">
        <v>212</v>
      </c>
      <c r="M25" s="312"/>
      <c r="N25" s="87">
        <f>_xlfn.XLOOKUP(_xlfn.XLOOKUP($AS$6&amp;$B25,公表[班別+時段],公表[備勤1],""),$AX$9:$AX$25,$AY$9:$AY$25,"")</f>
        <v>0</v>
      </c>
      <c r="O25" s="87">
        <f>_xlfn.XLOOKUP(_xlfn.XLOOKUP($AS$6&amp;$B25,公表[班別+時段],公表[備勤2],""),$AX$9:$AX$25,$AY$9:$AY$25,"")</f>
        <v>0</v>
      </c>
      <c r="P25" s="87"/>
      <c r="Q25" s="87">
        <f>_xlfn.XLOOKUP(_xlfn.XLOOKUP($AS$6&amp;$B25,公表[班別+時段],公表[備勤3],""),$AX$9:$AX$25,$AY$9:$AY$25,"")</f>
        <v>0</v>
      </c>
      <c r="R25" s="87">
        <f>_xlfn.XLOOKUP(_xlfn.XLOOKUP($AS$6&amp;$B25,公表[班別+時段],公表[備勤4],""),$AX$9:$AX$25,$AY$9:$AY$25,"")</f>
        <v>0</v>
      </c>
      <c r="S25" s="87"/>
      <c r="T25" s="87">
        <f>_xlfn.XLOOKUP(_xlfn.XLOOKUP($AS$6&amp;$B25,公表[班別+時段],公表[備勤5],""),$AX$9:$AX$25,$AY$9:$AY$25,"")</f>
        <v>4</v>
      </c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87"/>
      <c r="AC25" s="87"/>
      <c r="AD25" s="87"/>
      <c r="AE25" s="88">
        <f>_xlfn.XLOOKUP(_xlfn.XLOOKUP($AS$6&amp;$B25,公表[班別+時段],公表[指揮官],""),$AX$9:$AX$25,$AY$9:$AY$25,"")</f>
        <v>3</v>
      </c>
      <c r="AF25" s="57" t="s">
        <v>28</v>
      </c>
      <c r="AG25" s="305" t="str" cm="1">
        <f t="array" ref="AG25">_xlfn.TEXTJOIN(".",1,_xlfn._xlws.FILTER($AO$9:$AO$40,$AQ$9:$AQ$40=$AF$25,""))</f>
        <v>2.25</v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>13.14.20.22</v>
      </c>
      <c r="AL25" s="309"/>
      <c r="AM25" s="310"/>
      <c r="AN25" s="214"/>
      <c r="AO25" s="127">
        <v>17</v>
      </c>
      <c r="AP25" s="127" t="str">
        <v>楊仲豪</v>
      </c>
      <c r="AQ25" s="127" t="str" cm="1">
        <f t="array" ref="AQ25">IFERROR(_xlfn.XLOOKUP(_xlfn.XLOOKUP($AQ$3,輪休基準表!$C$6:$C$36,_xlfn.XLOOKUP(AP25,輪休基準表!$E$5:$AF$5,輪休基準表!$E$6:$AF$36,""),""),班別參數!$A$4:$A$20,班別參數!$B$4:$B$20,""),"")</f>
        <v>上班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>未排</v>
      </c>
      <c r="AT25" s="180" t="str">
        <f t="shared" si="0"/>
        <v/>
      </c>
      <c r="AU25" s="180" t="str">
        <f t="shared" si="1"/>
        <v/>
      </c>
      <c r="AW25" s="33"/>
      <c r="AX25" s="45"/>
      <c r="AY25" s="25"/>
      <c r="AZ25" s="28"/>
      <c r="BA25" s="33"/>
      <c r="BB25" s="25"/>
      <c r="BD25" s="127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0</v>
      </c>
      <c r="D26" s="95"/>
      <c r="E26" s="95"/>
      <c r="F26" s="95"/>
      <c r="G26" s="122" t="str">
        <f>IF(BC17="","",BC17)</f>
        <v/>
      </c>
      <c r="H26" s="37"/>
      <c r="I26" s="92">
        <f>_xlfn.XLOOKUP(_xlfn.XLOOKUP($AS$6&amp;$B26,公表[班別+時段],公表[救護1],""),$AX$9:$AX$25,$AY$9:$AY$25,"")</f>
        <v>0</v>
      </c>
      <c r="J26" s="92">
        <f>_xlfn.XLOOKUP(_xlfn.XLOOKUP($AS$6&amp;$B26,公表[班別+時段],公表[救護2],""),$AX$9:$AX$25,$AY$9:$AY$25,"")</f>
        <v>0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0</v>
      </c>
      <c r="O26" s="87">
        <f>_xlfn.XLOOKUP(_xlfn.XLOOKUP($AS$6&amp;$B26,公表[班別+時段],公表[備勤2],""),$AX$9:$AX$25,$AY$9:$AY$25,"")</f>
        <v>0</v>
      </c>
      <c r="P26" s="87"/>
      <c r="Q26" s="87">
        <f>_xlfn.XLOOKUP(_xlfn.XLOOKUP($AS$6&amp;$B26,公表[班別+時段],公表[備勤3],""),$AX$9:$AX$25,$AY$9:$AY$25,"")</f>
        <v>0</v>
      </c>
      <c r="R26" s="87">
        <f>_xlfn.XLOOKUP(_xlfn.XLOOKUP($AS$6&amp;$B26,公表[班別+時段],公表[備勤4],""),$AX$9:$AX$25,$AY$9:$AY$25,"")</f>
        <v>0</v>
      </c>
      <c r="S26" s="87"/>
      <c r="T26" s="87">
        <f>_xlfn.XLOOKUP(_xlfn.XLOOKUP($AS$6&amp;$B26,公表[班別+時段],公表[備勤5],""),$AX$9:$AX$25,$AY$9:$AY$25,"")</f>
        <v>4</v>
      </c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87"/>
      <c r="AC26" s="87"/>
      <c r="AD26" s="87"/>
      <c r="AE26" s="88">
        <f>_xlfn.XLOOKUP(_xlfn.XLOOKUP($AS$6&amp;$B26,公表[班別+時段],公表[指揮官],""),$AX$9:$AX$25,$AY$9:$AY$25,"")</f>
        <v>3</v>
      </c>
      <c r="AF26" s="57" t="s">
        <v>289</v>
      </c>
      <c r="AG26" s="178" t="str" cm="1">
        <f t="array" ref="AG26">_xlfn.TEXTJOIN(".",1,_xlfn._xlws.FILTER($AO$9:$AO$40,$AQ$9:$AQ$40=$AF$26,""))</f>
        <v/>
      </c>
      <c r="AH26" s="168" t="s">
        <v>290</v>
      </c>
      <c r="AI26" s="179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/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27">
        <v>18</v>
      </c>
      <c r="AP26" s="127" t="str">
        <v>林志偉</v>
      </c>
      <c r="AQ26" s="127" t="str" cm="1">
        <f t="array" ref="AQ26">IFERROR(_xlfn.XLOOKUP(_xlfn.XLOOKUP($AQ$3,輪休基準表!$C$6:$C$36,_xlfn.XLOOKUP(AP26,輪休基準表!$E$5:$AF$5,輪休基準表!$E$6:$AF$36,""),""),班別參數!$A$4:$A$20,班別參數!$B$4:$B$20,""),"")</f>
        <v>輪休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/>
      </c>
      <c r="AT26" s="180" t="str">
        <f t="shared" si="0"/>
        <v/>
      </c>
      <c r="AU26" s="180" t="str">
        <f t="shared" si="1"/>
        <v/>
      </c>
      <c r="AV26" s="10"/>
      <c r="AW26" s="46"/>
      <c r="AX26" s="45"/>
      <c r="AY26" s="25"/>
      <c r="AZ26" s="28"/>
      <c r="BA26" s="33"/>
      <c r="BB26" s="25"/>
      <c r="BD26" s="127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0</v>
      </c>
      <c r="D27" s="95"/>
      <c r="E27" s="95"/>
      <c r="F27" s="95"/>
      <c r="G27" s="122" t="str">
        <f>IF(BC17="","",BC17)</f>
        <v/>
      </c>
      <c r="H27" s="37"/>
      <c r="I27" s="92">
        <f>_xlfn.XLOOKUP(_xlfn.XLOOKUP($AS$6&amp;$B27,公表[班別+時段],公表[救護1],""),$AX$9:$AX$25,$AY$9:$AY$25,"")</f>
        <v>0</v>
      </c>
      <c r="J27" s="92">
        <f>_xlfn.XLOOKUP(_xlfn.XLOOKUP($AS$6&amp;$B27,公表[班別+時段],公表[救護2],""),$AX$9:$AX$25,$AY$9:$AY$25,"")</f>
        <v>0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0</v>
      </c>
      <c r="O27" s="87">
        <f>_xlfn.XLOOKUP(_xlfn.XLOOKUP($AS$6&amp;$B27,公表[班別+時段],公表[備勤2],""),$AX$9:$AX$25,$AY$9:$AY$25,"")</f>
        <v>0</v>
      </c>
      <c r="P27" s="87"/>
      <c r="Q27" s="87">
        <f>_xlfn.XLOOKUP(_xlfn.XLOOKUP($AS$6&amp;$B27,公表[班別+時段],公表[備勤3],""),$AX$9:$AX$25,$AY$9:$AY$25,"")</f>
        <v>0</v>
      </c>
      <c r="R27" s="87">
        <f>_xlfn.XLOOKUP(_xlfn.XLOOKUP($AS$6&amp;$B27,公表[班別+時段],公表[備勤4],""),$AX$9:$AX$25,$AY$9:$AY$25,"")</f>
        <v>0</v>
      </c>
      <c r="S27" s="87"/>
      <c r="T27" s="87">
        <f>_xlfn.XLOOKUP(_xlfn.XLOOKUP($AS$6&amp;$B27,公表[班別+時段],公表[備勤5],""),$AX$9:$AX$25,$AY$9:$AY$25,"")</f>
        <v>4</v>
      </c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87"/>
      <c r="AC27" s="87"/>
      <c r="AD27" s="87"/>
      <c r="AE27" s="88">
        <f>_xlfn.XLOOKUP(_xlfn.XLOOKUP($AS$6&amp;$B27,公表[班別+時段],公表[指揮官],""),$AX$9:$AX$25,$AY$9:$AY$25,"")</f>
        <v>3</v>
      </c>
      <c r="AF27" s="317" t="s">
        <v>215</v>
      </c>
      <c r="AG27" s="319"/>
      <c r="AH27" s="321"/>
      <c r="AI27" s="321"/>
      <c r="AJ27" s="321"/>
      <c r="AK27" s="321"/>
      <c r="AL27" s="321"/>
      <c r="AM27" s="322"/>
      <c r="AN27" s="214"/>
      <c r="AO27" s="127">
        <v>19</v>
      </c>
      <c r="AP27" s="127" t="str">
        <v>劉家誠</v>
      </c>
      <c r="AQ27" s="127" t="str" cm="1">
        <f t="array" ref="AQ27">IFERROR(_xlfn.XLOOKUP(_xlfn.XLOOKUP($AQ$3,輪休基準表!$C$6:$C$36,_xlfn.XLOOKUP(AP27,輪休基準表!$E$5:$AF$5,輪休基準表!$E$6:$AF$36,""),""),班別參數!$A$4:$A$20,班別參數!$B$4:$B$20,""),"")</f>
        <v>補休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/>
      </c>
      <c r="AT27" s="180" t="str">
        <f t="shared" si="0"/>
        <v/>
      </c>
      <c r="AU27" s="180" t="str">
        <f t="shared" si="1"/>
        <v/>
      </c>
      <c r="AV27" s="10"/>
      <c r="AW27" s="46"/>
      <c r="AX27" s="45"/>
      <c r="AY27" s="25"/>
      <c r="AZ27" s="28"/>
      <c r="BA27" s="33"/>
      <c r="BB27" s="25"/>
      <c r="BD27" s="127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0</v>
      </c>
      <c r="D28" s="95"/>
      <c r="E28" s="95"/>
      <c r="F28" s="95"/>
      <c r="G28" s="122" t="str">
        <f>IF(BC18="","",BC18)</f>
        <v/>
      </c>
      <c r="H28" s="37"/>
      <c r="I28" s="92">
        <f>_xlfn.XLOOKUP(_xlfn.XLOOKUP($AS$6&amp;$B28,公表[班別+時段],公表[救護1],""),$AX$9:$AX$25,$AY$9:$AY$25,"")</f>
        <v>0</v>
      </c>
      <c r="J28" s="92">
        <f>_xlfn.XLOOKUP(_xlfn.XLOOKUP($AS$6&amp;$B28,公表[班別+時段],公表[救護2],""),$AX$9:$AX$25,$AY$9:$AY$25,"")</f>
        <v>0</v>
      </c>
      <c r="K28" s="87"/>
      <c r="L28" s="87" t="s">
        <v>212</v>
      </c>
      <c r="M28" s="312"/>
      <c r="N28" s="87">
        <f>_xlfn.XLOOKUP(_xlfn.XLOOKUP($AS$6&amp;$B28,公表[班別+時段],公表[備勤1],""),$AX$9:$AX$25,$AY$9:$AY$25,"")</f>
        <v>0</v>
      </c>
      <c r="O28" s="87">
        <f>_xlfn.XLOOKUP(_xlfn.XLOOKUP($AS$6&amp;$B28,公表[班別+時段],公表[備勤2],""),$AX$9:$AX$25,$AY$9:$AY$25,"")</f>
        <v>0</v>
      </c>
      <c r="P28" s="87"/>
      <c r="Q28" s="87">
        <f>_xlfn.XLOOKUP(_xlfn.XLOOKUP($AS$6&amp;$B28,公表[班別+時段],公表[備勤3],""),$AX$9:$AX$25,$AY$9:$AY$25,"")</f>
        <v>0</v>
      </c>
      <c r="R28" s="87">
        <f>_xlfn.XLOOKUP(_xlfn.XLOOKUP($AS$6&amp;$B28,公表[班別+時段],公表[備勤4],""),$AX$9:$AX$25,$AY$9:$AY$25,"")</f>
        <v>0</v>
      </c>
      <c r="S28" s="87"/>
      <c r="T28" s="87">
        <f>_xlfn.XLOOKUP(_xlfn.XLOOKUP($AS$6&amp;$B28,公表[班別+時段],公表[備勤5],""),$AX$9:$AX$25,$AY$9:$AY$25,"")</f>
        <v>4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87"/>
      <c r="AC28" s="87"/>
      <c r="AD28" s="87"/>
      <c r="AE28" s="88">
        <f>_xlfn.XLOOKUP(_xlfn.XLOOKUP($AS$6&amp;$B28,公表[班別+時段],公表[指揮官],""),$AX$9:$AX$25,$AY$9:$AY$25,"")</f>
        <v>3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27">
        <v>20</v>
      </c>
      <c r="AP28" s="127" t="str">
        <v>呂奇霈</v>
      </c>
      <c r="AQ28" s="127" t="str" cm="1">
        <f t="array" ref="AQ28">IFERROR(_xlfn.XLOOKUP(_xlfn.XLOOKUP($AQ$3,輪休基準表!$C$6:$C$36,_xlfn.XLOOKUP(AP28,輪休基準表!$E$5:$AF$5,輪休基準表!$E$6:$AF$36,""),""),班別參數!$A$4:$A$20,班別參數!$B$4:$B$20,""),"")</f>
        <v>公假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27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0</v>
      </c>
      <c r="D29" s="95"/>
      <c r="E29" s="95"/>
      <c r="F29" s="95"/>
      <c r="G29" s="122" t="str">
        <f>IF(BC18="","",BC18)</f>
        <v/>
      </c>
      <c r="H29" s="37"/>
      <c r="I29" s="92">
        <f>_xlfn.XLOOKUP(_xlfn.XLOOKUP($AS$6&amp;$B29,公表[班別+時段],公表[救護1],""),$AX$9:$AX$25,$AY$9:$AY$25,"")</f>
        <v>0</v>
      </c>
      <c r="J29" s="92">
        <f>_xlfn.XLOOKUP(_xlfn.XLOOKUP($AS$6&amp;$B29,公表[班別+時段],公表[救護2],""),$AX$9:$AX$25,$AY$9:$AY$25,"")</f>
        <v>0</v>
      </c>
      <c r="K29" s="87"/>
      <c r="L29" s="87" t="s">
        <v>212</v>
      </c>
      <c r="M29" s="312"/>
      <c r="N29" s="87">
        <f>_xlfn.XLOOKUP(_xlfn.XLOOKUP($AS$6&amp;$B29,公表[班別+時段],公表[備勤1],""),$AX$9:$AX$25,$AY$9:$AY$25,"")</f>
        <v>0</v>
      </c>
      <c r="O29" s="87">
        <f>_xlfn.XLOOKUP(_xlfn.XLOOKUP($AS$6&amp;$B29,公表[班別+時段],公表[備勤2],""),$AX$9:$AX$25,$AY$9:$AY$25,"")</f>
        <v>0</v>
      </c>
      <c r="P29" s="87"/>
      <c r="Q29" s="87">
        <f>_xlfn.XLOOKUP(_xlfn.XLOOKUP($AS$6&amp;$B29,公表[班別+時段],公表[備勤3],""),$AX$9:$AX$25,$AY$9:$AY$25,"")</f>
        <v>0</v>
      </c>
      <c r="R29" s="87">
        <f>_xlfn.XLOOKUP(_xlfn.XLOOKUP($AS$6&amp;$B29,公表[班別+時段],公表[備勤4],""),$AX$9:$AX$25,$AY$9:$AY$25,"")</f>
        <v>0</v>
      </c>
      <c r="S29" s="87"/>
      <c r="T29" s="87">
        <f>_xlfn.XLOOKUP(_xlfn.XLOOKUP($AS$6&amp;$B29,公表[班別+時段],公表[備勤5],""),$AX$9:$AX$25,$AY$9:$AY$25,"")</f>
        <v>4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87"/>
      <c r="AC29" s="87"/>
      <c r="AD29" s="87"/>
      <c r="AE29" s="88">
        <f>_xlfn.XLOOKUP(_xlfn.XLOOKUP($AS$6&amp;$B29,公表[班別+時段],公表[指揮官],""),$AX$9:$AX$25,$AY$9:$AY$25,"")</f>
        <v>3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27">
        <v>21</v>
      </c>
      <c r="AP29" s="127" t="str">
        <v>張家和</v>
      </c>
      <c r="AQ29" s="127" t="str" cm="1">
        <f t="array" ref="AQ29">IFERROR(_xlfn.XLOOKUP(_xlfn.XLOOKUP($AQ$3,輪休基準表!$C$6:$C$36,_xlfn.XLOOKUP(AP29,輪休基準表!$E$5:$AF$5,輪休基準表!$E$6:$AF$36,""),""),班別參數!$A$4:$A$20,班別參數!$B$4:$B$20,""),"")</f>
        <v>輪休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/>
      </c>
      <c r="AT29" s="180" t="str">
        <f t="shared" si="0"/>
        <v/>
      </c>
      <c r="AU29" s="180" t="str">
        <f t="shared" si="1"/>
        <v/>
      </c>
      <c r="AV29" s="10"/>
      <c r="AW29" s="47"/>
      <c r="AX29" s="45"/>
      <c r="AY29" s="25"/>
      <c r="AZ29" s="28"/>
      <c r="BA29" s="33"/>
      <c r="BB29" s="25"/>
      <c r="BD29" s="127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0</v>
      </c>
      <c r="D30" s="95"/>
      <c r="E30" s="95"/>
      <c r="F30" s="95"/>
      <c r="G30" s="122" t="str">
        <f>IF(BC19="","",BC19)</f>
        <v/>
      </c>
      <c r="H30" s="37"/>
      <c r="I30" s="92">
        <f>_xlfn.XLOOKUP(_xlfn.XLOOKUP($AS$6&amp;$B30,公表[班別+時段],公表[救護1],""),$AX$9:$AX$25,$AY$9:$AY$25,"")</f>
        <v>0</v>
      </c>
      <c r="J30" s="92">
        <f>_xlfn.XLOOKUP(_xlfn.XLOOKUP($AS$6&amp;$B30,公表[班別+時段],公表[救護2],""),$AX$9:$AX$25,$AY$9:$AY$25,"")</f>
        <v>0</v>
      </c>
      <c r="K30" s="87"/>
      <c r="L30" s="87" t="s">
        <v>212</v>
      </c>
      <c r="M30" s="312"/>
      <c r="N30" s="87">
        <f>_xlfn.XLOOKUP(_xlfn.XLOOKUP($AS$6&amp;$B30,公表[班別+時段],公表[備勤1],""),$AX$9:$AX$25,$AY$9:$AY$25,"")</f>
        <v>0</v>
      </c>
      <c r="O30" s="87">
        <f>_xlfn.XLOOKUP(_xlfn.XLOOKUP($AS$6&amp;$B30,公表[班別+時段],公表[備勤2],""),$AX$9:$AX$25,$AY$9:$AY$25,"")</f>
        <v>0</v>
      </c>
      <c r="P30" s="87"/>
      <c r="Q30" s="87">
        <f>_xlfn.XLOOKUP(_xlfn.XLOOKUP($AS$6&amp;$B30,公表[班別+時段],公表[備勤3],""),$AX$9:$AX$25,$AY$9:$AY$25,"")</f>
        <v>0</v>
      </c>
      <c r="R30" s="87">
        <f>_xlfn.XLOOKUP(_xlfn.XLOOKUP($AS$6&amp;$B30,公表[班別+時段],公表[備勤4],""),$AX$9:$AX$25,$AY$9:$AY$25,"")</f>
        <v>0</v>
      </c>
      <c r="S30" s="87"/>
      <c r="T30" s="87">
        <f>_xlfn.XLOOKUP(_xlfn.XLOOKUP($AS$6&amp;$B30,公表[班別+時段],公表[備勤5],""),$AX$9:$AX$25,$AY$9:$AY$25,"")</f>
        <v>4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87"/>
      <c r="AC30" s="87"/>
      <c r="AD30" s="87"/>
      <c r="AE30" s="88">
        <f>_xlfn.XLOOKUP(_xlfn.XLOOKUP($AS$6&amp;$B30,公表[班別+時段],公表[指揮官],""),$AX$9:$AX$25,$AY$9:$AY$25,"")</f>
        <v>3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27">
        <v>22</v>
      </c>
      <c r="AP30" s="127" t="str">
        <v>陳俊瑋</v>
      </c>
      <c r="AQ30" s="127" t="str" cm="1">
        <f t="array" ref="AQ30">IFERROR(_xlfn.XLOOKUP(_xlfn.XLOOKUP($AQ$3,輪休基準表!$C$6:$C$36,_xlfn.XLOOKUP(AP30,輪休基準表!$E$5:$AF$5,輪休基準表!$E$6:$AF$36,""),""),班別參數!$A$4:$A$20,班別參數!$B$4:$B$20,""),"")</f>
        <v>公假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27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0</v>
      </c>
      <c r="D31" s="106"/>
      <c r="E31" s="96"/>
      <c r="F31" s="96"/>
      <c r="G31" s="123" t="str">
        <f>IF(BC19="","",BC19)</f>
        <v/>
      </c>
      <c r="H31" s="109"/>
      <c r="I31" s="216">
        <f>_xlfn.XLOOKUP(_xlfn.XLOOKUP($AS$6&amp;$B31,公表[班別+時段],公表[救護1],""),$AX$9:$AX$25,$AY$9:$AY$25,"")</f>
        <v>0</v>
      </c>
      <c r="J31" s="216">
        <f>_xlfn.XLOOKUP(_xlfn.XLOOKUP($AS$6&amp;$B31,公表[班別+時段],公表[救護2],""),$AX$9:$AX$25,$AY$9:$AY$25,"")</f>
        <v>0</v>
      </c>
      <c r="K31" s="108"/>
      <c r="L31" s="93" t="s">
        <v>212</v>
      </c>
      <c r="M31" s="312"/>
      <c r="N31" s="89">
        <f>_xlfn.XLOOKUP(_xlfn.XLOOKUP($AS$6&amp;$B31,公表[班別+時段],公表[備勤1],""),$AX$9:$AX$25,$AY$9:$AY$25,"")</f>
        <v>0</v>
      </c>
      <c r="O31" s="89">
        <f>_xlfn.XLOOKUP(_xlfn.XLOOKUP($AS$6&amp;$B31,公表[班別+時段],公表[備勤2],""),$AX$9:$AX$25,$AY$9:$AY$25,"")</f>
        <v>0</v>
      </c>
      <c r="P31" s="89"/>
      <c r="Q31" s="89">
        <f>_xlfn.XLOOKUP(_xlfn.XLOOKUP($AS$6&amp;$B31,公表[班別+時段],公表[備勤3],""),$AX$9:$AX$25,$AY$9:$AY$25,"")</f>
        <v>0</v>
      </c>
      <c r="R31" s="89">
        <f>_xlfn.XLOOKUP(_xlfn.XLOOKUP($AS$6&amp;$B31,公表[班別+時段],公表[備勤4],""),$AX$9:$AX$25,$AY$9:$AY$25,"")</f>
        <v>0</v>
      </c>
      <c r="S31" s="89"/>
      <c r="T31" s="89">
        <f>_xlfn.XLOOKUP(_xlfn.XLOOKUP($AS$6&amp;$B31,公表[班別+時段],公表[備勤5],""),$AX$9:$AX$25,$AY$9:$AY$25,"")</f>
        <v>4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89"/>
      <c r="AC31" s="89"/>
      <c r="AD31" s="89"/>
      <c r="AE31" s="104">
        <f>_xlfn.XLOOKUP(_xlfn.XLOOKUP($AS$6&amp;$B31,公表[班別+時段],公表[指揮官],""),$AX$9:$AX$25,$AY$9:$AY$25,"")</f>
        <v>3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27">
        <v>23</v>
      </c>
      <c r="AP31" s="127" t="str">
        <v>陳俊翰</v>
      </c>
      <c r="AQ31" s="127" t="str" cm="1">
        <f t="array" ref="AQ31">IFERROR(_xlfn.XLOOKUP(_xlfn.XLOOKUP($AQ$3,輪休基準表!$C$6:$C$36,_xlfn.XLOOKUP(AP31,輪休基準表!$E$5:$AF$5,輪休基準表!$E$6:$AF$36,""),""),班別參數!$A$4:$A$20,班別參數!$B$4:$B$20,""),"")</f>
        <v>輪休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/>
      </c>
      <c r="AT31" s="180" t="str">
        <f t="shared" si="0"/>
        <v/>
      </c>
      <c r="AU31" s="180" t="str">
        <f t="shared" si="1"/>
        <v/>
      </c>
      <c r="AW31" s="47"/>
      <c r="AX31" s="45"/>
      <c r="AY31" s="25"/>
      <c r="AZ31" s="28"/>
      <c r="BA31" s="33"/>
      <c r="BB31" s="25"/>
      <c r="BD31" s="127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0</v>
      </c>
      <c r="D32" s="97"/>
      <c r="E32" s="97"/>
      <c r="F32" s="97"/>
      <c r="G32" s="121" t="str">
        <f>IF(BC20="","",BC20)</f>
        <v>4</v>
      </c>
      <c r="H32" s="56"/>
      <c r="I32" s="94">
        <f>_xlfn.XLOOKUP(_xlfn.XLOOKUP($AS$6&amp;$B32,公表[班別+時段],公表[救護1],""),$AX$9:$AX$25,$AY$9:$AY$25,"")</f>
        <v>0</v>
      </c>
      <c r="J32" s="94">
        <f>_xlfn.XLOOKUP(_xlfn.XLOOKUP($AS$6&amp;$B32,公表[班別+時段],公表[救護2],""),$AX$9:$AX$25,$AY$9:$AY$25,"")</f>
        <v>0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0</v>
      </c>
      <c r="O32" s="90">
        <f>_xlfn.XLOOKUP(_xlfn.XLOOKUP($AS$6&amp;$B32,公表[班別+時段],公表[備勤2],""),$AX$9:$AX$25,$AY$9:$AY$25,"")</f>
        <v>0</v>
      </c>
      <c r="P32" s="90"/>
      <c r="Q32" s="90">
        <f>_xlfn.XLOOKUP(_xlfn.XLOOKUP($AS$6&amp;$B32,公表[班別+時段],公表[備勤3],""),$AX$9:$AX$25,$AY$9:$AY$25,"")</f>
        <v>0</v>
      </c>
      <c r="R32" s="90">
        <f>_xlfn.XLOOKUP(_xlfn.XLOOKUP($AS$6&amp;$B32,公表[班別+時段],公表[備勤4],""),$AX$9:$AX$25,$AY$9:$AY$25,"")</f>
        <v>0</v>
      </c>
      <c r="S32" s="90"/>
      <c r="T32" s="90">
        <f>_xlfn.XLOOKUP(_xlfn.XLOOKUP($AS$6&amp;$B32,公表[班別+時段],公表[備勤5],""),$AX$9:$AX$25,$AY$9:$AY$25,"")</f>
        <v>0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90"/>
      <c r="AC32" s="90"/>
      <c r="AD32" s="90"/>
      <c r="AE32" s="91">
        <f>_xlfn.XLOOKUP(_xlfn.XLOOKUP($AS$6&amp;$B32,公表[班別+時段],公表[指揮官],""),$AX$9:$AX$25,$AY$9:$AY$25,"")</f>
        <v>3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27">
        <v>24</v>
      </c>
      <c r="AP32" s="127" t="str">
        <v>賴俊豪</v>
      </c>
      <c r="AQ32" s="127" t="str" cm="1">
        <f t="array" ref="AQ32">IFERROR(_xlfn.XLOOKUP(_xlfn.XLOOKUP($AQ$3,輪休基準表!$C$6:$C$36,_xlfn.XLOOKUP(AP32,輪休基準表!$E$5:$AF$5,輪休基準表!$E$6:$AF$36,""),""),班別參數!$A$4:$A$20,班別參數!$B$4:$B$20,""),"")</f>
        <v>上班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>未排</v>
      </c>
      <c r="AT32" s="180" t="str">
        <f t="shared" si="0"/>
        <v/>
      </c>
      <c r="AU32" s="180" t="str">
        <f t="shared" si="1"/>
        <v/>
      </c>
      <c r="AW32" s="47"/>
      <c r="AX32" s="45"/>
      <c r="AY32" s="25"/>
      <c r="AZ32" s="28"/>
      <c r="BA32" s="33"/>
      <c r="BB32" s="25"/>
      <c r="BD32" s="127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0</v>
      </c>
      <c r="D33" s="95"/>
      <c r="E33" s="95"/>
      <c r="F33" s="95"/>
      <c r="G33" s="122" t="str">
        <f>IF(BC20="","",BC20)</f>
        <v>4</v>
      </c>
      <c r="H33" s="48"/>
      <c r="I33" s="92">
        <f>_xlfn.XLOOKUP(_xlfn.XLOOKUP($AS$6&amp;$B33,公表[班別+時段],公表[救護1],""),$AX$9:$AX$25,$AY$9:$AY$25,"")</f>
        <v>0</v>
      </c>
      <c r="J33" s="92">
        <f>_xlfn.XLOOKUP(_xlfn.XLOOKUP($AS$6&amp;$B33,公表[班別+時段],公表[救護2],""),$AX$9:$AX$25,$AY$9:$AY$25,"")</f>
        <v>0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0</v>
      </c>
      <c r="O33" s="87">
        <f>_xlfn.XLOOKUP(_xlfn.XLOOKUP($AS$6&amp;$B33,公表[班別+時段],公表[備勤2],""),$AX$9:$AX$25,$AY$9:$AY$25,"")</f>
        <v>0</v>
      </c>
      <c r="P33" s="87"/>
      <c r="Q33" s="87">
        <f>_xlfn.XLOOKUP(_xlfn.XLOOKUP($AS$6&amp;$B33,公表[班別+時段],公表[備勤3],""),$AX$9:$AX$25,$AY$9:$AY$25,"")</f>
        <v>0</v>
      </c>
      <c r="R33" s="87">
        <f>_xlfn.XLOOKUP(_xlfn.XLOOKUP($AS$6&amp;$B33,公表[班別+時段],公表[備勤4],""),$AX$9:$AX$25,$AY$9:$AY$25,"")</f>
        <v>0</v>
      </c>
      <c r="S33" s="87"/>
      <c r="T33" s="87">
        <f>_xlfn.XLOOKUP(_xlfn.XLOOKUP($AS$6&amp;$B33,公表[班別+時段],公表[備勤5],""),$AX$9:$AX$25,$AY$9:$AY$25,"")</f>
        <v>0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87"/>
      <c r="AC33" s="87"/>
      <c r="AD33" s="87"/>
      <c r="AE33" s="88">
        <f>_xlfn.XLOOKUP(_xlfn.XLOOKUP($AS$6&amp;$B33,公表[班別+時段],公表[指揮官],""),$AX$9:$AX$25,$AY$9:$AY$25,"")</f>
        <v>3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27">
        <v>25</v>
      </c>
      <c r="AP33" s="127" t="str">
        <v>郭國偵</v>
      </c>
      <c r="AQ33" s="127" t="str" cm="1">
        <f t="array" ref="AQ33">IFERROR(_xlfn.XLOOKUP(_xlfn.XLOOKUP($AQ$3,輪休基準表!$C$6:$C$36,_xlfn.XLOOKUP(AP33,輪休基準表!$E$5:$AF$5,輪休基準表!$E$6:$AF$36,""),""),班別參數!$A$4:$A$20,班別參數!$B$4:$B$20,""),"")</f>
        <v>請休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/>
      </c>
      <c r="AT33" s="180" t="str">
        <f t="shared" si="0"/>
        <v/>
      </c>
      <c r="AU33" s="180" t="str">
        <f t="shared" si="1"/>
        <v/>
      </c>
      <c r="AW33" s="47"/>
      <c r="AX33" s="45"/>
      <c r="AY33" s="25"/>
      <c r="AZ33" s="28"/>
      <c r="BA33" s="25"/>
      <c r="BB33" s="25"/>
      <c r="BD33" s="127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一、本日主管輪休，職務由小隊長孫子翔代理。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27">
        <v>26</v>
      </c>
      <c r="AP34" s="127" t="str">
        <v>楊紹文</v>
      </c>
      <c r="AQ34" s="127" t="str" cm="1">
        <f t="array" ref="AQ34">IFERROR(_xlfn.XLOOKUP(_xlfn.XLOOKUP($AQ$3,輪休基準表!$C$6:$C$36,_xlfn.XLOOKUP(AP34,輪休基準表!$E$5:$AF$5,輪休基準表!$E$6:$AF$36,""),""),班別參數!$A$4:$A$20,班別參數!$B$4:$B$20,""),"")</f>
        <v>月補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/>
      </c>
      <c r="AT34" s="180" t="str">
        <f t="shared" si="0"/>
        <v/>
      </c>
      <c r="AU34" s="180" t="str">
        <f t="shared" si="1"/>
        <v/>
      </c>
      <c r="AW34" s="47"/>
      <c r="AX34" s="45"/>
      <c r="AY34" s="25"/>
      <c r="AZ34" s="28"/>
      <c r="BA34" s="25"/>
      <c r="BB34" s="25"/>
      <c r="BD34" s="127"/>
    </row>
    <row r="35" spans="2:56" ht="30" customHeight="1">
      <c r="B35" s="349"/>
      <c r="C35" s="359" t="str">
        <f>CONCATENATE("二、在隊訓練:09-12時:",H11,";14-17時:",H16,";19-21時:",H21,"。")</f>
        <v>二、在隊訓練:09-12時:救生艇拆裝組合訓練;14-17時:船外機與橡皮艇;19-21時:個人水域防護裝備介紹。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27">
        <v>27</v>
      </c>
      <c r="AP35" s="127" t="str">
        <v>林宏為</v>
      </c>
      <c r="AQ35" s="127" t="str" cm="1">
        <f t="array" ref="AQ35">IFERROR(_xlfn.XLOOKUP(_xlfn.XLOOKUP($AQ$3,輪休基準表!$C$6:$C$36,_xlfn.XLOOKUP(AP35,輪休基準表!$E$5:$AF$5,輪休基準表!$E$6:$AF$36,""),""),班別參數!$A$4:$A$20,班別參數!$B$4:$B$20,""),"")</f>
        <v>上班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>未排</v>
      </c>
      <c r="AT35" s="180" t="str">
        <f t="shared" si="0"/>
        <v/>
      </c>
      <c r="AU35" s="180" t="str">
        <f t="shared" si="1"/>
        <v/>
      </c>
      <c r="AW35" s="47"/>
      <c r="AX35" s="45"/>
      <c r="AY35" s="25"/>
      <c r="AZ35" s="28"/>
      <c r="BA35" s="25"/>
      <c r="BB35" s="25"/>
      <c r="BD35" s="127"/>
    </row>
    <row r="36" spans="2:56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27">
        <v>28</v>
      </c>
      <c r="AP36" s="127" t="str">
        <v>林宸彥</v>
      </c>
      <c r="AQ36" s="127" t="str" cm="1">
        <f t="array" ref="AQ36">IFERROR(_xlfn.XLOOKUP(_xlfn.XLOOKUP($AQ$3,輪休基準表!$C$6:$C$36,_xlfn.XLOOKUP(AP36,輪休基準表!$E$5:$AF$5,輪休基準表!$E$6:$AF$36,""),""),班別參數!$A$4:$A$20,班別參數!$B$4:$B$20,""),"")</f>
        <v>上班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>未排</v>
      </c>
      <c r="AT36" s="180" t="str">
        <f t="shared" si="0"/>
        <v/>
      </c>
      <c r="AU36" s="180" t="str">
        <f t="shared" si="1"/>
        <v/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27"/>
      <c r="AP37" s="127"/>
      <c r="AQ37" s="127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27"/>
      <c r="BD37" s="10"/>
    </row>
    <row r="38" spans="2:56" ht="15" customHeight="1">
      <c r="AQ38" s="127"/>
      <c r="AR38" s="118"/>
      <c r="AS38" s="119"/>
      <c r="AT38" s="119"/>
    </row>
    <row r="39" spans="2:56" ht="15" customHeight="1">
      <c r="AR39" s="118"/>
      <c r="AS39" s="119"/>
      <c r="AT39" s="119"/>
    </row>
    <row r="40" spans="2:56" ht="15" customHeight="1">
      <c r="AR40" s="118"/>
      <c r="AS40" s="119"/>
      <c r="AT40" s="119"/>
    </row>
  </sheetData>
  <mergeCells count="71">
    <mergeCell ref="AG22:AK22"/>
    <mergeCell ref="AG23:AM23"/>
    <mergeCell ref="AG24:AI24"/>
    <mergeCell ref="AK24:AM24"/>
    <mergeCell ref="AF33:AG33"/>
    <mergeCell ref="AH33:AI33"/>
    <mergeCell ref="AJ33:AK33"/>
    <mergeCell ref="AF31:AG31"/>
    <mergeCell ref="AH31:AI31"/>
    <mergeCell ref="AJ31:AK31"/>
    <mergeCell ref="AF32:AG32"/>
    <mergeCell ref="AH32:AI32"/>
    <mergeCell ref="AJ32:AK32"/>
    <mergeCell ref="AF27:AF28"/>
    <mergeCell ref="AG27:AM27"/>
    <mergeCell ref="AG28:AM28"/>
    <mergeCell ref="B34:B36"/>
    <mergeCell ref="C34:AE34"/>
    <mergeCell ref="AF34:AM34"/>
    <mergeCell ref="C35:AE35"/>
    <mergeCell ref="AF35:AM35"/>
    <mergeCell ref="C36:AE36"/>
    <mergeCell ref="AF36:AM36"/>
    <mergeCell ref="AF29:AM29"/>
    <mergeCell ref="AF30:AG30"/>
    <mergeCell ref="AH30:AI30"/>
    <mergeCell ref="AJ30:AK30"/>
    <mergeCell ref="AG25:AI25"/>
    <mergeCell ref="AK25:AM25"/>
    <mergeCell ref="C8:AE8"/>
    <mergeCell ref="C9:AE9"/>
    <mergeCell ref="M10:M33"/>
    <mergeCell ref="H11:H13"/>
    <mergeCell ref="H16:H18"/>
    <mergeCell ref="H21:H22"/>
    <mergeCell ref="I6:J6"/>
    <mergeCell ref="K6:L6"/>
    <mergeCell ref="N6:P6"/>
    <mergeCell ref="Q6:S6"/>
    <mergeCell ref="T6:V6"/>
    <mergeCell ref="AF5:AM6"/>
    <mergeCell ref="AO5:AO6"/>
    <mergeCell ref="T7:V7"/>
    <mergeCell ref="AR5:AR6"/>
    <mergeCell ref="AS5:AT5"/>
    <mergeCell ref="W6:Y6"/>
    <mergeCell ref="AE6:AE7"/>
    <mergeCell ref="AS6:AT6"/>
    <mergeCell ref="AP5:AQ6"/>
    <mergeCell ref="G5:G7"/>
    <mergeCell ref="B3:AM3"/>
    <mergeCell ref="AW3:AX3"/>
    <mergeCell ref="AY3:BB3"/>
    <mergeCell ref="B4:AI4"/>
    <mergeCell ref="AJ4:AM4"/>
    <mergeCell ref="AW4:AX4"/>
    <mergeCell ref="AY4:BB4"/>
    <mergeCell ref="B5:B7"/>
    <mergeCell ref="C5:C7"/>
    <mergeCell ref="D5:D7"/>
    <mergeCell ref="E5:E7"/>
    <mergeCell ref="F5:F7"/>
    <mergeCell ref="H5:H7"/>
    <mergeCell ref="I5:L5"/>
    <mergeCell ref="M5:AE5"/>
    <mergeCell ref="AY2:BB2"/>
    <mergeCell ref="B1:AE1"/>
    <mergeCell ref="AP1:AQ1"/>
    <mergeCell ref="B2:AE2"/>
    <mergeCell ref="AG2:AM2"/>
    <mergeCell ref="AW2:AX2"/>
  </mergeCells>
  <phoneticPr fontId="9" type="noConversion"/>
  <conditionalFormatting sqref="AO9:AQ36 AO37:AP37 AQ37:AQ38">
    <cfRule type="expression" dxfId="61" priority="16">
      <formula>COUNTIF($AQ9,"上班")&gt;=1</formula>
    </cfRule>
  </conditionalFormatting>
  <conditionalFormatting sqref="AF8:AF13 AH8:AH21 AJ8:AJ21 AL8:AM21">
    <cfRule type="expression" dxfId="60" priority="11">
      <formula>OR(VLOOKUP(AF8,$AO$9:$AQ$40,3,0)="上班",VLOOKUP(AF8,$AO$9:$AQ$40,3,0)="外宿")</formula>
    </cfRule>
  </conditionalFormatting>
  <conditionalFormatting sqref="AL8">
    <cfRule type="expression" dxfId="59" priority="10">
      <formula>OR(VLOOKUP(AL8,$AO$9:$AQ$36,3,0)="上班",VLOOKUP(AL8,$AO$9:$AQ$36,3,0)="外宿")</formula>
    </cfRule>
  </conditionalFormatting>
  <conditionalFormatting sqref="AR9:AR36">
    <cfRule type="notContainsText" dxfId="58" priority="2" operator="notContains" text="已排">
      <formula>ISERROR(SEARCH("已排",AR9))</formula>
    </cfRule>
  </conditionalFormatting>
  <conditionalFormatting sqref="AS9:AS36">
    <cfRule type="notContainsText" dxfId="57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31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0D1F6-E31C-4F90-8132-43F485F1FD5D}">
  <sheetPr codeName="工作表27">
    <pageSetUpPr fitToPage="1"/>
  </sheetPr>
  <dimension ref="B1:BD40"/>
  <sheetViews>
    <sheetView showZeros="0" view="pageBreakPreview" zoomScale="55" zoomScaleNormal="55" zoomScaleSheetLayoutView="55" workbookViewId="0">
      <selection activeCell="I6" sqref="I6:V7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6" width="5.375" style="126" customWidth="1"/>
    <col min="7" max="8" width="8.625" style="126" customWidth="1"/>
    <col min="9" max="12" width="5.375" style="126" customWidth="1"/>
    <col min="13" max="13" width="6.625" style="126" customWidth="1"/>
    <col min="14" max="31" width="5.375" style="126" customWidth="1"/>
    <col min="32" max="32" width="7.625" style="126" customWidth="1"/>
    <col min="33" max="33" width="10.625" style="126" customWidth="1"/>
    <col min="34" max="34" width="7.625" style="126" customWidth="1"/>
    <col min="35" max="35" width="10.625" style="126" customWidth="1"/>
    <col min="36" max="36" width="7.625" style="126" customWidth="1"/>
    <col min="37" max="37" width="10.625" style="126" customWidth="1"/>
    <col min="38" max="38" width="7.625" style="126" customWidth="1"/>
    <col min="39" max="39" width="10.625" style="126" customWidth="1"/>
    <col min="40" max="40" width="4.125" style="213" customWidth="1"/>
    <col min="41" max="47" width="11.625" style="126" customWidth="1"/>
    <col min="48" max="48" width="4.125" style="126" customWidth="1"/>
    <col min="49" max="49" width="16" style="126" customWidth="1"/>
    <col min="50" max="51" width="8.25" style="126" customWidth="1"/>
    <col min="52" max="52" width="4.125" style="126" customWidth="1"/>
    <col min="53" max="53" width="16" style="126" customWidth="1"/>
    <col min="54" max="54" width="8.25" style="126" customWidth="1"/>
    <col min="55" max="55" width="10.875" style="126" customWidth="1"/>
    <col min="56" max="58" width="4.125" style="126" customWidth="1"/>
    <col min="59" max="16384" width="11.25" style="126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27"/>
      <c r="AP1" s="399"/>
      <c r="AQ1" s="399"/>
      <c r="AR1" s="127"/>
      <c r="AS1" s="127"/>
      <c r="AT1" s="127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3" t="s">
        <v>178</v>
      </c>
      <c r="AR2" s="146" t="s">
        <v>228</v>
      </c>
      <c r="AS2" s="142"/>
      <c r="AT2" s="140"/>
      <c r="AU2" s="127"/>
      <c r="AV2" s="127"/>
      <c r="AW2" s="362" t="s">
        <v>127</v>
      </c>
      <c r="AX2" s="287"/>
      <c r="AY2" s="367" t="str">
        <f>_xlfn.XLOOKUP($AR$3,訓練!$L$13:$L$19,訓練!$M$13:$M$19,"")</f>
        <v>破壞器材操作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115年5月23日星期六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23</v>
      </c>
      <c r="AR3" s="141" t="str">
        <f>RIGHT(TEXT(1911+$AO$3&amp;"/"&amp;$AP$3&amp;"/"&amp;$AQ$3,"aaaa"),1)</f>
        <v>六</v>
      </c>
      <c r="AS3" s="145"/>
      <c r="AT3" s="145"/>
      <c r="AU3" s="127"/>
      <c r="AV3" s="127"/>
      <c r="AW3" s="362" t="s">
        <v>128</v>
      </c>
      <c r="AX3" s="287"/>
      <c r="AY3" s="368" t="str">
        <f>_xlfn.XLOOKUP($AR$3,訓練!$L$13:$L$19,訓練!$N$13:$N$19,"")</f>
        <v>入室搜救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27"/>
      <c r="AU4" s="127"/>
      <c r="AV4" s="127"/>
      <c r="AW4" s="362" t="s">
        <v>129</v>
      </c>
      <c r="AX4" s="287"/>
      <c r="AY4" s="363" t="str">
        <f>_xlfn.XLOOKUP($AR$3,訓練!$L$13:$L$19,訓練!$O$13:$O$19,"")</f>
        <v>五用氣體檢知器及CO探測器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2"/>
      <c r="E5" s="340"/>
      <c r="F5" s="340"/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341"/>
      <c r="E6" s="341"/>
      <c r="F6" s="341"/>
      <c r="G6" s="312"/>
      <c r="H6" s="312"/>
      <c r="I6" s="334" t="s">
        <v>227</v>
      </c>
      <c r="J6" s="335"/>
      <c r="K6" s="334" t="s">
        <v>346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1+8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341"/>
      <c r="E7" s="341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192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27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27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27" cm="1">
        <f t="array" ref="AO9:AP36">TRANSPOSE(輪休基準表!E4:AF5)</f>
        <v>1</v>
      </c>
      <c r="AP9" s="127" t="str">
        <v>鄧力嘉</v>
      </c>
      <c r="AQ9" s="127" t="str" cm="1">
        <f t="array" ref="AQ9">IFERROR(_xlfn.XLOOKUP(_xlfn.XLOOKUP($AQ$3,輪休基準表!$C$6:$C$36,_xlfn.XLOOKUP(AP9,輪休基準表!$E$5:$AF$5,輪休基準表!$E$6:$AF$36,""),""),班別參數!$A$4:$A$20,班別參數!$B$4:$B$20,""),"")</f>
        <v>上班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>已排</v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 t="array" ref="AX9">IFERROR(INDEX(班別參數!$D$4:$S$20,MATCH(AW9,班別參數!$D$4:$D$20,0),MATCH($AS$6,班別參數!$D$4:$S$4,0)),"")</f>
        <v>A</v>
      </c>
      <c r="AY9" s="35"/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/>
      </c>
      <c r="BD9" s="127"/>
    </row>
    <row r="10" spans="2:56" ht="30" customHeight="1">
      <c r="B10" s="81" t="s">
        <v>70</v>
      </c>
      <c r="C10" s="87">
        <f>_xlfn.XLOOKUP(_xlfn.XLOOKUP($AS$6&amp;$B10,公表[班別+時段],公表[值班],""),$AX$9:$AX$25,$AY$9:$AY$25,"")</f>
        <v>0</v>
      </c>
      <c r="D10" s="95"/>
      <c r="E10" s="95"/>
      <c r="F10" s="95"/>
      <c r="G10" s="122" t="str">
        <f>IF(BC9="","",BC9)</f>
        <v/>
      </c>
      <c r="H10" s="37"/>
      <c r="I10" s="92">
        <f>_xlfn.XLOOKUP(_xlfn.XLOOKUP($AS$6&amp;$B10,公表[班別+時段],公表[救護1],""),$AX$9:$AX$25,$AY$9:$AY$25,"")</f>
        <v>0</v>
      </c>
      <c r="J10" s="92">
        <f>_xlfn.XLOOKUP(_xlfn.XLOOKUP($AS$6&amp;$B10,公表[班別+時段],公表[救護2],""),$AX$9:$AX$25,$AY$9:$AY$25,"")</f>
        <v>0</v>
      </c>
      <c r="K10" s="87"/>
      <c r="L10" s="87" t="s">
        <v>212</v>
      </c>
      <c r="M10" s="311"/>
      <c r="N10" s="87">
        <f>_xlfn.XLOOKUP(_xlfn.XLOOKUP($AS$6&amp;$B10,公表[班別+時段],公表[備勤1],""),$AX$9:$AX$25,$AY$9:$AY$25,"")</f>
        <v>0</v>
      </c>
      <c r="O10" s="87">
        <f>_xlfn.XLOOKUP(_xlfn.XLOOKUP($AS$6&amp;$B10,公表[班別+時段],公表[備勤2],""),$AX$9:$AX$25,$AY$9:$AY$25,"")</f>
        <v>0</v>
      </c>
      <c r="P10" s="87"/>
      <c r="Q10" s="87">
        <f>_xlfn.XLOOKUP(_xlfn.XLOOKUP($AS$6&amp;$B10,公表[班別+時段],公表[備勤3],""),$AX$9:$AX$25,$AY$9:$AY$25,"")</f>
        <v>0</v>
      </c>
      <c r="R10" s="87">
        <f>_xlfn.XLOOKUP(_xlfn.XLOOKUP($AS$6&amp;$B10,公表[班別+時段],公表[備勤4],""),$AX$9:$AX$25,$AY$9:$AY$25,"")</f>
        <v>0</v>
      </c>
      <c r="S10" s="87"/>
      <c r="T10" s="87">
        <f>_xlfn.XLOOKUP(_xlfn.XLOOKUP($AS$6&amp;$B10,公表[班別+時段],公表[備勤5],""),$AX$9:$AX$25,$AY$9:$AY$25,"")</f>
        <v>0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87"/>
      <c r="AB10" s="87"/>
      <c r="AC10" s="87"/>
      <c r="AD10" s="87"/>
      <c r="AE10" s="88">
        <f>_xlfn.XLOOKUP(_xlfn.XLOOKUP($AS$6&amp;$B10,公表[班別+時段],公表[指揮官],""),$AX$9:$AX$25,$AY$9:$AY$25,"")</f>
        <v>1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27">
        <v>2</v>
      </c>
      <c r="AP10" s="127" t="str">
        <v>莊勝斌</v>
      </c>
      <c r="AQ10" s="127" t="str" cm="1">
        <f t="array" ref="AQ10">IFERROR(_xlfn.XLOOKUP(_xlfn.XLOOKUP($AQ$3,輪休基準表!$C$6:$C$36,_xlfn.XLOOKUP(AP10,輪休基準表!$E$5:$AF$5,輪休基準表!$E$6:$AF$36,""),""),班別參數!$A$4:$A$20,班別參數!$B$4:$B$20,""),"")</f>
        <v>輪休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/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/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/>
      </c>
      <c r="BD10" s="127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0</v>
      </c>
      <c r="D11" s="95"/>
      <c r="E11" s="95"/>
      <c r="F11" s="95"/>
      <c r="G11" s="122" t="str">
        <f>IF(BC9="","",BC9)</f>
        <v/>
      </c>
      <c r="H11" s="296" t="str">
        <f>AY2</f>
        <v>破壞器材操作</v>
      </c>
      <c r="I11" s="92">
        <f>_xlfn.XLOOKUP(_xlfn.XLOOKUP($AS$6&amp;$B11,公表[班別+時段],公表[救護1],""),$AX$9:$AX$25,$AY$9:$AY$25,"")</f>
        <v>0</v>
      </c>
      <c r="J11" s="92">
        <f>_xlfn.XLOOKUP(_xlfn.XLOOKUP($AS$6&amp;$B11,公表[班別+時段],公表[救護2],""),$AX$9:$AX$25,$AY$9:$AY$25,"")</f>
        <v>0</v>
      </c>
      <c r="K11" s="87"/>
      <c r="L11" s="87" t="s">
        <v>212</v>
      </c>
      <c r="M11" s="312"/>
      <c r="N11" s="87">
        <f>_xlfn.XLOOKUP(_xlfn.XLOOKUP($AS$6&amp;$B11,公表[班別+時段],公表[備勤1],""),$AX$9:$AX$25,$AY$9:$AY$25,"")</f>
        <v>0</v>
      </c>
      <c r="O11" s="87">
        <f>_xlfn.XLOOKUP(_xlfn.XLOOKUP($AS$6&amp;$B11,公表[班別+時段],公表[備勤2],""),$AX$9:$AX$25,$AY$9:$AY$25,"")</f>
        <v>0</v>
      </c>
      <c r="P11" s="87"/>
      <c r="Q11" s="87">
        <f>_xlfn.XLOOKUP(_xlfn.XLOOKUP($AS$6&amp;$B11,公表[班別+時段],公表[備勤3],""),$AX$9:$AX$25,$AY$9:$AY$25,"")</f>
        <v>0</v>
      </c>
      <c r="R11" s="87">
        <f>_xlfn.XLOOKUP(_xlfn.XLOOKUP($AS$6&amp;$B11,公表[班別+時段],公表[備勤4],""),$AX$9:$AX$25,$AY$9:$AY$25,"")</f>
        <v>0</v>
      </c>
      <c r="S11" s="87"/>
      <c r="T11" s="87">
        <f>_xlfn.XLOOKUP(_xlfn.XLOOKUP($AS$6&amp;$B11,公表[班別+時段],公表[備勤5],""),$AX$9:$AX$25,$AY$9:$AY$25,"")</f>
        <v>0</v>
      </c>
      <c r="U11" s="87">
        <f>_xlfn.XLOOKUP(_xlfn.XLOOKUP($AS$6&amp;$B11,公表[班別+時段],公表[備勤6],""),$AX$9:$AX$25,$AY$9:$AY$25,"")</f>
        <v>0</v>
      </c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87"/>
      <c r="AB11" s="87"/>
      <c r="AC11" s="87"/>
      <c r="AD11" s="87"/>
      <c r="AE11" s="88">
        <f>_xlfn.XLOOKUP(_xlfn.XLOOKUP($AS$6&amp;$B11,公表[班別+時段],公表[指揮官],""),$AX$9:$AX$25,$AY$9:$AY$25,"")</f>
        <v>1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27">
        <v>3</v>
      </c>
      <c r="AP11" s="127" t="str">
        <v>孫子翔</v>
      </c>
      <c r="AQ11" s="127" t="str" cm="1">
        <f t="array" ref="AQ11">IFERROR(_xlfn.XLOOKUP(_xlfn.XLOOKUP($AQ$3,輪休基準表!$C$6:$C$36,_xlfn.XLOOKUP(AP11,輪休基準表!$E$5:$AF$5,輪休基準表!$E$6:$AF$36,""),""),班別參數!$A$4:$A$20,班別參數!$B$4:$B$20,""),"")</f>
        <v>請休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/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/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K</v>
      </c>
      <c r="BC11" s="39" t="str">
        <f t="shared" si="2"/>
        <v>1</v>
      </c>
      <c r="BD11" s="127"/>
    </row>
    <row r="12" spans="2:56" ht="30" customHeight="1">
      <c r="B12" s="81" t="s">
        <v>75</v>
      </c>
      <c r="C12" s="87">
        <f>_xlfn.XLOOKUP(_xlfn.XLOOKUP($AS$6&amp;$B12,公表[班別+時段],公表[值班],""),$AX$9:$AX$25,$AY$9:$AY$25,"")</f>
        <v>0</v>
      </c>
      <c r="D12" s="95"/>
      <c r="E12" s="95"/>
      <c r="F12" s="95"/>
      <c r="G12" s="122" t="str">
        <f>IF(BC10="","",BC10)</f>
        <v/>
      </c>
      <c r="H12" s="314"/>
      <c r="I12" s="92">
        <f>_xlfn.XLOOKUP(_xlfn.XLOOKUP($AS$6&amp;$B12,公表[班別+時段],公表[救護1],""),$AX$9:$AX$25,$AY$9:$AY$25,"")</f>
        <v>0</v>
      </c>
      <c r="J12" s="92">
        <f>_xlfn.XLOOKUP(_xlfn.XLOOKUP($AS$6&amp;$B12,公表[班別+時段],公表[救護2],""),$AX$9:$AX$25,$AY$9:$AY$25,"")</f>
        <v>0</v>
      </c>
      <c r="K12" s="92"/>
      <c r="L12" s="87" t="s">
        <v>212</v>
      </c>
      <c r="M12" s="312"/>
      <c r="N12" s="87">
        <f>_xlfn.XLOOKUP(_xlfn.XLOOKUP($AS$6&amp;$B12,公表[班別+時段],公表[備勤1],""),$AX$9:$AX$25,$AY$9:$AY$25,"")</f>
        <v>0</v>
      </c>
      <c r="O12" s="87">
        <f>_xlfn.XLOOKUP(_xlfn.XLOOKUP($AS$6&amp;$B12,公表[班別+時段],公表[備勤2],""),$AX$9:$AX$25,$AY$9:$AY$25,"")</f>
        <v>0</v>
      </c>
      <c r="P12" s="87"/>
      <c r="Q12" s="87">
        <f>_xlfn.XLOOKUP(_xlfn.XLOOKUP($AS$6&amp;$B12,公表[班別+時段],公表[備勤3],""),$AX$9:$AX$25,$AY$9:$AY$25,"")</f>
        <v>0</v>
      </c>
      <c r="R12" s="87">
        <f>_xlfn.XLOOKUP(_xlfn.XLOOKUP($AS$6&amp;$B12,公表[班別+時段],公表[備勤4],""),$AX$9:$AX$25,$AY$9:$AY$25,"")</f>
        <v>0</v>
      </c>
      <c r="S12" s="87"/>
      <c r="T12" s="87">
        <f>_xlfn.XLOOKUP(_xlfn.XLOOKUP($AS$6&amp;$B12,公表[班別+時段],公表[備勤5],""),$AX$9:$AX$25,$AY$9:$AY$25,"")</f>
        <v>0</v>
      </c>
      <c r="U12" s="87">
        <f>_xlfn.XLOOKUP(_xlfn.XLOOKUP($AS$6&amp;$B12,公表[班別+時段],公表[備勤6],""),$AX$9:$AX$25,$AY$9:$AY$25,"")</f>
        <v>0</v>
      </c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87"/>
      <c r="AC12" s="87"/>
      <c r="AD12" s="87"/>
      <c r="AE12" s="88">
        <f>_xlfn.XLOOKUP(_xlfn.XLOOKUP($AS$6&amp;$B12,公表[班別+時段],公表[指揮官],""),$AX$9:$AX$25,$AY$9:$AY$25,"")</f>
        <v>1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27">
        <v>4</v>
      </c>
      <c r="AP12" s="127" t="str">
        <v>簡永豐</v>
      </c>
      <c r="AQ12" s="127" t="str" cm="1">
        <f t="array" ref="AQ12">IFERROR(_xlfn.XLOOKUP(_xlfn.XLOOKUP($AQ$3,輪休基準表!$C$6:$C$36,_xlfn.XLOOKUP(AP12,輪休基準表!$E$5:$AF$5,輪休基準表!$E$6:$AF$36,""),""),班別參數!$A$4:$A$20,班別參數!$B$4:$B$20,""),"")</f>
        <v>輪休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/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/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27"/>
    </row>
    <row r="13" spans="2:56" ht="30" customHeight="1" thickBot="1">
      <c r="B13" s="82" t="s">
        <v>76</v>
      </c>
      <c r="C13" s="89">
        <f>_xlfn.XLOOKUP(_xlfn.XLOOKUP($AS$6&amp;$B13,公表[班別+時段],公表[值班],""),$AX$9:$AX$25,$AY$9:$AY$25,"")</f>
        <v>0</v>
      </c>
      <c r="D13" s="233"/>
      <c r="E13" s="96"/>
      <c r="F13" s="96"/>
      <c r="G13" s="123" t="str">
        <f>IF(BC10="","",BC10)</f>
        <v/>
      </c>
      <c r="H13" s="315"/>
      <c r="I13" s="216">
        <f>_xlfn.XLOOKUP(_xlfn.XLOOKUP($AS$6&amp;$B13,公表[班別+時段],公表[救護1],""),$AX$9:$AX$25,$AY$9:$AY$25,"")</f>
        <v>0</v>
      </c>
      <c r="J13" s="216">
        <f>_xlfn.XLOOKUP(_xlfn.XLOOKUP($AS$6&amp;$B13,公表[班別+時段],公表[救護2],""),$AX$9:$AX$25,$AY$9:$AY$25,"")</f>
        <v>0</v>
      </c>
      <c r="K13" s="105"/>
      <c r="L13" s="93" t="s">
        <v>212</v>
      </c>
      <c r="M13" s="312"/>
      <c r="N13" s="89">
        <f>_xlfn.XLOOKUP(_xlfn.XLOOKUP($AS$6&amp;$B13,公表[班別+時段],公表[備勤1],""),$AX$9:$AX$25,$AY$9:$AY$25,"")</f>
        <v>0</v>
      </c>
      <c r="O13" s="89">
        <f>_xlfn.XLOOKUP(_xlfn.XLOOKUP($AS$6&amp;$B13,公表[班別+時段],公表[備勤2],""),$AX$9:$AX$25,$AY$9:$AY$25,"")</f>
        <v>0</v>
      </c>
      <c r="P13" s="89"/>
      <c r="Q13" s="89">
        <f>_xlfn.XLOOKUP(_xlfn.XLOOKUP($AS$6&amp;$B13,公表[班別+時段],公表[備勤3],""),$AX$9:$AX$25,$AY$9:$AY$25,"")</f>
        <v>0</v>
      </c>
      <c r="R13" s="89">
        <f>_xlfn.XLOOKUP(_xlfn.XLOOKUP($AS$6&amp;$B13,公表[班別+時段],公表[備勤4],""),$AX$9:$AX$25,$AY$9:$AY$25,"")</f>
        <v>0</v>
      </c>
      <c r="S13" s="89"/>
      <c r="T13" s="89">
        <f>_xlfn.XLOOKUP(_xlfn.XLOOKUP($AS$6&amp;$B13,公表[班別+時段],公表[備勤5],""),$AX$9:$AX$25,$AY$9:$AY$25,"")</f>
        <v>0</v>
      </c>
      <c r="U13" s="89">
        <f>_xlfn.XLOOKUP(_xlfn.XLOOKUP($AS$6&amp;$B13,公表[班別+時段],公表[備勤6],""),$AX$9:$AX$25,$AY$9:$AY$25,"")</f>
        <v>0</v>
      </c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89"/>
      <c r="AC13" s="89"/>
      <c r="AD13" s="89"/>
      <c r="AE13" s="104">
        <f>_xlfn.XLOOKUP(_xlfn.XLOOKUP($AS$6&amp;$B13,公表[班別+時段],公表[指揮官],""),$AX$9:$AX$25,$AY$9:$AY$25,"")</f>
        <v>1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27">
        <v>5</v>
      </c>
      <c r="AP13" s="127" t="str">
        <v>張鴻志</v>
      </c>
      <c r="AQ13" s="127" t="str" cm="1">
        <f t="array" ref="AQ13">IFERROR(_xlfn.XLOOKUP(_xlfn.XLOOKUP($AQ$3,輪休基準表!$C$6:$C$36,_xlfn.XLOOKUP(AP13,輪休基準表!$E$5:$AF$5,輪休基準表!$E$6:$AF$36,""),""),班別參數!$A$4:$A$20,班別參數!$B$4:$B$20,""),"")</f>
        <v>請休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/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/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/>
      </c>
      <c r="BD13" s="127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0</v>
      </c>
      <c r="D14" s="234"/>
      <c r="E14" s="97"/>
      <c r="F14" s="97"/>
      <c r="G14" s="121" t="str">
        <f>IF(BC11="","",BC11)</f>
        <v>1</v>
      </c>
      <c r="H14" s="55"/>
      <c r="I14" s="94">
        <f>_xlfn.XLOOKUP(_xlfn.XLOOKUP($AS$6&amp;$B14,公表[班別+時段],公表[救護1],""),$AX$9:$AX$25,$AY$9:$AY$25,"")</f>
        <v>0</v>
      </c>
      <c r="J14" s="94">
        <f>_xlfn.XLOOKUP(_xlfn.XLOOKUP($AS$6&amp;$B14,公表[班別+時段],公表[救護2],""),$AX$9:$AX$25,$AY$9:$AY$25,"")</f>
        <v>0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0</v>
      </c>
      <c r="O14" s="90">
        <f>_xlfn.XLOOKUP(_xlfn.XLOOKUP($AS$6&amp;$B14,公表[班別+時段],公表[備勤2],""),$AX$9:$AX$25,$AY$9:$AY$25,"")</f>
        <v>0</v>
      </c>
      <c r="P14" s="90"/>
      <c r="Q14" s="90">
        <f>_xlfn.XLOOKUP(_xlfn.XLOOKUP($AS$6&amp;$B14,公表[班別+時段],公表[備勤3],""),$AX$9:$AX$25,$AY$9:$AY$25,"")</f>
        <v>0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0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90"/>
      <c r="AC14" s="90"/>
      <c r="AD14" s="90"/>
      <c r="AE14" s="91">
        <f>_xlfn.XLOOKUP(_xlfn.XLOOKUP($AS$6&amp;$B14,公表[班別+時段],公表[指揮官],""),$AX$9:$AX$25,$AY$9:$AY$25,"")</f>
        <v>0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27">
        <v>6</v>
      </c>
      <c r="AP14" s="127" t="str">
        <v>吳宗耕</v>
      </c>
      <c r="AQ14" s="127" t="str" cm="1">
        <f t="array" ref="AQ14">IFERROR(_xlfn.XLOOKUP(_xlfn.XLOOKUP($AQ$3,輪休基準表!$C$6:$C$36,_xlfn.XLOOKUP(AP14,輪休基準表!$E$5:$AF$5,輪休基準表!$E$6:$AF$36,""),""),班別參數!$A$4:$A$20,班別參數!$B$4:$B$20,""),"")</f>
        <v>上班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>未排</v>
      </c>
      <c r="AT14" s="180" t="str">
        <f t="shared" si="0"/>
        <v/>
      </c>
      <c r="AU14" s="180" t="str">
        <f t="shared" si="1"/>
        <v/>
      </c>
      <c r="AV14" s="25"/>
      <c r="AW14" s="33" t="str">
        <f t="array" ref="AW14">INDEX(班別參數!$D$4:$D$20,ROW()-7,MATCH($AW$8,班別參數!$D$4:$D$20,0))</f>
        <v>18-20</v>
      </c>
      <c r="AX14" s="34" t="str">
        <f t="array" ref="AX14">IFERROR(INDEX(班別參數!$D$4:$S$20,MATCH(AW14,班別參數!$D$4:$D$20,0),MATCH($AS$6,班別參數!$D$4:$S$4,0)),"")</f>
        <v>E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B,F</v>
      </c>
      <c r="BC14" s="39" t="str">
        <f t="shared" si="2"/>
        <v/>
      </c>
      <c r="BD14" s="127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0</v>
      </c>
      <c r="D15" s="235"/>
      <c r="E15" s="106"/>
      <c r="F15" s="96"/>
      <c r="G15" s="123" t="str">
        <f>IF(BC11="","",BC11)</f>
        <v>1</v>
      </c>
      <c r="H15" s="40"/>
      <c r="I15" s="216">
        <f>_xlfn.XLOOKUP(_xlfn.XLOOKUP($AS$6&amp;$B15,公表[班別+時段],公表[救護1],""),$AX$9:$AX$25,$AY$9:$AY$25,"")</f>
        <v>0</v>
      </c>
      <c r="J15" s="216">
        <f>_xlfn.XLOOKUP(_xlfn.XLOOKUP($AS$6&amp;$B15,公表[班別+時段],公表[救護2],""),$AX$9:$AX$25,$AY$9:$AY$25,"")</f>
        <v>0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0</v>
      </c>
      <c r="O15" s="89">
        <f>_xlfn.XLOOKUP(_xlfn.XLOOKUP($AS$6&amp;$B15,公表[班別+時段],公表[備勤2],""),$AX$9:$AX$25,$AY$9:$AY$25,"")</f>
        <v>0</v>
      </c>
      <c r="P15" s="89"/>
      <c r="Q15" s="89">
        <f>_xlfn.XLOOKUP(_xlfn.XLOOKUP($AS$6&amp;$B15,公表[班別+時段],公表[備勤3],""),$AX$9:$AX$25,$AY$9:$AY$25,"")</f>
        <v>0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0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89"/>
      <c r="AC15" s="89"/>
      <c r="AD15" s="89"/>
      <c r="AE15" s="104">
        <f>_xlfn.XLOOKUP(_xlfn.XLOOKUP($AS$6&amp;$B15,公表[班別+時段],公表[指揮官],""),$AX$9:$AX$25,$AY$9:$AY$25,"")</f>
        <v>0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27">
        <v>7</v>
      </c>
      <c r="AP15" s="127" t="str">
        <v>包華先</v>
      </c>
      <c r="AQ15" s="127" t="str" cm="1">
        <f t="array" ref="AQ15">IFERROR(_xlfn.XLOOKUP(_xlfn.XLOOKUP($AQ$3,輪休基準表!$C$6:$C$36,_xlfn.XLOOKUP(AP15,輪休基準表!$E$5:$AF$5,輪休基準表!$E$6:$AF$36,""),""),班別參數!$A$4:$A$20,班別參數!$B$4:$B$20,""),"")</f>
        <v>上班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>未排</v>
      </c>
      <c r="AT15" s="180" t="str">
        <f t="shared" si="0"/>
        <v/>
      </c>
      <c r="AU15" s="180" t="str">
        <f t="shared" si="1"/>
        <v/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/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/>
      </c>
      <c r="BD15" s="127"/>
    </row>
    <row r="16" spans="2:56" ht="30" customHeight="1">
      <c r="B16" s="83" t="s">
        <v>79</v>
      </c>
      <c r="C16" s="90">
        <f>_xlfn.XLOOKUP(_xlfn.XLOOKUP($AS$6&amp;$B16,公表[班別+時段],公表[值班],""),$AX$9:$AX$25,$AY$9:$AY$25,"")</f>
        <v>0</v>
      </c>
      <c r="D16" s="98"/>
      <c r="E16" s="99"/>
      <c r="F16" s="98"/>
      <c r="G16" s="121" t="str">
        <f>IF(BC12="","",BC12)</f>
        <v/>
      </c>
      <c r="H16" s="316" t="str">
        <f>AY3</f>
        <v>入室搜救</v>
      </c>
      <c r="I16" s="94">
        <f>_xlfn.XLOOKUP(_xlfn.XLOOKUP($AS$6&amp;$B16,公表[班別+時段],公表[救護1],""),$AX$9:$AX$25,$AY$9:$AY$25,"")</f>
        <v>0</v>
      </c>
      <c r="J16" s="94">
        <f>_xlfn.XLOOKUP(_xlfn.XLOOKUP($AS$6&amp;$B16,公表[班別+時段],公表[救護2],""),$AX$9:$AX$25,$AY$9:$AY$25,"")</f>
        <v>0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0</v>
      </c>
      <c r="O16" s="90">
        <f>_xlfn.XLOOKUP(_xlfn.XLOOKUP($AS$6&amp;$B16,公表[班別+時段],公表[備勤2],""),$AX$9:$AX$25,$AY$9:$AY$25,"")</f>
        <v>0</v>
      </c>
      <c r="P16" s="90"/>
      <c r="Q16" s="90">
        <f>_xlfn.XLOOKUP(_xlfn.XLOOKUP($AS$6&amp;$B16,公表[班別+時段],公表[備勤3],""),$AX$9:$AX$25,$AY$9:$AY$25,"")</f>
        <v>0</v>
      </c>
      <c r="R16" s="90">
        <f>_xlfn.XLOOKUP(_xlfn.XLOOKUP($AS$6&amp;$B16,公表[班別+時段],公表[備勤4],""),$AX$9:$AX$25,$AY$9:$AY$25,"")</f>
        <v>0</v>
      </c>
      <c r="S16" s="90"/>
      <c r="T16" s="90">
        <f>_xlfn.XLOOKUP(_xlfn.XLOOKUP($AS$6&amp;$B16,公表[班別+時段],公表[備勤5],""),$AX$9:$AX$25,$AY$9:$AY$25,"")</f>
        <v>0</v>
      </c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90"/>
      <c r="AC16" s="90"/>
      <c r="AD16" s="90"/>
      <c r="AE16" s="91">
        <f>_xlfn.XLOOKUP(_xlfn.XLOOKUP($AS$6&amp;$B16,公表[班別+時段],公表[指揮官],""),$AX$9:$AX$25,$AY$9:$AY$25,"")</f>
        <v>1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27">
        <v>8</v>
      </c>
      <c r="AP16" s="127" t="str">
        <v>曾彥綸</v>
      </c>
      <c r="AQ16" s="127" t="str" cm="1">
        <f t="array" ref="AQ16">IFERROR(_xlfn.XLOOKUP(_xlfn.XLOOKUP($AQ$3,輪休基準表!$C$6:$C$36,_xlfn.XLOOKUP(AP16,輪休基準表!$E$5:$AF$5,輪休基準表!$E$6:$AF$36,""),""),班別參數!$A$4:$A$20,班別參數!$B$4:$B$20,""),"")</f>
        <v>輪休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/>
      </c>
      <c r="AT16" s="180" t="str">
        <f t="shared" si="0"/>
        <v/>
      </c>
      <c r="AU16" s="180" t="str">
        <f t="shared" si="1"/>
        <v/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/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27"/>
    </row>
    <row r="17" spans="2:56" ht="30" customHeight="1">
      <c r="B17" s="81" t="s">
        <v>80</v>
      </c>
      <c r="C17" s="87">
        <f>_xlfn.XLOOKUP(_xlfn.XLOOKUP($AS$6&amp;$B17,公表[班別+時段],公表[值班],""),$AX$9:$AX$25,$AY$9:$AY$25,"")</f>
        <v>0</v>
      </c>
      <c r="D17" s="95"/>
      <c r="E17" s="95"/>
      <c r="F17" s="100"/>
      <c r="G17" s="122" t="str">
        <f>IF(BC12="","",BC12)</f>
        <v/>
      </c>
      <c r="H17" s="314"/>
      <c r="I17" s="92">
        <f>_xlfn.XLOOKUP(_xlfn.XLOOKUP($AS$6&amp;$B17,公表[班別+時段],公表[救護1],""),$AX$9:$AX$25,$AY$9:$AY$25,"")</f>
        <v>0</v>
      </c>
      <c r="J17" s="92">
        <f>_xlfn.XLOOKUP(_xlfn.XLOOKUP($AS$6&amp;$B17,公表[班別+時段],公表[救護2],""),$AX$9:$AX$25,$AY$9:$AY$25,"")</f>
        <v>0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0</v>
      </c>
      <c r="O17" s="87">
        <f>_xlfn.XLOOKUP(_xlfn.XLOOKUP($AS$6&amp;$B17,公表[班別+時段],公表[備勤2],""),$AX$9:$AX$25,$AY$9:$AY$25,"")</f>
        <v>0</v>
      </c>
      <c r="P17" s="87"/>
      <c r="Q17" s="87">
        <f>_xlfn.XLOOKUP(_xlfn.XLOOKUP($AS$6&amp;$B17,公表[班別+時段],公表[備勤3],""),$AX$9:$AX$25,$AY$9:$AY$25,"")</f>
        <v>0</v>
      </c>
      <c r="R17" s="87">
        <f>_xlfn.XLOOKUP(_xlfn.XLOOKUP($AS$6&amp;$B17,公表[班別+時段],公表[備勤4],""),$AX$9:$AX$25,$AY$9:$AY$25,"")</f>
        <v>0</v>
      </c>
      <c r="S17" s="87"/>
      <c r="T17" s="87">
        <f>_xlfn.XLOOKUP(_xlfn.XLOOKUP($AS$6&amp;$B17,公表[班別+時段],公表[備勤5],""),$AX$9:$AX$25,$AY$9:$AY$25,"")</f>
        <v>0</v>
      </c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87"/>
      <c r="AC17" s="87"/>
      <c r="AD17" s="87"/>
      <c r="AE17" s="88">
        <f>_xlfn.XLOOKUP(_xlfn.XLOOKUP($AS$6&amp;$B17,公表[班別+時段],公表[指揮官],""),$AX$9:$AX$25,$AY$9:$AY$25,"")</f>
        <v>1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27">
        <v>9</v>
      </c>
      <c r="AP17" s="127" t="str">
        <v>鍾佳諭</v>
      </c>
      <c r="AQ17" s="127" t="str" cm="1">
        <f t="array" ref="AQ17">IFERROR(_xlfn.XLOOKUP(_xlfn.XLOOKUP($AQ$3,輪休基準表!$C$6:$C$36,_xlfn.XLOOKUP(AP17,輪休基準表!$E$5:$AF$5,輪休基準表!$E$6:$AF$36,""),""),班別參數!$A$4:$A$20,班別參數!$B$4:$B$20,""),"")</f>
        <v>上班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>未排</v>
      </c>
      <c r="AT17" s="180" t="str">
        <f t="shared" si="0"/>
        <v/>
      </c>
      <c r="AU17" s="180" t="str">
        <f t="shared" si="1"/>
        <v/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27"/>
    </row>
    <row r="18" spans="2:56" ht="30" customHeight="1">
      <c r="B18" s="81" t="s">
        <v>81</v>
      </c>
      <c r="C18" s="87">
        <f>_xlfn.XLOOKUP(_xlfn.XLOOKUP($AS$6&amp;$B18,公表[班別+時段],公表[值班],""),$AX$9:$AX$25,$AY$9:$AY$25,"")</f>
        <v>0</v>
      </c>
      <c r="D18" s="100"/>
      <c r="E18" s="95"/>
      <c r="F18" s="100"/>
      <c r="G18" s="122" t="str">
        <f>IF(BC13="","",BC13)</f>
        <v/>
      </c>
      <c r="H18" s="297"/>
      <c r="I18" s="92">
        <f>_xlfn.XLOOKUP(_xlfn.XLOOKUP($AS$6&amp;$B18,公表[班別+時段],公表[救護1],""),$AX$9:$AX$25,$AY$9:$AY$25,"")</f>
        <v>0</v>
      </c>
      <c r="J18" s="92">
        <f>_xlfn.XLOOKUP(_xlfn.XLOOKUP($AS$6&amp;$B18,公表[班別+時段],公表[救護2],""),$AX$9:$AX$25,$AY$9:$AY$25,"")</f>
        <v>0</v>
      </c>
      <c r="K18" s="92"/>
      <c r="L18" s="87" t="s">
        <v>212</v>
      </c>
      <c r="M18" s="312"/>
      <c r="N18" s="87">
        <f>_xlfn.XLOOKUP(_xlfn.XLOOKUP($AS$6&amp;$B18,公表[班別+時段],公表[備勤1],""),$AX$9:$AX$25,$AY$9:$AY$25,"")</f>
        <v>0</v>
      </c>
      <c r="O18" s="87">
        <f>_xlfn.XLOOKUP(_xlfn.XLOOKUP($AS$6&amp;$B18,公表[班別+時段],公表[備勤2],""),$AX$9:$AX$25,$AY$9:$AY$25,"")</f>
        <v>0</v>
      </c>
      <c r="P18" s="87"/>
      <c r="Q18" s="87">
        <f>_xlfn.XLOOKUP(_xlfn.XLOOKUP($AS$6&amp;$B18,公表[班別+時段],公表[備勤3],""),$AX$9:$AX$25,$AY$9:$AY$25,"")</f>
        <v>0</v>
      </c>
      <c r="R18" s="87">
        <f>_xlfn.XLOOKUP(_xlfn.XLOOKUP($AS$6&amp;$B18,公表[班別+時段],公表[備勤4],""),$AX$9:$AX$25,$AY$9:$AY$25,"")</f>
        <v>0</v>
      </c>
      <c r="S18" s="87"/>
      <c r="T18" s="87">
        <f>_xlfn.XLOOKUP(_xlfn.XLOOKUP($AS$6&amp;$B18,公表[班別+時段],公表[備勤5],""),$AX$9:$AX$25,$AY$9:$AY$25,"")</f>
        <v>0</v>
      </c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87"/>
      <c r="AC18" s="87"/>
      <c r="AD18" s="87"/>
      <c r="AE18" s="88">
        <f>_xlfn.XLOOKUP(_xlfn.XLOOKUP($AS$6&amp;$B18,公表[班別+時段],公表[指揮官],""),$AX$9:$AX$25,$AY$9:$AY$25,"")</f>
        <v>1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27">
        <v>10</v>
      </c>
      <c r="AP18" s="127" t="str">
        <v>林宏澤</v>
      </c>
      <c r="AQ18" s="127" t="str" cm="1">
        <f t="array" ref="AQ18">IFERROR(_xlfn.XLOOKUP(_xlfn.XLOOKUP($AQ$3,輪休基準表!$C$6:$C$36,_xlfn.XLOOKUP(AP18,輪休基準表!$E$5:$AF$5,輪休基準表!$E$6:$AF$36,""),""),班別參數!$A$4:$A$20,班別參數!$B$4:$B$20,""),"")</f>
        <v>上班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>未排</v>
      </c>
      <c r="AT18" s="180" t="str">
        <f t="shared" si="0"/>
        <v/>
      </c>
      <c r="AU18" s="180" t="str">
        <f t="shared" si="1"/>
        <v/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27"/>
    </row>
    <row r="19" spans="2:56" ht="30" customHeight="1" thickBot="1">
      <c r="B19" s="110" t="s">
        <v>82</v>
      </c>
      <c r="C19" s="89">
        <f>_xlfn.XLOOKUP(_xlfn.XLOOKUP($AS$6&amp;$B19,公表[班別+時段],公表[值班],""),$AX$9:$AX$25,$AY$9:$AY$25,"")</f>
        <v>0</v>
      </c>
      <c r="D19" s="106"/>
      <c r="E19" s="96"/>
      <c r="F19" s="236"/>
      <c r="G19" s="123" t="str">
        <f>IF(BC13="","",BC13)</f>
        <v/>
      </c>
      <c r="H19" s="107"/>
      <c r="I19" s="216">
        <f>_xlfn.XLOOKUP(_xlfn.XLOOKUP($AS$6&amp;$B19,公表[班別+時段],公表[救護1],""),$AX$9:$AX$25,$AY$9:$AY$25,"")</f>
        <v>0</v>
      </c>
      <c r="J19" s="216">
        <f>_xlfn.XLOOKUP(_xlfn.XLOOKUP($AS$6&amp;$B19,公表[班別+時段],公表[救護2],""),$AX$9:$AX$25,$AY$9:$AY$25,"")</f>
        <v>0</v>
      </c>
      <c r="K19" s="105"/>
      <c r="L19" s="93" t="s">
        <v>212</v>
      </c>
      <c r="M19" s="312"/>
      <c r="N19" s="89">
        <f>_xlfn.XLOOKUP(_xlfn.XLOOKUP($AS$6&amp;$B19,公表[班別+時段],公表[備勤1],""),$AX$9:$AX$25,$AY$9:$AY$25,"")</f>
        <v>0</v>
      </c>
      <c r="O19" s="89">
        <f>_xlfn.XLOOKUP(_xlfn.XLOOKUP($AS$6&amp;$B19,公表[班別+時段],公表[備勤2],""),$AX$9:$AX$25,$AY$9:$AY$25,"")</f>
        <v>0</v>
      </c>
      <c r="P19" s="89"/>
      <c r="Q19" s="89">
        <f>_xlfn.XLOOKUP(_xlfn.XLOOKUP($AS$6&amp;$B19,公表[班別+時段],公表[備勤3],""),$AX$9:$AX$25,$AY$9:$AY$25,"")</f>
        <v>0</v>
      </c>
      <c r="R19" s="89">
        <f>_xlfn.XLOOKUP(_xlfn.XLOOKUP($AS$6&amp;$B19,公表[班別+時段],公表[備勤4],""),$AX$9:$AX$25,$AY$9:$AY$25,"")</f>
        <v>0</v>
      </c>
      <c r="S19" s="89"/>
      <c r="T19" s="89">
        <f>_xlfn.XLOOKUP(_xlfn.XLOOKUP($AS$6&amp;$B19,公表[班別+時段],公表[備勤5],""),$AX$9:$AX$25,$AY$9:$AY$25,"")</f>
        <v>0</v>
      </c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89"/>
      <c r="AC19" s="89"/>
      <c r="AD19" s="89"/>
      <c r="AE19" s="104">
        <f>_xlfn.XLOOKUP(_xlfn.XLOOKUP($AS$6&amp;$B19,公表[班別+時段],公表[指揮官],""),$AX$9:$AX$25,$AY$9:$AY$25,"")</f>
        <v>1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27">
        <v>11</v>
      </c>
      <c r="AP19" s="127" t="str">
        <v>簡君諺</v>
      </c>
      <c r="AQ19" s="127" t="str" cm="1">
        <f t="array" ref="AQ19">IFERROR(_xlfn.XLOOKUP(_xlfn.XLOOKUP($AQ$3,輪休基準表!$C$6:$C$36,_xlfn.XLOOKUP(AP19,輪休基準表!$E$5:$AF$5,輪休基準表!$E$6:$AF$36,""),""),班別參數!$A$4:$A$20,班別參數!$B$4:$B$20,""),"")</f>
        <v>輪休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/>
      </c>
      <c r="AT19" s="180" t="str">
        <f t="shared" si="0"/>
        <v/>
      </c>
      <c r="AU19" s="180" t="str">
        <f t="shared" si="1"/>
        <v/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">IF(AX19="","",_xlfn._xlws.FILTER($AO$9:$AO$13,$AQ$9:$AQ$13="上班",""))</f>
        <v>1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27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0</v>
      </c>
      <c r="D20" s="97"/>
      <c r="E20" s="97"/>
      <c r="F20" s="97"/>
      <c r="G20" s="121" t="str">
        <f>IF(BC14="","",BC14)</f>
        <v/>
      </c>
      <c r="H20" s="55"/>
      <c r="I20" s="94">
        <f>_xlfn.XLOOKUP(_xlfn.XLOOKUP($AS$6&amp;$B20,公表[班別+時段],公表[救護1],""),$AX$9:$AX$25,$AY$9:$AY$25,"")</f>
        <v>0</v>
      </c>
      <c r="J20" s="94">
        <f>_xlfn.XLOOKUP(_xlfn.XLOOKUP($AS$6&amp;$B20,公表[班別+時段],公表[救護2],""),$AX$9:$AX$25,$AY$9:$AY$25,"")</f>
        <v>0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0</v>
      </c>
      <c r="O20" s="90">
        <f>_xlfn.XLOOKUP(_xlfn.XLOOKUP($AS$6&amp;$B20,公表[班別+時段],公表[備勤2],""),$AX$9:$AX$25,$AY$9:$AY$25,"")</f>
        <v>0</v>
      </c>
      <c r="P20" s="90"/>
      <c r="Q20" s="90">
        <f>_xlfn.XLOOKUP(_xlfn.XLOOKUP($AS$6&amp;$B20,公表[班別+時段],公表[備勤3],""),$AX$9:$AX$25,$AY$9:$AY$25,"")</f>
        <v>0</v>
      </c>
      <c r="R20" s="90">
        <f>_xlfn.XLOOKUP(_xlfn.XLOOKUP($AS$6&amp;$B20,公表[班別+時段],公表[備勤4],""),$AX$9:$AX$25,$AY$9:$AY$25,"")</f>
        <v>0</v>
      </c>
      <c r="S20" s="90"/>
      <c r="T20" s="90">
        <f>_xlfn.XLOOKUP(_xlfn.XLOOKUP($AS$6&amp;$B20,公表[班別+時段],公表[備勤5],""),$AX$9:$AX$25,$AY$9:$AY$25,"")</f>
        <v>0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90"/>
      <c r="AC20" s="90"/>
      <c r="AD20" s="90"/>
      <c r="AE20" s="91">
        <f>_xlfn.XLOOKUP(_xlfn.XLOOKUP($AS$6&amp;$B20,公表[班別+時段],公表[指揮官],""),$AX$9:$AX$25,$AY$9:$AY$25,"")</f>
        <v>1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27">
        <v>12</v>
      </c>
      <c r="AP20" s="127" t="str">
        <v>王昱勛</v>
      </c>
      <c r="AQ20" s="127" t="str" cm="1">
        <f t="array" ref="AQ20">IFERROR(_xlfn.XLOOKUP(_xlfn.XLOOKUP($AQ$3,輪休基準表!$C$6:$C$36,_xlfn.XLOOKUP(AP20,輪休基準表!$E$5:$AF$5,輪休基準表!$E$6:$AF$36,""),""),班別參數!$A$4:$A$20,班別參數!$B$4:$B$20,""),"")</f>
        <v>補休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/>
      </c>
      <c r="AT20" s="180" t="str">
        <f t="shared" si="0"/>
        <v/>
      </c>
      <c r="AU20" s="180" t="str">
        <f t="shared" si="1"/>
        <v/>
      </c>
      <c r="AV20" s="25"/>
      <c r="AW20" s="33" t="str">
        <f t="array" ref="AW20">INDEX(班別參數!$D$4:$D$20,ROW()-7,MATCH($AW$8,班別參數!$D$4:$D$20,0))</f>
        <v>帶隊官</v>
      </c>
      <c r="AX20" s="34">
        <f t="array" ref="AX20">IFERROR(INDEX(班別參數!$D$4:$S$20,MATCH(AW20,班別參數!$D$4:$D$20,0),MATCH($AS$6,班別參數!$D$4:$S$4,0)),"")</f>
        <v>0</v>
      </c>
      <c r="AY20" s="38"/>
      <c r="AZ20" s="32"/>
      <c r="BA20" s="33" t="s">
        <v>67</v>
      </c>
      <c r="BB20" s="34" t="str">
        <f t="array" ref="BB20">IFERROR(INDEX(班別參數!$D$23:$S$35,MATCH(BA20,班別參數!$D$23:$D$35,0),MATCH($AS$6,班別參數!$D$23:$S$23,0)),"")</f>
        <v>G,E</v>
      </c>
      <c r="BC20" s="41" t="str">
        <f t="shared" si="2"/>
        <v/>
      </c>
      <c r="BD20" s="127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0</v>
      </c>
      <c r="D21" s="95"/>
      <c r="E21" s="95"/>
      <c r="F21" s="95"/>
      <c r="G21" s="122" t="str">
        <f>IF(BC14="","",BC14)</f>
        <v/>
      </c>
      <c r="H21" s="296" t="str">
        <f>AY4</f>
        <v>五用氣體檢知器及CO探測器</v>
      </c>
      <c r="I21" s="92">
        <f>_xlfn.XLOOKUP(_xlfn.XLOOKUP($AS$6&amp;$B21,公表[班別+時段],公表[救護1],""),$AX$9:$AX$25,$AY$9:$AY$25,"")</f>
        <v>0</v>
      </c>
      <c r="J21" s="92">
        <f>_xlfn.XLOOKUP(_xlfn.XLOOKUP($AS$6&amp;$B21,公表[班別+時段],公表[救護2],""),$AX$9:$AX$25,$AY$9:$AY$25,"")</f>
        <v>0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0</v>
      </c>
      <c r="O21" s="87">
        <f>_xlfn.XLOOKUP(_xlfn.XLOOKUP($AS$6&amp;$B21,公表[班別+時段],公表[備勤2],""),$AX$9:$AX$25,$AY$9:$AY$25,"")</f>
        <v>0</v>
      </c>
      <c r="P21" s="87"/>
      <c r="Q21" s="87">
        <f>_xlfn.XLOOKUP(_xlfn.XLOOKUP($AS$6&amp;$B21,公表[班別+時段],公表[備勤3],""),$AX$9:$AX$25,$AY$9:$AY$25,"")</f>
        <v>0</v>
      </c>
      <c r="R21" s="87">
        <f>_xlfn.XLOOKUP(_xlfn.XLOOKUP($AS$6&amp;$B21,公表[班別+時段],公表[備勤4],""),$AX$9:$AX$25,$AY$9:$AY$25,"")</f>
        <v>0</v>
      </c>
      <c r="S21" s="87"/>
      <c r="T21" s="87">
        <f>_xlfn.XLOOKUP(_xlfn.XLOOKUP($AS$6&amp;$B21,公表[班別+時段],公表[備勤5],""),$AX$9:$AX$25,$AY$9:$AY$25,"")</f>
        <v>0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87"/>
      <c r="AC21" s="87"/>
      <c r="AD21" s="87"/>
      <c r="AE21" s="88">
        <f>_xlfn.XLOOKUP(_xlfn.XLOOKUP($AS$6&amp;$B21,公表[班別+時段],公表[指揮官],""),$AX$9:$AX$25,$AY$9:$AY$25,"")</f>
        <v>1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27">
        <v>13</v>
      </c>
      <c r="AP21" s="127" t="str">
        <v>葉宗哲</v>
      </c>
      <c r="AQ21" s="127" t="str" cm="1">
        <f t="array" ref="AQ21">IFERROR(_xlfn.XLOOKUP(_xlfn.XLOOKUP($AQ$3,輪休基準表!$C$6:$C$36,_xlfn.XLOOKUP(AP21,輪休基準表!$E$5:$AF$5,輪休基準表!$E$6:$AF$36,""),""),班別參數!$A$4:$A$20,班別參數!$B$4:$B$20,""),"")</f>
        <v>輪休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/>
      </c>
      <c r="AT21" s="180" t="str">
        <f t="shared" si="0"/>
        <v/>
      </c>
      <c r="AU21" s="180" t="str">
        <f t="shared" si="1"/>
        <v/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27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0</v>
      </c>
      <c r="D22" s="95"/>
      <c r="E22" s="95"/>
      <c r="F22" s="95"/>
      <c r="G22" s="122" t="str">
        <f>IF(BC15="","",BC15)</f>
        <v/>
      </c>
      <c r="H22" s="297"/>
      <c r="I22" s="92">
        <f>_xlfn.XLOOKUP(_xlfn.XLOOKUP($AS$6&amp;$B22,公表[班別+時段],公表[救護1],""),$AX$9:$AX$25,$AY$9:$AY$25,"")</f>
        <v>0</v>
      </c>
      <c r="J22" s="92">
        <f>_xlfn.XLOOKUP(_xlfn.XLOOKUP($AS$6&amp;$B22,公表[班別+時段],公表[救護2],""),$AX$9:$AX$25,$AY$9:$AY$25,"")</f>
        <v>0</v>
      </c>
      <c r="K22" s="92"/>
      <c r="L22" s="87" t="s">
        <v>212</v>
      </c>
      <c r="M22" s="312"/>
      <c r="N22" s="87">
        <f>_xlfn.XLOOKUP(_xlfn.XLOOKUP($AS$6&amp;$B22,公表[班別+時段],公表[備勤1],""),$AX$9:$AX$25,$AY$9:$AY$25,"")</f>
        <v>0</v>
      </c>
      <c r="O22" s="87">
        <f>_xlfn.XLOOKUP(_xlfn.XLOOKUP($AS$6&amp;$B22,公表[班別+時段],公表[備勤2],""),$AX$9:$AX$25,$AY$9:$AY$25,"")</f>
        <v>0</v>
      </c>
      <c r="P22" s="87"/>
      <c r="Q22" s="87">
        <f>_xlfn.XLOOKUP(_xlfn.XLOOKUP($AS$6&amp;$B22,公表[班別+時段],公表[備勤3],""),$AX$9:$AX$25,$AY$9:$AY$25,"")</f>
        <v>0</v>
      </c>
      <c r="R22" s="87">
        <f>_xlfn.XLOOKUP(_xlfn.XLOOKUP($AS$6&amp;$B22,公表[班別+時段],公表[備勤4],""),$AX$9:$AX$25,$AY$9:$AY$25,"")</f>
        <v>0</v>
      </c>
      <c r="S22" s="87"/>
      <c r="T22" s="87">
        <f>_xlfn.XLOOKUP(_xlfn.XLOOKUP($AS$6&amp;$B22,公表[班別+時段],公表[備勤5],""),$AX$9:$AX$25,$AY$9:$AY$25,"")</f>
        <v>0</v>
      </c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87"/>
      <c r="AC22" s="87"/>
      <c r="AD22" s="87"/>
      <c r="AE22" s="88">
        <f>_xlfn.XLOOKUP(_xlfn.XLOOKUP($AS$6&amp;$B22,公表[班別+時段],公表[指揮官],""),$AX$9:$AX$25,$AY$9:$AY$25,"")</f>
        <v>1</v>
      </c>
      <c r="AF22" s="57" t="s">
        <v>213</v>
      </c>
      <c r="AG22" s="305" t="str" cm="1">
        <f t="array" ref="AG22">_xlfn.TEXTJOIN(".",1,_xlfn._xlws.FILTER($AO$9:$AO$40,$AQ$9:$AQ$40="上班",""))</f>
        <v>1.6.7.9.10.16.21.24.27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27">
        <v>14</v>
      </c>
      <c r="AP22" s="127" t="str">
        <v>王浩任</v>
      </c>
      <c r="AQ22" s="127" t="str" cm="1">
        <f t="array" ref="AQ22">IFERROR(_xlfn.XLOOKUP(_xlfn.XLOOKUP($AQ$3,輪休基準表!$C$6:$C$36,_xlfn.XLOOKUP(AP22,輪休基準表!$E$5:$AF$5,輪休基準表!$E$6:$AF$36,""),""),班別參數!$A$4:$A$20,班別參數!$B$4:$B$20,""),"")</f>
        <v>輪休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/>
      </c>
      <c r="AT22" s="180" t="str">
        <f t="shared" si="0"/>
        <v/>
      </c>
      <c r="AU22" s="180" t="str">
        <f t="shared" si="1"/>
        <v/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27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0</v>
      </c>
      <c r="D23" s="106"/>
      <c r="E23" s="96"/>
      <c r="F23" s="96"/>
      <c r="G23" s="123" t="str">
        <f>IF(BC15="","",BC15)</f>
        <v/>
      </c>
      <c r="H23" s="107"/>
      <c r="I23" s="216">
        <f>_xlfn.XLOOKUP(_xlfn.XLOOKUP($AS$6&amp;$B23,公表[班別+時段],公表[救護1],""),$AX$9:$AX$25,$AY$9:$AY$25,"")</f>
        <v>0</v>
      </c>
      <c r="J23" s="216">
        <f>_xlfn.XLOOKUP(_xlfn.XLOOKUP($AS$6&amp;$B23,公表[班別+時段],公表[救護2],""),$AX$9:$AX$25,$AY$9:$AY$25,"")</f>
        <v>0</v>
      </c>
      <c r="K23" s="105"/>
      <c r="L23" s="93" t="s">
        <v>212</v>
      </c>
      <c r="M23" s="312"/>
      <c r="N23" s="89">
        <f>_xlfn.XLOOKUP(_xlfn.XLOOKUP($AS$6&amp;$B23,公表[班別+時段],公表[備勤1],""),$AX$9:$AX$25,$AY$9:$AY$25,"")</f>
        <v>0</v>
      </c>
      <c r="O23" s="89">
        <f>_xlfn.XLOOKUP(_xlfn.XLOOKUP($AS$6&amp;$B23,公表[班別+時段],公表[備勤2],""),$AX$9:$AX$25,$AY$9:$AY$25,"")</f>
        <v>0</v>
      </c>
      <c r="P23" s="89"/>
      <c r="Q23" s="89">
        <f>_xlfn.XLOOKUP(_xlfn.XLOOKUP($AS$6&amp;$B23,公表[班別+時段],公表[備勤3],""),$AX$9:$AX$25,$AY$9:$AY$25,"")</f>
        <v>0</v>
      </c>
      <c r="R23" s="89">
        <f>_xlfn.XLOOKUP(_xlfn.XLOOKUP($AS$6&amp;$B23,公表[班別+時段],公表[備勤4],""),$AX$9:$AX$25,$AY$9:$AY$25,"")</f>
        <v>0</v>
      </c>
      <c r="S23" s="89"/>
      <c r="T23" s="89">
        <f>_xlfn.XLOOKUP(_xlfn.XLOOKUP($AS$6&amp;$B23,公表[班別+時段],公表[備勤5],""),$AX$9:$AX$25,$AY$9:$AY$25,"")</f>
        <v>0</v>
      </c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89"/>
      <c r="AC23" s="89"/>
      <c r="AD23" s="89"/>
      <c r="AE23" s="104">
        <f>_xlfn.XLOOKUP(_xlfn.XLOOKUP($AS$6&amp;$B23,公表[班別+時段],公表[指揮官],""),$AX$9:$AX$25,$AY$9:$AY$25,"")</f>
        <v>1</v>
      </c>
      <c r="AF23" s="57" t="s">
        <v>6</v>
      </c>
      <c r="AG23" s="305" t="str" cm="1">
        <f t="array" ref="AG23">_xlfn.TEXTJOIN(".",1,_xlfn._xlws.FILTER($AO$9:$AO$40,$AQ$9:$AQ$40=$AF$23,""))</f>
        <v>2.4.8.11.13.14.15.17.18.19.20.22.23.25.26.28</v>
      </c>
      <c r="AH23" s="400"/>
      <c r="AI23" s="400"/>
      <c r="AJ23" s="400"/>
      <c r="AK23" s="400"/>
      <c r="AL23" s="400"/>
      <c r="AM23" s="401"/>
      <c r="AN23" s="214"/>
      <c r="AO23" s="127">
        <v>15</v>
      </c>
      <c r="AP23" s="127" t="str">
        <v>李仕詮</v>
      </c>
      <c r="AQ23" s="127" t="str" cm="1">
        <f t="array" ref="AQ23">IFERROR(_xlfn.XLOOKUP(_xlfn.XLOOKUP($AQ$3,輪休基準表!$C$6:$C$36,_xlfn.XLOOKUP(AP23,輪休基準表!$E$5:$AF$5,輪休基準表!$E$6:$AF$36,""),""),班別參數!$A$4:$A$20,班別參數!$B$4:$B$20,""),"")</f>
        <v>輪休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/>
      </c>
      <c r="AT23" s="180" t="str">
        <f t="shared" si="0"/>
        <v/>
      </c>
      <c r="AU23" s="180" t="str">
        <f t="shared" si="1"/>
        <v/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27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0</v>
      </c>
      <c r="D24" s="97"/>
      <c r="E24" s="97"/>
      <c r="F24" s="97"/>
      <c r="G24" s="121" t="str">
        <f>IF(BC16="","",BC16)</f>
        <v/>
      </c>
      <c r="H24" s="55"/>
      <c r="I24" s="94">
        <f>_xlfn.XLOOKUP(_xlfn.XLOOKUP($AS$6&amp;$B24,公表[班別+時段],公表[救護1],""),$AX$9:$AX$25,$AY$9:$AY$25,"")</f>
        <v>0</v>
      </c>
      <c r="J24" s="94">
        <f>_xlfn.XLOOKUP(_xlfn.XLOOKUP($AS$6&amp;$B24,公表[班別+時段],公表[救護2],""),$AX$9:$AX$25,$AY$9:$AY$25,"")</f>
        <v>0</v>
      </c>
      <c r="K24" s="90"/>
      <c r="L24" s="90" t="s">
        <v>212</v>
      </c>
      <c r="M24" s="312"/>
      <c r="N24" s="90">
        <f>_xlfn.XLOOKUP(_xlfn.XLOOKUP($AS$6&amp;$B24,公表[班別+時段],公表[備勤1],""),$AX$9:$AX$25,$AY$9:$AY$25,"")</f>
        <v>0</v>
      </c>
      <c r="O24" s="90">
        <f>_xlfn.XLOOKUP(_xlfn.XLOOKUP($AS$6&amp;$B24,公表[班別+時段],公表[備勤2],""),$AX$9:$AX$25,$AY$9:$AY$25,"")</f>
        <v>0</v>
      </c>
      <c r="P24" s="90"/>
      <c r="Q24" s="90">
        <f>_xlfn.XLOOKUP(_xlfn.XLOOKUP($AS$6&amp;$B24,公表[班別+時段],公表[備勤3],""),$AX$9:$AX$25,$AY$9:$AY$25,"")</f>
        <v>0</v>
      </c>
      <c r="R24" s="90">
        <f>_xlfn.XLOOKUP(_xlfn.XLOOKUP($AS$6&amp;$B24,公表[班別+時段],公表[備勤4],""),$AX$9:$AX$25,$AY$9:$AY$25,"")</f>
        <v>0</v>
      </c>
      <c r="S24" s="90"/>
      <c r="T24" s="90">
        <f>_xlfn.XLOOKUP(_xlfn.XLOOKUP($AS$6&amp;$B24,公表[班別+時段],公表[備勤5],""),$AX$9:$AX$25,$AY$9:$AY$25,"")</f>
        <v>0</v>
      </c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90"/>
      <c r="AC24" s="90"/>
      <c r="AD24" s="90"/>
      <c r="AE24" s="91">
        <f>_xlfn.XLOOKUP(_xlfn.XLOOKUP($AS$6&amp;$B24,公表[班別+時段],公表[指揮官],""),$AX$9:$AX$25,$AY$9:$AY$25,"")</f>
        <v>1</v>
      </c>
      <c r="AF24" s="57" t="s">
        <v>17</v>
      </c>
      <c r="AG24" s="305" t="str" cm="1">
        <f t="array" ref="AG24">_xlfn.TEXTJOIN(".",1,_xlfn._xlws.FILTER($AO$9:$AO$40,$AQ$9:$AQ$40=$AF$24,""))</f>
        <v/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>12</v>
      </c>
      <c r="AL24" s="400"/>
      <c r="AM24" s="401"/>
      <c r="AN24" s="214"/>
      <c r="AO24" s="127">
        <v>16</v>
      </c>
      <c r="AP24" s="127" t="str">
        <v>楊弘宇</v>
      </c>
      <c r="AQ24" s="127" t="str" cm="1">
        <f t="array" ref="AQ24">IFERROR(_xlfn.XLOOKUP(_xlfn.XLOOKUP($AQ$3,輪休基準表!$C$6:$C$36,_xlfn.XLOOKUP(AP24,輪休基準表!$E$5:$AF$5,輪休基準表!$E$6:$AF$36,""),""),班別參數!$A$4:$A$20,班別參數!$B$4:$B$20,""),"")</f>
        <v>上班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>未排</v>
      </c>
      <c r="AT24" s="180" t="str">
        <f t="shared" si="0"/>
        <v/>
      </c>
      <c r="AU24" s="180" t="str">
        <f t="shared" si="1"/>
        <v/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27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0</v>
      </c>
      <c r="D25" s="95"/>
      <c r="E25" s="95"/>
      <c r="F25" s="95"/>
      <c r="G25" s="122" t="str">
        <f>IF(BC16="","",BC16)</f>
        <v/>
      </c>
      <c r="H25" s="37"/>
      <c r="I25" s="92">
        <f>_xlfn.XLOOKUP(_xlfn.XLOOKUP($AS$6&amp;$B25,公表[班別+時段],公表[救護1],""),$AX$9:$AX$25,$AY$9:$AY$25,"")</f>
        <v>0</v>
      </c>
      <c r="J25" s="92">
        <f>_xlfn.XLOOKUP(_xlfn.XLOOKUP($AS$6&amp;$B25,公表[班別+時段],公表[救護2],""),$AX$9:$AX$25,$AY$9:$AY$25,"")</f>
        <v>0</v>
      </c>
      <c r="K25" s="87"/>
      <c r="L25" s="87" t="s">
        <v>212</v>
      </c>
      <c r="M25" s="312"/>
      <c r="N25" s="87">
        <f>_xlfn.XLOOKUP(_xlfn.XLOOKUP($AS$6&amp;$B25,公表[班別+時段],公表[備勤1],""),$AX$9:$AX$25,$AY$9:$AY$25,"")</f>
        <v>0</v>
      </c>
      <c r="O25" s="87">
        <f>_xlfn.XLOOKUP(_xlfn.XLOOKUP($AS$6&amp;$B25,公表[班別+時段],公表[備勤2],""),$AX$9:$AX$25,$AY$9:$AY$25,"")</f>
        <v>0</v>
      </c>
      <c r="P25" s="87"/>
      <c r="Q25" s="87">
        <f>_xlfn.XLOOKUP(_xlfn.XLOOKUP($AS$6&amp;$B25,公表[班別+時段],公表[備勤3],""),$AX$9:$AX$25,$AY$9:$AY$25,"")</f>
        <v>0</v>
      </c>
      <c r="R25" s="87">
        <f>_xlfn.XLOOKUP(_xlfn.XLOOKUP($AS$6&amp;$B25,公表[班別+時段],公表[備勤4],""),$AX$9:$AX$25,$AY$9:$AY$25,"")</f>
        <v>0</v>
      </c>
      <c r="S25" s="87"/>
      <c r="T25" s="87">
        <f>_xlfn.XLOOKUP(_xlfn.XLOOKUP($AS$6&amp;$B25,公表[班別+時段],公表[備勤5],""),$AX$9:$AX$25,$AY$9:$AY$25,"")</f>
        <v>0</v>
      </c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87"/>
      <c r="AC25" s="87"/>
      <c r="AD25" s="87"/>
      <c r="AE25" s="88">
        <f>_xlfn.XLOOKUP(_xlfn.XLOOKUP($AS$6&amp;$B25,公表[班別+時段],公表[指揮官],""),$AX$9:$AX$25,$AY$9:$AY$25,"")</f>
        <v>1</v>
      </c>
      <c r="AF25" s="57" t="s">
        <v>28</v>
      </c>
      <c r="AG25" s="305" t="str" cm="1">
        <f t="array" ref="AG25">_xlfn.TEXTJOIN(".",1,_xlfn._xlws.FILTER($AO$9:$AO$40,$AQ$9:$AQ$40=$AF$25,""))</f>
        <v>3.5</v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/>
      </c>
      <c r="AL25" s="309"/>
      <c r="AM25" s="310"/>
      <c r="AN25" s="214"/>
      <c r="AO25" s="127">
        <v>17</v>
      </c>
      <c r="AP25" s="127" t="str">
        <v>楊仲豪</v>
      </c>
      <c r="AQ25" s="127" t="str" cm="1">
        <f t="array" ref="AQ25">IFERROR(_xlfn.XLOOKUP(_xlfn.XLOOKUP($AQ$3,輪休基準表!$C$6:$C$36,_xlfn.XLOOKUP(AP25,輪休基準表!$E$5:$AF$5,輪休基準表!$E$6:$AF$36,""),""),班別參數!$A$4:$A$20,班別參數!$B$4:$B$20,""),"")</f>
        <v>輪休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/>
      </c>
      <c r="AT25" s="180" t="str">
        <f t="shared" si="0"/>
        <v/>
      </c>
      <c r="AU25" s="180" t="str">
        <f t="shared" si="1"/>
        <v/>
      </c>
      <c r="AW25" s="33"/>
      <c r="AX25" s="45"/>
      <c r="AY25" s="25"/>
      <c r="AZ25" s="28"/>
      <c r="BA25" s="33"/>
      <c r="BB25" s="25"/>
      <c r="BD25" s="127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0</v>
      </c>
      <c r="D26" s="95"/>
      <c r="E26" s="95"/>
      <c r="F26" s="95"/>
      <c r="G26" s="122" t="str">
        <f>IF(BC17="","",BC17)</f>
        <v/>
      </c>
      <c r="H26" s="37"/>
      <c r="I26" s="92">
        <f>_xlfn.XLOOKUP(_xlfn.XLOOKUP($AS$6&amp;$B26,公表[班別+時段],公表[救護1],""),$AX$9:$AX$25,$AY$9:$AY$25,"")</f>
        <v>0</v>
      </c>
      <c r="J26" s="92">
        <f>_xlfn.XLOOKUP(_xlfn.XLOOKUP($AS$6&amp;$B26,公表[班別+時段],公表[救護2],""),$AX$9:$AX$25,$AY$9:$AY$25,"")</f>
        <v>0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0</v>
      </c>
      <c r="O26" s="87">
        <f>_xlfn.XLOOKUP(_xlfn.XLOOKUP($AS$6&amp;$B26,公表[班別+時段],公表[備勤2],""),$AX$9:$AX$25,$AY$9:$AY$25,"")</f>
        <v>0</v>
      </c>
      <c r="P26" s="87"/>
      <c r="Q26" s="87">
        <f>_xlfn.XLOOKUP(_xlfn.XLOOKUP($AS$6&amp;$B26,公表[班別+時段],公表[備勤3],""),$AX$9:$AX$25,$AY$9:$AY$25,"")</f>
        <v>0</v>
      </c>
      <c r="R26" s="87">
        <f>_xlfn.XLOOKUP(_xlfn.XLOOKUP($AS$6&amp;$B26,公表[班別+時段],公表[備勤4],""),$AX$9:$AX$25,$AY$9:$AY$25,"")</f>
        <v>0</v>
      </c>
      <c r="S26" s="87"/>
      <c r="T26" s="87">
        <f>_xlfn.XLOOKUP(_xlfn.XLOOKUP($AS$6&amp;$B26,公表[班別+時段],公表[備勤5],""),$AX$9:$AX$25,$AY$9:$AY$25,"")</f>
        <v>0</v>
      </c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87"/>
      <c r="AC26" s="87"/>
      <c r="AD26" s="87"/>
      <c r="AE26" s="88">
        <f>_xlfn.XLOOKUP(_xlfn.XLOOKUP($AS$6&amp;$B26,公表[班別+時段],公表[指揮官],""),$AX$9:$AX$25,$AY$9:$AY$25,"")</f>
        <v>1</v>
      </c>
      <c r="AF26" s="57" t="s">
        <v>289</v>
      </c>
      <c r="AG26" s="178" t="str" cm="1">
        <f t="array" ref="AG26">_xlfn.TEXTJOIN(".",1,_xlfn._xlws.FILTER($AO$9:$AO$40,$AQ$9:$AQ$40=$AF$26,""))</f>
        <v/>
      </c>
      <c r="AH26" s="168" t="s">
        <v>290</v>
      </c>
      <c r="AI26" s="179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/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27">
        <v>18</v>
      </c>
      <c r="AP26" s="127" t="str">
        <v>林志偉</v>
      </c>
      <c r="AQ26" s="127" t="str" cm="1">
        <f t="array" ref="AQ26">IFERROR(_xlfn.XLOOKUP(_xlfn.XLOOKUP($AQ$3,輪休基準表!$C$6:$C$36,_xlfn.XLOOKUP(AP26,輪休基準表!$E$5:$AF$5,輪休基準表!$E$6:$AF$36,""),""),班別參數!$A$4:$A$20,班別參數!$B$4:$B$20,""),"")</f>
        <v>輪休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/>
      </c>
      <c r="AT26" s="180" t="str">
        <f t="shared" si="0"/>
        <v/>
      </c>
      <c r="AU26" s="180" t="str">
        <f t="shared" si="1"/>
        <v/>
      </c>
      <c r="AV26" s="10"/>
      <c r="AW26" s="46"/>
      <c r="AX26" s="45"/>
      <c r="AY26" s="25"/>
      <c r="AZ26" s="28"/>
      <c r="BA26" s="33"/>
      <c r="BB26" s="25"/>
      <c r="BD26" s="127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0</v>
      </c>
      <c r="D27" s="95"/>
      <c r="E27" s="95"/>
      <c r="F27" s="95"/>
      <c r="G27" s="122" t="str">
        <f>IF(BC17="","",BC17)</f>
        <v/>
      </c>
      <c r="H27" s="37"/>
      <c r="I27" s="92">
        <f>_xlfn.XLOOKUP(_xlfn.XLOOKUP($AS$6&amp;$B27,公表[班別+時段],公表[救護1],""),$AX$9:$AX$25,$AY$9:$AY$25,"")</f>
        <v>0</v>
      </c>
      <c r="J27" s="92">
        <f>_xlfn.XLOOKUP(_xlfn.XLOOKUP($AS$6&amp;$B27,公表[班別+時段],公表[救護2],""),$AX$9:$AX$25,$AY$9:$AY$25,"")</f>
        <v>0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0</v>
      </c>
      <c r="O27" s="87">
        <f>_xlfn.XLOOKUP(_xlfn.XLOOKUP($AS$6&amp;$B27,公表[班別+時段],公表[備勤2],""),$AX$9:$AX$25,$AY$9:$AY$25,"")</f>
        <v>0</v>
      </c>
      <c r="P27" s="87"/>
      <c r="Q27" s="87">
        <f>_xlfn.XLOOKUP(_xlfn.XLOOKUP($AS$6&amp;$B27,公表[班別+時段],公表[備勤3],""),$AX$9:$AX$25,$AY$9:$AY$25,"")</f>
        <v>0</v>
      </c>
      <c r="R27" s="87">
        <f>_xlfn.XLOOKUP(_xlfn.XLOOKUP($AS$6&amp;$B27,公表[班別+時段],公表[備勤4],""),$AX$9:$AX$25,$AY$9:$AY$25,"")</f>
        <v>0</v>
      </c>
      <c r="S27" s="87"/>
      <c r="T27" s="87">
        <f>_xlfn.XLOOKUP(_xlfn.XLOOKUP($AS$6&amp;$B27,公表[班別+時段],公表[備勤5],""),$AX$9:$AX$25,$AY$9:$AY$25,"")</f>
        <v>0</v>
      </c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87"/>
      <c r="AC27" s="87"/>
      <c r="AD27" s="87"/>
      <c r="AE27" s="88">
        <f>_xlfn.XLOOKUP(_xlfn.XLOOKUP($AS$6&amp;$B27,公表[班別+時段],公表[指揮官],""),$AX$9:$AX$25,$AY$9:$AY$25,"")</f>
        <v>1</v>
      </c>
      <c r="AF27" s="317" t="s">
        <v>215</v>
      </c>
      <c r="AG27" s="319"/>
      <c r="AH27" s="321"/>
      <c r="AI27" s="321"/>
      <c r="AJ27" s="321"/>
      <c r="AK27" s="321"/>
      <c r="AL27" s="321"/>
      <c r="AM27" s="322"/>
      <c r="AN27" s="214"/>
      <c r="AO27" s="127">
        <v>19</v>
      </c>
      <c r="AP27" s="127" t="str">
        <v>劉家誠</v>
      </c>
      <c r="AQ27" s="127" t="str" cm="1">
        <f t="array" ref="AQ27">IFERROR(_xlfn.XLOOKUP(_xlfn.XLOOKUP($AQ$3,輪休基準表!$C$6:$C$36,_xlfn.XLOOKUP(AP27,輪休基準表!$E$5:$AF$5,輪休基準表!$E$6:$AF$36,""),""),班別參數!$A$4:$A$20,班別參數!$B$4:$B$20,""),"")</f>
        <v>輪休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/>
      </c>
      <c r="AT27" s="180" t="str">
        <f t="shared" si="0"/>
        <v/>
      </c>
      <c r="AU27" s="180" t="str">
        <f t="shared" si="1"/>
        <v/>
      </c>
      <c r="AV27" s="10"/>
      <c r="AW27" s="46"/>
      <c r="AX27" s="45"/>
      <c r="AY27" s="25"/>
      <c r="AZ27" s="28"/>
      <c r="BA27" s="33"/>
      <c r="BB27" s="25"/>
      <c r="BD27" s="127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0</v>
      </c>
      <c r="D28" s="95"/>
      <c r="E28" s="95"/>
      <c r="F28" s="95"/>
      <c r="G28" s="122" t="str">
        <f>IF(BC18="","",BC18)</f>
        <v/>
      </c>
      <c r="H28" s="37"/>
      <c r="I28" s="92">
        <f>_xlfn.XLOOKUP(_xlfn.XLOOKUP($AS$6&amp;$B28,公表[班別+時段],公表[救護1],""),$AX$9:$AX$25,$AY$9:$AY$25,"")</f>
        <v>0</v>
      </c>
      <c r="J28" s="92">
        <f>_xlfn.XLOOKUP(_xlfn.XLOOKUP($AS$6&amp;$B28,公表[班別+時段],公表[救護2],""),$AX$9:$AX$25,$AY$9:$AY$25,"")</f>
        <v>0</v>
      </c>
      <c r="K28" s="87"/>
      <c r="L28" s="87" t="s">
        <v>212</v>
      </c>
      <c r="M28" s="312"/>
      <c r="N28" s="87">
        <f>_xlfn.XLOOKUP(_xlfn.XLOOKUP($AS$6&amp;$B28,公表[班別+時段],公表[備勤1],""),$AX$9:$AX$25,$AY$9:$AY$25,"")</f>
        <v>0</v>
      </c>
      <c r="O28" s="87">
        <f>_xlfn.XLOOKUP(_xlfn.XLOOKUP($AS$6&amp;$B28,公表[班別+時段],公表[備勤2],""),$AX$9:$AX$25,$AY$9:$AY$25,"")</f>
        <v>0</v>
      </c>
      <c r="P28" s="87"/>
      <c r="Q28" s="87">
        <f>_xlfn.XLOOKUP(_xlfn.XLOOKUP($AS$6&amp;$B28,公表[班別+時段],公表[備勤3],""),$AX$9:$AX$25,$AY$9:$AY$25,"")</f>
        <v>0</v>
      </c>
      <c r="R28" s="87">
        <f>_xlfn.XLOOKUP(_xlfn.XLOOKUP($AS$6&amp;$B28,公表[班別+時段],公表[備勤4],""),$AX$9:$AX$25,$AY$9:$AY$25,"")</f>
        <v>0</v>
      </c>
      <c r="S28" s="87"/>
      <c r="T28" s="87">
        <f>_xlfn.XLOOKUP(_xlfn.XLOOKUP($AS$6&amp;$B28,公表[班別+時段],公表[備勤5],""),$AX$9:$AX$25,$AY$9:$AY$25,"")</f>
        <v>0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87"/>
      <c r="AC28" s="87"/>
      <c r="AD28" s="87"/>
      <c r="AE28" s="88">
        <f>_xlfn.XLOOKUP(_xlfn.XLOOKUP($AS$6&amp;$B28,公表[班別+時段],公表[指揮官],""),$AX$9:$AX$25,$AY$9:$AY$25,"")</f>
        <v>1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27">
        <v>20</v>
      </c>
      <c r="AP28" s="127" t="str">
        <v>呂奇霈</v>
      </c>
      <c r="AQ28" s="127" t="str" cm="1">
        <f t="array" ref="AQ28">IFERROR(_xlfn.XLOOKUP(_xlfn.XLOOKUP($AQ$3,輪休基準表!$C$6:$C$36,_xlfn.XLOOKUP(AP28,輪休基準表!$E$5:$AF$5,輪休基準表!$E$6:$AF$36,""),""),班別參數!$A$4:$A$20,班別參數!$B$4:$B$20,""),"")</f>
        <v>輪休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27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0</v>
      </c>
      <c r="D29" s="95"/>
      <c r="E29" s="95"/>
      <c r="F29" s="95"/>
      <c r="G29" s="122" t="str">
        <f>IF(BC18="","",BC18)</f>
        <v/>
      </c>
      <c r="H29" s="37"/>
      <c r="I29" s="92">
        <f>_xlfn.XLOOKUP(_xlfn.XLOOKUP($AS$6&amp;$B29,公表[班別+時段],公表[救護1],""),$AX$9:$AX$25,$AY$9:$AY$25,"")</f>
        <v>0</v>
      </c>
      <c r="J29" s="92">
        <f>_xlfn.XLOOKUP(_xlfn.XLOOKUP($AS$6&amp;$B29,公表[班別+時段],公表[救護2],""),$AX$9:$AX$25,$AY$9:$AY$25,"")</f>
        <v>0</v>
      </c>
      <c r="K29" s="87"/>
      <c r="L29" s="87" t="s">
        <v>212</v>
      </c>
      <c r="M29" s="312"/>
      <c r="N29" s="87">
        <f>_xlfn.XLOOKUP(_xlfn.XLOOKUP($AS$6&amp;$B29,公表[班別+時段],公表[備勤1],""),$AX$9:$AX$25,$AY$9:$AY$25,"")</f>
        <v>0</v>
      </c>
      <c r="O29" s="87">
        <f>_xlfn.XLOOKUP(_xlfn.XLOOKUP($AS$6&amp;$B29,公表[班別+時段],公表[備勤2],""),$AX$9:$AX$25,$AY$9:$AY$25,"")</f>
        <v>0</v>
      </c>
      <c r="P29" s="87"/>
      <c r="Q29" s="87">
        <f>_xlfn.XLOOKUP(_xlfn.XLOOKUP($AS$6&amp;$B29,公表[班別+時段],公表[備勤3],""),$AX$9:$AX$25,$AY$9:$AY$25,"")</f>
        <v>0</v>
      </c>
      <c r="R29" s="87">
        <f>_xlfn.XLOOKUP(_xlfn.XLOOKUP($AS$6&amp;$B29,公表[班別+時段],公表[備勤4],""),$AX$9:$AX$25,$AY$9:$AY$25,"")</f>
        <v>0</v>
      </c>
      <c r="S29" s="87"/>
      <c r="T29" s="87">
        <f>_xlfn.XLOOKUP(_xlfn.XLOOKUP($AS$6&amp;$B29,公表[班別+時段],公表[備勤5],""),$AX$9:$AX$25,$AY$9:$AY$25,"")</f>
        <v>0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87"/>
      <c r="AC29" s="87"/>
      <c r="AD29" s="87"/>
      <c r="AE29" s="88">
        <f>_xlfn.XLOOKUP(_xlfn.XLOOKUP($AS$6&amp;$B29,公表[班別+時段],公表[指揮官],""),$AX$9:$AX$25,$AY$9:$AY$25,"")</f>
        <v>1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27">
        <v>21</v>
      </c>
      <c r="AP29" s="127" t="str">
        <v>張家和</v>
      </c>
      <c r="AQ29" s="127" t="str" cm="1">
        <f t="array" ref="AQ29">IFERROR(_xlfn.XLOOKUP(_xlfn.XLOOKUP($AQ$3,輪休基準表!$C$6:$C$36,_xlfn.XLOOKUP(AP29,輪休基準表!$E$5:$AF$5,輪休基準表!$E$6:$AF$36,""),""),班別參數!$A$4:$A$20,班別參數!$B$4:$B$20,""),"")</f>
        <v>上班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>未排</v>
      </c>
      <c r="AT29" s="180" t="str">
        <f t="shared" si="0"/>
        <v/>
      </c>
      <c r="AU29" s="180" t="str">
        <f t="shared" si="1"/>
        <v/>
      </c>
      <c r="AV29" s="10"/>
      <c r="AW29" s="47"/>
      <c r="AX29" s="45"/>
      <c r="AY29" s="25"/>
      <c r="AZ29" s="28"/>
      <c r="BA29" s="33"/>
      <c r="BB29" s="25"/>
      <c r="BD29" s="127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0</v>
      </c>
      <c r="D30" s="95"/>
      <c r="E30" s="95"/>
      <c r="F30" s="95"/>
      <c r="G30" s="122" t="str">
        <f>IF(BC19="","",BC19)</f>
        <v/>
      </c>
      <c r="H30" s="37"/>
      <c r="I30" s="92">
        <f>_xlfn.XLOOKUP(_xlfn.XLOOKUP($AS$6&amp;$B30,公表[班別+時段],公表[救護1],""),$AX$9:$AX$25,$AY$9:$AY$25,"")</f>
        <v>0</v>
      </c>
      <c r="J30" s="92">
        <f>_xlfn.XLOOKUP(_xlfn.XLOOKUP($AS$6&amp;$B30,公表[班別+時段],公表[救護2],""),$AX$9:$AX$25,$AY$9:$AY$25,"")</f>
        <v>0</v>
      </c>
      <c r="K30" s="87"/>
      <c r="L30" s="87" t="s">
        <v>212</v>
      </c>
      <c r="M30" s="312"/>
      <c r="N30" s="87">
        <f>_xlfn.XLOOKUP(_xlfn.XLOOKUP($AS$6&amp;$B30,公表[班別+時段],公表[備勤1],""),$AX$9:$AX$25,$AY$9:$AY$25,"")</f>
        <v>0</v>
      </c>
      <c r="O30" s="87">
        <f>_xlfn.XLOOKUP(_xlfn.XLOOKUP($AS$6&amp;$B30,公表[班別+時段],公表[備勤2],""),$AX$9:$AX$25,$AY$9:$AY$25,"")</f>
        <v>0</v>
      </c>
      <c r="P30" s="87"/>
      <c r="Q30" s="87">
        <f>_xlfn.XLOOKUP(_xlfn.XLOOKUP($AS$6&amp;$B30,公表[班別+時段],公表[備勤3],""),$AX$9:$AX$25,$AY$9:$AY$25,"")</f>
        <v>0</v>
      </c>
      <c r="R30" s="87">
        <f>_xlfn.XLOOKUP(_xlfn.XLOOKUP($AS$6&amp;$B30,公表[班別+時段],公表[備勤4],""),$AX$9:$AX$25,$AY$9:$AY$25,"")</f>
        <v>0</v>
      </c>
      <c r="S30" s="87"/>
      <c r="T30" s="87">
        <f>_xlfn.XLOOKUP(_xlfn.XLOOKUP($AS$6&amp;$B30,公表[班別+時段],公表[備勤5],""),$AX$9:$AX$25,$AY$9:$AY$25,"")</f>
        <v>0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87"/>
      <c r="AC30" s="87"/>
      <c r="AD30" s="87"/>
      <c r="AE30" s="88">
        <f>_xlfn.XLOOKUP(_xlfn.XLOOKUP($AS$6&amp;$B30,公表[班別+時段],公表[指揮官],""),$AX$9:$AX$25,$AY$9:$AY$25,"")</f>
        <v>1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27">
        <v>22</v>
      </c>
      <c r="AP30" s="127" t="str">
        <v>陳俊瑋</v>
      </c>
      <c r="AQ30" s="127" t="str" cm="1">
        <f t="array" ref="AQ30">IFERROR(_xlfn.XLOOKUP(_xlfn.XLOOKUP($AQ$3,輪休基準表!$C$6:$C$36,_xlfn.XLOOKUP(AP30,輪休基準表!$E$5:$AF$5,輪休基準表!$E$6:$AF$36,""),""),班別參數!$A$4:$A$20,班別參數!$B$4:$B$20,""),"")</f>
        <v>輪休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27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0</v>
      </c>
      <c r="D31" s="106"/>
      <c r="E31" s="96"/>
      <c r="F31" s="96"/>
      <c r="G31" s="123" t="str">
        <f>IF(BC19="","",BC19)</f>
        <v/>
      </c>
      <c r="H31" s="109"/>
      <c r="I31" s="216">
        <f>_xlfn.XLOOKUP(_xlfn.XLOOKUP($AS$6&amp;$B31,公表[班別+時段],公表[救護1],""),$AX$9:$AX$25,$AY$9:$AY$25,"")</f>
        <v>0</v>
      </c>
      <c r="J31" s="216">
        <f>_xlfn.XLOOKUP(_xlfn.XLOOKUP($AS$6&amp;$B31,公表[班別+時段],公表[救護2],""),$AX$9:$AX$25,$AY$9:$AY$25,"")</f>
        <v>0</v>
      </c>
      <c r="K31" s="108"/>
      <c r="L31" s="93" t="s">
        <v>212</v>
      </c>
      <c r="M31" s="312"/>
      <c r="N31" s="89">
        <f>_xlfn.XLOOKUP(_xlfn.XLOOKUP($AS$6&amp;$B31,公表[班別+時段],公表[備勤1],""),$AX$9:$AX$25,$AY$9:$AY$25,"")</f>
        <v>0</v>
      </c>
      <c r="O31" s="89">
        <f>_xlfn.XLOOKUP(_xlfn.XLOOKUP($AS$6&amp;$B31,公表[班別+時段],公表[備勤2],""),$AX$9:$AX$25,$AY$9:$AY$25,"")</f>
        <v>0</v>
      </c>
      <c r="P31" s="89"/>
      <c r="Q31" s="89">
        <f>_xlfn.XLOOKUP(_xlfn.XLOOKUP($AS$6&amp;$B31,公表[班別+時段],公表[備勤3],""),$AX$9:$AX$25,$AY$9:$AY$25,"")</f>
        <v>0</v>
      </c>
      <c r="R31" s="89">
        <f>_xlfn.XLOOKUP(_xlfn.XLOOKUP($AS$6&amp;$B31,公表[班別+時段],公表[備勤4],""),$AX$9:$AX$25,$AY$9:$AY$25,"")</f>
        <v>0</v>
      </c>
      <c r="S31" s="89"/>
      <c r="T31" s="89">
        <f>_xlfn.XLOOKUP(_xlfn.XLOOKUP($AS$6&amp;$B31,公表[班別+時段],公表[備勤5],""),$AX$9:$AX$25,$AY$9:$AY$25,"")</f>
        <v>0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89"/>
      <c r="AC31" s="89"/>
      <c r="AD31" s="89"/>
      <c r="AE31" s="104">
        <f>_xlfn.XLOOKUP(_xlfn.XLOOKUP($AS$6&amp;$B31,公表[班別+時段],公表[指揮官],""),$AX$9:$AX$25,$AY$9:$AY$25,"")</f>
        <v>1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27">
        <v>23</v>
      </c>
      <c r="AP31" s="127" t="str">
        <v>陳俊翰</v>
      </c>
      <c r="AQ31" s="127" t="str" cm="1">
        <f t="array" ref="AQ31">IFERROR(_xlfn.XLOOKUP(_xlfn.XLOOKUP($AQ$3,輪休基準表!$C$6:$C$36,_xlfn.XLOOKUP(AP31,輪休基準表!$E$5:$AF$5,輪休基準表!$E$6:$AF$36,""),""),班別參數!$A$4:$A$20,班別參數!$B$4:$B$20,""),"")</f>
        <v>輪休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/>
      </c>
      <c r="AT31" s="180" t="str">
        <f t="shared" si="0"/>
        <v/>
      </c>
      <c r="AU31" s="180" t="str">
        <f t="shared" si="1"/>
        <v/>
      </c>
      <c r="AW31" s="47"/>
      <c r="AX31" s="45"/>
      <c r="AY31" s="25"/>
      <c r="AZ31" s="28"/>
      <c r="BA31" s="33"/>
      <c r="BB31" s="25"/>
      <c r="BD31" s="127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0</v>
      </c>
      <c r="D32" s="97"/>
      <c r="E32" s="97"/>
      <c r="F32" s="97"/>
      <c r="G32" s="121" t="str">
        <f>IF(BC20="","",BC20)</f>
        <v/>
      </c>
      <c r="H32" s="56"/>
      <c r="I32" s="94">
        <f>_xlfn.XLOOKUP(_xlfn.XLOOKUP($AS$6&amp;$B32,公表[班別+時段],公表[救護1],""),$AX$9:$AX$25,$AY$9:$AY$25,"")</f>
        <v>0</v>
      </c>
      <c r="J32" s="94">
        <f>_xlfn.XLOOKUP(_xlfn.XLOOKUP($AS$6&amp;$B32,公表[班別+時段],公表[救護2],""),$AX$9:$AX$25,$AY$9:$AY$25,"")</f>
        <v>0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0</v>
      </c>
      <c r="O32" s="90">
        <f>_xlfn.XLOOKUP(_xlfn.XLOOKUP($AS$6&amp;$B32,公表[班別+時段],公表[備勤2],""),$AX$9:$AX$25,$AY$9:$AY$25,"")</f>
        <v>0</v>
      </c>
      <c r="P32" s="90"/>
      <c r="Q32" s="90">
        <f>_xlfn.XLOOKUP(_xlfn.XLOOKUP($AS$6&amp;$B32,公表[班別+時段],公表[備勤3],""),$AX$9:$AX$25,$AY$9:$AY$25,"")</f>
        <v>0</v>
      </c>
      <c r="R32" s="90">
        <f>_xlfn.XLOOKUP(_xlfn.XLOOKUP($AS$6&amp;$B32,公表[班別+時段],公表[備勤4],""),$AX$9:$AX$25,$AY$9:$AY$25,"")</f>
        <v>0</v>
      </c>
      <c r="S32" s="90"/>
      <c r="T32" s="90">
        <f>_xlfn.XLOOKUP(_xlfn.XLOOKUP($AS$6&amp;$B32,公表[班別+時段],公表[備勤5],""),$AX$9:$AX$25,$AY$9:$AY$25,"")</f>
        <v>0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90"/>
      <c r="AC32" s="90"/>
      <c r="AD32" s="90"/>
      <c r="AE32" s="91">
        <f>_xlfn.XLOOKUP(_xlfn.XLOOKUP($AS$6&amp;$B32,公表[班別+時段],公表[指揮官],""),$AX$9:$AX$25,$AY$9:$AY$25,"")</f>
        <v>1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27">
        <v>24</v>
      </c>
      <c r="AP32" s="127" t="str">
        <v>賴俊豪</v>
      </c>
      <c r="AQ32" s="127" t="str" cm="1">
        <f t="array" ref="AQ32">IFERROR(_xlfn.XLOOKUP(_xlfn.XLOOKUP($AQ$3,輪休基準表!$C$6:$C$36,_xlfn.XLOOKUP(AP32,輪休基準表!$E$5:$AF$5,輪休基準表!$E$6:$AF$36,""),""),班別參數!$A$4:$A$20,班別參數!$B$4:$B$20,""),"")</f>
        <v>上班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>未排</v>
      </c>
      <c r="AT32" s="180" t="str">
        <f t="shared" si="0"/>
        <v/>
      </c>
      <c r="AU32" s="180" t="str">
        <f t="shared" si="1"/>
        <v/>
      </c>
      <c r="AW32" s="47"/>
      <c r="AX32" s="45"/>
      <c r="AY32" s="25"/>
      <c r="AZ32" s="28"/>
      <c r="BA32" s="33"/>
      <c r="BB32" s="25"/>
      <c r="BD32" s="127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0</v>
      </c>
      <c r="D33" s="95"/>
      <c r="E33" s="95"/>
      <c r="F33" s="95"/>
      <c r="G33" s="122" t="str">
        <f>IF(BC20="","",BC20)</f>
        <v/>
      </c>
      <c r="H33" s="48"/>
      <c r="I33" s="92">
        <f>_xlfn.XLOOKUP(_xlfn.XLOOKUP($AS$6&amp;$B33,公表[班別+時段],公表[救護1],""),$AX$9:$AX$25,$AY$9:$AY$25,"")</f>
        <v>0</v>
      </c>
      <c r="J33" s="92">
        <f>_xlfn.XLOOKUP(_xlfn.XLOOKUP($AS$6&amp;$B33,公表[班別+時段],公表[救護2],""),$AX$9:$AX$25,$AY$9:$AY$25,"")</f>
        <v>0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0</v>
      </c>
      <c r="O33" s="87">
        <f>_xlfn.XLOOKUP(_xlfn.XLOOKUP($AS$6&amp;$B33,公表[班別+時段],公表[備勤2],""),$AX$9:$AX$25,$AY$9:$AY$25,"")</f>
        <v>0</v>
      </c>
      <c r="P33" s="87"/>
      <c r="Q33" s="87">
        <f>_xlfn.XLOOKUP(_xlfn.XLOOKUP($AS$6&amp;$B33,公表[班別+時段],公表[備勤3],""),$AX$9:$AX$25,$AY$9:$AY$25,"")</f>
        <v>0</v>
      </c>
      <c r="R33" s="87">
        <f>_xlfn.XLOOKUP(_xlfn.XLOOKUP($AS$6&amp;$B33,公表[班別+時段],公表[備勤4],""),$AX$9:$AX$25,$AY$9:$AY$25,"")</f>
        <v>0</v>
      </c>
      <c r="S33" s="87"/>
      <c r="T33" s="87">
        <f>_xlfn.XLOOKUP(_xlfn.XLOOKUP($AS$6&amp;$B33,公表[班別+時段],公表[備勤5],""),$AX$9:$AX$25,$AY$9:$AY$25,"")</f>
        <v>0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87"/>
      <c r="AC33" s="87"/>
      <c r="AD33" s="87"/>
      <c r="AE33" s="88">
        <f>_xlfn.XLOOKUP(_xlfn.XLOOKUP($AS$6&amp;$B33,公表[班別+時段],公表[指揮官],""),$AX$9:$AX$25,$AY$9:$AY$25,"")</f>
        <v>1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27">
        <v>25</v>
      </c>
      <c r="AP33" s="127" t="str">
        <v>郭國偵</v>
      </c>
      <c r="AQ33" s="127" t="str" cm="1">
        <f t="array" ref="AQ33">IFERROR(_xlfn.XLOOKUP(_xlfn.XLOOKUP($AQ$3,輪休基準表!$C$6:$C$36,_xlfn.XLOOKUP(AP33,輪休基準表!$E$5:$AF$5,輪休基準表!$E$6:$AF$36,""),""),班別參數!$A$4:$A$20,班別參數!$B$4:$B$20,""),"")</f>
        <v>輪休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/>
      </c>
      <c r="AT33" s="180" t="str">
        <f t="shared" si="0"/>
        <v/>
      </c>
      <c r="AU33" s="180" t="str">
        <f t="shared" si="1"/>
        <v/>
      </c>
      <c r="AW33" s="47"/>
      <c r="AX33" s="45"/>
      <c r="AY33" s="25"/>
      <c r="AZ33" s="28"/>
      <c r="BA33" s="25"/>
      <c r="BB33" s="25"/>
      <c r="BD33" s="127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一、本日主管上班。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27">
        <v>26</v>
      </c>
      <c r="AP34" s="127" t="str">
        <v>楊紹文</v>
      </c>
      <c r="AQ34" s="127" t="str" cm="1">
        <f t="array" ref="AQ34">IFERROR(_xlfn.XLOOKUP(_xlfn.XLOOKUP($AQ$3,輪休基準表!$C$6:$C$36,_xlfn.XLOOKUP(AP34,輪休基準表!$E$5:$AF$5,輪休基準表!$E$6:$AF$36,""),""),班別參數!$A$4:$A$20,班別參數!$B$4:$B$20,""),"")</f>
        <v>輪休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/>
      </c>
      <c r="AT34" s="180" t="str">
        <f t="shared" si="0"/>
        <v/>
      </c>
      <c r="AU34" s="180" t="str">
        <f t="shared" si="1"/>
        <v/>
      </c>
      <c r="AW34" s="47"/>
      <c r="AX34" s="45"/>
      <c r="AY34" s="25"/>
      <c r="AZ34" s="28"/>
      <c r="BA34" s="25"/>
      <c r="BB34" s="25"/>
      <c r="BD34" s="127"/>
    </row>
    <row r="35" spans="2:56" ht="30" customHeight="1">
      <c r="B35" s="349"/>
      <c r="C35" s="359" t="str">
        <f>CONCATENATE("二、在隊訓練:09-12時:",H11,";14-17時:",H16,";19-21時:",H21,"。")</f>
        <v>二、在隊訓練:09-12時:破壞器材操作;14-17時:入室搜救;19-21時:五用氣體檢知器及CO探測器。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27">
        <v>27</v>
      </c>
      <c r="AP35" s="127" t="str">
        <v>林宏為</v>
      </c>
      <c r="AQ35" s="127" t="str" cm="1">
        <f t="array" ref="AQ35">IFERROR(_xlfn.XLOOKUP(_xlfn.XLOOKUP($AQ$3,輪休基準表!$C$6:$C$36,_xlfn.XLOOKUP(AP35,輪休基準表!$E$5:$AF$5,輪休基準表!$E$6:$AF$36,""),""),班別參數!$A$4:$A$20,班別參數!$B$4:$B$20,""),"")</f>
        <v>上班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>未排</v>
      </c>
      <c r="AT35" s="180" t="str">
        <f t="shared" si="0"/>
        <v/>
      </c>
      <c r="AU35" s="180" t="str">
        <f t="shared" si="1"/>
        <v/>
      </c>
      <c r="AW35" s="47"/>
      <c r="AX35" s="45"/>
      <c r="AY35" s="25"/>
      <c r="AZ35" s="28"/>
      <c r="BA35" s="25"/>
      <c r="BB35" s="25"/>
      <c r="BD35" s="127"/>
    </row>
    <row r="36" spans="2:56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27">
        <v>28</v>
      </c>
      <c r="AP36" s="127" t="str">
        <v>林宸彥</v>
      </c>
      <c r="AQ36" s="127" t="str" cm="1">
        <f t="array" ref="AQ36">IFERROR(_xlfn.XLOOKUP(_xlfn.XLOOKUP($AQ$3,輪休基準表!$C$6:$C$36,_xlfn.XLOOKUP(AP36,輪休基準表!$E$5:$AF$5,輪休基準表!$E$6:$AF$36,""),""),班別參數!$A$4:$A$20,班別參數!$B$4:$B$20,""),"")</f>
        <v>輪休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/>
      </c>
      <c r="AT36" s="180" t="str">
        <f t="shared" si="0"/>
        <v/>
      </c>
      <c r="AU36" s="180" t="str">
        <f t="shared" si="1"/>
        <v/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27"/>
      <c r="AP37" s="127"/>
      <c r="AQ37" s="127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27"/>
      <c r="BD37" s="10"/>
    </row>
    <row r="38" spans="2:56" ht="15" customHeight="1">
      <c r="AQ38" s="127"/>
      <c r="AR38" s="118"/>
      <c r="AS38" s="119"/>
      <c r="AT38" s="119"/>
    </row>
    <row r="39" spans="2:56" ht="15" customHeight="1">
      <c r="AR39" s="118"/>
      <c r="AS39" s="119"/>
      <c r="AT39" s="119"/>
    </row>
    <row r="40" spans="2:56" ht="15" customHeight="1">
      <c r="AR40" s="118"/>
      <c r="AS40" s="119"/>
      <c r="AT40" s="119"/>
    </row>
  </sheetData>
  <mergeCells count="71">
    <mergeCell ref="AG22:AK22"/>
    <mergeCell ref="AG23:AM23"/>
    <mergeCell ref="AG24:AI24"/>
    <mergeCell ref="AK24:AM24"/>
    <mergeCell ref="AF33:AG33"/>
    <mergeCell ref="AH33:AI33"/>
    <mergeCell ref="AJ33:AK33"/>
    <mergeCell ref="AF31:AG31"/>
    <mergeCell ref="AH31:AI31"/>
    <mergeCell ref="AJ31:AK31"/>
    <mergeCell ref="AF32:AG32"/>
    <mergeCell ref="AH32:AI32"/>
    <mergeCell ref="AJ32:AK32"/>
    <mergeCell ref="AF27:AF28"/>
    <mergeCell ref="AG27:AM27"/>
    <mergeCell ref="AG28:AM28"/>
    <mergeCell ref="B34:B36"/>
    <mergeCell ref="C34:AE34"/>
    <mergeCell ref="AF34:AM34"/>
    <mergeCell ref="C35:AE35"/>
    <mergeCell ref="AF35:AM35"/>
    <mergeCell ref="C36:AE36"/>
    <mergeCell ref="AF36:AM36"/>
    <mergeCell ref="AF29:AM29"/>
    <mergeCell ref="AF30:AG30"/>
    <mergeCell ref="AH30:AI30"/>
    <mergeCell ref="AJ30:AK30"/>
    <mergeCell ref="AG25:AI25"/>
    <mergeCell ref="AK25:AM25"/>
    <mergeCell ref="C8:AE8"/>
    <mergeCell ref="C9:AE9"/>
    <mergeCell ref="M10:M33"/>
    <mergeCell ref="H11:H13"/>
    <mergeCell ref="H16:H18"/>
    <mergeCell ref="H21:H22"/>
    <mergeCell ref="I6:J6"/>
    <mergeCell ref="K6:L6"/>
    <mergeCell ref="N6:P6"/>
    <mergeCell ref="Q6:S6"/>
    <mergeCell ref="T6:V6"/>
    <mergeCell ref="AF5:AM6"/>
    <mergeCell ref="AO5:AO6"/>
    <mergeCell ref="T7:V7"/>
    <mergeCell ref="AR5:AR6"/>
    <mergeCell ref="AS5:AT5"/>
    <mergeCell ref="W6:Y6"/>
    <mergeCell ref="AE6:AE7"/>
    <mergeCell ref="AS6:AT6"/>
    <mergeCell ref="AP5:AQ6"/>
    <mergeCell ref="G5:G7"/>
    <mergeCell ref="B3:AM3"/>
    <mergeCell ref="AW3:AX3"/>
    <mergeCell ref="AY3:BB3"/>
    <mergeCell ref="B4:AI4"/>
    <mergeCell ref="AJ4:AM4"/>
    <mergeCell ref="AW4:AX4"/>
    <mergeCell ref="AY4:BB4"/>
    <mergeCell ref="B5:B7"/>
    <mergeCell ref="C5:C7"/>
    <mergeCell ref="D5:D7"/>
    <mergeCell ref="E5:E7"/>
    <mergeCell ref="F5:F7"/>
    <mergeCell ref="H5:H7"/>
    <mergeCell ref="I5:L5"/>
    <mergeCell ref="M5:AE5"/>
    <mergeCell ref="AY2:BB2"/>
    <mergeCell ref="B1:AE1"/>
    <mergeCell ref="AP1:AQ1"/>
    <mergeCell ref="B2:AE2"/>
    <mergeCell ref="AG2:AM2"/>
    <mergeCell ref="AW2:AX2"/>
  </mergeCells>
  <phoneticPr fontId="9" type="noConversion"/>
  <conditionalFormatting sqref="AO9:AQ36 AO37:AP37 AQ37:AQ38">
    <cfRule type="expression" dxfId="56" priority="16">
      <formula>COUNTIF($AQ9,"上班")&gt;=1</formula>
    </cfRule>
  </conditionalFormatting>
  <conditionalFormatting sqref="AF8:AF13 AH8:AH21 AJ8:AJ21 AL8:AM21">
    <cfRule type="expression" dxfId="55" priority="11">
      <formula>OR(VLOOKUP(AF8,$AO$9:$AQ$40,3,0)="上班",VLOOKUP(AF8,$AO$9:$AQ$40,3,0)="外宿")</formula>
    </cfRule>
  </conditionalFormatting>
  <conditionalFormatting sqref="AL8">
    <cfRule type="expression" dxfId="54" priority="10">
      <formula>OR(VLOOKUP(AL8,$AO$9:$AQ$36,3,0)="上班",VLOOKUP(AL8,$AO$9:$AQ$36,3,0)="外宿")</formula>
    </cfRule>
  </conditionalFormatting>
  <conditionalFormatting sqref="AR9:AR36">
    <cfRule type="notContainsText" dxfId="53" priority="2" operator="notContains" text="已排">
      <formula>ISERROR(SEARCH("已排",AR9))</formula>
    </cfRule>
  </conditionalFormatting>
  <conditionalFormatting sqref="AS9:AS36">
    <cfRule type="notContainsText" dxfId="52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5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01498-2DAA-489C-A267-A5EDF3A453BD}">
  <sheetPr codeName="工作表28">
    <pageSetUpPr fitToPage="1"/>
  </sheetPr>
  <dimension ref="B1:BD40"/>
  <sheetViews>
    <sheetView showZeros="0" view="pageBreakPreview" zoomScale="55" zoomScaleNormal="55" zoomScaleSheetLayoutView="55" workbookViewId="0">
      <selection activeCell="I6" sqref="I6:V7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6" width="5.375" style="126" customWidth="1"/>
    <col min="7" max="8" width="8.625" style="126" customWidth="1"/>
    <col min="9" max="12" width="5.375" style="126" customWidth="1"/>
    <col min="13" max="13" width="6.625" style="126" customWidth="1"/>
    <col min="14" max="31" width="5.375" style="126" customWidth="1"/>
    <col min="32" max="32" width="7.625" style="126" customWidth="1"/>
    <col min="33" max="33" width="10.625" style="126" customWidth="1"/>
    <col min="34" max="34" width="7.625" style="126" customWidth="1"/>
    <col min="35" max="35" width="10.625" style="126" customWidth="1"/>
    <col min="36" max="36" width="7.625" style="126" customWidth="1"/>
    <col min="37" max="37" width="10.625" style="126" customWidth="1"/>
    <col min="38" max="38" width="7.625" style="126" customWidth="1"/>
    <col min="39" max="39" width="10.625" style="126" customWidth="1"/>
    <col min="40" max="40" width="4.125" style="213" customWidth="1"/>
    <col min="41" max="47" width="11.625" style="126" customWidth="1"/>
    <col min="48" max="48" width="4.125" style="126" customWidth="1"/>
    <col min="49" max="49" width="16" style="126" customWidth="1"/>
    <col min="50" max="51" width="8.25" style="126" customWidth="1"/>
    <col min="52" max="52" width="4.125" style="126" customWidth="1"/>
    <col min="53" max="53" width="16" style="126" customWidth="1"/>
    <col min="54" max="54" width="8.25" style="126" customWidth="1"/>
    <col min="55" max="55" width="10.875" style="126" customWidth="1"/>
    <col min="56" max="58" width="4.125" style="126" customWidth="1"/>
    <col min="59" max="16384" width="11.25" style="126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27"/>
      <c r="AP1" s="399"/>
      <c r="AQ1" s="399"/>
      <c r="AR1" s="127"/>
      <c r="AS1" s="127"/>
      <c r="AT1" s="127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3" t="s">
        <v>178</v>
      </c>
      <c r="AR2" s="146" t="s">
        <v>228</v>
      </c>
      <c r="AS2" s="142"/>
      <c r="AT2" s="140"/>
      <c r="AU2" s="127"/>
      <c r="AV2" s="127"/>
      <c r="AW2" s="362" t="s">
        <v>127</v>
      </c>
      <c r="AX2" s="287"/>
      <c r="AY2" s="367" t="str">
        <f>_xlfn.XLOOKUP($AR$3,訓練!$L$13:$L$19,訓練!$M$13:$M$19,"")</f>
        <v>車輛駕訓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115年5月24日星期日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24</v>
      </c>
      <c r="AR3" s="141" t="str">
        <f>RIGHT(TEXT(1911+$AO$3&amp;"/"&amp;$AP$3&amp;"/"&amp;$AQ$3,"aaaa"),1)</f>
        <v>日</v>
      </c>
      <c r="AS3" s="145"/>
      <c r="AT3" s="145"/>
      <c r="AU3" s="127"/>
      <c r="AV3" s="127"/>
      <c r="AW3" s="362" t="s">
        <v>128</v>
      </c>
      <c r="AX3" s="287"/>
      <c r="AY3" s="368" t="str">
        <f>_xlfn.XLOOKUP($AR$3,訓練!$L$13:$L$19,訓練!$N$13:$N$19,"")</f>
        <v>環境整理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27"/>
      <c r="AU4" s="127"/>
      <c r="AV4" s="127"/>
      <c r="AW4" s="362" t="s">
        <v>129</v>
      </c>
      <c r="AX4" s="287"/>
      <c r="AY4" s="363" t="str">
        <f>_xlfn.XLOOKUP($AR$3,訓練!$L$13:$L$19,訓練!$O$13:$O$19,"")</f>
        <v>器材車、化學(處理)車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2"/>
      <c r="E5" s="340"/>
      <c r="F5" s="340"/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341"/>
      <c r="E6" s="341"/>
      <c r="F6" s="341"/>
      <c r="G6" s="312"/>
      <c r="H6" s="312"/>
      <c r="I6" s="334" t="s">
        <v>227</v>
      </c>
      <c r="J6" s="335"/>
      <c r="K6" s="334" t="s">
        <v>346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2+7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341"/>
      <c r="E7" s="341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192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27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27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27" cm="1">
        <f t="array" ref="AO9:AP36">TRANSPOSE(輪休基準表!E4:AF5)</f>
        <v>1</v>
      </c>
      <c r="AP9" s="127" t="str">
        <v>鄧力嘉</v>
      </c>
      <c r="AQ9" s="127" t="str" cm="1">
        <f t="array" ref="AQ9">IFERROR(_xlfn.XLOOKUP(_xlfn.XLOOKUP($AQ$3,輪休基準表!$C$6:$C$36,_xlfn.XLOOKUP(AP9,輪休基準表!$E$5:$AF$5,輪休基準表!$E$6:$AF$36,""),""),班別參數!$A$4:$A$20,班別參數!$B$4:$B$20,""),"")</f>
        <v>輪休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/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 t="array" ref="AX9">IFERROR(INDEX(班別參數!$D$4:$S$20,MATCH(AW9,班別參數!$D$4:$D$20,0),MATCH($AS$6,班別參數!$D$4:$S$4,0)),"")</f>
        <v>A</v>
      </c>
      <c r="AY9" s="35"/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H,K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2</v>
      </c>
      <c r="BD9" s="127"/>
    </row>
    <row r="10" spans="2:56" ht="30" customHeight="1">
      <c r="B10" s="81" t="s">
        <v>70</v>
      </c>
      <c r="C10" s="87">
        <f>_xlfn.XLOOKUP(_xlfn.XLOOKUP($AS$6&amp;$B10,公表[班別+時段],公表[值班],""),$AX$9:$AX$25,$AY$9:$AY$25,"")</f>
        <v>0</v>
      </c>
      <c r="D10" s="95"/>
      <c r="E10" s="95"/>
      <c r="F10" s="95"/>
      <c r="G10" s="122" t="str">
        <f>IF(BC9="","",BC9)</f>
        <v>2</v>
      </c>
      <c r="H10" s="37"/>
      <c r="I10" s="92">
        <f>_xlfn.XLOOKUP(_xlfn.XLOOKUP($AS$6&amp;$B10,公表[班別+時段],公表[救護1],""),$AX$9:$AX$25,$AY$9:$AY$25,"")</f>
        <v>0</v>
      </c>
      <c r="J10" s="92">
        <f>_xlfn.XLOOKUP(_xlfn.XLOOKUP($AS$6&amp;$B10,公表[班別+時段],公表[救護2],""),$AX$9:$AX$25,$AY$9:$AY$25,"")</f>
        <v>0</v>
      </c>
      <c r="K10" s="87"/>
      <c r="L10" s="87" t="s">
        <v>212</v>
      </c>
      <c r="M10" s="311"/>
      <c r="N10" s="87">
        <f>_xlfn.XLOOKUP(_xlfn.XLOOKUP($AS$6&amp;$B10,公表[班別+時段],公表[備勤1],""),$AX$9:$AX$25,$AY$9:$AY$25,"")</f>
        <v>0</v>
      </c>
      <c r="O10" s="87">
        <f>_xlfn.XLOOKUP(_xlfn.XLOOKUP($AS$6&amp;$B10,公表[班別+時段],公表[備勤2],""),$AX$9:$AX$25,$AY$9:$AY$25,"")</f>
        <v>0</v>
      </c>
      <c r="P10" s="87"/>
      <c r="Q10" s="87">
        <f>_xlfn.XLOOKUP(_xlfn.XLOOKUP($AS$6&amp;$B10,公表[班別+時段],公表[備勤3],""),$AX$9:$AX$25,$AY$9:$AY$25,"")</f>
        <v>0</v>
      </c>
      <c r="R10" s="87">
        <f>_xlfn.XLOOKUP(_xlfn.XLOOKUP($AS$6&amp;$B10,公表[班別+時段],公表[備勤4],""),$AX$9:$AX$25,$AY$9:$AY$25,"")</f>
        <v>0</v>
      </c>
      <c r="S10" s="87"/>
      <c r="T10" s="87">
        <f>_xlfn.XLOOKUP(_xlfn.XLOOKUP($AS$6&amp;$B10,公表[班別+時段],公表[備勤5],""),$AX$9:$AX$25,$AY$9:$AY$25,"")</f>
        <v>0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87"/>
      <c r="AB10" s="87"/>
      <c r="AC10" s="87"/>
      <c r="AD10" s="87"/>
      <c r="AE10" s="88">
        <f>_xlfn.XLOOKUP(_xlfn.XLOOKUP($AS$6&amp;$B10,公表[班別+時段],公表[指揮官],""),$AX$9:$AX$25,$AY$9:$AY$25,"")</f>
        <v>4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27">
        <v>2</v>
      </c>
      <c r="AP10" s="127" t="str">
        <v>莊勝斌</v>
      </c>
      <c r="AQ10" s="127" t="str" cm="1">
        <f t="array" ref="AQ10">IFERROR(_xlfn.XLOOKUP(_xlfn.XLOOKUP($AQ$3,輪休基準表!$C$6:$C$36,_xlfn.XLOOKUP(AP10,輪休基準表!$E$5:$AF$5,輪休基準表!$E$6:$AF$36,""),""),班別參數!$A$4:$A$20,班別參數!$B$4:$B$20,""),"")</f>
        <v>上班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>已排</v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/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/>
      </c>
      <c r="BD10" s="127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0</v>
      </c>
      <c r="D11" s="95"/>
      <c r="E11" s="95"/>
      <c r="F11" s="95"/>
      <c r="G11" s="122" t="str">
        <f>IF(BC9="","",BC9)</f>
        <v>2</v>
      </c>
      <c r="H11" s="296" t="str">
        <f>AY2</f>
        <v>車輛駕訓</v>
      </c>
      <c r="I11" s="92">
        <f>_xlfn.XLOOKUP(_xlfn.XLOOKUP($AS$6&amp;$B11,公表[班別+時段],公表[救護1],""),$AX$9:$AX$25,$AY$9:$AY$25,"")</f>
        <v>0</v>
      </c>
      <c r="J11" s="92">
        <f>_xlfn.XLOOKUP(_xlfn.XLOOKUP($AS$6&amp;$B11,公表[班別+時段],公表[救護2],""),$AX$9:$AX$25,$AY$9:$AY$25,"")</f>
        <v>0</v>
      </c>
      <c r="K11" s="87"/>
      <c r="L11" s="87" t="s">
        <v>212</v>
      </c>
      <c r="M11" s="312"/>
      <c r="N11" s="87">
        <f>_xlfn.XLOOKUP(_xlfn.XLOOKUP($AS$6&amp;$B11,公表[班別+時段],公表[備勤1],""),$AX$9:$AX$25,$AY$9:$AY$25,"")</f>
        <v>0</v>
      </c>
      <c r="O11" s="87">
        <f>_xlfn.XLOOKUP(_xlfn.XLOOKUP($AS$6&amp;$B11,公表[班別+時段],公表[備勤2],""),$AX$9:$AX$25,$AY$9:$AY$25,"")</f>
        <v>0</v>
      </c>
      <c r="P11" s="87"/>
      <c r="Q11" s="87">
        <f>_xlfn.XLOOKUP(_xlfn.XLOOKUP($AS$6&amp;$B11,公表[班別+時段],公表[備勤3],""),$AX$9:$AX$25,$AY$9:$AY$25,"")</f>
        <v>0</v>
      </c>
      <c r="R11" s="87">
        <f>_xlfn.XLOOKUP(_xlfn.XLOOKUP($AS$6&amp;$B11,公表[班別+時段],公表[備勤4],""),$AX$9:$AX$25,$AY$9:$AY$25,"")</f>
        <v>0</v>
      </c>
      <c r="S11" s="87"/>
      <c r="T11" s="87">
        <f>_xlfn.XLOOKUP(_xlfn.XLOOKUP($AS$6&amp;$B11,公表[班別+時段],公表[備勤5],""),$AX$9:$AX$25,$AY$9:$AY$25,"")</f>
        <v>0</v>
      </c>
      <c r="U11" s="87">
        <f>_xlfn.XLOOKUP(_xlfn.XLOOKUP($AS$6&amp;$B11,公表[班別+時段],公表[備勤6],""),$AX$9:$AX$25,$AY$9:$AY$25,"")</f>
        <v>0</v>
      </c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87"/>
      <c r="AB11" s="87"/>
      <c r="AC11" s="87"/>
      <c r="AD11" s="87"/>
      <c r="AE11" s="88">
        <f>_xlfn.XLOOKUP(_xlfn.XLOOKUP($AS$6&amp;$B11,公表[班別+時段],公表[指揮官],""),$AX$9:$AX$25,$AY$9:$AY$25,"")</f>
        <v>4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27">
        <v>3</v>
      </c>
      <c r="AP11" s="127" t="str">
        <v>孫子翔</v>
      </c>
      <c r="AQ11" s="127" t="str" cm="1">
        <f t="array" ref="AQ11">IFERROR(_xlfn.XLOOKUP(_xlfn.XLOOKUP($AQ$3,輪休基準表!$C$6:$C$36,_xlfn.XLOOKUP(AP11,輪休基準表!$E$5:$AF$5,輪休基準表!$E$6:$AF$36,""),""),班別參數!$A$4:$A$20,班別參數!$B$4:$B$20,""),"")</f>
        <v>輪休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/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/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F</v>
      </c>
      <c r="BC11" s="39" t="str">
        <f t="shared" si="2"/>
        <v/>
      </c>
      <c r="BD11" s="127"/>
    </row>
    <row r="12" spans="2:56" ht="30" customHeight="1">
      <c r="B12" s="81" t="s">
        <v>75</v>
      </c>
      <c r="C12" s="87">
        <f>_xlfn.XLOOKUP(_xlfn.XLOOKUP($AS$6&amp;$B12,公表[班別+時段],公表[值班],""),$AX$9:$AX$25,$AY$9:$AY$25,"")</f>
        <v>0</v>
      </c>
      <c r="D12" s="95"/>
      <c r="E12" s="95"/>
      <c r="F12" s="95"/>
      <c r="G12" s="122" t="str">
        <f>IF(BC10="","",BC10)</f>
        <v/>
      </c>
      <c r="H12" s="314"/>
      <c r="I12" s="92">
        <f>_xlfn.XLOOKUP(_xlfn.XLOOKUP($AS$6&amp;$B12,公表[班別+時段],公表[救護1],""),$AX$9:$AX$25,$AY$9:$AY$25,"")</f>
        <v>0</v>
      </c>
      <c r="J12" s="92">
        <f>_xlfn.XLOOKUP(_xlfn.XLOOKUP($AS$6&amp;$B12,公表[班別+時段],公表[救護2],""),$AX$9:$AX$25,$AY$9:$AY$25,"")</f>
        <v>0</v>
      </c>
      <c r="K12" s="92"/>
      <c r="L12" s="87" t="s">
        <v>212</v>
      </c>
      <c r="M12" s="312"/>
      <c r="N12" s="87">
        <f>_xlfn.XLOOKUP(_xlfn.XLOOKUP($AS$6&amp;$B12,公表[班別+時段],公表[備勤1],""),$AX$9:$AX$25,$AY$9:$AY$25,"")</f>
        <v>0</v>
      </c>
      <c r="O12" s="87">
        <f>_xlfn.XLOOKUP(_xlfn.XLOOKUP($AS$6&amp;$B12,公表[班別+時段],公表[備勤2],""),$AX$9:$AX$25,$AY$9:$AY$25,"")</f>
        <v>0</v>
      </c>
      <c r="P12" s="87"/>
      <c r="Q12" s="87">
        <f>_xlfn.XLOOKUP(_xlfn.XLOOKUP($AS$6&amp;$B12,公表[班別+時段],公表[備勤3],""),$AX$9:$AX$25,$AY$9:$AY$25,"")</f>
        <v>0</v>
      </c>
      <c r="R12" s="87">
        <f>_xlfn.XLOOKUP(_xlfn.XLOOKUP($AS$6&amp;$B12,公表[班別+時段],公表[備勤4],""),$AX$9:$AX$25,$AY$9:$AY$25,"")</f>
        <v>0</v>
      </c>
      <c r="S12" s="87"/>
      <c r="T12" s="87">
        <f>_xlfn.XLOOKUP(_xlfn.XLOOKUP($AS$6&amp;$B12,公表[班別+時段],公表[備勤5],""),$AX$9:$AX$25,$AY$9:$AY$25,"")</f>
        <v>4</v>
      </c>
      <c r="U12" s="87">
        <f>_xlfn.XLOOKUP(_xlfn.XLOOKUP($AS$6&amp;$B12,公表[班別+時段],公表[備勤6],""),$AX$9:$AX$25,$AY$9:$AY$25,"")</f>
        <v>0</v>
      </c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87"/>
      <c r="AC12" s="87"/>
      <c r="AD12" s="87"/>
      <c r="AE12" s="88">
        <f>_xlfn.XLOOKUP(_xlfn.XLOOKUP($AS$6&amp;$B12,公表[班別+時段],公表[指揮官],""),$AX$9:$AX$25,$AY$9:$AY$25,"")</f>
        <v>2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27">
        <v>4</v>
      </c>
      <c r="AP12" s="127" t="str">
        <v>簡永豐</v>
      </c>
      <c r="AQ12" s="127" t="str" cm="1">
        <f t="array" ref="AQ12">IFERROR(_xlfn.XLOOKUP(_xlfn.XLOOKUP($AQ$3,輪休基準表!$C$6:$C$36,_xlfn.XLOOKUP(AP12,輪休基準表!$E$5:$AF$5,輪休基準表!$E$6:$AF$36,""),""),班別參數!$A$4:$A$20,班別參數!$B$4:$B$20,""),"")</f>
        <v>上班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>已排</v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/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27"/>
    </row>
    <row r="13" spans="2:56" ht="30" customHeight="1" thickBot="1">
      <c r="B13" s="82" t="s">
        <v>76</v>
      </c>
      <c r="C13" s="89">
        <f>_xlfn.XLOOKUP(_xlfn.XLOOKUP($AS$6&amp;$B13,公表[班別+時段],公表[值班],""),$AX$9:$AX$25,$AY$9:$AY$25,"")</f>
        <v>0</v>
      </c>
      <c r="D13" s="233"/>
      <c r="E13" s="96"/>
      <c r="F13" s="96"/>
      <c r="G13" s="123" t="str">
        <f>IF(BC10="","",BC10)</f>
        <v/>
      </c>
      <c r="H13" s="315"/>
      <c r="I13" s="216">
        <f>_xlfn.XLOOKUP(_xlfn.XLOOKUP($AS$6&amp;$B13,公表[班別+時段],公表[救護1],""),$AX$9:$AX$25,$AY$9:$AY$25,"")</f>
        <v>0</v>
      </c>
      <c r="J13" s="216">
        <f>_xlfn.XLOOKUP(_xlfn.XLOOKUP($AS$6&amp;$B13,公表[班別+時段],公表[救護2],""),$AX$9:$AX$25,$AY$9:$AY$25,"")</f>
        <v>0</v>
      </c>
      <c r="K13" s="105"/>
      <c r="L13" s="93" t="s">
        <v>212</v>
      </c>
      <c r="M13" s="312"/>
      <c r="N13" s="89">
        <f>_xlfn.XLOOKUP(_xlfn.XLOOKUP($AS$6&amp;$B13,公表[班別+時段],公表[備勤1],""),$AX$9:$AX$25,$AY$9:$AY$25,"")</f>
        <v>0</v>
      </c>
      <c r="O13" s="89">
        <f>_xlfn.XLOOKUP(_xlfn.XLOOKUP($AS$6&amp;$B13,公表[班別+時段],公表[備勤2],""),$AX$9:$AX$25,$AY$9:$AY$25,"")</f>
        <v>0</v>
      </c>
      <c r="P13" s="89"/>
      <c r="Q13" s="89">
        <f>_xlfn.XLOOKUP(_xlfn.XLOOKUP($AS$6&amp;$B13,公表[班別+時段],公表[備勤3],""),$AX$9:$AX$25,$AY$9:$AY$25,"")</f>
        <v>0</v>
      </c>
      <c r="R13" s="89">
        <f>_xlfn.XLOOKUP(_xlfn.XLOOKUP($AS$6&amp;$B13,公表[班別+時段],公表[備勤4],""),$AX$9:$AX$25,$AY$9:$AY$25,"")</f>
        <v>0</v>
      </c>
      <c r="S13" s="89"/>
      <c r="T13" s="89">
        <f>_xlfn.XLOOKUP(_xlfn.XLOOKUP($AS$6&amp;$B13,公表[班別+時段],公表[備勤5],""),$AX$9:$AX$25,$AY$9:$AY$25,"")</f>
        <v>4</v>
      </c>
      <c r="U13" s="89">
        <f>_xlfn.XLOOKUP(_xlfn.XLOOKUP($AS$6&amp;$B13,公表[班別+時段],公表[備勤6],""),$AX$9:$AX$25,$AY$9:$AY$25,"")</f>
        <v>0</v>
      </c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89"/>
      <c r="AC13" s="89"/>
      <c r="AD13" s="89"/>
      <c r="AE13" s="104">
        <f>_xlfn.XLOOKUP(_xlfn.XLOOKUP($AS$6&amp;$B13,公表[班別+時段],公表[指揮官],""),$AX$9:$AX$25,$AY$9:$AY$25,"")</f>
        <v>2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27">
        <v>5</v>
      </c>
      <c r="AP13" s="127" t="str">
        <v>張鴻志</v>
      </c>
      <c r="AQ13" s="127" t="str" cm="1">
        <f t="array" ref="AQ13">IFERROR(_xlfn.XLOOKUP(_xlfn.XLOOKUP($AQ$3,輪休基準表!$C$6:$C$36,_xlfn.XLOOKUP(AP13,輪休基準表!$E$5:$AF$5,輪休基準表!$E$6:$AF$36,""),""),班別參數!$A$4:$A$20,班別參數!$B$4:$B$20,""),"")</f>
        <v>輪休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/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/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/>
      </c>
      <c r="BD13" s="127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0</v>
      </c>
      <c r="D14" s="234"/>
      <c r="E14" s="97"/>
      <c r="F14" s="97"/>
      <c r="G14" s="121" t="str">
        <f>IF(BC11="","",BC11)</f>
        <v/>
      </c>
      <c r="H14" s="55"/>
      <c r="I14" s="94">
        <f>_xlfn.XLOOKUP(_xlfn.XLOOKUP($AS$6&amp;$B14,公表[班別+時段],公表[救護1],""),$AX$9:$AX$25,$AY$9:$AY$25,"")</f>
        <v>0</v>
      </c>
      <c r="J14" s="94">
        <f>_xlfn.XLOOKUP(_xlfn.XLOOKUP($AS$6&amp;$B14,公表[班別+時段],公表[救護2],""),$AX$9:$AX$25,$AY$9:$AY$25,"")</f>
        <v>0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0</v>
      </c>
      <c r="O14" s="90">
        <f>_xlfn.XLOOKUP(_xlfn.XLOOKUP($AS$6&amp;$B14,公表[班別+時段],公表[備勤2],""),$AX$9:$AX$25,$AY$9:$AY$25,"")</f>
        <v>0</v>
      </c>
      <c r="P14" s="90"/>
      <c r="Q14" s="90">
        <f>_xlfn.XLOOKUP(_xlfn.XLOOKUP($AS$6&amp;$B14,公表[班別+時段],公表[備勤3],""),$AX$9:$AX$25,$AY$9:$AY$25,"")</f>
        <v>0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4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90"/>
      <c r="AC14" s="90"/>
      <c r="AD14" s="90"/>
      <c r="AE14" s="91">
        <f>_xlfn.XLOOKUP(_xlfn.XLOOKUP($AS$6&amp;$B14,公表[班別+時段],公表[指揮官],""),$AX$9:$AX$25,$AY$9:$AY$25,"")</f>
        <v>2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27">
        <v>6</v>
      </c>
      <c r="AP14" s="127" t="str">
        <v>吳宗耕</v>
      </c>
      <c r="AQ14" s="127" t="str" cm="1">
        <f t="array" ref="AQ14">IFERROR(_xlfn.XLOOKUP(_xlfn.XLOOKUP($AQ$3,輪休基準表!$C$6:$C$36,_xlfn.XLOOKUP(AP14,輪休基準表!$E$5:$AF$5,輪休基準表!$E$6:$AF$36,""),""),班別參數!$A$4:$A$20,班別參數!$B$4:$B$20,""),"")</f>
        <v>輪休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/>
      </c>
      <c r="AT14" s="180" t="str">
        <f t="shared" si="0"/>
        <v/>
      </c>
      <c r="AU14" s="180" t="str">
        <f t="shared" si="1"/>
        <v/>
      </c>
      <c r="AV14" s="25"/>
      <c r="AW14" s="33" t="str">
        <f t="array" ref="AW14">INDEX(班別參數!$D$4:$D$20,ROW()-7,MATCH($AW$8,班別參數!$D$4:$D$20,0))</f>
        <v>18-20</v>
      </c>
      <c r="AX14" s="34">
        <f t="array" ref="AX14">IFERROR(INDEX(班別參數!$D$4:$S$20,MATCH(AW14,班別參數!$D$4:$D$20,0),MATCH($AS$6,班別參數!$D$4:$S$4,0)),"")</f>
        <v>0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</v>
      </c>
      <c r="BC14" s="39" t="str">
        <f t="shared" si="2"/>
        <v/>
      </c>
      <c r="BD14" s="127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0</v>
      </c>
      <c r="D15" s="235"/>
      <c r="E15" s="106"/>
      <c r="F15" s="96"/>
      <c r="G15" s="123" t="str">
        <f>IF(BC11="","",BC11)</f>
        <v/>
      </c>
      <c r="H15" s="40"/>
      <c r="I15" s="216">
        <f>_xlfn.XLOOKUP(_xlfn.XLOOKUP($AS$6&amp;$B15,公表[班別+時段],公表[救護1],""),$AX$9:$AX$25,$AY$9:$AY$25,"")</f>
        <v>0</v>
      </c>
      <c r="J15" s="216">
        <f>_xlfn.XLOOKUP(_xlfn.XLOOKUP($AS$6&amp;$B15,公表[班別+時段],公表[救護2],""),$AX$9:$AX$25,$AY$9:$AY$25,"")</f>
        <v>0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0</v>
      </c>
      <c r="O15" s="89">
        <f>_xlfn.XLOOKUP(_xlfn.XLOOKUP($AS$6&amp;$B15,公表[班別+時段],公表[備勤2],""),$AX$9:$AX$25,$AY$9:$AY$25,"")</f>
        <v>0</v>
      </c>
      <c r="P15" s="89"/>
      <c r="Q15" s="89">
        <f>_xlfn.XLOOKUP(_xlfn.XLOOKUP($AS$6&amp;$B15,公表[班別+時段],公表[備勤3],""),$AX$9:$AX$25,$AY$9:$AY$25,"")</f>
        <v>0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4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89"/>
      <c r="AC15" s="89"/>
      <c r="AD15" s="89"/>
      <c r="AE15" s="104">
        <f>_xlfn.XLOOKUP(_xlfn.XLOOKUP($AS$6&amp;$B15,公表[班別+時段],公表[指揮官],""),$AX$9:$AX$25,$AY$9:$AY$25,"")</f>
        <v>2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27">
        <v>7</v>
      </c>
      <c r="AP15" s="127" t="str">
        <v>包華先</v>
      </c>
      <c r="AQ15" s="127" t="str" cm="1">
        <f t="array" ref="AQ15">IFERROR(_xlfn.XLOOKUP(_xlfn.XLOOKUP($AQ$3,輪休基準表!$C$6:$C$36,_xlfn.XLOOKUP(AP15,輪休基準表!$E$5:$AF$5,輪休基準表!$E$6:$AF$36,""),""),班別參數!$A$4:$A$20,班別參數!$B$4:$B$20,""),"")</f>
        <v>輪休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/>
      </c>
      <c r="AT15" s="180" t="str">
        <f t="shared" si="0"/>
        <v/>
      </c>
      <c r="AU15" s="180" t="str">
        <f t="shared" si="1"/>
        <v/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/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/>
      </c>
      <c r="BD15" s="127"/>
    </row>
    <row r="16" spans="2:56" ht="30" customHeight="1">
      <c r="B16" s="83" t="s">
        <v>79</v>
      </c>
      <c r="C16" s="90">
        <f>_xlfn.XLOOKUP(_xlfn.XLOOKUP($AS$6&amp;$B16,公表[班別+時段],公表[值班],""),$AX$9:$AX$25,$AY$9:$AY$25,"")</f>
        <v>0</v>
      </c>
      <c r="D16" s="98"/>
      <c r="E16" s="99"/>
      <c r="F16" s="98"/>
      <c r="G16" s="121" t="str">
        <f>IF(BC12="","",BC12)</f>
        <v/>
      </c>
      <c r="H16" s="316" t="str">
        <f>AY3</f>
        <v>環境整理</v>
      </c>
      <c r="I16" s="94">
        <f>_xlfn.XLOOKUP(_xlfn.XLOOKUP($AS$6&amp;$B16,公表[班別+時段],公表[救護1],""),$AX$9:$AX$25,$AY$9:$AY$25,"")</f>
        <v>0</v>
      </c>
      <c r="J16" s="94">
        <f>_xlfn.XLOOKUP(_xlfn.XLOOKUP($AS$6&amp;$B16,公表[班別+時段],公表[救護2],""),$AX$9:$AX$25,$AY$9:$AY$25,"")</f>
        <v>0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0</v>
      </c>
      <c r="O16" s="90">
        <f>_xlfn.XLOOKUP(_xlfn.XLOOKUP($AS$6&amp;$B16,公表[班別+時段],公表[備勤2],""),$AX$9:$AX$25,$AY$9:$AY$25,"")</f>
        <v>0</v>
      </c>
      <c r="P16" s="90"/>
      <c r="Q16" s="90">
        <f>_xlfn.XLOOKUP(_xlfn.XLOOKUP($AS$6&amp;$B16,公表[班別+時段],公表[備勤3],""),$AX$9:$AX$25,$AY$9:$AY$25,"")</f>
        <v>0</v>
      </c>
      <c r="R16" s="90">
        <f>_xlfn.XLOOKUP(_xlfn.XLOOKUP($AS$6&amp;$B16,公表[班別+時段],公表[備勤4],""),$AX$9:$AX$25,$AY$9:$AY$25,"")</f>
        <v>0</v>
      </c>
      <c r="S16" s="90"/>
      <c r="T16" s="90">
        <f>_xlfn.XLOOKUP(_xlfn.XLOOKUP($AS$6&amp;$B16,公表[班別+時段],公表[備勤5],""),$AX$9:$AX$25,$AY$9:$AY$25,"")</f>
        <v>4</v>
      </c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90"/>
      <c r="AC16" s="90"/>
      <c r="AD16" s="90"/>
      <c r="AE16" s="91">
        <f>_xlfn.XLOOKUP(_xlfn.XLOOKUP($AS$6&amp;$B16,公表[班別+時段],公表[指揮官],""),$AX$9:$AX$25,$AY$9:$AY$25,"")</f>
        <v>2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27">
        <v>8</v>
      </c>
      <c r="AP16" s="127" t="str">
        <v>曾彥綸</v>
      </c>
      <c r="AQ16" s="127" t="str" cm="1">
        <f t="array" ref="AQ16">IFERROR(_xlfn.XLOOKUP(_xlfn.XLOOKUP($AQ$3,輪休基準表!$C$6:$C$36,_xlfn.XLOOKUP(AP16,輪休基準表!$E$5:$AF$5,輪休基準表!$E$6:$AF$36,""),""),班別參數!$A$4:$A$20,班別參數!$B$4:$B$20,""),"")</f>
        <v>輪休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/>
      </c>
      <c r="AT16" s="180" t="str">
        <f t="shared" si="0"/>
        <v/>
      </c>
      <c r="AU16" s="180" t="str">
        <f t="shared" si="1"/>
        <v/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/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27"/>
    </row>
    <row r="17" spans="2:56" ht="30" customHeight="1">
      <c r="B17" s="81" t="s">
        <v>80</v>
      </c>
      <c r="C17" s="87">
        <f>_xlfn.XLOOKUP(_xlfn.XLOOKUP($AS$6&amp;$B17,公表[班別+時段],公表[值班],""),$AX$9:$AX$25,$AY$9:$AY$25,"")</f>
        <v>0</v>
      </c>
      <c r="D17" s="95"/>
      <c r="E17" s="95"/>
      <c r="F17" s="100"/>
      <c r="G17" s="122" t="str">
        <f>IF(BC12="","",BC12)</f>
        <v/>
      </c>
      <c r="H17" s="314"/>
      <c r="I17" s="92">
        <f>_xlfn.XLOOKUP(_xlfn.XLOOKUP($AS$6&amp;$B17,公表[班別+時段],公表[救護1],""),$AX$9:$AX$25,$AY$9:$AY$25,"")</f>
        <v>0</v>
      </c>
      <c r="J17" s="92">
        <f>_xlfn.XLOOKUP(_xlfn.XLOOKUP($AS$6&amp;$B17,公表[班別+時段],公表[救護2],""),$AX$9:$AX$25,$AY$9:$AY$25,"")</f>
        <v>0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0</v>
      </c>
      <c r="O17" s="87">
        <f>_xlfn.XLOOKUP(_xlfn.XLOOKUP($AS$6&amp;$B17,公表[班別+時段],公表[備勤2],""),$AX$9:$AX$25,$AY$9:$AY$25,"")</f>
        <v>0</v>
      </c>
      <c r="P17" s="87"/>
      <c r="Q17" s="87">
        <f>_xlfn.XLOOKUP(_xlfn.XLOOKUP($AS$6&amp;$B17,公表[班別+時段],公表[備勤3],""),$AX$9:$AX$25,$AY$9:$AY$25,"")</f>
        <v>0</v>
      </c>
      <c r="R17" s="87">
        <f>_xlfn.XLOOKUP(_xlfn.XLOOKUP($AS$6&amp;$B17,公表[班別+時段],公表[備勤4],""),$AX$9:$AX$25,$AY$9:$AY$25,"")</f>
        <v>0</v>
      </c>
      <c r="S17" s="87"/>
      <c r="T17" s="87">
        <f>_xlfn.XLOOKUP(_xlfn.XLOOKUP($AS$6&amp;$B17,公表[班別+時段],公表[備勤5],""),$AX$9:$AX$25,$AY$9:$AY$25,"")</f>
        <v>4</v>
      </c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87"/>
      <c r="AC17" s="87"/>
      <c r="AD17" s="87"/>
      <c r="AE17" s="88">
        <f>_xlfn.XLOOKUP(_xlfn.XLOOKUP($AS$6&amp;$B17,公表[班別+時段],公表[指揮官],""),$AX$9:$AX$25,$AY$9:$AY$25,"")</f>
        <v>2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27">
        <v>9</v>
      </c>
      <c r="AP17" s="127" t="str">
        <v>鍾佳諭</v>
      </c>
      <c r="AQ17" s="127" t="str" cm="1">
        <f t="array" ref="AQ17">IFERROR(_xlfn.XLOOKUP(_xlfn.XLOOKUP($AQ$3,輪休基準表!$C$6:$C$36,_xlfn.XLOOKUP(AP17,輪休基準表!$E$5:$AF$5,輪休基準表!$E$6:$AF$36,""),""),班別參數!$A$4:$A$20,班別參數!$B$4:$B$20,""),"")</f>
        <v>上班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>未排</v>
      </c>
      <c r="AT17" s="180" t="str">
        <f t="shared" si="0"/>
        <v/>
      </c>
      <c r="AU17" s="180" t="str">
        <f t="shared" si="1"/>
        <v/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27"/>
    </row>
    <row r="18" spans="2:56" ht="30" customHeight="1">
      <c r="B18" s="81" t="s">
        <v>81</v>
      </c>
      <c r="C18" s="87">
        <f>_xlfn.XLOOKUP(_xlfn.XLOOKUP($AS$6&amp;$B18,公表[班別+時段],公表[值班],""),$AX$9:$AX$25,$AY$9:$AY$25,"")</f>
        <v>0</v>
      </c>
      <c r="D18" s="100"/>
      <c r="E18" s="95"/>
      <c r="F18" s="100"/>
      <c r="G18" s="122" t="str">
        <f>IF(BC13="","",BC13)</f>
        <v/>
      </c>
      <c r="H18" s="297"/>
      <c r="I18" s="92">
        <f>_xlfn.XLOOKUP(_xlfn.XLOOKUP($AS$6&amp;$B18,公表[班別+時段],公表[救護1],""),$AX$9:$AX$25,$AY$9:$AY$25,"")</f>
        <v>0</v>
      </c>
      <c r="J18" s="92">
        <f>_xlfn.XLOOKUP(_xlfn.XLOOKUP($AS$6&amp;$B18,公表[班別+時段],公表[救護2],""),$AX$9:$AX$25,$AY$9:$AY$25,"")</f>
        <v>0</v>
      </c>
      <c r="K18" s="92"/>
      <c r="L18" s="87" t="s">
        <v>212</v>
      </c>
      <c r="M18" s="312"/>
      <c r="N18" s="87">
        <f>_xlfn.XLOOKUP(_xlfn.XLOOKUP($AS$6&amp;$B18,公表[班別+時段],公表[備勤1],""),$AX$9:$AX$25,$AY$9:$AY$25,"")</f>
        <v>0</v>
      </c>
      <c r="O18" s="87">
        <f>_xlfn.XLOOKUP(_xlfn.XLOOKUP($AS$6&amp;$B18,公表[班別+時段],公表[備勤2],""),$AX$9:$AX$25,$AY$9:$AY$25,"")</f>
        <v>0</v>
      </c>
      <c r="P18" s="87"/>
      <c r="Q18" s="87">
        <f>_xlfn.XLOOKUP(_xlfn.XLOOKUP($AS$6&amp;$B18,公表[班別+時段],公表[備勤3],""),$AX$9:$AX$25,$AY$9:$AY$25,"")</f>
        <v>0</v>
      </c>
      <c r="R18" s="87">
        <f>_xlfn.XLOOKUP(_xlfn.XLOOKUP($AS$6&amp;$B18,公表[班別+時段],公表[備勤4],""),$AX$9:$AX$25,$AY$9:$AY$25,"")</f>
        <v>0</v>
      </c>
      <c r="S18" s="87"/>
      <c r="T18" s="87">
        <f>_xlfn.XLOOKUP(_xlfn.XLOOKUP($AS$6&amp;$B18,公表[班別+時段],公表[備勤5],""),$AX$9:$AX$25,$AY$9:$AY$25,"")</f>
        <v>4</v>
      </c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87"/>
      <c r="AC18" s="87"/>
      <c r="AD18" s="87"/>
      <c r="AE18" s="88">
        <f>_xlfn.XLOOKUP(_xlfn.XLOOKUP($AS$6&amp;$B18,公表[班別+時段],公表[指揮官],""),$AX$9:$AX$25,$AY$9:$AY$25,"")</f>
        <v>2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27">
        <v>10</v>
      </c>
      <c r="AP18" s="127" t="str">
        <v>林宏澤</v>
      </c>
      <c r="AQ18" s="127" t="str" cm="1">
        <f t="array" ref="AQ18">IFERROR(_xlfn.XLOOKUP(_xlfn.XLOOKUP($AQ$3,輪休基準表!$C$6:$C$36,_xlfn.XLOOKUP(AP18,輪休基準表!$E$5:$AF$5,輪休基準表!$E$6:$AF$36,""),""),班別參數!$A$4:$A$20,班別參數!$B$4:$B$20,""),"")</f>
        <v>上班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>未排</v>
      </c>
      <c r="AT18" s="180" t="str">
        <f t="shared" si="0"/>
        <v/>
      </c>
      <c r="AU18" s="180" t="str">
        <f t="shared" si="1"/>
        <v/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27"/>
    </row>
    <row r="19" spans="2:56" ht="30" customHeight="1" thickBot="1">
      <c r="B19" s="110" t="s">
        <v>82</v>
      </c>
      <c r="C19" s="89">
        <f>_xlfn.XLOOKUP(_xlfn.XLOOKUP($AS$6&amp;$B19,公表[班別+時段],公表[值班],""),$AX$9:$AX$25,$AY$9:$AY$25,"")</f>
        <v>0</v>
      </c>
      <c r="D19" s="106"/>
      <c r="E19" s="96"/>
      <c r="F19" s="236"/>
      <c r="G19" s="123" t="str">
        <f>IF(BC13="","",BC13)</f>
        <v/>
      </c>
      <c r="H19" s="107"/>
      <c r="I19" s="216">
        <f>_xlfn.XLOOKUP(_xlfn.XLOOKUP($AS$6&amp;$B19,公表[班別+時段],公表[救護1],""),$AX$9:$AX$25,$AY$9:$AY$25,"")</f>
        <v>0</v>
      </c>
      <c r="J19" s="216">
        <f>_xlfn.XLOOKUP(_xlfn.XLOOKUP($AS$6&amp;$B19,公表[班別+時段],公表[救護2],""),$AX$9:$AX$25,$AY$9:$AY$25,"")</f>
        <v>0</v>
      </c>
      <c r="K19" s="105"/>
      <c r="L19" s="93" t="s">
        <v>212</v>
      </c>
      <c r="M19" s="312"/>
      <c r="N19" s="89">
        <f>_xlfn.XLOOKUP(_xlfn.XLOOKUP($AS$6&amp;$B19,公表[班別+時段],公表[備勤1],""),$AX$9:$AX$25,$AY$9:$AY$25,"")</f>
        <v>0</v>
      </c>
      <c r="O19" s="89">
        <f>_xlfn.XLOOKUP(_xlfn.XLOOKUP($AS$6&amp;$B19,公表[班別+時段],公表[備勤2],""),$AX$9:$AX$25,$AY$9:$AY$25,"")</f>
        <v>0</v>
      </c>
      <c r="P19" s="89"/>
      <c r="Q19" s="89">
        <f>_xlfn.XLOOKUP(_xlfn.XLOOKUP($AS$6&amp;$B19,公表[班別+時段],公表[備勤3],""),$AX$9:$AX$25,$AY$9:$AY$25,"")</f>
        <v>0</v>
      </c>
      <c r="R19" s="89">
        <f>_xlfn.XLOOKUP(_xlfn.XLOOKUP($AS$6&amp;$B19,公表[班別+時段],公表[備勤4],""),$AX$9:$AX$25,$AY$9:$AY$25,"")</f>
        <v>0</v>
      </c>
      <c r="S19" s="89"/>
      <c r="T19" s="89">
        <f>_xlfn.XLOOKUP(_xlfn.XLOOKUP($AS$6&amp;$B19,公表[班別+時段],公表[備勤5],""),$AX$9:$AX$25,$AY$9:$AY$25,"")</f>
        <v>4</v>
      </c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89"/>
      <c r="AC19" s="89"/>
      <c r="AD19" s="89"/>
      <c r="AE19" s="104">
        <f>_xlfn.XLOOKUP(_xlfn.XLOOKUP($AS$6&amp;$B19,公表[班別+時段],公表[指揮官],""),$AX$9:$AX$25,$AY$9:$AY$25,"")</f>
        <v>2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27">
        <v>11</v>
      </c>
      <c r="AP19" s="127" t="str">
        <v>簡君諺</v>
      </c>
      <c r="AQ19" s="127" t="str" cm="1">
        <f t="array" ref="AQ19">IFERROR(_xlfn.XLOOKUP(_xlfn.XLOOKUP($AQ$3,輪休基準表!$C$6:$C$36,_xlfn.XLOOKUP(AP19,輪休基準表!$E$5:$AF$5,輪休基準表!$E$6:$AF$36,""),""),班別參數!$A$4:$A$20,班別參數!$B$4:$B$20,""),"")</f>
        <v>上班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>未排</v>
      </c>
      <c r="AT19" s="180" t="str">
        <f t="shared" si="0"/>
        <v/>
      </c>
      <c r="AU19" s="180" t="str">
        <f t="shared" si="1"/>
        <v/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:AY20">IF(AX19="","",_xlfn._xlws.FILTER($AO$9:$AO$13,$AQ$9:$AQ$13="上班",""))</f>
        <v>2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27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4</v>
      </c>
      <c r="D20" s="97"/>
      <c r="E20" s="97"/>
      <c r="F20" s="97"/>
      <c r="G20" s="121" t="str">
        <f>IF(BC14="","",BC14)</f>
        <v/>
      </c>
      <c r="H20" s="55"/>
      <c r="I20" s="94">
        <f>_xlfn.XLOOKUP(_xlfn.XLOOKUP($AS$6&amp;$B20,公表[班別+時段],公表[救護1],""),$AX$9:$AX$25,$AY$9:$AY$25,"")</f>
        <v>0</v>
      </c>
      <c r="J20" s="94">
        <f>_xlfn.XLOOKUP(_xlfn.XLOOKUP($AS$6&amp;$B20,公表[班別+時段],公表[救護2],""),$AX$9:$AX$25,$AY$9:$AY$25,"")</f>
        <v>0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0</v>
      </c>
      <c r="O20" s="90">
        <f>_xlfn.XLOOKUP(_xlfn.XLOOKUP($AS$6&amp;$B20,公表[班別+時段],公表[備勤2],""),$AX$9:$AX$25,$AY$9:$AY$25,"")</f>
        <v>0</v>
      </c>
      <c r="P20" s="90"/>
      <c r="Q20" s="90">
        <f>_xlfn.XLOOKUP(_xlfn.XLOOKUP($AS$6&amp;$B20,公表[班別+時段],公表[備勤3],""),$AX$9:$AX$25,$AY$9:$AY$25,"")</f>
        <v>0</v>
      </c>
      <c r="R20" s="90">
        <f>_xlfn.XLOOKUP(_xlfn.XLOOKUP($AS$6&amp;$B20,公表[班別+時段],公表[備勤4],""),$AX$9:$AX$25,$AY$9:$AY$25,"")</f>
        <v>0</v>
      </c>
      <c r="S20" s="90"/>
      <c r="T20" s="90">
        <f>_xlfn.XLOOKUP(_xlfn.XLOOKUP($AS$6&amp;$B20,公表[班別+時段],公表[備勤5],""),$AX$9:$AX$25,$AY$9:$AY$25,"")</f>
        <v>0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90"/>
      <c r="AC20" s="90"/>
      <c r="AD20" s="90"/>
      <c r="AE20" s="91">
        <f>_xlfn.XLOOKUP(_xlfn.XLOOKUP($AS$6&amp;$B20,公表[班別+時段],公表[指揮官],""),$AX$9:$AX$25,$AY$9:$AY$25,"")</f>
        <v>2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27">
        <v>12</v>
      </c>
      <c r="AP20" s="127" t="str">
        <v>王昱勛</v>
      </c>
      <c r="AQ20" s="127" t="str" cm="1">
        <f t="array" ref="AQ20">IFERROR(_xlfn.XLOOKUP(_xlfn.XLOOKUP($AQ$3,輪休基準表!$C$6:$C$36,_xlfn.XLOOKUP(AP20,輪休基準表!$E$5:$AF$5,輪休基準表!$E$6:$AF$36,""),""),班別參數!$A$4:$A$20,班別參數!$B$4:$B$20,""),"")</f>
        <v>輪休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/>
      </c>
      <c r="AT20" s="180" t="str">
        <f t="shared" si="0"/>
        <v/>
      </c>
      <c r="AU20" s="180" t="str">
        <f t="shared" si="1"/>
        <v/>
      </c>
      <c r="AV20" s="25"/>
      <c r="AW20" s="33" t="str">
        <f t="array" ref="AW20">INDEX(班別參數!$D$4:$D$20,ROW()-7,MATCH($AW$8,班別參數!$D$4:$D$20,0))</f>
        <v>帶隊官</v>
      </c>
      <c r="AX20" s="34" t="str">
        <f t="array" ref="AX20">IFERROR(INDEX(班別參數!$D$4:$S$20,MATCH(AW20,班別參數!$D$4:$D$20,0),MATCH($AS$6,班別參數!$D$4:$S$4,0)),"")</f>
        <v>L</v>
      </c>
      <c r="AY20" s="38">
        <v>4</v>
      </c>
      <c r="AZ20" s="32"/>
      <c r="BA20" s="33" t="s">
        <v>67</v>
      </c>
      <c r="BB20" s="34" t="str">
        <f t="array" ref="BB20">IFERROR(INDEX(班別參數!$D$23:$S$35,MATCH(BA20,班別參數!$D$23:$D$35,0),MATCH($AS$6,班別參數!$D$23:$S$23,0)),"")</f>
        <v>G,L</v>
      </c>
      <c r="BC20" s="41" t="str">
        <f t="shared" si="2"/>
        <v>4</v>
      </c>
      <c r="BD20" s="127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4</v>
      </c>
      <c r="D21" s="95"/>
      <c r="E21" s="95"/>
      <c r="F21" s="95"/>
      <c r="G21" s="122" t="str">
        <f>IF(BC14="","",BC14)</f>
        <v/>
      </c>
      <c r="H21" s="296" t="str">
        <f>AY4</f>
        <v>器材車、化學(處理)車</v>
      </c>
      <c r="I21" s="92">
        <f>_xlfn.XLOOKUP(_xlfn.XLOOKUP($AS$6&amp;$B21,公表[班別+時段],公表[救護1],""),$AX$9:$AX$25,$AY$9:$AY$25,"")</f>
        <v>0</v>
      </c>
      <c r="J21" s="92">
        <f>_xlfn.XLOOKUP(_xlfn.XLOOKUP($AS$6&amp;$B21,公表[班別+時段],公表[救護2],""),$AX$9:$AX$25,$AY$9:$AY$25,"")</f>
        <v>0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0</v>
      </c>
      <c r="O21" s="87">
        <f>_xlfn.XLOOKUP(_xlfn.XLOOKUP($AS$6&amp;$B21,公表[班別+時段],公表[備勤2],""),$AX$9:$AX$25,$AY$9:$AY$25,"")</f>
        <v>0</v>
      </c>
      <c r="P21" s="87"/>
      <c r="Q21" s="87">
        <f>_xlfn.XLOOKUP(_xlfn.XLOOKUP($AS$6&amp;$B21,公表[班別+時段],公表[備勤3],""),$AX$9:$AX$25,$AY$9:$AY$25,"")</f>
        <v>0</v>
      </c>
      <c r="R21" s="87">
        <f>_xlfn.XLOOKUP(_xlfn.XLOOKUP($AS$6&amp;$B21,公表[班別+時段],公表[備勤4],""),$AX$9:$AX$25,$AY$9:$AY$25,"")</f>
        <v>0</v>
      </c>
      <c r="S21" s="87"/>
      <c r="T21" s="87">
        <f>_xlfn.XLOOKUP(_xlfn.XLOOKUP($AS$6&amp;$B21,公表[班別+時段],公表[備勤5],""),$AX$9:$AX$25,$AY$9:$AY$25,"")</f>
        <v>0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87"/>
      <c r="AC21" s="87"/>
      <c r="AD21" s="87"/>
      <c r="AE21" s="88">
        <f>_xlfn.XLOOKUP(_xlfn.XLOOKUP($AS$6&amp;$B21,公表[班別+時段],公表[指揮官],""),$AX$9:$AX$25,$AY$9:$AY$25,"")</f>
        <v>2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27">
        <v>13</v>
      </c>
      <c r="AP21" s="127" t="str">
        <v>葉宗哲</v>
      </c>
      <c r="AQ21" s="127" t="str" cm="1">
        <f t="array" ref="AQ21">IFERROR(_xlfn.XLOOKUP(_xlfn.XLOOKUP($AQ$3,輪休基準表!$C$6:$C$36,_xlfn.XLOOKUP(AP21,輪休基準表!$E$5:$AF$5,輪休基準表!$E$6:$AF$36,""),""),班別參數!$A$4:$A$20,班別參數!$B$4:$B$20,""),"")</f>
        <v>輪休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/>
      </c>
      <c r="AT21" s="180" t="str">
        <f t="shared" si="0"/>
        <v/>
      </c>
      <c r="AU21" s="180" t="str">
        <f t="shared" si="1"/>
        <v/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27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0</v>
      </c>
      <c r="D22" s="95"/>
      <c r="E22" s="95"/>
      <c r="F22" s="95"/>
      <c r="G22" s="122" t="str">
        <f>IF(BC15="","",BC15)</f>
        <v/>
      </c>
      <c r="H22" s="297"/>
      <c r="I22" s="92">
        <f>_xlfn.XLOOKUP(_xlfn.XLOOKUP($AS$6&amp;$B22,公表[班別+時段],公表[救護1],""),$AX$9:$AX$25,$AY$9:$AY$25,"")</f>
        <v>0</v>
      </c>
      <c r="J22" s="92">
        <f>_xlfn.XLOOKUP(_xlfn.XLOOKUP($AS$6&amp;$B22,公表[班別+時段],公表[救護2],""),$AX$9:$AX$25,$AY$9:$AY$25,"")</f>
        <v>0</v>
      </c>
      <c r="K22" s="92"/>
      <c r="L22" s="87" t="s">
        <v>212</v>
      </c>
      <c r="M22" s="312"/>
      <c r="N22" s="87">
        <f>_xlfn.XLOOKUP(_xlfn.XLOOKUP($AS$6&amp;$B22,公表[班別+時段],公表[備勤1],""),$AX$9:$AX$25,$AY$9:$AY$25,"")</f>
        <v>0</v>
      </c>
      <c r="O22" s="87">
        <f>_xlfn.XLOOKUP(_xlfn.XLOOKUP($AS$6&amp;$B22,公表[班別+時段],公表[備勤2],""),$AX$9:$AX$25,$AY$9:$AY$25,"")</f>
        <v>0</v>
      </c>
      <c r="P22" s="87"/>
      <c r="Q22" s="87">
        <f>_xlfn.XLOOKUP(_xlfn.XLOOKUP($AS$6&amp;$B22,公表[班別+時段],公表[備勤3],""),$AX$9:$AX$25,$AY$9:$AY$25,"")</f>
        <v>0</v>
      </c>
      <c r="R22" s="87">
        <f>_xlfn.XLOOKUP(_xlfn.XLOOKUP($AS$6&amp;$B22,公表[班別+時段],公表[備勤4],""),$AX$9:$AX$25,$AY$9:$AY$25,"")</f>
        <v>0</v>
      </c>
      <c r="S22" s="87"/>
      <c r="T22" s="87">
        <f>_xlfn.XLOOKUP(_xlfn.XLOOKUP($AS$6&amp;$B22,公表[班別+時段],公表[備勤5],""),$AX$9:$AX$25,$AY$9:$AY$25,"")</f>
        <v>4</v>
      </c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87"/>
      <c r="AC22" s="87"/>
      <c r="AD22" s="87"/>
      <c r="AE22" s="88">
        <f>_xlfn.XLOOKUP(_xlfn.XLOOKUP($AS$6&amp;$B22,公表[班別+時段],公表[指揮官],""),$AX$9:$AX$25,$AY$9:$AY$25,"")</f>
        <v>2</v>
      </c>
      <c r="AF22" s="57" t="s">
        <v>213</v>
      </c>
      <c r="AG22" s="305" t="str" cm="1">
        <f t="array" ref="AG22">_xlfn.TEXTJOIN(".",1,_xlfn._xlws.FILTER($AO$9:$AO$40,$AQ$9:$AQ$40="上班",""))</f>
        <v>2.4.9.10.11.17.21.26.28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27">
        <v>14</v>
      </c>
      <c r="AP22" s="127" t="str">
        <v>王浩任</v>
      </c>
      <c r="AQ22" s="127" t="str" cm="1">
        <f t="array" ref="AQ22">IFERROR(_xlfn.XLOOKUP(_xlfn.XLOOKUP($AQ$3,輪休基準表!$C$6:$C$36,_xlfn.XLOOKUP(AP22,輪休基準表!$E$5:$AF$5,輪休基準表!$E$6:$AF$36,""),""),班別參數!$A$4:$A$20,班別參數!$B$4:$B$20,""),"")</f>
        <v>輪休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/>
      </c>
      <c r="AT22" s="180" t="str">
        <f t="shared" si="0"/>
        <v/>
      </c>
      <c r="AU22" s="180" t="str">
        <f t="shared" si="1"/>
        <v/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27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0</v>
      </c>
      <c r="D23" s="106"/>
      <c r="E23" s="96"/>
      <c r="F23" s="96"/>
      <c r="G23" s="123" t="str">
        <f>IF(BC15="","",BC15)</f>
        <v/>
      </c>
      <c r="H23" s="107"/>
      <c r="I23" s="216">
        <f>_xlfn.XLOOKUP(_xlfn.XLOOKUP($AS$6&amp;$B23,公表[班別+時段],公表[救護1],""),$AX$9:$AX$25,$AY$9:$AY$25,"")</f>
        <v>0</v>
      </c>
      <c r="J23" s="216">
        <f>_xlfn.XLOOKUP(_xlfn.XLOOKUP($AS$6&amp;$B23,公表[班別+時段],公表[救護2],""),$AX$9:$AX$25,$AY$9:$AY$25,"")</f>
        <v>0</v>
      </c>
      <c r="K23" s="105"/>
      <c r="L23" s="93" t="s">
        <v>212</v>
      </c>
      <c r="M23" s="312"/>
      <c r="N23" s="89">
        <f>_xlfn.XLOOKUP(_xlfn.XLOOKUP($AS$6&amp;$B23,公表[班別+時段],公表[備勤1],""),$AX$9:$AX$25,$AY$9:$AY$25,"")</f>
        <v>0</v>
      </c>
      <c r="O23" s="89">
        <f>_xlfn.XLOOKUP(_xlfn.XLOOKUP($AS$6&amp;$B23,公表[班別+時段],公表[備勤2],""),$AX$9:$AX$25,$AY$9:$AY$25,"")</f>
        <v>0</v>
      </c>
      <c r="P23" s="89"/>
      <c r="Q23" s="89">
        <f>_xlfn.XLOOKUP(_xlfn.XLOOKUP($AS$6&amp;$B23,公表[班別+時段],公表[備勤3],""),$AX$9:$AX$25,$AY$9:$AY$25,"")</f>
        <v>0</v>
      </c>
      <c r="R23" s="89">
        <f>_xlfn.XLOOKUP(_xlfn.XLOOKUP($AS$6&amp;$B23,公表[班別+時段],公表[備勤4],""),$AX$9:$AX$25,$AY$9:$AY$25,"")</f>
        <v>0</v>
      </c>
      <c r="S23" s="89"/>
      <c r="T23" s="89">
        <f>_xlfn.XLOOKUP(_xlfn.XLOOKUP($AS$6&amp;$B23,公表[班別+時段],公表[備勤5],""),$AX$9:$AX$25,$AY$9:$AY$25,"")</f>
        <v>4</v>
      </c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89"/>
      <c r="AC23" s="89"/>
      <c r="AD23" s="89"/>
      <c r="AE23" s="104">
        <f>_xlfn.XLOOKUP(_xlfn.XLOOKUP($AS$6&amp;$B23,公表[班別+時段],公表[指揮官],""),$AX$9:$AX$25,$AY$9:$AY$25,"")</f>
        <v>2</v>
      </c>
      <c r="AF23" s="57" t="s">
        <v>6</v>
      </c>
      <c r="AG23" s="305" t="str" cm="1">
        <f t="array" ref="AG23">_xlfn.TEXTJOIN(".",1,_xlfn._xlws.FILTER($AO$9:$AO$40,$AQ$9:$AQ$40=$AF$23,""))</f>
        <v>1.3.5.6.7.8.12.13.14.15.16.19.20.22.24.27</v>
      </c>
      <c r="AH23" s="400"/>
      <c r="AI23" s="400"/>
      <c r="AJ23" s="400"/>
      <c r="AK23" s="400"/>
      <c r="AL23" s="400"/>
      <c r="AM23" s="401"/>
      <c r="AN23" s="214"/>
      <c r="AO23" s="127">
        <v>15</v>
      </c>
      <c r="AP23" s="127" t="str">
        <v>李仕詮</v>
      </c>
      <c r="AQ23" s="127" t="str" cm="1">
        <f t="array" ref="AQ23">IFERROR(_xlfn.XLOOKUP(_xlfn.XLOOKUP($AQ$3,輪休基準表!$C$6:$C$36,_xlfn.XLOOKUP(AP23,輪休基準表!$E$5:$AF$5,輪休基準表!$E$6:$AF$36,""),""),班別參數!$A$4:$A$20,班別參數!$B$4:$B$20,""),"")</f>
        <v>輪休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/>
      </c>
      <c r="AT23" s="180" t="str">
        <f t="shared" si="0"/>
        <v/>
      </c>
      <c r="AU23" s="180" t="str">
        <f t="shared" si="1"/>
        <v/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27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0</v>
      </c>
      <c r="D24" s="97"/>
      <c r="E24" s="97"/>
      <c r="F24" s="97"/>
      <c r="G24" s="121" t="str">
        <f>IF(BC16="","",BC16)</f>
        <v/>
      </c>
      <c r="H24" s="55"/>
      <c r="I24" s="94">
        <f>_xlfn.XLOOKUP(_xlfn.XLOOKUP($AS$6&amp;$B24,公表[班別+時段],公表[救護1],""),$AX$9:$AX$25,$AY$9:$AY$25,"")</f>
        <v>0</v>
      </c>
      <c r="J24" s="94">
        <f>_xlfn.XLOOKUP(_xlfn.XLOOKUP($AS$6&amp;$B24,公表[班別+時段],公表[救護2],""),$AX$9:$AX$25,$AY$9:$AY$25,"")</f>
        <v>0</v>
      </c>
      <c r="K24" s="90"/>
      <c r="L24" s="90" t="s">
        <v>212</v>
      </c>
      <c r="M24" s="312"/>
      <c r="N24" s="90">
        <f>_xlfn.XLOOKUP(_xlfn.XLOOKUP($AS$6&amp;$B24,公表[班別+時段],公表[備勤1],""),$AX$9:$AX$25,$AY$9:$AY$25,"")</f>
        <v>0</v>
      </c>
      <c r="O24" s="90">
        <f>_xlfn.XLOOKUP(_xlfn.XLOOKUP($AS$6&amp;$B24,公表[班別+時段],公表[備勤2],""),$AX$9:$AX$25,$AY$9:$AY$25,"")</f>
        <v>0</v>
      </c>
      <c r="P24" s="90"/>
      <c r="Q24" s="90">
        <f>_xlfn.XLOOKUP(_xlfn.XLOOKUP($AS$6&amp;$B24,公表[班別+時段],公表[備勤3],""),$AX$9:$AX$25,$AY$9:$AY$25,"")</f>
        <v>0</v>
      </c>
      <c r="R24" s="90">
        <f>_xlfn.XLOOKUP(_xlfn.XLOOKUP($AS$6&amp;$B24,公表[班別+時段],公表[備勤4],""),$AX$9:$AX$25,$AY$9:$AY$25,"")</f>
        <v>0</v>
      </c>
      <c r="S24" s="90"/>
      <c r="T24" s="90">
        <f>_xlfn.XLOOKUP(_xlfn.XLOOKUP($AS$6&amp;$B24,公表[班別+時段],公表[備勤5],""),$AX$9:$AX$25,$AY$9:$AY$25,"")</f>
        <v>4</v>
      </c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90"/>
      <c r="AC24" s="90"/>
      <c r="AD24" s="90"/>
      <c r="AE24" s="91">
        <f>_xlfn.XLOOKUP(_xlfn.XLOOKUP($AS$6&amp;$B24,公表[班別+時段],公表[指揮官],""),$AX$9:$AX$25,$AY$9:$AY$25,"")</f>
        <v>2</v>
      </c>
      <c r="AF24" s="57" t="s">
        <v>17</v>
      </c>
      <c r="AG24" s="305" t="str" cm="1">
        <f t="array" ref="AG24">_xlfn.TEXTJOIN(".",1,_xlfn._xlws.FILTER($AO$9:$AO$40,$AQ$9:$AQ$40=$AF$24,""))</f>
        <v/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/>
      </c>
      <c r="AL24" s="400"/>
      <c r="AM24" s="401"/>
      <c r="AN24" s="214"/>
      <c r="AO24" s="127">
        <v>16</v>
      </c>
      <c r="AP24" s="127" t="str">
        <v>楊弘宇</v>
      </c>
      <c r="AQ24" s="127" t="str" cm="1">
        <f t="array" ref="AQ24">IFERROR(_xlfn.XLOOKUP(_xlfn.XLOOKUP($AQ$3,輪休基準表!$C$6:$C$36,_xlfn.XLOOKUP(AP24,輪休基準表!$E$5:$AF$5,輪休基準表!$E$6:$AF$36,""),""),班別參數!$A$4:$A$20,班別參數!$B$4:$B$20,""),"")</f>
        <v>輪休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/>
      </c>
      <c r="AT24" s="180" t="str">
        <f t="shared" si="0"/>
        <v/>
      </c>
      <c r="AU24" s="180" t="str">
        <f t="shared" si="1"/>
        <v/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27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0</v>
      </c>
      <c r="D25" s="95"/>
      <c r="E25" s="95"/>
      <c r="F25" s="95"/>
      <c r="G25" s="122" t="str">
        <f>IF(BC16="","",BC16)</f>
        <v/>
      </c>
      <c r="H25" s="37"/>
      <c r="I25" s="92">
        <f>_xlfn.XLOOKUP(_xlfn.XLOOKUP($AS$6&amp;$B25,公表[班別+時段],公表[救護1],""),$AX$9:$AX$25,$AY$9:$AY$25,"")</f>
        <v>0</v>
      </c>
      <c r="J25" s="92">
        <f>_xlfn.XLOOKUP(_xlfn.XLOOKUP($AS$6&amp;$B25,公表[班別+時段],公表[救護2],""),$AX$9:$AX$25,$AY$9:$AY$25,"")</f>
        <v>0</v>
      </c>
      <c r="K25" s="87"/>
      <c r="L25" s="87" t="s">
        <v>212</v>
      </c>
      <c r="M25" s="312"/>
      <c r="N25" s="87">
        <f>_xlfn.XLOOKUP(_xlfn.XLOOKUP($AS$6&amp;$B25,公表[班別+時段],公表[備勤1],""),$AX$9:$AX$25,$AY$9:$AY$25,"")</f>
        <v>0</v>
      </c>
      <c r="O25" s="87">
        <f>_xlfn.XLOOKUP(_xlfn.XLOOKUP($AS$6&amp;$B25,公表[班別+時段],公表[備勤2],""),$AX$9:$AX$25,$AY$9:$AY$25,"")</f>
        <v>0</v>
      </c>
      <c r="P25" s="87"/>
      <c r="Q25" s="87">
        <f>_xlfn.XLOOKUP(_xlfn.XLOOKUP($AS$6&amp;$B25,公表[班別+時段],公表[備勤3],""),$AX$9:$AX$25,$AY$9:$AY$25,"")</f>
        <v>0</v>
      </c>
      <c r="R25" s="87">
        <f>_xlfn.XLOOKUP(_xlfn.XLOOKUP($AS$6&amp;$B25,公表[班別+時段],公表[備勤4],""),$AX$9:$AX$25,$AY$9:$AY$25,"")</f>
        <v>0</v>
      </c>
      <c r="S25" s="87"/>
      <c r="T25" s="87">
        <f>_xlfn.XLOOKUP(_xlfn.XLOOKUP($AS$6&amp;$B25,公表[班別+時段],公表[備勤5],""),$AX$9:$AX$25,$AY$9:$AY$25,"")</f>
        <v>4</v>
      </c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87"/>
      <c r="AC25" s="87"/>
      <c r="AD25" s="87"/>
      <c r="AE25" s="88">
        <f>_xlfn.XLOOKUP(_xlfn.XLOOKUP($AS$6&amp;$B25,公表[班別+時段],公表[指揮官],""),$AX$9:$AX$25,$AY$9:$AY$25,"")</f>
        <v>2</v>
      </c>
      <c r="AF25" s="57" t="s">
        <v>28</v>
      </c>
      <c r="AG25" s="305" t="str" cm="1">
        <f t="array" ref="AG25">_xlfn.TEXTJOIN(".",1,_xlfn._xlws.FILTER($AO$9:$AO$40,$AQ$9:$AQ$40=$AF$25,""))</f>
        <v>18.25</v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/>
      </c>
      <c r="AL25" s="309"/>
      <c r="AM25" s="310"/>
      <c r="AN25" s="214"/>
      <c r="AO25" s="127">
        <v>17</v>
      </c>
      <c r="AP25" s="127" t="str">
        <v>楊仲豪</v>
      </c>
      <c r="AQ25" s="127" t="str" cm="1">
        <f t="array" ref="AQ25">IFERROR(_xlfn.XLOOKUP(_xlfn.XLOOKUP($AQ$3,輪休基準表!$C$6:$C$36,_xlfn.XLOOKUP(AP25,輪休基準表!$E$5:$AF$5,輪休基準表!$E$6:$AF$36,""),""),班別參數!$A$4:$A$20,班別參數!$B$4:$B$20,""),"")</f>
        <v>上班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>未排</v>
      </c>
      <c r="AT25" s="180" t="str">
        <f t="shared" si="0"/>
        <v/>
      </c>
      <c r="AU25" s="180" t="str">
        <f t="shared" si="1"/>
        <v/>
      </c>
      <c r="AW25" s="33"/>
      <c r="AX25" s="45"/>
      <c r="AY25" s="25"/>
      <c r="AZ25" s="28"/>
      <c r="BA25" s="33"/>
      <c r="BB25" s="25"/>
      <c r="BD25" s="127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0</v>
      </c>
      <c r="D26" s="95"/>
      <c r="E26" s="95"/>
      <c r="F26" s="95"/>
      <c r="G26" s="122" t="str">
        <f>IF(BC17="","",BC17)</f>
        <v/>
      </c>
      <c r="H26" s="37"/>
      <c r="I26" s="92">
        <f>_xlfn.XLOOKUP(_xlfn.XLOOKUP($AS$6&amp;$B26,公表[班別+時段],公表[救護1],""),$AX$9:$AX$25,$AY$9:$AY$25,"")</f>
        <v>0</v>
      </c>
      <c r="J26" s="92">
        <f>_xlfn.XLOOKUP(_xlfn.XLOOKUP($AS$6&amp;$B26,公表[班別+時段],公表[救護2],""),$AX$9:$AX$25,$AY$9:$AY$25,"")</f>
        <v>0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0</v>
      </c>
      <c r="O26" s="87">
        <f>_xlfn.XLOOKUP(_xlfn.XLOOKUP($AS$6&amp;$B26,公表[班別+時段],公表[備勤2],""),$AX$9:$AX$25,$AY$9:$AY$25,"")</f>
        <v>0</v>
      </c>
      <c r="P26" s="87"/>
      <c r="Q26" s="87">
        <f>_xlfn.XLOOKUP(_xlfn.XLOOKUP($AS$6&amp;$B26,公表[班別+時段],公表[備勤3],""),$AX$9:$AX$25,$AY$9:$AY$25,"")</f>
        <v>0</v>
      </c>
      <c r="R26" s="87">
        <f>_xlfn.XLOOKUP(_xlfn.XLOOKUP($AS$6&amp;$B26,公表[班別+時段],公表[備勤4],""),$AX$9:$AX$25,$AY$9:$AY$25,"")</f>
        <v>0</v>
      </c>
      <c r="S26" s="87"/>
      <c r="T26" s="87">
        <f>_xlfn.XLOOKUP(_xlfn.XLOOKUP($AS$6&amp;$B26,公表[班別+時段],公表[備勤5],""),$AX$9:$AX$25,$AY$9:$AY$25,"")</f>
        <v>4</v>
      </c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87"/>
      <c r="AC26" s="87"/>
      <c r="AD26" s="87"/>
      <c r="AE26" s="88">
        <f>_xlfn.XLOOKUP(_xlfn.XLOOKUP($AS$6&amp;$B26,公表[班別+時段],公表[指揮官],""),$AX$9:$AX$25,$AY$9:$AY$25,"")</f>
        <v>2</v>
      </c>
      <c r="AF26" s="57" t="s">
        <v>289</v>
      </c>
      <c r="AG26" s="178" t="str" cm="1">
        <f t="array" ref="AG26">_xlfn.TEXTJOIN(".",1,_xlfn._xlws.FILTER($AO$9:$AO$40,$AQ$9:$AQ$40=$AF$26,""))</f>
        <v/>
      </c>
      <c r="AH26" s="168" t="s">
        <v>290</v>
      </c>
      <c r="AI26" s="179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>23</v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27">
        <v>18</v>
      </c>
      <c r="AP26" s="127" t="str">
        <v>林志偉</v>
      </c>
      <c r="AQ26" s="127" t="str" cm="1">
        <f t="array" ref="AQ26">IFERROR(_xlfn.XLOOKUP(_xlfn.XLOOKUP($AQ$3,輪休基準表!$C$6:$C$36,_xlfn.XLOOKUP(AP26,輪休基準表!$E$5:$AF$5,輪休基準表!$E$6:$AF$36,""),""),班別參數!$A$4:$A$20,班別參數!$B$4:$B$20,""),"")</f>
        <v>請休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/>
      </c>
      <c r="AT26" s="180" t="str">
        <f t="shared" si="0"/>
        <v/>
      </c>
      <c r="AU26" s="180" t="str">
        <f t="shared" si="1"/>
        <v/>
      </c>
      <c r="AV26" s="10"/>
      <c r="AW26" s="46"/>
      <c r="AX26" s="45"/>
      <c r="AY26" s="25"/>
      <c r="AZ26" s="28"/>
      <c r="BA26" s="33"/>
      <c r="BB26" s="25"/>
      <c r="BD26" s="127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0</v>
      </c>
      <c r="D27" s="95"/>
      <c r="E27" s="95"/>
      <c r="F27" s="95"/>
      <c r="G27" s="122" t="str">
        <f>IF(BC17="","",BC17)</f>
        <v/>
      </c>
      <c r="H27" s="37"/>
      <c r="I27" s="92">
        <f>_xlfn.XLOOKUP(_xlfn.XLOOKUP($AS$6&amp;$B27,公表[班別+時段],公表[救護1],""),$AX$9:$AX$25,$AY$9:$AY$25,"")</f>
        <v>0</v>
      </c>
      <c r="J27" s="92">
        <f>_xlfn.XLOOKUP(_xlfn.XLOOKUP($AS$6&amp;$B27,公表[班別+時段],公表[救護2],""),$AX$9:$AX$25,$AY$9:$AY$25,"")</f>
        <v>0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0</v>
      </c>
      <c r="O27" s="87">
        <f>_xlfn.XLOOKUP(_xlfn.XLOOKUP($AS$6&amp;$B27,公表[班別+時段],公表[備勤2],""),$AX$9:$AX$25,$AY$9:$AY$25,"")</f>
        <v>0</v>
      </c>
      <c r="P27" s="87"/>
      <c r="Q27" s="87">
        <f>_xlfn.XLOOKUP(_xlfn.XLOOKUP($AS$6&amp;$B27,公表[班別+時段],公表[備勤3],""),$AX$9:$AX$25,$AY$9:$AY$25,"")</f>
        <v>0</v>
      </c>
      <c r="R27" s="87">
        <f>_xlfn.XLOOKUP(_xlfn.XLOOKUP($AS$6&amp;$B27,公表[班別+時段],公表[備勤4],""),$AX$9:$AX$25,$AY$9:$AY$25,"")</f>
        <v>0</v>
      </c>
      <c r="S27" s="87"/>
      <c r="T27" s="87">
        <f>_xlfn.XLOOKUP(_xlfn.XLOOKUP($AS$6&amp;$B27,公表[班別+時段],公表[備勤5],""),$AX$9:$AX$25,$AY$9:$AY$25,"")</f>
        <v>4</v>
      </c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87"/>
      <c r="AC27" s="87"/>
      <c r="AD27" s="87"/>
      <c r="AE27" s="88">
        <f>_xlfn.XLOOKUP(_xlfn.XLOOKUP($AS$6&amp;$B27,公表[班別+時段],公表[指揮官],""),$AX$9:$AX$25,$AY$9:$AY$25,"")</f>
        <v>2</v>
      </c>
      <c r="AF27" s="317" t="s">
        <v>215</v>
      </c>
      <c r="AG27" s="319"/>
      <c r="AH27" s="321"/>
      <c r="AI27" s="321"/>
      <c r="AJ27" s="321"/>
      <c r="AK27" s="321"/>
      <c r="AL27" s="321"/>
      <c r="AM27" s="322"/>
      <c r="AN27" s="214"/>
      <c r="AO27" s="127">
        <v>19</v>
      </c>
      <c r="AP27" s="127" t="str">
        <v>劉家誠</v>
      </c>
      <c r="AQ27" s="127" t="str" cm="1">
        <f t="array" ref="AQ27">IFERROR(_xlfn.XLOOKUP(_xlfn.XLOOKUP($AQ$3,輪休基準表!$C$6:$C$36,_xlfn.XLOOKUP(AP27,輪休基準表!$E$5:$AF$5,輪休基準表!$E$6:$AF$36,""),""),班別參數!$A$4:$A$20,班別參數!$B$4:$B$20,""),"")</f>
        <v>輪休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/>
      </c>
      <c r="AT27" s="180" t="str">
        <f t="shared" si="0"/>
        <v/>
      </c>
      <c r="AU27" s="180" t="str">
        <f t="shared" si="1"/>
        <v/>
      </c>
      <c r="AV27" s="10"/>
      <c r="AW27" s="46"/>
      <c r="AX27" s="45"/>
      <c r="AY27" s="25"/>
      <c r="AZ27" s="28"/>
      <c r="BA27" s="33"/>
      <c r="BB27" s="25"/>
      <c r="BD27" s="127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0</v>
      </c>
      <c r="D28" s="95"/>
      <c r="E28" s="95"/>
      <c r="F28" s="95"/>
      <c r="G28" s="122" t="str">
        <f>IF(BC18="","",BC18)</f>
        <v/>
      </c>
      <c r="H28" s="37"/>
      <c r="I28" s="92">
        <f>_xlfn.XLOOKUP(_xlfn.XLOOKUP($AS$6&amp;$B28,公表[班別+時段],公表[救護1],""),$AX$9:$AX$25,$AY$9:$AY$25,"")</f>
        <v>0</v>
      </c>
      <c r="J28" s="92">
        <f>_xlfn.XLOOKUP(_xlfn.XLOOKUP($AS$6&amp;$B28,公表[班別+時段],公表[救護2],""),$AX$9:$AX$25,$AY$9:$AY$25,"")</f>
        <v>0</v>
      </c>
      <c r="K28" s="87"/>
      <c r="L28" s="87" t="s">
        <v>212</v>
      </c>
      <c r="M28" s="312"/>
      <c r="N28" s="87">
        <f>_xlfn.XLOOKUP(_xlfn.XLOOKUP($AS$6&amp;$B28,公表[班別+時段],公表[備勤1],""),$AX$9:$AX$25,$AY$9:$AY$25,"")</f>
        <v>0</v>
      </c>
      <c r="O28" s="87">
        <f>_xlfn.XLOOKUP(_xlfn.XLOOKUP($AS$6&amp;$B28,公表[班別+時段],公表[備勤2],""),$AX$9:$AX$25,$AY$9:$AY$25,"")</f>
        <v>0</v>
      </c>
      <c r="P28" s="87"/>
      <c r="Q28" s="87">
        <f>_xlfn.XLOOKUP(_xlfn.XLOOKUP($AS$6&amp;$B28,公表[班別+時段],公表[備勤3],""),$AX$9:$AX$25,$AY$9:$AY$25,"")</f>
        <v>0</v>
      </c>
      <c r="R28" s="87">
        <f>_xlfn.XLOOKUP(_xlfn.XLOOKUP($AS$6&amp;$B28,公表[班別+時段],公表[備勤4],""),$AX$9:$AX$25,$AY$9:$AY$25,"")</f>
        <v>0</v>
      </c>
      <c r="S28" s="87"/>
      <c r="T28" s="87">
        <f>_xlfn.XLOOKUP(_xlfn.XLOOKUP($AS$6&amp;$B28,公表[班別+時段],公表[備勤5],""),$AX$9:$AX$25,$AY$9:$AY$25,"")</f>
        <v>4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87"/>
      <c r="AC28" s="87"/>
      <c r="AD28" s="87"/>
      <c r="AE28" s="88">
        <f>_xlfn.XLOOKUP(_xlfn.XLOOKUP($AS$6&amp;$B28,公表[班別+時段],公表[指揮官],""),$AX$9:$AX$25,$AY$9:$AY$25,"")</f>
        <v>2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27">
        <v>20</v>
      </c>
      <c r="AP28" s="127" t="str">
        <v>呂奇霈</v>
      </c>
      <c r="AQ28" s="127" t="str" cm="1">
        <f t="array" ref="AQ28">IFERROR(_xlfn.XLOOKUP(_xlfn.XLOOKUP($AQ$3,輪休基準表!$C$6:$C$36,_xlfn.XLOOKUP(AP28,輪休基準表!$E$5:$AF$5,輪休基準表!$E$6:$AF$36,""),""),班別參數!$A$4:$A$20,班別參數!$B$4:$B$20,""),"")</f>
        <v>輪休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27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0</v>
      </c>
      <c r="D29" s="95"/>
      <c r="E29" s="95"/>
      <c r="F29" s="95"/>
      <c r="G29" s="122" t="str">
        <f>IF(BC18="","",BC18)</f>
        <v/>
      </c>
      <c r="H29" s="37"/>
      <c r="I29" s="92">
        <f>_xlfn.XLOOKUP(_xlfn.XLOOKUP($AS$6&amp;$B29,公表[班別+時段],公表[救護1],""),$AX$9:$AX$25,$AY$9:$AY$25,"")</f>
        <v>0</v>
      </c>
      <c r="J29" s="92">
        <f>_xlfn.XLOOKUP(_xlfn.XLOOKUP($AS$6&amp;$B29,公表[班別+時段],公表[救護2],""),$AX$9:$AX$25,$AY$9:$AY$25,"")</f>
        <v>0</v>
      </c>
      <c r="K29" s="87"/>
      <c r="L29" s="87" t="s">
        <v>212</v>
      </c>
      <c r="M29" s="312"/>
      <c r="N29" s="87">
        <f>_xlfn.XLOOKUP(_xlfn.XLOOKUP($AS$6&amp;$B29,公表[班別+時段],公表[備勤1],""),$AX$9:$AX$25,$AY$9:$AY$25,"")</f>
        <v>0</v>
      </c>
      <c r="O29" s="87">
        <f>_xlfn.XLOOKUP(_xlfn.XLOOKUP($AS$6&amp;$B29,公表[班別+時段],公表[備勤2],""),$AX$9:$AX$25,$AY$9:$AY$25,"")</f>
        <v>0</v>
      </c>
      <c r="P29" s="87"/>
      <c r="Q29" s="87">
        <f>_xlfn.XLOOKUP(_xlfn.XLOOKUP($AS$6&amp;$B29,公表[班別+時段],公表[備勤3],""),$AX$9:$AX$25,$AY$9:$AY$25,"")</f>
        <v>0</v>
      </c>
      <c r="R29" s="87">
        <f>_xlfn.XLOOKUP(_xlfn.XLOOKUP($AS$6&amp;$B29,公表[班別+時段],公表[備勤4],""),$AX$9:$AX$25,$AY$9:$AY$25,"")</f>
        <v>0</v>
      </c>
      <c r="S29" s="87"/>
      <c r="T29" s="87">
        <f>_xlfn.XLOOKUP(_xlfn.XLOOKUP($AS$6&amp;$B29,公表[班別+時段],公表[備勤5],""),$AX$9:$AX$25,$AY$9:$AY$25,"")</f>
        <v>4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87"/>
      <c r="AC29" s="87"/>
      <c r="AD29" s="87"/>
      <c r="AE29" s="88">
        <f>_xlfn.XLOOKUP(_xlfn.XLOOKUP($AS$6&amp;$B29,公表[班別+時段],公表[指揮官],""),$AX$9:$AX$25,$AY$9:$AY$25,"")</f>
        <v>2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27">
        <v>21</v>
      </c>
      <c r="AP29" s="127" t="str">
        <v>張家和</v>
      </c>
      <c r="AQ29" s="127" t="str" cm="1">
        <f t="array" ref="AQ29">IFERROR(_xlfn.XLOOKUP(_xlfn.XLOOKUP($AQ$3,輪休基準表!$C$6:$C$36,_xlfn.XLOOKUP(AP29,輪休基準表!$E$5:$AF$5,輪休基準表!$E$6:$AF$36,""),""),班別參數!$A$4:$A$20,班別參數!$B$4:$B$20,""),"")</f>
        <v>上班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>未排</v>
      </c>
      <c r="AT29" s="180" t="str">
        <f t="shared" si="0"/>
        <v/>
      </c>
      <c r="AU29" s="180" t="str">
        <f t="shared" si="1"/>
        <v/>
      </c>
      <c r="AV29" s="10"/>
      <c r="AW29" s="47"/>
      <c r="AX29" s="45"/>
      <c r="AY29" s="25"/>
      <c r="AZ29" s="28"/>
      <c r="BA29" s="33"/>
      <c r="BB29" s="25"/>
      <c r="BD29" s="127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0</v>
      </c>
      <c r="D30" s="95"/>
      <c r="E30" s="95"/>
      <c r="F30" s="95"/>
      <c r="G30" s="122" t="str">
        <f>IF(BC19="","",BC19)</f>
        <v/>
      </c>
      <c r="H30" s="37"/>
      <c r="I30" s="92">
        <f>_xlfn.XLOOKUP(_xlfn.XLOOKUP($AS$6&amp;$B30,公表[班別+時段],公表[救護1],""),$AX$9:$AX$25,$AY$9:$AY$25,"")</f>
        <v>0</v>
      </c>
      <c r="J30" s="92">
        <f>_xlfn.XLOOKUP(_xlfn.XLOOKUP($AS$6&amp;$B30,公表[班別+時段],公表[救護2],""),$AX$9:$AX$25,$AY$9:$AY$25,"")</f>
        <v>0</v>
      </c>
      <c r="K30" s="87"/>
      <c r="L30" s="87" t="s">
        <v>212</v>
      </c>
      <c r="M30" s="312"/>
      <c r="N30" s="87">
        <f>_xlfn.XLOOKUP(_xlfn.XLOOKUP($AS$6&amp;$B30,公表[班別+時段],公表[備勤1],""),$AX$9:$AX$25,$AY$9:$AY$25,"")</f>
        <v>0</v>
      </c>
      <c r="O30" s="87">
        <f>_xlfn.XLOOKUP(_xlfn.XLOOKUP($AS$6&amp;$B30,公表[班別+時段],公表[備勤2],""),$AX$9:$AX$25,$AY$9:$AY$25,"")</f>
        <v>0</v>
      </c>
      <c r="P30" s="87"/>
      <c r="Q30" s="87">
        <f>_xlfn.XLOOKUP(_xlfn.XLOOKUP($AS$6&amp;$B30,公表[班別+時段],公表[備勤3],""),$AX$9:$AX$25,$AY$9:$AY$25,"")</f>
        <v>0</v>
      </c>
      <c r="R30" s="87">
        <f>_xlfn.XLOOKUP(_xlfn.XLOOKUP($AS$6&amp;$B30,公表[班別+時段],公表[備勤4],""),$AX$9:$AX$25,$AY$9:$AY$25,"")</f>
        <v>0</v>
      </c>
      <c r="S30" s="87"/>
      <c r="T30" s="87">
        <f>_xlfn.XLOOKUP(_xlfn.XLOOKUP($AS$6&amp;$B30,公表[班別+時段],公表[備勤5],""),$AX$9:$AX$25,$AY$9:$AY$25,"")</f>
        <v>4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87"/>
      <c r="AC30" s="87"/>
      <c r="AD30" s="87"/>
      <c r="AE30" s="88">
        <f>_xlfn.XLOOKUP(_xlfn.XLOOKUP($AS$6&amp;$B30,公表[班別+時段],公表[指揮官],""),$AX$9:$AX$25,$AY$9:$AY$25,"")</f>
        <v>2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27">
        <v>22</v>
      </c>
      <c r="AP30" s="127" t="str">
        <v>陳俊瑋</v>
      </c>
      <c r="AQ30" s="127" t="str" cm="1">
        <f t="array" ref="AQ30">IFERROR(_xlfn.XLOOKUP(_xlfn.XLOOKUP($AQ$3,輪休基準表!$C$6:$C$36,_xlfn.XLOOKUP(AP30,輪休基準表!$E$5:$AF$5,輪休基準表!$E$6:$AF$36,""),""),班別參數!$A$4:$A$20,班別參數!$B$4:$B$20,""),"")</f>
        <v>輪休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27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0</v>
      </c>
      <c r="D31" s="106"/>
      <c r="E31" s="96"/>
      <c r="F31" s="96"/>
      <c r="G31" s="123" t="str">
        <f>IF(BC19="","",BC19)</f>
        <v/>
      </c>
      <c r="H31" s="109"/>
      <c r="I31" s="216">
        <f>_xlfn.XLOOKUP(_xlfn.XLOOKUP($AS$6&amp;$B31,公表[班別+時段],公表[救護1],""),$AX$9:$AX$25,$AY$9:$AY$25,"")</f>
        <v>0</v>
      </c>
      <c r="J31" s="216">
        <f>_xlfn.XLOOKUP(_xlfn.XLOOKUP($AS$6&amp;$B31,公表[班別+時段],公表[救護2],""),$AX$9:$AX$25,$AY$9:$AY$25,"")</f>
        <v>0</v>
      </c>
      <c r="K31" s="108"/>
      <c r="L31" s="93" t="s">
        <v>212</v>
      </c>
      <c r="M31" s="312"/>
      <c r="N31" s="89">
        <f>_xlfn.XLOOKUP(_xlfn.XLOOKUP($AS$6&amp;$B31,公表[班別+時段],公表[備勤1],""),$AX$9:$AX$25,$AY$9:$AY$25,"")</f>
        <v>0</v>
      </c>
      <c r="O31" s="89">
        <f>_xlfn.XLOOKUP(_xlfn.XLOOKUP($AS$6&amp;$B31,公表[班別+時段],公表[備勤2],""),$AX$9:$AX$25,$AY$9:$AY$25,"")</f>
        <v>0</v>
      </c>
      <c r="P31" s="89"/>
      <c r="Q31" s="89">
        <f>_xlfn.XLOOKUP(_xlfn.XLOOKUP($AS$6&amp;$B31,公表[班別+時段],公表[備勤3],""),$AX$9:$AX$25,$AY$9:$AY$25,"")</f>
        <v>0</v>
      </c>
      <c r="R31" s="89">
        <f>_xlfn.XLOOKUP(_xlfn.XLOOKUP($AS$6&amp;$B31,公表[班別+時段],公表[備勤4],""),$AX$9:$AX$25,$AY$9:$AY$25,"")</f>
        <v>0</v>
      </c>
      <c r="S31" s="89"/>
      <c r="T31" s="89">
        <f>_xlfn.XLOOKUP(_xlfn.XLOOKUP($AS$6&amp;$B31,公表[班別+時段],公表[備勤5],""),$AX$9:$AX$25,$AY$9:$AY$25,"")</f>
        <v>4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89"/>
      <c r="AC31" s="89"/>
      <c r="AD31" s="89"/>
      <c r="AE31" s="104">
        <f>_xlfn.XLOOKUP(_xlfn.XLOOKUP($AS$6&amp;$B31,公表[班別+時段],公表[指揮官],""),$AX$9:$AX$25,$AY$9:$AY$25,"")</f>
        <v>2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27">
        <v>23</v>
      </c>
      <c r="AP31" s="127" t="str">
        <v>陳俊翰</v>
      </c>
      <c r="AQ31" s="127" t="str" cm="1">
        <f t="array" ref="AQ31">IFERROR(_xlfn.XLOOKUP(_xlfn.XLOOKUP($AQ$3,輪休基準表!$C$6:$C$36,_xlfn.XLOOKUP(AP31,輪休基準表!$E$5:$AF$5,輪休基準表!$E$6:$AF$36,""),""),班別參數!$A$4:$A$20,班別參數!$B$4:$B$20,""),"")</f>
        <v>身心假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/>
      </c>
      <c r="AT31" s="180" t="str">
        <f t="shared" si="0"/>
        <v/>
      </c>
      <c r="AU31" s="180" t="str">
        <f t="shared" si="1"/>
        <v/>
      </c>
      <c r="AW31" s="47"/>
      <c r="AX31" s="45"/>
      <c r="AY31" s="25"/>
      <c r="AZ31" s="28"/>
      <c r="BA31" s="33"/>
      <c r="BB31" s="25"/>
      <c r="BD31" s="127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0</v>
      </c>
      <c r="D32" s="97"/>
      <c r="E32" s="97"/>
      <c r="F32" s="97"/>
      <c r="G32" s="121" t="str">
        <f>IF(BC20="","",BC20)</f>
        <v>4</v>
      </c>
      <c r="H32" s="56"/>
      <c r="I32" s="94">
        <f>_xlfn.XLOOKUP(_xlfn.XLOOKUP($AS$6&amp;$B32,公表[班別+時段],公表[救護1],""),$AX$9:$AX$25,$AY$9:$AY$25,"")</f>
        <v>0</v>
      </c>
      <c r="J32" s="94">
        <f>_xlfn.XLOOKUP(_xlfn.XLOOKUP($AS$6&amp;$B32,公表[班別+時段],公表[救護2],""),$AX$9:$AX$25,$AY$9:$AY$25,"")</f>
        <v>0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0</v>
      </c>
      <c r="O32" s="90">
        <f>_xlfn.XLOOKUP(_xlfn.XLOOKUP($AS$6&amp;$B32,公表[班別+時段],公表[備勤2],""),$AX$9:$AX$25,$AY$9:$AY$25,"")</f>
        <v>0</v>
      </c>
      <c r="P32" s="90"/>
      <c r="Q32" s="90">
        <f>_xlfn.XLOOKUP(_xlfn.XLOOKUP($AS$6&amp;$B32,公表[班別+時段],公表[備勤3],""),$AX$9:$AX$25,$AY$9:$AY$25,"")</f>
        <v>0</v>
      </c>
      <c r="R32" s="90">
        <f>_xlfn.XLOOKUP(_xlfn.XLOOKUP($AS$6&amp;$B32,公表[班別+時段],公表[備勤4],""),$AX$9:$AX$25,$AY$9:$AY$25,"")</f>
        <v>0</v>
      </c>
      <c r="S32" s="90"/>
      <c r="T32" s="90">
        <f>_xlfn.XLOOKUP(_xlfn.XLOOKUP($AS$6&amp;$B32,公表[班別+時段],公表[備勤5],""),$AX$9:$AX$25,$AY$9:$AY$25,"")</f>
        <v>0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90"/>
      <c r="AC32" s="90"/>
      <c r="AD32" s="90"/>
      <c r="AE32" s="91">
        <f>_xlfn.XLOOKUP(_xlfn.XLOOKUP($AS$6&amp;$B32,公表[班別+時段],公表[指揮官],""),$AX$9:$AX$25,$AY$9:$AY$25,"")</f>
        <v>2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27">
        <v>24</v>
      </c>
      <c r="AP32" s="127" t="str">
        <v>賴俊豪</v>
      </c>
      <c r="AQ32" s="127" t="str" cm="1">
        <f t="array" ref="AQ32">IFERROR(_xlfn.XLOOKUP(_xlfn.XLOOKUP($AQ$3,輪休基準表!$C$6:$C$36,_xlfn.XLOOKUP(AP32,輪休基準表!$E$5:$AF$5,輪休基準表!$E$6:$AF$36,""),""),班別參數!$A$4:$A$20,班別參數!$B$4:$B$20,""),"")</f>
        <v>輪休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/>
      </c>
      <c r="AT32" s="180" t="str">
        <f t="shared" si="0"/>
        <v/>
      </c>
      <c r="AU32" s="180" t="str">
        <f t="shared" si="1"/>
        <v/>
      </c>
      <c r="AW32" s="47"/>
      <c r="AX32" s="45"/>
      <c r="AY32" s="25"/>
      <c r="AZ32" s="28"/>
      <c r="BA32" s="33"/>
      <c r="BB32" s="25"/>
      <c r="BD32" s="127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0</v>
      </c>
      <c r="D33" s="95"/>
      <c r="E33" s="95"/>
      <c r="F33" s="95"/>
      <c r="G33" s="122" t="str">
        <f>IF(BC20="","",BC20)</f>
        <v>4</v>
      </c>
      <c r="H33" s="48"/>
      <c r="I33" s="92">
        <f>_xlfn.XLOOKUP(_xlfn.XLOOKUP($AS$6&amp;$B33,公表[班別+時段],公表[救護1],""),$AX$9:$AX$25,$AY$9:$AY$25,"")</f>
        <v>0</v>
      </c>
      <c r="J33" s="92">
        <f>_xlfn.XLOOKUP(_xlfn.XLOOKUP($AS$6&amp;$B33,公表[班別+時段],公表[救護2],""),$AX$9:$AX$25,$AY$9:$AY$25,"")</f>
        <v>0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0</v>
      </c>
      <c r="O33" s="87">
        <f>_xlfn.XLOOKUP(_xlfn.XLOOKUP($AS$6&amp;$B33,公表[班別+時段],公表[備勤2],""),$AX$9:$AX$25,$AY$9:$AY$25,"")</f>
        <v>0</v>
      </c>
      <c r="P33" s="87"/>
      <c r="Q33" s="87">
        <f>_xlfn.XLOOKUP(_xlfn.XLOOKUP($AS$6&amp;$B33,公表[班別+時段],公表[備勤3],""),$AX$9:$AX$25,$AY$9:$AY$25,"")</f>
        <v>0</v>
      </c>
      <c r="R33" s="87">
        <f>_xlfn.XLOOKUP(_xlfn.XLOOKUP($AS$6&amp;$B33,公表[班別+時段],公表[備勤4],""),$AX$9:$AX$25,$AY$9:$AY$25,"")</f>
        <v>0</v>
      </c>
      <c r="S33" s="87"/>
      <c r="T33" s="87">
        <f>_xlfn.XLOOKUP(_xlfn.XLOOKUP($AS$6&amp;$B33,公表[班別+時段],公表[備勤5],""),$AX$9:$AX$25,$AY$9:$AY$25,"")</f>
        <v>0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87"/>
      <c r="AC33" s="87"/>
      <c r="AD33" s="87"/>
      <c r="AE33" s="88">
        <f>_xlfn.XLOOKUP(_xlfn.XLOOKUP($AS$6&amp;$B33,公表[班別+時段],公表[指揮官],""),$AX$9:$AX$25,$AY$9:$AY$25,"")</f>
        <v>2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27">
        <v>25</v>
      </c>
      <c r="AP33" s="127" t="str">
        <v>郭國偵</v>
      </c>
      <c r="AQ33" s="127" t="str" cm="1">
        <f t="array" ref="AQ33">IFERROR(_xlfn.XLOOKUP(_xlfn.XLOOKUP($AQ$3,輪休基準表!$C$6:$C$36,_xlfn.XLOOKUP(AP33,輪休基準表!$E$5:$AF$5,輪休基準表!$E$6:$AF$36,""),""),班別參數!$A$4:$A$20,班別參數!$B$4:$B$20,""),"")</f>
        <v>請休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/>
      </c>
      <c r="AT33" s="180" t="str">
        <f t="shared" si="0"/>
        <v/>
      </c>
      <c r="AU33" s="180" t="str">
        <f t="shared" si="1"/>
        <v/>
      </c>
      <c r="AW33" s="47"/>
      <c r="AX33" s="45"/>
      <c r="AY33" s="25"/>
      <c r="AZ33" s="28"/>
      <c r="BA33" s="25"/>
      <c r="BB33" s="25"/>
      <c r="BD33" s="127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一、本日主管輪休，職務由小隊長莊勝斌代理。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27">
        <v>26</v>
      </c>
      <c r="AP34" s="127" t="str">
        <v>楊紹文</v>
      </c>
      <c r="AQ34" s="127" t="str" cm="1">
        <f t="array" ref="AQ34">IFERROR(_xlfn.XLOOKUP(_xlfn.XLOOKUP($AQ$3,輪休基準表!$C$6:$C$36,_xlfn.XLOOKUP(AP34,輪休基準表!$E$5:$AF$5,輪休基準表!$E$6:$AF$36,""),""),班別參數!$A$4:$A$20,班別參數!$B$4:$B$20,""),"")</f>
        <v>上班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>未排</v>
      </c>
      <c r="AT34" s="180" t="str">
        <f t="shared" si="0"/>
        <v/>
      </c>
      <c r="AU34" s="180" t="str">
        <f t="shared" si="1"/>
        <v/>
      </c>
      <c r="AW34" s="47"/>
      <c r="AX34" s="45"/>
      <c r="AY34" s="25"/>
      <c r="AZ34" s="28"/>
      <c r="BA34" s="25"/>
      <c r="BB34" s="25"/>
      <c r="BD34" s="127"/>
    </row>
    <row r="35" spans="2:56" ht="30" customHeight="1">
      <c r="B35" s="349"/>
      <c r="C35" s="359" t="str">
        <f>CONCATENATE("二、在隊訓練:09-12時:",H11,";14-17時:",H16,";19-21時:",H21,"。")</f>
        <v>二、在隊訓練:09-12時:車輛駕訓;14-17時:環境整理;19-21時:器材車、化學(處理)車。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27">
        <v>27</v>
      </c>
      <c r="AP35" s="127" t="str">
        <v>林宏為</v>
      </c>
      <c r="AQ35" s="127" t="str" cm="1">
        <f t="array" ref="AQ35">IFERROR(_xlfn.XLOOKUP(_xlfn.XLOOKUP($AQ$3,輪休基準表!$C$6:$C$36,_xlfn.XLOOKUP(AP35,輪休基準表!$E$5:$AF$5,輪休基準表!$E$6:$AF$36,""),""),班別參數!$A$4:$A$20,班別參數!$B$4:$B$20,""),"")</f>
        <v>輪休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/>
      </c>
      <c r="AT35" s="180" t="str">
        <f t="shared" si="0"/>
        <v/>
      </c>
      <c r="AU35" s="180" t="str">
        <f t="shared" si="1"/>
        <v/>
      </c>
      <c r="AW35" s="47"/>
      <c r="AX35" s="45"/>
      <c r="AY35" s="25"/>
      <c r="AZ35" s="28"/>
      <c r="BA35" s="25"/>
      <c r="BB35" s="25"/>
      <c r="BD35" s="127"/>
    </row>
    <row r="36" spans="2:56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27">
        <v>28</v>
      </c>
      <c r="AP36" s="127" t="str">
        <v>林宸彥</v>
      </c>
      <c r="AQ36" s="127" t="str" cm="1">
        <f t="array" ref="AQ36">IFERROR(_xlfn.XLOOKUP(_xlfn.XLOOKUP($AQ$3,輪休基準表!$C$6:$C$36,_xlfn.XLOOKUP(AP36,輪休基準表!$E$5:$AF$5,輪休基準表!$E$6:$AF$36,""),""),班別參數!$A$4:$A$20,班別參數!$B$4:$B$20,""),"")</f>
        <v>上班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>未排</v>
      </c>
      <c r="AT36" s="180" t="str">
        <f t="shared" si="0"/>
        <v/>
      </c>
      <c r="AU36" s="180" t="str">
        <f t="shared" si="1"/>
        <v/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27"/>
      <c r="AP37" s="127"/>
      <c r="AQ37" s="127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27"/>
      <c r="BD37" s="10"/>
    </row>
    <row r="38" spans="2:56" ht="15" customHeight="1">
      <c r="AQ38" s="127"/>
      <c r="AR38" s="118"/>
      <c r="AS38" s="119"/>
      <c r="AT38" s="119"/>
    </row>
    <row r="39" spans="2:56" ht="15" customHeight="1">
      <c r="AR39" s="118"/>
      <c r="AS39" s="119"/>
      <c r="AT39" s="119"/>
    </row>
    <row r="40" spans="2:56" ht="15" customHeight="1">
      <c r="AR40" s="118"/>
      <c r="AS40" s="119"/>
      <c r="AT40" s="119"/>
    </row>
  </sheetData>
  <mergeCells count="71">
    <mergeCell ref="AG22:AK22"/>
    <mergeCell ref="AG23:AM23"/>
    <mergeCell ref="AG24:AI24"/>
    <mergeCell ref="AK24:AM24"/>
    <mergeCell ref="AF33:AG33"/>
    <mergeCell ref="AH33:AI33"/>
    <mergeCell ref="AJ33:AK33"/>
    <mergeCell ref="AF31:AG31"/>
    <mergeCell ref="AH31:AI31"/>
    <mergeCell ref="AJ31:AK31"/>
    <mergeCell ref="AF32:AG32"/>
    <mergeCell ref="AH32:AI32"/>
    <mergeCell ref="AJ32:AK32"/>
    <mergeCell ref="AF27:AF28"/>
    <mergeCell ref="AG27:AM27"/>
    <mergeCell ref="AG28:AM28"/>
    <mergeCell ref="B34:B36"/>
    <mergeCell ref="C34:AE34"/>
    <mergeCell ref="AF34:AM34"/>
    <mergeCell ref="C35:AE35"/>
    <mergeCell ref="AF35:AM35"/>
    <mergeCell ref="C36:AE36"/>
    <mergeCell ref="AF36:AM36"/>
    <mergeCell ref="AF29:AM29"/>
    <mergeCell ref="AF30:AG30"/>
    <mergeCell ref="AH30:AI30"/>
    <mergeCell ref="AJ30:AK30"/>
    <mergeCell ref="AG25:AI25"/>
    <mergeCell ref="AK25:AM25"/>
    <mergeCell ref="C8:AE8"/>
    <mergeCell ref="C9:AE9"/>
    <mergeCell ref="M10:M33"/>
    <mergeCell ref="H11:H13"/>
    <mergeCell ref="H16:H18"/>
    <mergeCell ref="H21:H22"/>
    <mergeCell ref="I6:J6"/>
    <mergeCell ref="K6:L6"/>
    <mergeCell ref="N6:P6"/>
    <mergeCell ref="Q6:S6"/>
    <mergeCell ref="T6:V6"/>
    <mergeCell ref="AF5:AM6"/>
    <mergeCell ref="AO5:AO6"/>
    <mergeCell ref="T7:V7"/>
    <mergeCell ref="AR5:AR6"/>
    <mergeCell ref="AS5:AT5"/>
    <mergeCell ref="W6:Y6"/>
    <mergeCell ref="AE6:AE7"/>
    <mergeCell ref="AS6:AT6"/>
    <mergeCell ref="AP5:AQ6"/>
    <mergeCell ref="G5:G7"/>
    <mergeCell ref="B3:AM3"/>
    <mergeCell ref="AW3:AX3"/>
    <mergeCell ref="AY3:BB3"/>
    <mergeCell ref="B4:AI4"/>
    <mergeCell ref="AJ4:AM4"/>
    <mergeCell ref="AW4:AX4"/>
    <mergeCell ref="AY4:BB4"/>
    <mergeCell ref="B5:B7"/>
    <mergeCell ref="C5:C7"/>
    <mergeCell ref="D5:D7"/>
    <mergeCell ref="E5:E7"/>
    <mergeCell ref="F5:F7"/>
    <mergeCell ref="H5:H7"/>
    <mergeCell ref="I5:L5"/>
    <mergeCell ref="M5:AE5"/>
    <mergeCell ref="AY2:BB2"/>
    <mergeCell ref="B1:AE1"/>
    <mergeCell ref="AP1:AQ1"/>
    <mergeCell ref="B2:AE2"/>
    <mergeCell ref="AG2:AM2"/>
    <mergeCell ref="AW2:AX2"/>
  </mergeCells>
  <phoneticPr fontId="9" type="noConversion"/>
  <conditionalFormatting sqref="AO9:AQ36 AO37:AP37 AQ37:AQ38">
    <cfRule type="expression" dxfId="51" priority="16">
      <formula>COUNTIF($AQ9,"上班")&gt;=1</formula>
    </cfRule>
  </conditionalFormatting>
  <conditionalFormatting sqref="AF8:AF13 AH8:AH21 AJ8:AJ21 AL8:AM21">
    <cfRule type="expression" dxfId="50" priority="11">
      <formula>OR(VLOOKUP(AF8,$AO$9:$AQ$40,3,0)="上班",VLOOKUP(AF8,$AO$9:$AQ$40,3,0)="外宿")</formula>
    </cfRule>
  </conditionalFormatting>
  <conditionalFormatting sqref="AL8">
    <cfRule type="expression" dxfId="49" priority="10">
      <formula>OR(VLOOKUP(AL8,$AO$9:$AQ$36,3,0)="上班",VLOOKUP(AL8,$AO$9:$AQ$36,3,0)="外宿")</formula>
    </cfRule>
  </conditionalFormatting>
  <conditionalFormatting sqref="AR9:AR36">
    <cfRule type="notContainsText" dxfId="48" priority="2" operator="notContains" text="已排">
      <formula>ISERROR(SEARCH("已排",AR9))</formula>
    </cfRule>
  </conditionalFormatting>
  <conditionalFormatting sqref="AS9:AS36">
    <cfRule type="notContainsText" dxfId="47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9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540CF-FC3A-4A84-BEFC-28628A861994}">
  <sheetPr codeName="工作表29">
    <pageSetUpPr fitToPage="1"/>
  </sheetPr>
  <dimension ref="B1:BD40"/>
  <sheetViews>
    <sheetView showZeros="0" view="pageBreakPreview" zoomScale="55" zoomScaleNormal="55" zoomScaleSheetLayoutView="55" workbookViewId="0">
      <selection activeCell="I6" sqref="I6:V7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6" width="5.375" style="126" customWidth="1"/>
    <col min="7" max="8" width="8.625" style="126" customWidth="1"/>
    <col min="9" max="12" width="5.375" style="126" customWidth="1"/>
    <col min="13" max="13" width="6.625" style="126" customWidth="1"/>
    <col min="14" max="31" width="5.375" style="126" customWidth="1"/>
    <col min="32" max="32" width="7.625" style="126" customWidth="1"/>
    <col min="33" max="33" width="10.625" style="126" customWidth="1"/>
    <col min="34" max="34" width="7.625" style="126" customWidth="1"/>
    <col min="35" max="35" width="10.625" style="126" customWidth="1"/>
    <col min="36" max="36" width="7.625" style="126" customWidth="1"/>
    <col min="37" max="37" width="10.625" style="126" customWidth="1"/>
    <col min="38" max="38" width="7.625" style="126" customWidth="1"/>
    <col min="39" max="39" width="10.625" style="126" customWidth="1"/>
    <col min="40" max="40" width="4.125" style="213" customWidth="1"/>
    <col min="41" max="47" width="11.625" style="126" customWidth="1"/>
    <col min="48" max="48" width="4.125" style="126" customWidth="1"/>
    <col min="49" max="49" width="16" style="126" customWidth="1"/>
    <col min="50" max="51" width="8.25" style="126" customWidth="1"/>
    <col min="52" max="52" width="4.125" style="126" customWidth="1"/>
    <col min="53" max="53" width="16" style="126" customWidth="1"/>
    <col min="54" max="54" width="8.25" style="126" customWidth="1"/>
    <col min="55" max="55" width="10.875" style="126" customWidth="1"/>
    <col min="56" max="58" width="4.125" style="126" customWidth="1"/>
    <col min="59" max="16384" width="11.25" style="126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27"/>
      <c r="AP1" s="399"/>
      <c r="AQ1" s="399"/>
      <c r="AR1" s="127"/>
      <c r="AS1" s="127"/>
      <c r="AT1" s="127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3" t="s">
        <v>178</v>
      </c>
      <c r="AR2" s="146" t="s">
        <v>228</v>
      </c>
      <c r="AS2" s="142"/>
      <c r="AT2" s="140"/>
      <c r="AU2" s="127"/>
      <c r="AV2" s="127"/>
      <c r="AW2" s="362" t="s">
        <v>127</v>
      </c>
      <c r="AX2" s="287"/>
      <c r="AY2" s="367" t="str">
        <f>_xlfn.XLOOKUP($AR$3,訓練!$L$13:$L$19,訓練!$M$13:$M$19,"")</f>
        <v>河川抽水及水源運用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115年5月25日星期一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25</v>
      </c>
      <c r="AR3" s="141" t="str">
        <f>RIGHT(TEXT(1911+$AO$3&amp;"/"&amp;$AP$3&amp;"/"&amp;$AQ$3,"aaaa"),1)</f>
        <v>一</v>
      </c>
      <c r="AS3" s="145"/>
      <c r="AT3" s="145"/>
      <c r="AU3" s="127"/>
      <c r="AV3" s="127"/>
      <c r="AW3" s="362" t="s">
        <v>128</v>
      </c>
      <c r="AX3" s="287"/>
      <c r="AY3" s="368" t="str">
        <f>_xlfn.XLOOKUP($AR$3,訓練!$L$13:$L$19,訓練!$N$13:$N$19,"")</f>
        <v>SCBA訓練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27"/>
      <c r="AU4" s="127"/>
      <c r="AV4" s="127"/>
      <c r="AW4" s="362" t="s">
        <v>129</v>
      </c>
      <c r="AX4" s="287"/>
      <c r="AY4" s="363" t="str">
        <f>_xlfn.XLOOKUP($AR$3,訓練!$L$13:$L$19,訓練!$O$13:$O$19,"")</f>
        <v>火災特性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2"/>
      <c r="E5" s="340"/>
      <c r="F5" s="340"/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341"/>
      <c r="E6" s="341"/>
      <c r="F6" s="341"/>
      <c r="G6" s="312"/>
      <c r="H6" s="312"/>
      <c r="I6" s="334" t="s">
        <v>227</v>
      </c>
      <c r="J6" s="335"/>
      <c r="K6" s="334" t="s">
        <v>346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1+8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341"/>
      <c r="E7" s="341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192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27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27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27" cm="1">
        <f t="array" ref="AO9:AP36">TRANSPOSE(輪休基準表!E4:AF5)</f>
        <v>1</v>
      </c>
      <c r="AP9" s="127" t="str">
        <v>鄧力嘉</v>
      </c>
      <c r="AQ9" s="127" t="str" cm="1">
        <f t="array" ref="AQ9">IFERROR(_xlfn.XLOOKUP(_xlfn.XLOOKUP($AQ$3,輪休基準表!$C$6:$C$36,_xlfn.XLOOKUP(AP9,輪休基準表!$E$5:$AF$5,輪休基準表!$E$6:$AF$36,""),""),班別參數!$A$4:$A$20,班別參數!$B$4:$B$20,""),"")</f>
        <v>月補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/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 t="array" ref="AX9">IFERROR(INDEX(班別參數!$D$4:$S$20,MATCH(AW9,班別參數!$D$4:$D$20,0),MATCH($AS$6,班別參數!$D$4:$S$4,0)),"")</f>
        <v>A</v>
      </c>
      <c r="AY9" s="35"/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/>
      </c>
      <c r="BD9" s="127"/>
    </row>
    <row r="10" spans="2:56" ht="30" customHeight="1">
      <c r="B10" s="81" t="s">
        <v>70</v>
      </c>
      <c r="C10" s="87">
        <f>_xlfn.XLOOKUP(_xlfn.XLOOKUP($AS$6&amp;$B10,公表[班別+時段],公表[值班],""),$AX$9:$AX$25,$AY$9:$AY$25,"")</f>
        <v>0</v>
      </c>
      <c r="D10" s="95"/>
      <c r="E10" s="95"/>
      <c r="F10" s="95"/>
      <c r="G10" s="122" t="str">
        <f>IF(BC9="","",BC9)</f>
        <v/>
      </c>
      <c r="H10" s="37"/>
      <c r="I10" s="92">
        <f>_xlfn.XLOOKUP(_xlfn.XLOOKUP($AS$6&amp;$B10,公表[班別+時段],公表[救護1],""),$AX$9:$AX$25,$AY$9:$AY$25,"")</f>
        <v>0</v>
      </c>
      <c r="J10" s="92">
        <f>_xlfn.XLOOKUP(_xlfn.XLOOKUP($AS$6&amp;$B10,公表[班別+時段],公表[救護2],""),$AX$9:$AX$25,$AY$9:$AY$25,"")</f>
        <v>0</v>
      </c>
      <c r="K10" s="87"/>
      <c r="L10" s="87" t="s">
        <v>212</v>
      </c>
      <c r="M10" s="311"/>
      <c r="N10" s="87">
        <f>_xlfn.XLOOKUP(_xlfn.XLOOKUP($AS$6&amp;$B10,公表[班別+時段],公表[備勤1],""),$AX$9:$AX$25,$AY$9:$AY$25,"")</f>
        <v>0</v>
      </c>
      <c r="O10" s="87">
        <f>_xlfn.XLOOKUP(_xlfn.XLOOKUP($AS$6&amp;$B10,公表[班別+時段],公表[備勤2],""),$AX$9:$AX$25,$AY$9:$AY$25,"")</f>
        <v>0</v>
      </c>
      <c r="P10" s="87"/>
      <c r="Q10" s="87">
        <f>_xlfn.XLOOKUP(_xlfn.XLOOKUP($AS$6&amp;$B10,公表[班別+時段],公表[備勤3],""),$AX$9:$AX$25,$AY$9:$AY$25,"")</f>
        <v>0</v>
      </c>
      <c r="R10" s="87">
        <f>_xlfn.XLOOKUP(_xlfn.XLOOKUP($AS$6&amp;$B10,公表[班別+時段],公表[備勤4],""),$AX$9:$AX$25,$AY$9:$AY$25,"")</f>
        <v>0</v>
      </c>
      <c r="S10" s="87"/>
      <c r="T10" s="87">
        <f>_xlfn.XLOOKUP(_xlfn.XLOOKUP($AS$6&amp;$B10,公表[班別+時段],公表[備勤5],""),$AX$9:$AX$25,$AY$9:$AY$25,"")</f>
        <v>0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87"/>
      <c r="AB10" s="87"/>
      <c r="AC10" s="87"/>
      <c r="AD10" s="87"/>
      <c r="AE10" s="88">
        <f>_xlfn.XLOOKUP(_xlfn.XLOOKUP($AS$6&amp;$B10,公表[班別+時段],公表[指揮官],""),$AX$9:$AX$25,$AY$9:$AY$25,"")</f>
        <v>3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27">
        <v>2</v>
      </c>
      <c r="AP10" s="127" t="str">
        <v>莊勝斌</v>
      </c>
      <c r="AQ10" s="127" t="str" cm="1">
        <f t="array" ref="AQ10">IFERROR(_xlfn.XLOOKUP(_xlfn.XLOOKUP($AQ$3,輪休基準表!$C$6:$C$36,_xlfn.XLOOKUP(AP10,輪休基準表!$E$5:$AF$5,輪休基準表!$E$6:$AF$36,""),""),班別參數!$A$4:$A$20,班別參數!$B$4:$B$20,""),"")</f>
        <v>輪休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/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/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/>
      </c>
      <c r="BD10" s="127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0</v>
      </c>
      <c r="D11" s="95"/>
      <c r="E11" s="95"/>
      <c r="F11" s="95"/>
      <c r="G11" s="122" t="str">
        <f>IF(BC9="","",BC9)</f>
        <v/>
      </c>
      <c r="H11" s="296" t="str">
        <f>AY2</f>
        <v>河川抽水及水源運用</v>
      </c>
      <c r="I11" s="92">
        <f>_xlfn.XLOOKUP(_xlfn.XLOOKUP($AS$6&amp;$B11,公表[班別+時段],公表[救護1],""),$AX$9:$AX$25,$AY$9:$AY$25,"")</f>
        <v>0</v>
      </c>
      <c r="J11" s="92">
        <f>_xlfn.XLOOKUP(_xlfn.XLOOKUP($AS$6&amp;$B11,公表[班別+時段],公表[救護2],""),$AX$9:$AX$25,$AY$9:$AY$25,"")</f>
        <v>0</v>
      </c>
      <c r="K11" s="87"/>
      <c r="L11" s="87" t="s">
        <v>212</v>
      </c>
      <c r="M11" s="312"/>
      <c r="N11" s="87">
        <f>_xlfn.XLOOKUP(_xlfn.XLOOKUP($AS$6&amp;$B11,公表[班別+時段],公表[備勤1],""),$AX$9:$AX$25,$AY$9:$AY$25,"")</f>
        <v>0</v>
      </c>
      <c r="O11" s="87">
        <f>_xlfn.XLOOKUP(_xlfn.XLOOKUP($AS$6&amp;$B11,公表[班別+時段],公表[備勤2],""),$AX$9:$AX$25,$AY$9:$AY$25,"")</f>
        <v>0</v>
      </c>
      <c r="P11" s="87"/>
      <c r="Q11" s="87">
        <f>_xlfn.XLOOKUP(_xlfn.XLOOKUP($AS$6&amp;$B11,公表[班別+時段],公表[備勤3],""),$AX$9:$AX$25,$AY$9:$AY$25,"")</f>
        <v>0</v>
      </c>
      <c r="R11" s="87">
        <f>_xlfn.XLOOKUP(_xlfn.XLOOKUP($AS$6&amp;$B11,公表[班別+時段],公表[備勤4],""),$AX$9:$AX$25,$AY$9:$AY$25,"")</f>
        <v>0</v>
      </c>
      <c r="S11" s="87"/>
      <c r="T11" s="87">
        <f>_xlfn.XLOOKUP(_xlfn.XLOOKUP($AS$6&amp;$B11,公表[班別+時段],公表[備勤5],""),$AX$9:$AX$25,$AY$9:$AY$25,"")</f>
        <v>0</v>
      </c>
      <c r="U11" s="87">
        <f>_xlfn.XLOOKUP(_xlfn.XLOOKUP($AS$6&amp;$B11,公表[班別+時段],公表[備勤6],""),$AX$9:$AX$25,$AY$9:$AY$25,"")</f>
        <v>0</v>
      </c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87"/>
      <c r="AB11" s="87"/>
      <c r="AC11" s="87"/>
      <c r="AD11" s="87"/>
      <c r="AE11" s="88">
        <f>_xlfn.XLOOKUP(_xlfn.XLOOKUP($AS$6&amp;$B11,公表[班別+時段],公表[指揮官],""),$AX$9:$AX$25,$AY$9:$AY$25,"")</f>
        <v>3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27">
        <v>3</v>
      </c>
      <c r="AP11" s="127" t="str">
        <v>孫子翔</v>
      </c>
      <c r="AQ11" s="127" t="str" cm="1">
        <f t="array" ref="AQ11">IFERROR(_xlfn.XLOOKUP(_xlfn.XLOOKUP($AQ$3,輪休基準表!$C$6:$C$36,_xlfn.XLOOKUP(AP11,輪休基準表!$E$5:$AF$5,輪休基準表!$E$6:$AF$36,""),""),班別參數!$A$4:$A$20,班別參數!$B$4:$B$20,""),"")</f>
        <v>上班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>已排</v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/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K</v>
      </c>
      <c r="BC11" s="39" t="str">
        <f t="shared" si="2"/>
        <v>3</v>
      </c>
      <c r="BD11" s="127"/>
    </row>
    <row r="12" spans="2:56" ht="30" customHeight="1">
      <c r="B12" s="81" t="s">
        <v>75</v>
      </c>
      <c r="C12" s="87">
        <f>_xlfn.XLOOKUP(_xlfn.XLOOKUP($AS$6&amp;$B12,公表[班別+時段],公表[值班],""),$AX$9:$AX$25,$AY$9:$AY$25,"")</f>
        <v>0</v>
      </c>
      <c r="D12" s="95"/>
      <c r="E12" s="95"/>
      <c r="F12" s="95"/>
      <c r="G12" s="122" t="str">
        <f>IF(BC10="","",BC10)</f>
        <v/>
      </c>
      <c r="H12" s="314"/>
      <c r="I12" s="92">
        <f>_xlfn.XLOOKUP(_xlfn.XLOOKUP($AS$6&amp;$B12,公表[班別+時段],公表[救護1],""),$AX$9:$AX$25,$AY$9:$AY$25,"")</f>
        <v>0</v>
      </c>
      <c r="J12" s="92">
        <f>_xlfn.XLOOKUP(_xlfn.XLOOKUP($AS$6&amp;$B12,公表[班別+時段],公表[救護2],""),$AX$9:$AX$25,$AY$9:$AY$25,"")</f>
        <v>0</v>
      </c>
      <c r="K12" s="92"/>
      <c r="L12" s="87" t="s">
        <v>212</v>
      </c>
      <c r="M12" s="312"/>
      <c r="N12" s="87">
        <f>_xlfn.XLOOKUP(_xlfn.XLOOKUP($AS$6&amp;$B12,公表[班別+時段],公表[備勤1],""),$AX$9:$AX$25,$AY$9:$AY$25,"")</f>
        <v>0</v>
      </c>
      <c r="O12" s="87">
        <f>_xlfn.XLOOKUP(_xlfn.XLOOKUP($AS$6&amp;$B12,公表[班別+時段],公表[備勤2],""),$AX$9:$AX$25,$AY$9:$AY$25,"")</f>
        <v>0</v>
      </c>
      <c r="P12" s="87"/>
      <c r="Q12" s="87">
        <f>_xlfn.XLOOKUP(_xlfn.XLOOKUP($AS$6&amp;$B12,公表[班別+時段],公表[備勤3],""),$AX$9:$AX$25,$AY$9:$AY$25,"")</f>
        <v>0</v>
      </c>
      <c r="R12" s="87">
        <f>_xlfn.XLOOKUP(_xlfn.XLOOKUP($AS$6&amp;$B12,公表[班別+時段],公表[備勤4],""),$AX$9:$AX$25,$AY$9:$AY$25,"")</f>
        <v>0</v>
      </c>
      <c r="S12" s="87"/>
      <c r="T12" s="87">
        <f>_xlfn.XLOOKUP(_xlfn.XLOOKUP($AS$6&amp;$B12,公表[班別+時段],公表[備勤5],""),$AX$9:$AX$25,$AY$9:$AY$25,"")</f>
        <v>0</v>
      </c>
      <c r="U12" s="87">
        <f>_xlfn.XLOOKUP(_xlfn.XLOOKUP($AS$6&amp;$B12,公表[班別+時段],公表[備勤6],""),$AX$9:$AX$25,$AY$9:$AY$25,"")</f>
        <v>0</v>
      </c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87"/>
      <c r="AC12" s="87"/>
      <c r="AD12" s="87"/>
      <c r="AE12" s="88">
        <f>_xlfn.XLOOKUP(_xlfn.XLOOKUP($AS$6&amp;$B12,公表[班別+時段],公表[指揮官],""),$AX$9:$AX$25,$AY$9:$AY$25,"")</f>
        <v>3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27">
        <v>4</v>
      </c>
      <c r="AP12" s="127" t="str">
        <v>簡永豐</v>
      </c>
      <c r="AQ12" s="127" t="str" cm="1">
        <f t="array" ref="AQ12">IFERROR(_xlfn.XLOOKUP(_xlfn.XLOOKUP($AQ$3,輪休基準表!$C$6:$C$36,_xlfn.XLOOKUP(AP12,輪休基準表!$E$5:$AF$5,輪休基準表!$E$6:$AF$36,""),""),班別參數!$A$4:$A$20,班別參數!$B$4:$B$20,""),"")</f>
        <v>輪休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/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/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27"/>
    </row>
    <row r="13" spans="2:56" ht="30" customHeight="1" thickBot="1">
      <c r="B13" s="82" t="s">
        <v>76</v>
      </c>
      <c r="C13" s="89">
        <f>_xlfn.XLOOKUP(_xlfn.XLOOKUP($AS$6&amp;$B13,公表[班別+時段],公表[值班],""),$AX$9:$AX$25,$AY$9:$AY$25,"")</f>
        <v>0</v>
      </c>
      <c r="D13" s="233"/>
      <c r="E13" s="96"/>
      <c r="F13" s="96"/>
      <c r="G13" s="123" t="str">
        <f>IF(BC10="","",BC10)</f>
        <v/>
      </c>
      <c r="H13" s="315"/>
      <c r="I13" s="216">
        <f>_xlfn.XLOOKUP(_xlfn.XLOOKUP($AS$6&amp;$B13,公表[班別+時段],公表[救護1],""),$AX$9:$AX$25,$AY$9:$AY$25,"")</f>
        <v>0</v>
      </c>
      <c r="J13" s="216">
        <f>_xlfn.XLOOKUP(_xlfn.XLOOKUP($AS$6&amp;$B13,公表[班別+時段],公表[救護2],""),$AX$9:$AX$25,$AY$9:$AY$25,"")</f>
        <v>0</v>
      </c>
      <c r="K13" s="105"/>
      <c r="L13" s="93" t="s">
        <v>212</v>
      </c>
      <c r="M13" s="312"/>
      <c r="N13" s="89">
        <f>_xlfn.XLOOKUP(_xlfn.XLOOKUP($AS$6&amp;$B13,公表[班別+時段],公表[備勤1],""),$AX$9:$AX$25,$AY$9:$AY$25,"")</f>
        <v>0</v>
      </c>
      <c r="O13" s="89">
        <f>_xlfn.XLOOKUP(_xlfn.XLOOKUP($AS$6&amp;$B13,公表[班別+時段],公表[備勤2],""),$AX$9:$AX$25,$AY$9:$AY$25,"")</f>
        <v>0</v>
      </c>
      <c r="P13" s="89"/>
      <c r="Q13" s="89">
        <f>_xlfn.XLOOKUP(_xlfn.XLOOKUP($AS$6&amp;$B13,公表[班別+時段],公表[備勤3],""),$AX$9:$AX$25,$AY$9:$AY$25,"")</f>
        <v>0</v>
      </c>
      <c r="R13" s="89">
        <f>_xlfn.XLOOKUP(_xlfn.XLOOKUP($AS$6&amp;$B13,公表[班別+時段],公表[備勤4],""),$AX$9:$AX$25,$AY$9:$AY$25,"")</f>
        <v>0</v>
      </c>
      <c r="S13" s="89"/>
      <c r="T13" s="89">
        <f>_xlfn.XLOOKUP(_xlfn.XLOOKUP($AS$6&amp;$B13,公表[班別+時段],公表[備勤5],""),$AX$9:$AX$25,$AY$9:$AY$25,"")</f>
        <v>0</v>
      </c>
      <c r="U13" s="89">
        <f>_xlfn.XLOOKUP(_xlfn.XLOOKUP($AS$6&amp;$B13,公表[班別+時段],公表[備勤6],""),$AX$9:$AX$25,$AY$9:$AY$25,"")</f>
        <v>0</v>
      </c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89"/>
      <c r="AC13" s="89"/>
      <c r="AD13" s="89"/>
      <c r="AE13" s="104">
        <f>_xlfn.XLOOKUP(_xlfn.XLOOKUP($AS$6&amp;$B13,公表[班別+時段],公表[指揮官],""),$AX$9:$AX$25,$AY$9:$AY$25,"")</f>
        <v>3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27">
        <v>5</v>
      </c>
      <c r="AP13" s="127" t="str">
        <v>張鴻志</v>
      </c>
      <c r="AQ13" s="127" t="str" cm="1">
        <f t="array" ref="AQ13">IFERROR(_xlfn.XLOOKUP(_xlfn.XLOOKUP($AQ$3,輪休基準表!$C$6:$C$36,_xlfn.XLOOKUP(AP13,輪休基準表!$E$5:$AF$5,輪休基準表!$E$6:$AF$36,""),""),班別參數!$A$4:$A$20,班別參數!$B$4:$B$20,""),"")</f>
        <v>月補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/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/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/>
      </c>
      <c r="BD13" s="127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0</v>
      </c>
      <c r="D14" s="234"/>
      <c r="E14" s="97"/>
      <c r="F14" s="97"/>
      <c r="G14" s="121" t="str">
        <f>IF(BC11="","",BC11)</f>
        <v>3</v>
      </c>
      <c r="H14" s="55"/>
      <c r="I14" s="94">
        <f>_xlfn.XLOOKUP(_xlfn.XLOOKUP($AS$6&amp;$B14,公表[班別+時段],公表[救護1],""),$AX$9:$AX$25,$AY$9:$AY$25,"")</f>
        <v>0</v>
      </c>
      <c r="J14" s="94">
        <f>_xlfn.XLOOKUP(_xlfn.XLOOKUP($AS$6&amp;$B14,公表[班別+時段],公表[救護2],""),$AX$9:$AX$25,$AY$9:$AY$25,"")</f>
        <v>0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0</v>
      </c>
      <c r="O14" s="90">
        <f>_xlfn.XLOOKUP(_xlfn.XLOOKUP($AS$6&amp;$B14,公表[班別+時段],公表[備勤2],""),$AX$9:$AX$25,$AY$9:$AY$25,"")</f>
        <v>0</v>
      </c>
      <c r="P14" s="90"/>
      <c r="Q14" s="90">
        <f>_xlfn.XLOOKUP(_xlfn.XLOOKUP($AS$6&amp;$B14,公表[班別+時段],公表[備勤3],""),$AX$9:$AX$25,$AY$9:$AY$25,"")</f>
        <v>0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0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90"/>
      <c r="AC14" s="90"/>
      <c r="AD14" s="90"/>
      <c r="AE14" s="91">
        <f>_xlfn.XLOOKUP(_xlfn.XLOOKUP($AS$6&amp;$B14,公表[班別+時段],公表[指揮官],""),$AX$9:$AX$25,$AY$9:$AY$25,"")</f>
        <v>0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27">
        <v>6</v>
      </c>
      <c r="AP14" s="127" t="str">
        <v>吳宗耕</v>
      </c>
      <c r="AQ14" s="127" t="str" cm="1">
        <f t="array" ref="AQ14">IFERROR(_xlfn.XLOOKUP(_xlfn.XLOOKUP($AQ$3,輪休基準表!$C$6:$C$36,_xlfn.XLOOKUP(AP14,輪休基準表!$E$5:$AF$5,輪休基準表!$E$6:$AF$36,""),""),班別參數!$A$4:$A$20,班別參數!$B$4:$B$20,""),"")</f>
        <v>上班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>未排</v>
      </c>
      <c r="AT14" s="180" t="str">
        <f t="shared" si="0"/>
        <v/>
      </c>
      <c r="AU14" s="180" t="str">
        <f t="shared" si="1"/>
        <v/>
      </c>
      <c r="AV14" s="25"/>
      <c r="AW14" s="33" t="str">
        <f t="array" ref="AW14">INDEX(班別參數!$D$4:$D$20,ROW()-7,MATCH($AW$8,班別參數!$D$4:$D$20,0))</f>
        <v>18-20</v>
      </c>
      <c r="AX14" s="34" t="str">
        <f t="array" ref="AX14">IFERROR(INDEX(班別參數!$D$4:$S$20,MATCH(AW14,班別參數!$D$4:$D$20,0),MATCH($AS$6,班別參數!$D$4:$S$4,0)),"")</f>
        <v>E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B,F</v>
      </c>
      <c r="BC14" s="39" t="str">
        <f t="shared" si="2"/>
        <v/>
      </c>
      <c r="BD14" s="127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0</v>
      </c>
      <c r="D15" s="235"/>
      <c r="E15" s="106"/>
      <c r="F15" s="96"/>
      <c r="G15" s="123" t="str">
        <f>IF(BC11="","",BC11)</f>
        <v>3</v>
      </c>
      <c r="H15" s="40"/>
      <c r="I15" s="216">
        <f>_xlfn.XLOOKUP(_xlfn.XLOOKUP($AS$6&amp;$B15,公表[班別+時段],公表[救護1],""),$AX$9:$AX$25,$AY$9:$AY$25,"")</f>
        <v>0</v>
      </c>
      <c r="J15" s="216">
        <f>_xlfn.XLOOKUP(_xlfn.XLOOKUP($AS$6&amp;$B15,公表[班別+時段],公表[救護2],""),$AX$9:$AX$25,$AY$9:$AY$25,"")</f>
        <v>0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0</v>
      </c>
      <c r="O15" s="89">
        <f>_xlfn.XLOOKUP(_xlfn.XLOOKUP($AS$6&amp;$B15,公表[班別+時段],公表[備勤2],""),$AX$9:$AX$25,$AY$9:$AY$25,"")</f>
        <v>0</v>
      </c>
      <c r="P15" s="89"/>
      <c r="Q15" s="89">
        <f>_xlfn.XLOOKUP(_xlfn.XLOOKUP($AS$6&amp;$B15,公表[班別+時段],公表[備勤3],""),$AX$9:$AX$25,$AY$9:$AY$25,"")</f>
        <v>0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0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89"/>
      <c r="AC15" s="89"/>
      <c r="AD15" s="89"/>
      <c r="AE15" s="104">
        <f>_xlfn.XLOOKUP(_xlfn.XLOOKUP($AS$6&amp;$B15,公表[班別+時段],公表[指揮官],""),$AX$9:$AX$25,$AY$9:$AY$25,"")</f>
        <v>0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27">
        <v>7</v>
      </c>
      <c r="AP15" s="127" t="str">
        <v>包華先</v>
      </c>
      <c r="AQ15" s="127" t="str" cm="1">
        <f t="array" ref="AQ15">IFERROR(_xlfn.XLOOKUP(_xlfn.XLOOKUP($AQ$3,輪休基準表!$C$6:$C$36,_xlfn.XLOOKUP(AP15,輪休基準表!$E$5:$AF$5,輪休基準表!$E$6:$AF$36,""),""),班別參數!$A$4:$A$20,班別參數!$B$4:$B$20,""),"")</f>
        <v>上班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>未排</v>
      </c>
      <c r="AT15" s="180" t="str">
        <f t="shared" si="0"/>
        <v/>
      </c>
      <c r="AU15" s="180" t="str">
        <f t="shared" si="1"/>
        <v/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/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/>
      </c>
      <c r="BD15" s="127"/>
    </row>
    <row r="16" spans="2:56" ht="30" customHeight="1">
      <c r="B16" s="83" t="s">
        <v>79</v>
      </c>
      <c r="C16" s="90">
        <f>_xlfn.XLOOKUP(_xlfn.XLOOKUP($AS$6&amp;$B16,公表[班別+時段],公表[值班],""),$AX$9:$AX$25,$AY$9:$AY$25,"")</f>
        <v>0</v>
      </c>
      <c r="D16" s="98"/>
      <c r="E16" s="99"/>
      <c r="F16" s="98"/>
      <c r="G16" s="121" t="str">
        <f>IF(BC12="","",BC12)</f>
        <v/>
      </c>
      <c r="H16" s="316" t="str">
        <f>AY3</f>
        <v>SCBA訓練</v>
      </c>
      <c r="I16" s="94">
        <f>_xlfn.XLOOKUP(_xlfn.XLOOKUP($AS$6&amp;$B16,公表[班別+時段],公表[救護1],""),$AX$9:$AX$25,$AY$9:$AY$25,"")</f>
        <v>0</v>
      </c>
      <c r="J16" s="94">
        <f>_xlfn.XLOOKUP(_xlfn.XLOOKUP($AS$6&amp;$B16,公表[班別+時段],公表[救護2],""),$AX$9:$AX$25,$AY$9:$AY$25,"")</f>
        <v>0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0</v>
      </c>
      <c r="O16" s="90">
        <f>_xlfn.XLOOKUP(_xlfn.XLOOKUP($AS$6&amp;$B16,公表[班別+時段],公表[備勤2],""),$AX$9:$AX$25,$AY$9:$AY$25,"")</f>
        <v>0</v>
      </c>
      <c r="P16" s="90"/>
      <c r="Q16" s="90">
        <f>_xlfn.XLOOKUP(_xlfn.XLOOKUP($AS$6&amp;$B16,公表[班別+時段],公表[備勤3],""),$AX$9:$AX$25,$AY$9:$AY$25,"")</f>
        <v>0</v>
      </c>
      <c r="R16" s="90">
        <f>_xlfn.XLOOKUP(_xlfn.XLOOKUP($AS$6&amp;$B16,公表[班別+時段],公表[備勤4],""),$AX$9:$AX$25,$AY$9:$AY$25,"")</f>
        <v>0</v>
      </c>
      <c r="S16" s="90"/>
      <c r="T16" s="90">
        <f>_xlfn.XLOOKUP(_xlfn.XLOOKUP($AS$6&amp;$B16,公表[班別+時段],公表[備勤5],""),$AX$9:$AX$25,$AY$9:$AY$25,"")</f>
        <v>0</v>
      </c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90"/>
      <c r="AC16" s="90"/>
      <c r="AD16" s="90"/>
      <c r="AE16" s="91">
        <f>_xlfn.XLOOKUP(_xlfn.XLOOKUP($AS$6&amp;$B16,公表[班別+時段],公表[指揮官],""),$AX$9:$AX$25,$AY$9:$AY$25,"")</f>
        <v>3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27">
        <v>8</v>
      </c>
      <c r="AP16" s="127" t="str">
        <v>曾彥綸</v>
      </c>
      <c r="AQ16" s="127" t="str" cm="1">
        <f t="array" ref="AQ16">IFERROR(_xlfn.XLOOKUP(_xlfn.XLOOKUP($AQ$3,輪休基準表!$C$6:$C$36,_xlfn.XLOOKUP(AP16,輪休基準表!$E$5:$AF$5,輪休基準表!$E$6:$AF$36,""),""),班別參數!$A$4:$A$20,班別參數!$B$4:$B$20,""),"")</f>
        <v>上班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>未排</v>
      </c>
      <c r="AT16" s="180" t="str">
        <f t="shared" si="0"/>
        <v/>
      </c>
      <c r="AU16" s="180" t="str">
        <f t="shared" si="1"/>
        <v/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/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27"/>
    </row>
    <row r="17" spans="2:56" ht="30" customHeight="1">
      <c r="B17" s="81" t="s">
        <v>80</v>
      </c>
      <c r="C17" s="87">
        <f>_xlfn.XLOOKUP(_xlfn.XLOOKUP($AS$6&amp;$B17,公表[班別+時段],公表[值班],""),$AX$9:$AX$25,$AY$9:$AY$25,"")</f>
        <v>0</v>
      </c>
      <c r="D17" s="95"/>
      <c r="E17" s="95"/>
      <c r="F17" s="100"/>
      <c r="G17" s="122" t="str">
        <f>IF(BC12="","",BC12)</f>
        <v/>
      </c>
      <c r="H17" s="314"/>
      <c r="I17" s="92">
        <f>_xlfn.XLOOKUP(_xlfn.XLOOKUP($AS$6&amp;$B17,公表[班別+時段],公表[救護1],""),$AX$9:$AX$25,$AY$9:$AY$25,"")</f>
        <v>0</v>
      </c>
      <c r="J17" s="92">
        <f>_xlfn.XLOOKUP(_xlfn.XLOOKUP($AS$6&amp;$B17,公表[班別+時段],公表[救護2],""),$AX$9:$AX$25,$AY$9:$AY$25,"")</f>
        <v>0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0</v>
      </c>
      <c r="O17" s="87">
        <f>_xlfn.XLOOKUP(_xlfn.XLOOKUP($AS$6&amp;$B17,公表[班別+時段],公表[備勤2],""),$AX$9:$AX$25,$AY$9:$AY$25,"")</f>
        <v>0</v>
      </c>
      <c r="P17" s="87"/>
      <c r="Q17" s="87">
        <f>_xlfn.XLOOKUP(_xlfn.XLOOKUP($AS$6&amp;$B17,公表[班別+時段],公表[備勤3],""),$AX$9:$AX$25,$AY$9:$AY$25,"")</f>
        <v>0</v>
      </c>
      <c r="R17" s="87">
        <f>_xlfn.XLOOKUP(_xlfn.XLOOKUP($AS$6&amp;$B17,公表[班別+時段],公表[備勤4],""),$AX$9:$AX$25,$AY$9:$AY$25,"")</f>
        <v>0</v>
      </c>
      <c r="S17" s="87"/>
      <c r="T17" s="87">
        <f>_xlfn.XLOOKUP(_xlfn.XLOOKUP($AS$6&amp;$B17,公表[班別+時段],公表[備勤5],""),$AX$9:$AX$25,$AY$9:$AY$25,"")</f>
        <v>0</v>
      </c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87"/>
      <c r="AC17" s="87"/>
      <c r="AD17" s="87"/>
      <c r="AE17" s="88">
        <f>_xlfn.XLOOKUP(_xlfn.XLOOKUP($AS$6&amp;$B17,公表[班別+時段],公表[指揮官],""),$AX$9:$AX$25,$AY$9:$AY$25,"")</f>
        <v>3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27">
        <v>9</v>
      </c>
      <c r="AP17" s="127" t="str">
        <v>鍾佳諭</v>
      </c>
      <c r="AQ17" s="127" t="str" cm="1">
        <f t="array" ref="AQ17">IFERROR(_xlfn.XLOOKUP(_xlfn.XLOOKUP($AQ$3,輪休基準表!$C$6:$C$36,_xlfn.XLOOKUP(AP17,輪休基準表!$E$5:$AF$5,輪休基準表!$E$6:$AF$36,""),""),班別參數!$A$4:$A$20,班別參數!$B$4:$B$20,""),"")</f>
        <v>輪休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/>
      </c>
      <c r="AT17" s="180" t="str">
        <f t="shared" si="0"/>
        <v/>
      </c>
      <c r="AU17" s="180" t="str">
        <f t="shared" si="1"/>
        <v/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27"/>
    </row>
    <row r="18" spans="2:56" ht="30" customHeight="1">
      <c r="B18" s="81" t="s">
        <v>81</v>
      </c>
      <c r="C18" s="87">
        <f>_xlfn.XLOOKUP(_xlfn.XLOOKUP($AS$6&amp;$B18,公表[班別+時段],公表[值班],""),$AX$9:$AX$25,$AY$9:$AY$25,"")</f>
        <v>0</v>
      </c>
      <c r="D18" s="100"/>
      <c r="E18" s="95"/>
      <c r="F18" s="100"/>
      <c r="G18" s="122" t="str">
        <f>IF(BC13="","",BC13)</f>
        <v/>
      </c>
      <c r="H18" s="297"/>
      <c r="I18" s="92">
        <f>_xlfn.XLOOKUP(_xlfn.XLOOKUP($AS$6&amp;$B18,公表[班別+時段],公表[救護1],""),$AX$9:$AX$25,$AY$9:$AY$25,"")</f>
        <v>0</v>
      </c>
      <c r="J18" s="92">
        <f>_xlfn.XLOOKUP(_xlfn.XLOOKUP($AS$6&amp;$B18,公表[班別+時段],公表[救護2],""),$AX$9:$AX$25,$AY$9:$AY$25,"")</f>
        <v>0</v>
      </c>
      <c r="K18" s="92"/>
      <c r="L18" s="87" t="s">
        <v>212</v>
      </c>
      <c r="M18" s="312"/>
      <c r="N18" s="87">
        <f>_xlfn.XLOOKUP(_xlfn.XLOOKUP($AS$6&amp;$B18,公表[班別+時段],公表[備勤1],""),$AX$9:$AX$25,$AY$9:$AY$25,"")</f>
        <v>0</v>
      </c>
      <c r="O18" s="87">
        <f>_xlfn.XLOOKUP(_xlfn.XLOOKUP($AS$6&amp;$B18,公表[班別+時段],公表[備勤2],""),$AX$9:$AX$25,$AY$9:$AY$25,"")</f>
        <v>0</v>
      </c>
      <c r="P18" s="87"/>
      <c r="Q18" s="87">
        <f>_xlfn.XLOOKUP(_xlfn.XLOOKUP($AS$6&amp;$B18,公表[班別+時段],公表[備勤3],""),$AX$9:$AX$25,$AY$9:$AY$25,"")</f>
        <v>0</v>
      </c>
      <c r="R18" s="87">
        <f>_xlfn.XLOOKUP(_xlfn.XLOOKUP($AS$6&amp;$B18,公表[班別+時段],公表[備勤4],""),$AX$9:$AX$25,$AY$9:$AY$25,"")</f>
        <v>0</v>
      </c>
      <c r="S18" s="87"/>
      <c r="T18" s="87">
        <f>_xlfn.XLOOKUP(_xlfn.XLOOKUP($AS$6&amp;$B18,公表[班別+時段],公表[備勤5],""),$AX$9:$AX$25,$AY$9:$AY$25,"")</f>
        <v>0</v>
      </c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87"/>
      <c r="AC18" s="87"/>
      <c r="AD18" s="87"/>
      <c r="AE18" s="88">
        <f>_xlfn.XLOOKUP(_xlfn.XLOOKUP($AS$6&amp;$B18,公表[班別+時段],公表[指揮官],""),$AX$9:$AX$25,$AY$9:$AY$25,"")</f>
        <v>3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27">
        <v>10</v>
      </c>
      <c r="AP18" s="127" t="str">
        <v>林宏澤</v>
      </c>
      <c r="AQ18" s="127" t="str" cm="1">
        <f t="array" ref="AQ18">IFERROR(_xlfn.XLOOKUP(_xlfn.XLOOKUP($AQ$3,輪休基準表!$C$6:$C$36,_xlfn.XLOOKUP(AP18,輪休基準表!$E$5:$AF$5,輪休基準表!$E$6:$AF$36,""),""),班別參數!$A$4:$A$20,班別參數!$B$4:$B$20,""),"")</f>
        <v>輪休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/>
      </c>
      <c r="AT18" s="180" t="str">
        <f t="shared" si="0"/>
        <v/>
      </c>
      <c r="AU18" s="180" t="str">
        <f t="shared" si="1"/>
        <v/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27"/>
    </row>
    <row r="19" spans="2:56" ht="30" customHeight="1" thickBot="1">
      <c r="B19" s="110" t="s">
        <v>82</v>
      </c>
      <c r="C19" s="89">
        <f>_xlfn.XLOOKUP(_xlfn.XLOOKUP($AS$6&amp;$B19,公表[班別+時段],公表[值班],""),$AX$9:$AX$25,$AY$9:$AY$25,"")</f>
        <v>0</v>
      </c>
      <c r="D19" s="106"/>
      <c r="E19" s="96"/>
      <c r="F19" s="236"/>
      <c r="G19" s="123" t="str">
        <f>IF(BC13="","",BC13)</f>
        <v/>
      </c>
      <c r="H19" s="107"/>
      <c r="I19" s="216">
        <f>_xlfn.XLOOKUP(_xlfn.XLOOKUP($AS$6&amp;$B19,公表[班別+時段],公表[救護1],""),$AX$9:$AX$25,$AY$9:$AY$25,"")</f>
        <v>0</v>
      </c>
      <c r="J19" s="216">
        <f>_xlfn.XLOOKUP(_xlfn.XLOOKUP($AS$6&amp;$B19,公表[班別+時段],公表[救護2],""),$AX$9:$AX$25,$AY$9:$AY$25,"")</f>
        <v>0</v>
      </c>
      <c r="K19" s="105"/>
      <c r="L19" s="93" t="s">
        <v>212</v>
      </c>
      <c r="M19" s="312"/>
      <c r="N19" s="89">
        <f>_xlfn.XLOOKUP(_xlfn.XLOOKUP($AS$6&amp;$B19,公表[班別+時段],公表[備勤1],""),$AX$9:$AX$25,$AY$9:$AY$25,"")</f>
        <v>0</v>
      </c>
      <c r="O19" s="89">
        <f>_xlfn.XLOOKUP(_xlfn.XLOOKUP($AS$6&amp;$B19,公表[班別+時段],公表[備勤2],""),$AX$9:$AX$25,$AY$9:$AY$25,"")</f>
        <v>0</v>
      </c>
      <c r="P19" s="89"/>
      <c r="Q19" s="89">
        <f>_xlfn.XLOOKUP(_xlfn.XLOOKUP($AS$6&amp;$B19,公表[班別+時段],公表[備勤3],""),$AX$9:$AX$25,$AY$9:$AY$25,"")</f>
        <v>0</v>
      </c>
      <c r="R19" s="89">
        <f>_xlfn.XLOOKUP(_xlfn.XLOOKUP($AS$6&amp;$B19,公表[班別+時段],公表[備勤4],""),$AX$9:$AX$25,$AY$9:$AY$25,"")</f>
        <v>0</v>
      </c>
      <c r="S19" s="89"/>
      <c r="T19" s="89">
        <f>_xlfn.XLOOKUP(_xlfn.XLOOKUP($AS$6&amp;$B19,公表[班別+時段],公表[備勤5],""),$AX$9:$AX$25,$AY$9:$AY$25,"")</f>
        <v>0</v>
      </c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89"/>
      <c r="AC19" s="89"/>
      <c r="AD19" s="89"/>
      <c r="AE19" s="104">
        <f>_xlfn.XLOOKUP(_xlfn.XLOOKUP($AS$6&amp;$B19,公表[班別+時段],公表[指揮官],""),$AX$9:$AX$25,$AY$9:$AY$25,"")</f>
        <v>3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27">
        <v>11</v>
      </c>
      <c r="AP19" s="127" t="str">
        <v>簡君諺</v>
      </c>
      <c r="AQ19" s="127" t="str" cm="1">
        <f t="array" ref="AQ19">IFERROR(_xlfn.XLOOKUP(_xlfn.XLOOKUP($AQ$3,輪休基準表!$C$6:$C$36,_xlfn.XLOOKUP(AP19,輪休基準表!$E$5:$AF$5,輪休基準表!$E$6:$AF$36,""),""),班別參數!$A$4:$A$20,班別參數!$B$4:$B$20,""),"")</f>
        <v>上班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>未排</v>
      </c>
      <c r="AT19" s="180" t="str">
        <f t="shared" si="0"/>
        <v/>
      </c>
      <c r="AU19" s="180" t="str">
        <f t="shared" si="1"/>
        <v/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">IF(AX19="","",_xlfn._xlws.FILTER($AO$9:$AO$13,$AQ$9:$AQ$13="上班",""))</f>
        <v>3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27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0</v>
      </c>
      <c r="D20" s="97"/>
      <c r="E20" s="97"/>
      <c r="F20" s="97"/>
      <c r="G20" s="121" t="str">
        <f>IF(BC14="","",BC14)</f>
        <v/>
      </c>
      <c r="H20" s="55"/>
      <c r="I20" s="94">
        <f>_xlfn.XLOOKUP(_xlfn.XLOOKUP($AS$6&amp;$B20,公表[班別+時段],公表[救護1],""),$AX$9:$AX$25,$AY$9:$AY$25,"")</f>
        <v>0</v>
      </c>
      <c r="J20" s="94">
        <f>_xlfn.XLOOKUP(_xlfn.XLOOKUP($AS$6&amp;$B20,公表[班別+時段],公表[救護2],""),$AX$9:$AX$25,$AY$9:$AY$25,"")</f>
        <v>0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0</v>
      </c>
      <c r="O20" s="90">
        <f>_xlfn.XLOOKUP(_xlfn.XLOOKUP($AS$6&amp;$B20,公表[班別+時段],公表[備勤2],""),$AX$9:$AX$25,$AY$9:$AY$25,"")</f>
        <v>0</v>
      </c>
      <c r="P20" s="90"/>
      <c r="Q20" s="90">
        <f>_xlfn.XLOOKUP(_xlfn.XLOOKUP($AS$6&amp;$B20,公表[班別+時段],公表[備勤3],""),$AX$9:$AX$25,$AY$9:$AY$25,"")</f>
        <v>0</v>
      </c>
      <c r="R20" s="90">
        <f>_xlfn.XLOOKUP(_xlfn.XLOOKUP($AS$6&amp;$B20,公表[班別+時段],公表[備勤4],""),$AX$9:$AX$25,$AY$9:$AY$25,"")</f>
        <v>0</v>
      </c>
      <c r="S20" s="90"/>
      <c r="T20" s="90">
        <f>_xlfn.XLOOKUP(_xlfn.XLOOKUP($AS$6&amp;$B20,公表[班別+時段],公表[備勤5],""),$AX$9:$AX$25,$AY$9:$AY$25,"")</f>
        <v>0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90"/>
      <c r="AC20" s="90"/>
      <c r="AD20" s="90"/>
      <c r="AE20" s="91">
        <f>_xlfn.XLOOKUP(_xlfn.XLOOKUP($AS$6&amp;$B20,公表[班別+時段],公表[指揮官],""),$AX$9:$AX$25,$AY$9:$AY$25,"")</f>
        <v>3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27">
        <v>12</v>
      </c>
      <c r="AP20" s="127" t="str">
        <v>王昱勛</v>
      </c>
      <c r="AQ20" s="127" t="str" cm="1">
        <f t="array" ref="AQ20">IFERROR(_xlfn.XLOOKUP(_xlfn.XLOOKUP($AQ$3,輪休基準表!$C$6:$C$36,_xlfn.XLOOKUP(AP20,輪休基準表!$E$5:$AF$5,輪休基準表!$E$6:$AF$36,""),""),班別參數!$A$4:$A$20,班別參數!$B$4:$B$20,""),"")</f>
        <v>上班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>未排</v>
      </c>
      <c r="AT20" s="180" t="str">
        <f t="shared" si="0"/>
        <v/>
      </c>
      <c r="AU20" s="180" t="str">
        <f t="shared" si="1"/>
        <v/>
      </c>
      <c r="AV20" s="25"/>
      <c r="AW20" s="33" t="str">
        <f t="array" ref="AW20">INDEX(班別參數!$D$4:$D$20,ROW()-7,MATCH($AW$8,班別參數!$D$4:$D$20,0))</f>
        <v>帶隊官</v>
      </c>
      <c r="AX20" s="34">
        <f t="array" ref="AX20">IFERROR(INDEX(班別參數!$D$4:$S$20,MATCH(AW20,班別參數!$D$4:$D$20,0),MATCH($AS$6,班別參數!$D$4:$S$4,0)),"")</f>
        <v>0</v>
      </c>
      <c r="AY20" s="38"/>
      <c r="AZ20" s="32"/>
      <c r="BA20" s="33" t="s">
        <v>67</v>
      </c>
      <c r="BB20" s="34" t="str">
        <f t="array" ref="BB20">IFERROR(INDEX(班別參數!$D$23:$S$35,MATCH(BA20,班別參數!$D$23:$D$35,0),MATCH($AS$6,班別參數!$D$23:$S$23,0)),"")</f>
        <v>G,E</v>
      </c>
      <c r="BC20" s="41" t="str">
        <f t="shared" si="2"/>
        <v/>
      </c>
      <c r="BD20" s="127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0</v>
      </c>
      <c r="D21" s="95"/>
      <c r="E21" s="95"/>
      <c r="F21" s="95"/>
      <c r="G21" s="122" t="str">
        <f>IF(BC14="","",BC14)</f>
        <v/>
      </c>
      <c r="H21" s="296" t="str">
        <f>AY4</f>
        <v>火災特性</v>
      </c>
      <c r="I21" s="92">
        <f>_xlfn.XLOOKUP(_xlfn.XLOOKUP($AS$6&amp;$B21,公表[班別+時段],公表[救護1],""),$AX$9:$AX$25,$AY$9:$AY$25,"")</f>
        <v>0</v>
      </c>
      <c r="J21" s="92">
        <f>_xlfn.XLOOKUP(_xlfn.XLOOKUP($AS$6&amp;$B21,公表[班別+時段],公表[救護2],""),$AX$9:$AX$25,$AY$9:$AY$25,"")</f>
        <v>0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0</v>
      </c>
      <c r="O21" s="87">
        <f>_xlfn.XLOOKUP(_xlfn.XLOOKUP($AS$6&amp;$B21,公表[班別+時段],公表[備勤2],""),$AX$9:$AX$25,$AY$9:$AY$25,"")</f>
        <v>0</v>
      </c>
      <c r="P21" s="87"/>
      <c r="Q21" s="87">
        <f>_xlfn.XLOOKUP(_xlfn.XLOOKUP($AS$6&amp;$B21,公表[班別+時段],公表[備勤3],""),$AX$9:$AX$25,$AY$9:$AY$25,"")</f>
        <v>0</v>
      </c>
      <c r="R21" s="87">
        <f>_xlfn.XLOOKUP(_xlfn.XLOOKUP($AS$6&amp;$B21,公表[班別+時段],公表[備勤4],""),$AX$9:$AX$25,$AY$9:$AY$25,"")</f>
        <v>0</v>
      </c>
      <c r="S21" s="87"/>
      <c r="T21" s="87">
        <f>_xlfn.XLOOKUP(_xlfn.XLOOKUP($AS$6&amp;$B21,公表[班別+時段],公表[備勤5],""),$AX$9:$AX$25,$AY$9:$AY$25,"")</f>
        <v>0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87"/>
      <c r="AC21" s="87"/>
      <c r="AD21" s="87"/>
      <c r="AE21" s="88">
        <f>_xlfn.XLOOKUP(_xlfn.XLOOKUP($AS$6&amp;$B21,公表[班別+時段],公表[指揮官],""),$AX$9:$AX$25,$AY$9:$AY$25,"")</f>
        <v>3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27">
        <v>13</v>
      </c>
      <c r="AP21" s="127" t="str">
        <v>葉宗哲</v>
      </c>
      <c r="AQ21" s="127" t="str" cm="1">
        <f t="array" ref="AQ21">IFERROR(_xlfn.XLOOKUP(_xlfn.XLOOKUP($AQ$3,輪休基準表!$C$6:$C$36,_xlfn.XLOOKUP(AP21,輪休基準表!$E$5:$AF$5,輪休基準表!$E$6:$AF$36,""),""),班別參數!$A$4:$A$20,班別參數!$B$4:$B$20,""),"")</f>
        <v>公假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/>
      </c>
      <c r="AT21" s="180" t="str">
        <f t="shared" si="0"/>
        <v/>
      </c>
      <c r="AU21" s="180" t="str">
        <f t="shared" si="1"/>
        <v/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27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0</v>
      </c>
      <c r="D22" s="95"/>
      <c r="E22" s="95"/>
      <c r="F22" s="95"/>
      <c r="G22" s="122" t="str">
        <f>IF(BC15="","",BC15)</f>
        <v/>
      </c>
      <c r="H22" s="297"/>
      <c r="I22" s="92">
        <f>_xlfn.XLOOKUP(_xlfn.XLOOKUP($AS$6&amp;$B22,公表[班別+時段],公表[救護1],""),$AX$9:$AX$25,$AY$9:$AY$25,"")</f>
        <v>0</v>
      </c>
      <c r="J22" s="92">
        <f>_xlfn.XLOOKUP(_xlfn.XLOOKUP($AS$6&amp;$B22,公表[班別+時段],公表[救護2],""),$AX$9:$AX$25,$AY$9:$AY$25,"")</f>
        <v>0</v>
      </c>
      <c r="K22" s="92"/>
      <c r="L22" s="87" t="s">
        <v>212</v>
      </c>
      <c r="M22" s="312"/>
      <c r="N22" s="87">
        <f>_xlfn.XLOOKUP(_xlfn.XLOOKUP($AS$6&amp;$B22,公表[班別+時段],公表[備勤1],""),$AX$9:$AX$25,$AY$9:$AY$25,"")</f>
        <v>0</v>
      </c>
      <c r="O22" s="87">
        <f>_xlfn.XLOOKUP(_xlfn.XLOOKUP($AS$6&amp;$B22,公表[班別+時段],公表[備勤2],""),$AX$9:$AX$25,$AY$9:$AY$25,"")</f>
        <v>0</v>
      </c>
      <c r="P22" s="87"/>
      <c r="Q22" s="87">
        <f>_xlfn.XLOOKUP(_xlfn.XLOOKUP($AS$6&amp;$B22,公表[班別+時段],公表[備勤3],""),$AX$9:$AX$25,$AY$9:$AY$25,"")</f>
        <v>0</v>
      </c>
      <c r="R22" s="87">
        <f>_xlfn.XLOOKUP(_xlfn.XLOOKUP($AS$6&amp;$B22,公表[班別+時段],公表[備勤4],""),$AX$9:$AX$25,$AY$9:$AY$25,"")</f>
        <v>0</v>
      </c>
      <c r="S22" s="87"/>
      <c r="T22" s="87">
        <f>_xlfn.XLOOKUP(_xlfn.XLOOKUP($AS$6&amp;$B22,公表[班別+時段],公表[備勤5],""),$AX$9:$AX$25,$AY$9:$AY$25,"")</f>
        <v>0</v>
      </c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87"/>
      <c r="AC22" s="87"/>
      <c r="AD22" s="87"/>
      <c r="AE22" s="88">
        <f>_xlfn.XLOOKUP(_xlfn.XLOOKUP($AS$6&amp;$B22,公表[班別+時段],公表[指揮官],""),$AX$9:$AX$25,$AY$9:$AY$25,"")</f>
        <v>3</v>
      </c>
      <c r="AF22" s="57" t="s">
        <v>213</v>
      </c>
      <c r="AG22" s="305" t="str" cm="1">
        <f t="array" ref="AG22">_xlfn.TEXTJOIN(".",1,_xlfn._xlws.FILTER($AO$9:$AO$40,$AQ$9:$AQ$40="上班",""))</f>
        <v>3.6.7.8.11.12.16.19.27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27">
        <v>14</v>
      </c>
      <c r="AP22" s="127" t="str">
        <v>王浩任</v>
      </c>
      <c r="AQ22" s="127" t="str" cm="1">
        <f t="array" ref="AQ22">IFERROR(_xlfn.XLOOKUP(_xlfn.XLOOKUP($AQ$3,輪休基準表!$C$6:$C$36,_xlfn.XLOOKUP(AP22,輪休基準表!$E$5:$AF$5,輪休基準表!$E$6:$AF$36,""),""),班別參數!$A$4:$A$20,班別參數!$B$4:$B$20,""),"")</f>
        <v>公假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/>
      </c>
      <c r="AT22" s="180" t="str">
        <f t="shared" si="0"/>
        <v/>
      </c>
      <c r="AU22" s="180" t="str">
        <f t="shared" si="1"/>
        <v/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27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0</v>
      </c>
      <c r="D23" s="106"/>
      <c r="E23" s="96"/>
      <c r="F23" s="96"/>
      <c r="G23" s="123" t="str">
        <f>IF(BC15="","",BC15)</f>
        <v/>
      </c>
      <c r="H23" s="107"/>
      <c r="I23" s="216">
        <f>_xlfn.XLOOKUP(_xlfn.XLOOKUP($AS$6&amp;$B23,公表[班別+時段],公表[救護1],""),$AX$9:$AX$25,$AY$9:$AY$25,"")</f>
        <v>0</v>
      </c>
      <c r="J23" s="216">
        <f>_xlfn.XLOOKUP(_xlfn.XLOOKUP($AS$6&amp;$B23,公表[班別+時段],公表[救護2],""),$AX$9:$AX$25,$AY$9:$AY$25,"")</f>
        <v>0</v>
      </c>
      <c r="K23" s="105"/>
      <c r="L23" s="93" t="s">
        <v>212</v>
      </c>
      <c r="M23" s="312"/>
      <c r="N23" s="89">
        <f>_xlfn.XLOOKUP(_xlfn.XLOOKUP($AS$6&amp;$B23,公表[班別+時段],公表[備勤1],""),$AX$9:$AX$25,$AY$9:$AY$25,"")</f>
        <v>0</v>
      </c>
      <c r="O23" s="89">
        <f>_xlfn.XLOOKUP(_xlfn.XLOOKUP($AS$6&amp;$B23,公表[班別+時段],公表[備勤2],""),$AX$9:$AX$25,$AY$9:$AY$25,"")</f>
        <v>0</v>
      </c>
      <c r="P23" s="89"/>
      <c r="Q23" s="89">
        <f>_xlfn.XLOOKUP(_xlfn.XLOOKUP($AS$6&amp;$B23,公表[班別+時段],公表[備勤3],""),$AX$9:$AX$25,$AY$9:$AY$25,"")</f>
        <v>0</v>
      </c>
      <c r="R23" s="89">
        <f>_xlfn.XLOOKUP(_xlfn.XLOOKUP($AS$6&amp;$B23,公表[班別+時段],公表[備勤4],""),$AX$9:$AX$25,$AY$9:$AY$25,"")</f>
        <v>0</v>
      </c>
      <c r="S23" s="89"/>
      <c r="T23" s="89">
        <f>_xlfn.XLOOKUP(_xlfn.XLOOKUP($AS$6&amp;$B23,公表[班別+時段],公表[備勤5],""),$AX$9:$AX$25,$AY$9:$AY$25,"")</f>
        <v>0</v>
      </c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89"/>
      <c r="AC23" s="89"/>
      <c r="AD23" s="89"/>
      <c r="AE23" s="104">
        <f>_xlfn.XLOOKUP(_xlfn.XLOOKUP($AS$6&amp;$B23,公表[班別+時段],公表[指揮官],""),$AX$9:$AX$25,$AY$9:$AY$25,"")</f>
        <v>3</v>
      </c>
      <c r="AF23" s="57" t="s">
        <v>6</v>
      </c>
      <c r="AG23" s="305" t="str" cm="1">
        <f t="array" ref="AG23">_xlfn.TEXTJOIN(".",1,_xlfn._xlws.FILTER($AO$9:$AO$40,$AQ$9:$AQ$40=$AF$23,""))</f>
        <v>2.4.9.10.17.18.21.23.24.25.26.28</v>
      </c>
      <c r="AH23" s="400"/>
      <c r="AI23" s="400"/>
      <c r="AJ23" s="400"/>
      <c r="AK23" s="400"/>
      <c r="AL23" s="400"/>
      <c r="AM23" s="401"/>
      <c r="AN23" s="214"/>
      <c r="AO23" s="127">
        <v>15</v>
      </c>
      <c r="AP23" s="127" t="str">
        <v>李仕詮</v>
      </c>
      <c r="AQ23" s="127" t="str" cm="1">
        <f t="array" ref="AQ23">IFERROR(_xlfn.XLOOKUP(_xlfn.XLOOKUP($AQ$3,輪休基準表!$C$6:$C$36,_xlfn.XLOOKUP(AP23,輪休基準表!$E$5:$AF$5,輪休基準表!$E$6:$AF$36,""),""),班別參數!$A$4:$A$20,班別參數!$B$4:$B$20,""),"")</f>
        <v>請休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/>
      </c>
      <c r="AT23" s="180" t="str">
        <f t="shared" si="0"/>
        <v/>
      </c>
      <c r="AU23" s="180" t="str">
        <f t="shared" si="1"/>
        <v/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27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0</v>
      </c>
      <c r="D24" s="97"/>
      <c r="E24" s="97"/>
      <c r="F24" s="97"/>
      <c r="G24" s="121" t="str">
        <f>IF(BC16="","",BC16)</f>
        <v/>
      </c>
      <c r="H24" s="55"/>
      <c r="I24" s="94">
        <f>_xlfn.XLOOKUP(_xlfn.XLOOKUP($AS$6&amp;$B24,公表[班別+時段],公表[救護1],""),$AX$9:$AX$25,$AY$9:$AY$25,"")</f>
        <v>0</v>
      </c>
      <c r="J24" s="94">
        <f>_xlfn.XLOOKUP(_xlfn.XLOOKUP($AS$6&amp;$B24,公表[班別+時段],公表[救護2],""),$AX$9:$AX$25,$AY$9:$AY$25,"")</f>
        <v>0</v>
      </c>
      <c r="K24" s="90"/>
      <c r="L24" s="90" t="s">
        <v>212</v>
      </c>
      <c r="M24" s="312"/>
      <c r="N24" s="90">
        <f>_xlfn.XLOOKUP(_xlfn.XLOOKUP($AS$6&amp;$B24,公表[班別+時段],公表[備勤1],""),$AX$9:$AX$25,$AY$9:$AY$25,"")</f>
        <v>0</v>
      </c>
      <c r="O24" s="90">
        <f>_xlfn.XLOOKUP(_xlfn.XLOOKUP($AS$6&amp;$B24,公表[班別+時段],公表[備勤2],""),$AX$9:$AX$25,$AY$9:$AY$25,"")</f>
        <v>0</v>
      </c>
      <c r="P24" s="90"/>
      <c r="Q24" s="90">
        <f>_xlfn.XLOOKUP(_xlfn.XLOOKUP($AS$6&amp;$B24,公表[班別+時段],公表[備勤3],""),$AX$9:$AX$25,$AY$9:$AY$25,"")</f>
        <v>0</v>
      </c>
      <c r="R24" s="90">
        <f>_xlfn.XLOOKUP(_xlfn.XLOOKUP($AS$6&amp;$B24,公表[班別+時段],公表[備勤4],""),$AX$9:$AX$25,$AY$9:$AY$25,"")</f>
        <v>0</v>
      </c>
      <c r="S24" s="90"/>
      <c r="T24" s="90">
        <f>_xlfn.XLOOKUP(_xlfn.XLOOKUP($AS$6&amp;$B24,公表[班別+時段],公表[備勤5],""),$AX$9:$AX$25,$AY$9:$AY$25,"")</f>
        <v>0</v>
      </c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90"/>
      <c r="AC24" s="90"/>
      <c r="AD24" s="90"/>
      <c r="AE24" s="91">
        <f>_xlfn.XLOOKUP(_xlfn.XLOOKUP($AS$6&amp;$B24,公表[班別+時段],公表[指揮官],""),$AX$9:$AX$25,$AY$9:$AY$25,"")</f>
        <v>3</v>
      </c>
      <c r="AF24" s="57" t="s">
        <v>17</v>
      </c>
      <c r="AG24" s="305" t="str" cm="1">
        <f t="array" ref="AG24">_xlfn.TEXTJOIN(".",1,_xlfn._xlws.FILTER($AO$9:$AO$40,$AQ$9:$AQ$40=$AF$24,""))</f>
        <v>1.5</v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/>
      </c>
      <c r="AL24" s="400"/>
      <c r="AM24" s="401"/>
      <c r="AN24" s="214"/>
      <c r="AO24" s="127">
        <v>16</v>
      </c>
      <c r="AP24" s="127" t="str">
        <v>楊弘宇</v>
      </c>
      <c r="AQ24" s="127" t="str" cm="1">
        <f t="array" ref="AQ24">IFERROR(_xlfn.XLOOKUP(_xlfn.XLOOKUP($AQ$3,輪休基準表!$C$6:$C$36,_xlfn.XLOOKUP(AP24,輪休基準表!$E$5:$AF$5,輪休基準表!$E$6:$AF$36,""),""),班別參數!$A$4:$A$20,班別參數!$B$4:$B$20,""),"")</f>
        <v>上班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>未排</v>
      </c>
      <c r="AT24" s="180" t="str">
        <f t="shared" si="0"/>
        <v/>
      </c>
      <c r="AU24" s="180" t="str">
        <f t="shared" si="1"/>
        <v/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27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0</v>
      </c>
      <c r="D25" s="95"/>
      <c r="E25" s="95"/>
      <c r="F25" s="95"/>
      <c r="G25" s="122" t="str">
        <f>IF(BC16="","",BC16)</f>
        <v/>
      </c>
      <c r="H25" s="37"/>
      <c r="I25" s="92">
        <f>_xlfn.XLOOKUP(_xlfn.XLOOKUP($AS$6&amp;$B25,公表[班別+時段],公表[救護1],""),$AX$9:$AX$25,$AY$9:$AY$25,"")</f>
        <v>0</v>
      </c>
      <c r="J25" s="92">
        <f>_xlfn.XLOOKUP(_xlfn.XLOOKUP($AS$6&amp;$B25,公表[班別+時段],公表[救護2],""),$AX$9:$AX$25,$AY$9:$AY$25,"")</f>
        <v>0</v>
      </c>
      <c r="K25" s="87"/>
      <c r="L25" s="87" t="s">
        <v>212</v>
      </c>
      <c r="M25" s="312"/>
      <c r="N25" s="87">
        <f>_xlfn.XLOOKUP(_xlfn.XLOOKUP($AS$6&amp;$B25,公表[班別+時段],公表[備勤1],""),$AX$9:$AX$25,$AY$9:$AY$25,"")</f>
        <v>0</v>
      </c>
      <c r="O25" s="87">
        <f>_xlfn.XLOOKUP(_xlfn.XLOOKUP($AS$6&amp;$B25,公表[班別+時段],公表[備勤2],""),$AX$9:$AX$25,$AY$9:$AY$25,"")</f>
        <v>0</v>
      </c>
      <c r="P25" s="87"/>
      <c r="Q25" s="87">
        <f>_xlfn.XLOOKUP(_xlfn.XLOOKUP($AS$6&amp;$B25,公表[班別+時段],公表[備勤3],""),$AX$9:$AX$25,$AY$9:$AY$25,"")</f>
        <v>0</v>
      </c>
      <c r="R25" s="87">
        <f>_xlfn.XLOOKUP(_xlfn.XLOOKUP($AS$6&amp;$B25,公表[班別+時段],公表[備勤4],""),$AX$9:$AX$25,$AY$9:$AY$25,"")</f>
        <v>0</v>
      </c>
      <c r="S25" s="87"/>
      <c r="T25" s="87">
        <f>_xlfn.XLOOKUP(_xlfn.XLOOKUP($AS$6&amp;$B25,公表[班別+時段],公表[備勤5],""),$AX$9:$AX$25,$AY$9:$AY$25,"")</f>
        <v>0</v>
      </c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87"/>
      <c r="AC25" s="87"/>
      <c r="AD25" s="87"/>
      <c r="AE25" s="88">
        <f>_xlfn.XLOOKUP(_xlfn.XLOOKUP($AS$6&amp;$B25,公表[班別+時段],公表[指揮官],""),$AX$9:$AX$25,$AY$9:$AY$25,"")</f>
        <v>3</v>
      </c>
      <c r="AF25" s="57" t="s">
        <v>28</v>
      </c>
      <c r="AG25" s="305" t="str" cm="1">
        <f t="array" ref="AG25">_xlfn.TEXTJOIN(".",1,_xlfn._xlws.FILTER($AO$9:$AO$40,$AQ$9:$AQ$40=$AF$25,""))</f>
        <v>15</v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>13.14.20.22</v>
      </c>
      <c r="AL25" s="309"/>
      <c r="AM25" s="310"/>
      <c r="AN25" s="214"/>
      <c r="AO25" s="127">
        <v>17</v>
      </c>
      <c r="AP25" s="127" t="str">
        <v>楊仲豪</v>
      </c>
      <c r="AQ25" s="127" t="str" cm="1">
        <f t="array" ref="AQ25">IFERROR(_xlfn.XLOOKUP(_xlfn.XLOOKUP($AQ$3,輪休基準表!$C$6:$C$36,_xlfn.XLOOKUP(AP25,輪休基準表!$E$5:$AF$5,輪休基準表!$E$6:$AF$36,""),""),班別參數!$A$4:$A$20,班別參數!$B$4:$B$20,""),"")</f>
        <v>輪休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/>
      </c>
      <c r="AT25" s="180" t="str">
        <f t="shared" si="0"/>
        <v/>
      </c>
      <c r="AU25" s="180" t="str">
        <f t="shared" si="1"/>
        <v/>
      </c>
      <c r="AW25" s="33"/>
      <c r="AX25" s="45"/>
      <c r="AY25" s="25"/>
      <c r="AZ25" s="28"/>
      <c r="BA25" s="33"/>
      <c r="BB25" s="25"/>
      <c r="BD25" s="127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0</v>
      </c>
      <c r="D26" s="95"/>
      <c r="E26" s="95"/>
      <c r="F26" s="95"/>
      <c r="G26" s="122" t="str">
        <f>IF(BC17="","",BC17)</f>
        <v/>
      </c>
      <c r="H26" s="37"/>
      <c r="I26" s="92">
        <f>_xlfn.XLOOKUP(_xlfn.XLOOKUP($AS$6&amp;$B26,公表[班別+時段],公表[救護1],""),$AX$9:$AX$25,$AY$9:$AY$25,"")</f>
        <v>0</v>
      </c>
      <c r="J26" s="92">
        <f>_xlfn.XLOOKUP(_xlfn.XLOOKUP($AS$6&amp;$B26,公表[班別+時段],公表[救護2],""),$AX$9:$AX$25,$AY$9:$AY$25,"")</f>
        <v>0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0</v>
      </c>
      <c r="O26" s="87">
        <f>_xlfn.XLOOKUP(_xlfn.XLOOKUP($AS$6&amp;$B26,公表[班別+時段],公表[備勤2],""),$AX$9:$AX$25,$AY$9:$AY$25,"")</f>
        <v>0</v>
      </c>
      <c r="P26" s="87"/>
      <c r="Q26" s="87">
        <f>_xlfn.XLOOKUP(_xlfn.XLOOKUP($AS$6&amp;$B26,公表[班別+時段],公表[備勤3],""),$AX$9:$AX$25,$AY$9:$AY$25,"")</f>
        <v>0</v>
      </c>
      <c r="R26" s="87">
        <f>_xlfn.XLOOKUP(_xlfn.XLOOKUP($AS$6&amp;$B26,公表[班別+時段],公表[備勤4],""),$AX$9:$AX$25,$AY$9:$AY$25,"")</f>
        <v>0</v>
      </c>
      <c r="S26" s="87"/>
      <c r="T26" s="87">
        <f>_xlfn.XLOOKUP(_xlfn.XLOOKUP($AS$6&amp;$B26,公表[班別+時段],公表[備勤5],""),$AX$9:$AX$25,$AY$9:$AY$25,"")</f>
        <v>0</v>
      </c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87"/>
      <c r="AC26" s="87"/>
      <c r="AD26" s="87"/>
      <c r="AE26" s="88">
        <f>_xlfn.XLOOKUP(_xlfn.XLOOKUP($AS$6&amp;$B26,公表[班別+時段],公表[指揮官],""),$AX$9:$AX$25,$AY$9:$AY$25,"")</f>
        <v>3</v>
      </c>
      <c r="AF26" s="57" t="s">
        <v>289</v>
      </c>
      <c r="AG26" s="178" t="str" cm="1">
        <f t="array" ref="AG26">_xlfn.TEXTJOIN(".",1,_xlfn._xlws.FILTER($AO$9:$AO$40,$AQ$9:$AQ$40=$AF$26,""))</f>
        <v/>
      </c>
      <c r="AH26" s="168" t="s">
        <v>290</v>
      </c>
      <c r="AI26" s="179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/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27">
        <v>18</v>
      </c>
      <c r="AP26" s="127" t="str">
        <v>林志偉</v>
      </c>
      <c r="AQ26" s="127" t="str" cm="1">
        <f t="array" ref="AQ26">IFERROR(_xlfn.XLOOKUP(_xlfn.XLOOKUP($AQ$3,輪休基準表!$C$6:$C$36,_xlfn.XLOOKUP(AP26,輪休基準表!$E$5:$AF$5,輪休基準表!$E$6:$AF$36,""),""),班別參數!$A$4:$A$20,班別參數!$B$4:$B$20,""),"")</f>
        <v>輪休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/>
      </c>
      <c r="AT26" s="180" t="str">
        <f t="shared" si="0"/>
        <v/>
      </c>
      <c r="AU26" s="180" t="str">
        <f t="shared" si="1"/>
        <v/>
      </c>
      <c r="AV26" s="10"/>
      <c r="AW26" s="46"/>
      <c r="AX26" s="45"/>
      <c r="AY26" s="25"/>
      <c r="AZ26" s="28"/>
      <c r="BA26" s="33"/>
      <c r="BB26" s="25"/>
      <c r="BD26" s="127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0</v>
      </c>
      <c r="D27" s="95"/>
      <c r="E27" s="95"/>
      <c r="F27" s="95"/>
      <c r="G27" s="122" t="str">
        <f>IF(BC17="","",BC17)</f>
        <v/>
      </c>
      <c r="H27" s="37"/>
      <c r="I27" s="92">
        <f>_xlfn.XLOOKUP(_xlfn.XLOOKUP($AS$6&amp;$B27,公表[班別+時段],公表[救護1],""),$AX$9:$AX$25,$AY$9:$AY$25,"")</f>
        <v>0</v>
      </c>
      <c r="J27" s="92">
        <f>_xlfn.XLOOKUP(_xlfn.XLOOKUP($AS$6&amp;$B27,公表[班別+時段],公表[救護2],""),$AX$9:$AX$25,$AY$9:$AY$25,"")</f>
        <v>0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0</v>
      </c>
      <c r="O27" s="87">
        <f>_xlfn.XLOOKUP(_xlfn.XLOOKUP($AS$6&amp;$B27,公表[班別+時段],公表[備勤2],""),$AX$9:$AX$25,$AY$9:$AY$25,"")</f>
        <v>0</v>
      </c>
      <c r="P27" s="87"/>
      <c r="Q27" s="87">
        <f>_xlfn.XLOOKUP(_xlfn.XLOOKUP($AS$6&amp;$B27,公表[班別+時段],公表[備勤3],""),$AX$9:$AX$25,$AY$9:$AY$25,"")</f>
        <v>0</v>
      </c>
      <c r="R27" s="87">
        <f>_xlfn.XLOOKUP(_xlfn.XLOOKUP($AS$6&amp;$B27,公表[班別+時段],公表[備勤4],""),$AX$9:$AX$25,$AY$9:$AY$25,"")</f>
        <v>0</v>
      </c>
      <c r="S27" s="87"/>
      <c r="T27" s="87">
        <f>_xlfn.XLOOKUP(_xlfn.XLOOKUP($AS$6&amp;$B27,公表[班別+時段],公表[備勤5],""),$AX$9:$AX$25,$AY$9:$AY$25,"")</f>
        <v>0</v>
      </c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87"/>
      <c r="AC27" s="87"/>
      <c r="AD27" s="87"/>
      <c r="AE27" s="88">
        <f>_xlfn.XLOOKUP(_xlfn.XLOOKUP($AS$6&amp;$B27,公表[班別+時段],公表[指揮官],""),$AX$9:$AX$25,$AY$9:$AY$25,"")</f>
        <v>3</v>
      </c>
      <c r="AF27" s="317" t="s">
        <v>215</v>
      </c>
      <c r="AG27" s="319"/>
      <c r="AH27" s="321"/>
      <c r="AI27" s="321"/>
      <c r="AJ27" s="321"/>
      <c r="AK27" s="321"/>
      <c r="AL27" s="321"/>
      <c r="AM27" s="322"/>
      <c r="AN27" s="214"/>
      <c r="AO27" s="127">
        <v>19</v>
      </c>
      <c r="AP27" s="127" t="str">
        <v>劉家誠</v>
      </c>
      <c r="AQ27" s="127" t="str" cm="1">
        <f t="array" ref="AQ27">IFERROR(_xlfn.XLOOKUP(_xlfn.XLOOKUP($AQ$3,輪休基準表!$C$6:$C$36,_xlfn.XLOOKUP(AP27,輪休基準表!$E$5:$AF$5,輪休基準表!$E$6:$AF$36,""),""),班別參數!$A$4:$A$20,班別參數!$B$4:$B$20,""),"")</f>
        <v>上班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>未排</v>
      </c>
      <c r="AT27" s="180" t="str">
        <f t="shared" si="0"/>
        <v/>
      </c>
      <c r="AU27" s="180" t="str">
        <f t="shared" si="1"/>
        <v/>
      </c>
      <c r="AV27" s="10"/>
      <c r="AW27" s="46"/>
      <c r="AX27" s="45"/>
      <c r="AY27" s="25"/>
      <c r="AZ27" s="28"/>
      <c r="BA27" s="33"/>
      <c r="BB27" s="25"/>
      <c r="BD27" s="127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0</v>
      </c>
      <c r="D28" s="95"/>
      <c r="E28" s="95"/>
      <c r="F28" s="95"/>
      <c r="G28" s="122" t="str">
        <f>IF(BC18="","",BC18)</f>
        <v/>
      </c>
      <c r="H28" s="37"/>
      <c r="I28" s="92">
        <f>_xlfn.XLOOKUP(_xlfn.XLOOKUP($AS$6&amp;$B28,公表[班別+時段],公表[救護1],""),$AX$9:$AX$25,$AY$9:$AY$25,"")</f>
        <v>0</v>
      </c>
      <c r="J28" s="92">
        <f>_xlfn.XLOOKUP(_xlfn.XLOOKUP($AS$6&amp;$B28,公表[班別+時段],公表[救護2],""),$AX$9:$AX$25,$AY$9:$AY$25,"")</f>
        <v>0</v>
      </c>
      <c r="K28" s="87"/>
      <c r="L28" s="87" t="s">
        <v>212</v>
      </c>
      <c r="M28" s="312"/>
      <c r="N28" s="87">
        <f>_xlfn.XLOOKUP(_xlfn.XLOOKUP($AS$6&amp;$B28,公表[班別+時段],公表[備勤1],""),$AX$9:$AX$25,$AY$9:$AY$25,"")</f>
        <v>0</v>
      </c>
      <c r="O28" s="87">
        <f>_xlfn.XLOOKUP(_xlfn.XLOOKUP($AS$6&amp;$B28,公表[班別+時段],公表[備勤2],""),$AX$9:$AX$25,$AY$9:$AY$25,"")</f>
        <v>0</v>
      </c>
      <c r="P28" s="87"/>
      <c r="Q28" s="87">
        <f>_xlfn.XLOOKUP(_xlfn.XLOOKUP($AS$6&amp;$B28,公表[班別+時段],公表[備勤3],""),$AX$9:$AX$25,$AY$9:$AY$25,"")</f>
        <v>0</v>
      </c>
      <c r="R28" s="87">
        <f>_xlfn.XLOOKUP(_xlfn.XLOOKUP($AS$6&amp;$B28,公表[班別+時段],公表[備勤4],""),$AX$9:$AX$25,$AY$9:$AY$25,"")</f>
        <v>0</v>
      </c>
      <c r="S28" s="87"/>
      <c r="T28" s="87">
        <f>_xlfn.XLOOKUP(_xlfn.XLOOKUP($AS$6&amp;$B28,公表[班別+時段],公表[備勤5],""),$AX$9:$AX$25,$AY$9:$AY$25,"")</f>
        <v>0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87"/>
      <c r="AC28" s="87"/>
      <c r="AD28" s="87"/>
      <c r="AE28" s="88">
        <f>_xlfn.XLOOKUP(_xlfn.XLOOKUP($AS$6&amp;$B28,公表[班別+時段],公表[指揮官],""),$AX$9:$AX$25,$AY$9:$AY$25,"")</f>
        <v>3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27">
        <v>20</v>
      </c>
      <c r="AP28" s="127" t="str">
        <v>呂奇霈</v>
      </c>
      <c r="AQ28" s="127" t="str" cm="1">
        <f t="array" ref="AQ28">IFERROR(_xlfn.XLOOKUP(_xlfn.XLOOKUP($AQ$3,輪休基準表!$C$6:$C$36,_xlfn.XLOOKUP(AP28,輪休基準表!$E$5:$AF$5,輪休基準表!$E$6:$AF$36,""),""),班別參數!$A$4:$A$20,班別參數!$B$4:$B$20,""),"")</f>
        <v>公假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27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0</v>
      </c>
      <c r="D29" s="95"/>
      <c r="E29" s="95"/>
      <c r="F29" s="95"/>
      <c r="G29" s="122" t="str">
        <f>IF(BC18="","",BC18)</f>
        <v/>
      </c>
      <c r="H29" s="37"/>
      <c r="I29" s="92">
        <f>_xlfn.XLOOKUP(_xlfn.XLOOKUP($AS$6&amp;$B29,公表[班別+時段],公表[救護1],""),$AX$9:$AX$25,$AY$9:$AY$25,"")</f>
        <v>0</v>
      </c>
      <c r="J29" s="92">
        <f>_xlfn.XLOOKUP(_xlfn.XLOOKUP($AS$6&amp;$B29,公表[班別+時段],公表[救護2],""),$AX$9:$AX$25,$AY$9:$AY$25,"")</f>
        <v>0</v>
      </c>
      <c r="K29" s="87"/>
      <c r="L29" s="87" t="s">
        <v>212</v>
      </c>
      <c r="M29" s="312"/>
      <c r="N29" s="87">
        <f>_xlfn.XLOOKUP(_xlfn.XLOOKUP($AS$6&amp;$B29,公表[班別+時段],公表[備勤1],""),$AX$9:$AX$25,$AY$9:$AY$25,"")</f>
        <v>0</v>
      </c>
      <c r="O29" s="87">
        <f>_xlfn.XLOOKUP(_xlfn.XLOOKUP($AS$6&amp;$B29,公表[班別+時段],公表[備勤2],""),$AX$9:$AX$25,$AY$9:$AY$25,"")</f>
        <v>0</v>
      </c>
      <c r="P29" s="87"/>
      <c r="Q29" s="87">
        <f>_xlfn.XLOOKUP(_xlfn.XLOOKUP($AS$6&amp;$B29,公表[班別+時段],公表[備勤3],""),$AX$9:$AX$25,$AY$9:$AY$25,"")</f>
        <v>0</v>
      </c>
      <c r="R29" s="87">
        <f>_xlfn.XLOOKUP(_xlfn.XLOOKUP($AS$6&amp;$B29,公表[班別+時段],公表[備勤4],""),$AX$9:$AX$25,$AY$9:$AY$25,"")</f>
        <v>0</v>
      </c>
      <c r="S29" s="87"/>
      <c r="T29" s="87">
        <f>_xlfn.XLOOKUP(_xlfn.XLOOKUP($AS$6&amp;$B29,公表[班別+時段],公表[備勤5],""),$AX$9:$AX$25,$AY$9:$AY$25,"")</f>
        <v>0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87"/>
      <c r="AC29" s="87"/>
      <c r="AD29" s="87"/>
      <c r="AE29" s="88">
        <f>_xlfn.XLOOKUP(_xlfn.XLOOKUP($AS$6&amp;$B29,公表[班別+時段],公表[指揮官],""),$AX$9:$AX$25,$AY$9:$AY$25,"")</f>
        <v>3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27">
        <v>21</v>
      </c>
      <c r="AP29" s="127" t="str">
        <v>張家和</v>
      </c>
      <c r="AQ29" s="127" t="str" cm="1">
        <f t="array" ref="AQ29">IFERROR(_xlfn.XLOOKUP(_xlfn.XLOOKUP($AQ$3,輪休基準表!$C$6:$C$36,_xlfn.XLOOKUP(AP29,輪休基準表!$E$5:$AF$5,輪休基準表!$E$6:$AF$36,""),""),班別參數!$A$4:$A$20,班別參數!$B$4:$B$20,""),"")</f>
        <v>輪休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/>
      </c>
      <c r="AT29" s="180" t="str">
        <f t="shared" si="0"/>
        <v/>
      </c>
      <c r="AU29" s="180" t="str">
        <f t="shared" si="1"/>
        <v/>
      </c>
      <c r="AV29" s="10"/>
      <c r="AW29" s="47"/>
      <c r="AX29" s="45"/>
      <c r="AY29" s="25"/>
      <c r="AZ29" s="28"/>
      <c r="BA29" s="33"/>
      <c r="BB29" s="25"/>
      <c r="BD29" s="127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0</v>
      </c>
      <c r="D30" s="95"/>
      <c r="E30" s="95"/>
      <c r="F30" s="95"/>
      <c r="G30" s="122" t="str">
        <f>IF(BC19="","",BC19)</f>
        <v/>
      </c>
      <c r="H30" s="37"/>
      <c r="I30" s="92">
        <f>_xlfn.XLOOKUP(_xlfn.XLOOKUP($AS$6&amp;$B30,公表[班別+時段],公表[救護1],""),$AX$9:$AX$25,$AY$9:$AY$25,"")</f>
        <v>0</v>
      </c>
      <c r="J30" s="92">
        <f>_xlfn.XLOOKUP(_xlfn.XLOOKUP($AS$6&amp;$B30,公表[班別+時段],公表[救護2],""),$AX$9:$AX$25,$AY$9:$AY$25,"")</f>
        <v>0</v>
      </c>
      <c r="K30" s="87"/>
      <c r="L30" s="87" t="s">
        <v>212</v>
      </c>
      <c r="M30" s="312"/>
      <c r="N30" s="87">
        <f>_xlfn.XLOOKUP(_xlfn.XLOOKUP($AS$6&amp;$B30,公表[班別+時段],公表[備勤1],""),$AX$9:$AX$25,$AY$9:$AY$25,"")</f>
        <v>0</v>
      </c>
      <c r="O30" s="87">
        <f>_xlfn.XLOOKUP(_xlfn.XLOOKUP($AS$6&amp;$B30,公表[班別+時段],公表[備勤2],""),$AX$9:$AX$25,$AY$9:$AY$25,"")</f>
        <v>0</v>
      </c>
      <c r="P30" s="87"/>
      <c r="Q30" s="87">
        <f>_xlfn.XLOOKUP(_xlfn.XLOOKUP($AS$6&amp;$B30,公表[班別+時段],公表[備勤3],""),$AX$9:$AX$25,$AY$9:$AY$25,"")</f>
        <v>0</v>
      </c>
      <c r="R30" s="87">
        <f>_xlfn.XLOOKUP(_xlfn.XLOOKUP($AS$6&amp;$B30,公表[班別+時段],公表[備勤4],""),$AX$9:$AX$25,$AY$9:$AY$25,"")</f>
        <v>0</v>
      </c>
      <c r="S30" s="87"/>
      <c r="T30" s="87">
        <f>_xlfn.XLOOKUP(_xlfn.XLOOKUP($AS$6&amp;$B30,公表[班別+時段],公表[備勤5],""),$AX$9:$AX$25,$AY$9:$AY$25,"")</f>
        <v>0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87"/>
      <c r="AC30" s="87"/>
      <c r="AD30" s="87"/>
      <c r="AE30" s="88">
        <f>_xlfn.XLOOKUP(_xlfn.XLOOKUP($AS$6&amp;$B30,公表[班別+時段],公表[指揮官],""),$AX$9:$AX$25,$AY$9:$AY$25,"")</f>
        <v>3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27">
        <v>22</v>
      </c>
      <c r="AP30" s="127" t="str">
        <v>陳俊瑋</v>
      </c>
      <c r="AQ30" s="127" t="str" cm="1">
        <f t="array" ref="AQ30">IFERROR(_xlfn.XLOOKUP(_xlfn.XLOOKUP($AQ$3,輪休基準表!$C$6:$C$36,_xlfn.XLOOKUP(AP30,輪休基準表!$E$5:$AF$5,輪休基準表!$E$6:$AF$36,""),""),班別參數!$A$4:$A$20,班別參數!$B$4:$B$20,""),"")</f>
        <v>公假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27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0</v>
      </c>
      <c r="D31" s="106"/>
      <c r="E31" s="96"/>
      <c r="F31" s="96"/>
      <c r="G31" s="123" t="str">
        <f>IF(BC19="","",BC19)</f>
        <v/>
      </c>
      <c r="H31" s="109"/>
      <c r="I31" s="216">
        <f>_xlfn.XLOOKUP(_xlfn.XLOOKUP($AS$6&amp;$B31,公表[班別+時段],公表[救護1],""),$AX$9:$AX$25,$AY$9:$AY$25,"")</f>
        <v>0</v>
      </c>
      <c r="J31" s="216">
        <f>_xlfn.XLOOKUP(_xlfn.XLOOKUP($AS$6&amp;$B31,公表[班別+時段],公表[救護2],""),$AX$9:$AX$25,$AY$9:$AY$25,"")</f>
        <v>0</v>
      </c>
      <c r="K31" s="108"/>
      <c r="L31" s="93" t="s">
        <v>212</v>
      </c>
      <c r="M31" s="312"/>
      <c r="N31" s="89">
        <f>_xlfn.XLOOKUP(_xlfn.XLOOKUP($AS$6&amp;$B31,公表[班別+時段],公表[備勤1],""),$AX$9:$AX$25,$AY$9:$AY$25,"")</f>
        <v>0</v>
      </c>
      <c r="O31" s="89">
        <f>_xlfn.XLOOKUP(_xlfn.XLOOKUP($AS$6&amp;$B31,公表[班別+時段],公表[備勤2],""),$AX$9:$AX$25,$AY$9:$AY$25,"")</f>
        <v>0</v>
      </c>
      <c r="P31" s="89"/>
      <c r="Q31" s="89">
        <f>_xlfn.XLOOKUP(_xlfn.XLOOKUP($AS$6&amp;$B31,公表[班別+時段],公表[備勤3],""),$AX$9:$AX$25,$AY$9:$AY$25,"")</f>
        <v>0</v>
      </c>
      <c r="R31" s="89">
        <f>_xlfn.XLOOKUP(_xlfn.XLOOKUP($AS$6&amp;$B31,公表[班別+時段],公表[備勤4],""),$AX$9:$AX$25,$AY$9:$AY$25,"")</f>
        <v>0</v>
      </c>
      <c r="S31" s="89"/>
      <c r="T31" s="89">
        <f>_xlfn.XLOOKUP(_xlfn.XLOOKUP($AS$6&amp;$B31,公表[班別+時段],公表[備勤5],""),$AX$9:$AX$25,$AY$9:$AY$25,"")</f>
        <v>0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89"/>
      <c r="AC31" s="89"/>
      <c r="AD31" s="89"/>
      <c r="AE31" s="104">
        <f>_xlfn.XLOOKUP(_xlfn.XLOOKUP($AS$6&amp;$B31,公表[班別+時段],公表[指揮官],""),$AX$9:$AX$25,$AY$9:$AY$25,"")</f>
        <v>3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27">
        <v>23</v>
      </c>
      <c r="AP31" s="127" t="str">
        <v>陳俊翰</v>
      </c>
      <c r="AQ31" s="127" t="str" cm="1">
        <f t="array" ref="AQ31">IFERROR(_xlfn.XLOOKUP(_xlfn.XLOOKUP($AQ$3,輪休基準表!$C$6:$C$36,_xlfn.XLOOKUP(AP31,輪休基準表!$E$5:$AF$5,輪休基準表!$E$6:$AF$36,""),""),班別參數!$A$4:$A$20,班別參數!$B$4:$B$20,""),"")</f>
        <v>輪休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/>
      </c>
      <c r="AT31" s="180" t="str">
        <f t="shared" si="0"/>
        <v/>
      </c>
      <c r="AU31" s="180" t="str">
        <f t="shared" si="1"/>
        <v/>
      </c>
      <c r="AW31" s="47"/>
      <c r="AX31" s="45"/>
      <c r="AY31" s="25"/>
      <c r="AZ31" s="28"/>
      <c r="BA31" s="33"/>
      <c r="BB31" s="25"/>
      <c r="BD31" s="127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0</v>
      </c>
      <c r="D32" s="97"/>
      <c r="E32" s="97"/>
      <c r="F32" s="97"/>
      <c r="G32" s="121" t="str">
        <f>IF(BC20="","",BC20)</f>
        <v/>
      </c>
      <c r="H32" s="56"/>
      <c r="I32" s="94">
        <f>_xlfn.XLOOKUP(_xlfn.XLOOKUP($AS$6&amp;$B32,公表[班別+時段],公表[救護1],""),$AX$9:$AX$25,$AY$9:$AY$25,"")</f>
        <v>0</v>
      </c>
      <c r="J32" s="94">
        <f>_xlfn.XLOOKUP(_xlfn.XLOOKUP($AS$6&amp;$B32,公表[班別+時段],公表[救護2],""),$AX$9:$AX$25,$AY$9:$AY$25,"")</f>
        <v>0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0</v>
      </c>
      <c r="O32" s="90">
        <f>_xlfn.XLOOKUP(_xlfn.XLOOKUP($AS$6&amp;$B32,公表[班別+時段],公表[備勤2],""),$AX$9:$AX$25,$AY$9:$AY$25,"")</f>
        <v>0</v>
      </c>
      <c r="P32" s="90"/>
      <c r="Q32" s="90">
        <f>_xlfn.XLOOKUP(_xlfn.XLOOKUP($AS$6&amp;$B32,公表[班別+時段],公表[備勤3],""),$AX$9:$AX$25,$AY$9:$AY$25,"")</f>
        <v>0</v>
      </c>
      <c r="R32" s="90">
        <f>_xlfn.XLOOKUP(_xlfn.XLOOKUP($AS$6&amp;$B32,公表[班別+時段],公表[備勤4],""),$AX$9:$AX$25,$AY$9:$AY$25,"")</f>
        <v>0</v>
      </c>
      <c r="S32" s="90"/>
      <c r="T32" s="90">
        <f>_xlfn.XLOOKUP(_xlfn.XLOOKUP($AS$6&amp;$B32,公表[班別+時段],公表[備勤5],""),$AX$9:$AX$25,$AY$9:$AY$25,"")</f>
        <v>0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90"/>
      <c r="AC32" s="90"/>
      <c r="AD32" s="90"/>
      <c r="AE32" s="91">
        <f>_xlfn.XLOOKUP(_xlfn.XLOOKUP($AS$6&amp;$B32,公表[班別+時段],公表[指揮官],""),$AX$9:$AX$25,$AY$9:$AY$25,"")</f>
        <v>3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27">
        <v>24</v>
      </c>
      <c r="AP32" s="127" t="str">
        <v>賴俊豪</v>
      </c>
      <c r="AQ32" s="127" t="str" cm="1">
        <f t="array" ref="AQ32">IFERROR(_xlfn.XLOOKUP(_xlfn.XLOOKUP($AQ$3,輪休基準表!$C$6:$C$36,_xlfn.XLOOKUP(AP32,輪休基準表!$E$5:$AF$5,輪休基準表!$E$6:$AF$36,""),""),班別參數!$A$4:$A$20,班別參數!$B$4:$B$20,""),"")</f>
        <v>輪休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/>
      </c>
      <c r="AT32" s="180" t="str">
        <f t="shared" si="0"/>
        <v/>
      </c>
      <c r="AU32" s="180" t="str">
        <f t="shared" si="1"/>
        <v/>
      </c>
      <c r="AW32" s="47"/>
      <c r="AX32" s="45"/>
      <c r="AY32" s="25"/>
      <c r="AZ32" s="28"/>
      <c r="BA32" s="33"/>
      <c r="BB32" s="25"/>
      <c r="BD32" s="127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0</v>
      </c>
      <c r="D33" s="95"/>
      <c r="E33" s="95"/>
      <c r="F33" s="95"/>
      <c r="G33" s="122" t="str">
        <f>IF(BC20="","",BC20)</f>
        <v/>
      </c>
      <c r="H33" s="48"/>
      <c r="I33" s="92">
        <f>_xlfn.XLOOKUP(_xlfn.XLOOKUP($AS$6&amp;$B33,公表[班別+時段],公表[救護1],""),$AX$9:$AX$25,$AY$9:$AY$25,"")</f>
        <v>0</v>
      </c>
      <c r="J33" s="92">
        <f>_xlfn.XLOOKUP(_xlfn.XLOOKUP($AS$6&amp;$B33,公表[班別+時段],公表[救護2],""),$AX$9:$AX$25,$AY$9:$AY$25,"")</f>
        <v>0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0</v>
      </c>
      <c r="O33" s="87">
        <f>_xlfn.XLOOKUP(_xlfn.XLOOKUP($AS$6&amp;$B33,公表[班別+時段],公表[備勤2],""),$AX$9:$AX$25,$AY$9:$AY$25,"")</f>
        <v>0</v>
      </c>
      <c r="P33" s="87"/>
      <c r="Q33" s="87">
        <f>_xlfn.XLOOKUP(_xlfn.XLOOKUP($AS$6&amp;$B33,公表[班別+時段],公表[備勤3],""),$AX$9:$AX$25,$AY$9:$AY$25,"")</f>
        <v>0</v>
      </c>
      <c r="R33" s="87">
        <f>_xlfn.XLOOKUP(_xlfn.XLOOKUP($AS$6&amp;$B33,公表[班別+時段],公表[備勤4],""),$AX$9:$AX$25,$AY$9:$AY$25,"")</f>
        <v>0</v>
      </c>
      <c r="S33" s="87"/>
      <c r="T33" s="87">
        <f>_xlfn.XLOOKUP(_xlfn.XLOOKUP($AS$6&amp;$B33,公表[班別+時段],公表[備勤5],""),$AX$9:$AX$25,$AY$9:$AY$25,"")</f>
        <v>0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87"/>
      <c r="AC33" s="87"/>
      <c r="AD33" s="87"/>
      <c r="AE33" s="88">
        <f>_xlfn.XLOOKUP(_xlfn.XLOOKUP($AS$6&amp;$B33,公表[班別+時段],公表[指揮官],""),$AX$9:$AX$25,$AY$9:$AY$25,"")</f>
        <v>3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27">
        <v>25</v>
      </c>
      <c r="AP33" s="127" t="str">
        <v>郭國偵</v>
      </c>
      <c r="AQ33" s="127" t="str" cm="1">
        <f t="array" ref="AQ33">IFERROR(_xlfn.XLOOKUP(_xlfn.XLOOKUP($AQ$3,輪休基準表!$C$6:$C$36,_xlfn.XLOOKUP(AP33,輪休基準表!$E$5:$AF$5,輪休基準表!$E$6:$AF$36,""),""),班別參數!$A$4:$A$20,班別參數!$B$4:$B$20,""),"")</f>
        <v>輪休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/>
      </c>
      <c r="AT33" s="180" t="str">
        <f t="shared" si="0"/>
        <v/>
      </c>
      <c r="AU33" s="180" t="str">
        <f t="shared" si="1"/>
        <v/>
      </c>
      <c r="AW33" s="47"/>
      <c r="AX33" s="45"/>
      <c r="AY33" s="25"/>
      <c r="AZ33" s="28"/>
      <c r="BA33" s="25"/>
      <c r="BB33" s="25"/>
      <c r="BD33" s="127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一、本日主管月補，職務由小隊長孫子翔代理。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27">
        <v>26</v>
      </c>
      <c r="AP34" s="127" t="str">
        <v>楊紹文</v>
      </c>
      <c r="AQ34" s="127" t="str" cm="1">
        <f t="array" ref="AQ34">IFERROR(_xlfn.XLOOKUP(_xlfn.XLOOKUP($AQ$3,輪休基準表!$C$6:$C$36,_xlfn.XLOOKUP(AP34,輪休基準表!$E$5:$AF$5,輪休基準表!$E$6:$AF$36,""),""),班別參數!$A$4:$A$20,班別參數!$B$4:$B$20,""),"")</f>
        <v>輪休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/>
      </c>
      <c r="AT34" s="180" t="str">
        <f t="shared" si="0"/>
        <v/>
      </c>
      <c r="AU34" s="180" t="str">
        <f t="shared" si="1"/>
        <v/>
      </c>
      <c r="AW34" s="47"/>
      <c r="AX34" s="45"/>
      <c r="AY34" s="25"/>
      <c r="AZ34" s="28"/>
      <c r="BA34" s="25"/>
      <c r="BB34" s="25"/>
      <c r="BD34" s="127"/>
    </row>
    <row r="35" spans="2:56" ht="30" customHeight="1">
      <c r="B35" s="349"/>
      <c r="C35" s="359" t="str">
        <f>CONCATENATE("二、在隊訓練:09-12時:",H11,";14-17時:",H16,";19-21時:",H21,"。")</f>
        <v>二、在隊訓練:09-12時:河川抽水及水源運用;14-17時:SCBA訓練;19-21時:火災特性。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27">
        <v>27</v>
      </c>
      <c r="AP35" s="127" t="str">
        <v>林宏為</v>
      </c>
      <c r="AQ35" s="127" t="str" cm="1">
        <f t="array" ref="AQ35">IFERROR(_xlfn.XLOOKUP(_xlfn.XLOOKUP($AQ$3,輪休基準表!$C$6:$C$36,_xlfn.XLOOKUP(AP35,輪休基準表!$E$5:$AF$5,輪休基準表!$E$6:$AF$36,""),""),班別參數!$A$4:$A$20,班別參數!$B$4:$B$20,""),"")</f>
        <v>上班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>未排</v>
      </c>
      <c r="AT35" s="180" t="str">
        <f t="shared" si="0"/>
        <v/>
      </c>
      <c r="AU35" s="180" t="str">
        <f t="shared" si="1"/>
        <v/>
      </c>
      <c r="AW35" s="47"/>
      <c r="AX35" s="45"/>
      <c r="AY35" s="25"/>
      <c r="AZ35" s="28"/>
      <c r="BA35" s="25"/>
      <c r="BB35" s="25"/>
      <c r="BD35" s="127"/>
    </row>
    <row r="36" spans="2:56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27">
        <v>28</v>
      </c>
      <c r="AP36" s="127" t="str">
        <v>林宸彥</v>
      </c>
      <c r="AQ36" s="127" t="str" cm="1">
        <f t="array" ref="AQ36">IFERROR(_xlfn.XLOOKUP(_xlfn.XLOOKUP($AQ$3,輪休基準表!$C$6:$C$36,_xlfn.XLOOKUP(AP36,輪休基準表!$E$5:$AF$5,輪休基準表!$E$6:$AF$36,""),""),班別參數!$A$4:$A$20,班別參數!$B$4:$B$20,""),"")</f>
        <v>輪休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/>
      </c>
      <c r="AT36" s="180" t="str">
        <f t="shared" si="0"/>
        <v/>
      </c>
      <c r="AU36" s="180" t="str">
        <f t="shared" si="1"/>
        <v/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27"/>
      <c r="AP37" s="127"/>
      <c r="AQ37" s="127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27"/>
      <c r="BD37" s="10"/>
    </row>
    <row r="38" spans="2:56" ht="15" customHeight="1">
      <c r="AQ38" s="127"/>
      <c r="AR38" s="118"/>
      <c r="AS38" s="119"/>
      <c r="AT38" s="119"/>
    </row>
    <row r="39" spans="2:56" ht="15" customHeight="1">
      <c r="AR39" s="118"/>
      <c r="AS39" s="119"/>
      <c r="AT39" s="119"/>
    </row>
    <row r="40" spans="2:56" ht="15" customHeight="1">
      <c r="AR40" s="118"/>
      <c r="AS40" s="119"/>
      <c r="AT40" s="119"/>
    </row>
  </sheetData>
  <mergeCells count="71">
    <mergeCell ref="AG22:AK22"/>
    <mergeCell ref="AG23:AM23"/>
    <mergeCell ref="AG24:AI24"/>
    <mergeCell ref="AK24:AM24"/>
    <mergeCell ref="AF33:AG33"/>
    <mergeCell ref="AH33:AI33"/>
    <mergeCell ref="AJ33:AK33"/>
    <mergeCell ref="AF31:AG31"/>
    <mergeCell ref="AH31:AI31"/>
    <mergeCell ref="AJ31:AK31"/>
    <mergeCell ref="AF32:AG32"/>
    <mergeCell ref="AH32:AI32"/>
    <mergeCell ref="AJ32:AK32"/>
    <mergeCell ref="AF27:AF28"/>
    <mergeCell ref="AG27:AM27"/>
    <mergeCell ref="AG28:AM28"/>
    <mergeCell ref="B34:B36"/>
    <mergeCell ref="C34:AE34"/>
    <mergeCell ref="AF34:AM34"/>
    <mergeCell ref="C35:AE35"/>
    <mergeCell ref="AF35:AM35"/>
    <mergeCell ref="C36:AE36"/>
    <mergeCell ref="AF36:AM36"/>
    <mergeCell ref="AF29:AM29"/>
    <mergeCell ref="AF30:AG30"/>
    <mergeCell ref="AH30:AI30"/>
    <mergeCell ref="AJ30:AK30"/>
    <mergeCell ref="AG25:AI25"/>
    <mergeCell ref="AK25:AM25"/>
    <mergeCell ref="C8:AE8"/>
    <mergeCell ref="C9:AE9"/>
    <mergeCell ref="M10:M33"/>
    <mergeCell ref="H11:H13"/>
    <mergeCell ref="H16:H18"/>
    <mergeCell ref="H21:H22"/>
    <mergeCell ref="I6:J6"/>
    <mergeCell ref="K6:L6"/>
    <mergeCell ref="N6:P6"/>
    <mergeCell ref="Q6:S6"/>
    <mergeCell ref="T6:V6"/>
    <mergeCell ref="AF5:AM6"/>
    <mergeCell ref="AO5:AO6"/>
    <mergeCell ref="T7:V7"/>
    <mergeCell ref="AR5:AR6"/>
    <mergeCell ref="AS5:AT5"/>
    <mergeCell ref="W6:Y6"/>
    <mergeCell ref="AE6:AE7"/>
    <mergeCell ref="AS6:AT6"/>
    <mergeCell ref="AP5:AQ6"/>
    <mergeCell ref="G5:G7"/>
    <mergeCell ref="B3:AM3"/>
    <mergeCell ref="AW3:AX3"/>
    <mergeCell ref="AY3:BB3"/>
    <mergeCell ref="B4:AI4"/>
    <mergeCell ref="AJ4:AM4"/>
    <mergeCell ref="AW4:AX4"/>
    <mergeCell ref="AY4:BB4"/>
    <mergeCell ref="B5:B7"/>
    <mergeCell ref="C5:C7"/>
    <mergeCell ref="D5:D7"/>
    <mergeCell ref="E5:E7"/>
    <mergeCell ref="F5:F7"/>
    <mergeCell ref="H5:H7"/>
    <mergeCell ref="I5:L5"/>
    <mergeCell ref="M5:AE5"/>
    <mergeCell ref="AY2:BB2"/>
    <mergeCell ref="B1:AE1"/>
    <mergeCell ref="AP1:AQ1"/>
    <mergeCell ref="B2:AE2"/>
    <mergeCell ref="AG2:AM2"/>
    <mergeCell ref="AW2:AX2"/>
  </mergeCells>
  <phoneticPr fontId="9" type="noConversion"/>
  <conditionalFormatting sqref="AO9:AQ36 AO37:AP37 AQ37:AQ38">
    <cfRule type="expression" dxfId="46" priority="16">
      <formula>COUNTIF($AQ9,"上班")&gt;=1</formula>
    </cfRule>
  </conditionalFormatting>
  <conditionalFormatting sqref="AF8:AF13 AH8:AH21 AJ8:AJ21 AL8:AM21">
    <cfRule type="expression" dxfId="45" priority="11">
      <formula>OR(VLOOKUP(AF8,$AO$9:$AQ$40,3,0)="上班",VLOOKUP(AF8,$AO$9:$AQ$40,3,0)="外宿")</formula>
    </cfRule>
  </conditionalFormatting>
  <conditionalFormatting sqref="AL8">
    <cfRule type="expression" dxfId="44" priority="10">
      <formula>OR(VLOOKUP(AL8,$AO$9:$AQ$36,3,0)="上班",VLOOKUP(AL8,$AO$9:$AQ$36,3,0)="外宿")</formula>
    </cfRule>
  </conditionalFormatting>
  <conditionalFormatting sqref="AR9:AR36">
    <cfRule type="notContainsText" dxfId="43" priority="2" operator="notContains" text="已排">
      <formula>ISERROR(SEARCH("已排",AR9))</formula>
    </cfRule>
  </conditionalFormatting>
  <conditionalFormatting sqref="AS9:AS36">
    <cfRule type="notContainsText" dxfId="42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3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6805D-D687-4310-8741-0E4A16E35440}">
  <sheetPr codeName="工作表30">
    <pageSetUpPr fitToPage="1"/>
  </sheetPr>
  <dimension ref="B1:BD40"/>
  <sheetViews>
    <sheetView showZeros="0" view="pageBreakPreview" zoomScale="55" zoomScaleNormal="55" zoomScaleSheetLayoutView="55" workbookViewId="0">
      <selection activeCell="I6" sqref="I6:V7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6" width="5.375" style="126" customWidth="1"/>
    <col min="7" max="8" width="8.625" style="126" customWidth="1"/>
    <col min="9" max="12" width="5.375" style="126" customWidth="1"/>
    <col min="13" max="13" width="6.625" style="126" customWidth="1"/>
    <col min="14" max="31" width="5.375" style="126" customWidth="1"/>
    <col min="32" max="32" width="7.625" style="126" customWidth="1"/>
    <col min="33" max="33" width="10.625" style="126" customWidth="1"/>
    <col min="34" max="34" width="7.625" style="126" customWidth="1"/>
    <col min="35" max="35" width="10.625" style="126" customWidth="1"/>
    <col min="36" max="36" width="7.625" style="126" customWidth="1"/>
    <col min="37" max="37" width="10.625" style="126" customWidth="1"/>
    <col min="38" max="38" width="7.625" style="126" customWidth="1"/>
    <col min="39" max="39" width="10.625" style="126" customWidth="1"/>
    <col min="40" max="40" width="4.125" style="213" customWidth="1"/>
    <col min="41" max="47" width="11.625" style="126" customWidth="1"/>
    <col min="48" max="48" width="4.125" style="126" customWidth="1"/>
    <col min="49" max="49" width="16" style="126" customWidth="1"/>
    <col min="50" max="51" width="8.25" style="126" customWidth="1"/>
    <col min="52" max="52" width="4.125" style="126" customWidth="1"/>
    <col min="53" max="53" width="16" style="126" customWidth="1"/>
    <col min="54" max="54" width="8.25" style="126" customWidth="1"/>
    <col min="55" max="55" width="10.875" style="126" customWidth="1"/>
    <col min="56" max="58" width="4.125" style="126" customWidth="1"/>
    <col min="59" max="16384" width="11.25" style="126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27"/>
      <c r="AP1" s="399"/>
      <c r="AQ1" s="399"/>
      <c r="AR1" s="127"/>
      <c r="AS1" s="127"/>
      <c r="AT1" s="127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3" t="s">
        <v>178</v>
      </c>
      <c r="AR2" s="146" t="s">
        <v>228</v>
      </c>
      <c r="AS2" s="142"/>
      <c r="AT2" s="140"/>
      <c r="AU2" s="127"/>
      <c r="AV2" s="127"/>
      <c r="AW2" s="362" t="s">
        <v>127</v>
      </c>
      <c r="AX2" s="287"/>
      <c r="AY2" s="367" t="str">
        <f>_xlfn.XLOOKUP($AR$3,訓練!$L$13:$L$19,訓練!$M$13:$M$19,"")</f>
        <v>通風排煙訓練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115年5月26日星期二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26</v>
      </c>
      <c r="AR3" s="141" t="str">
        <f>RIGHT(TEXT(1911+$AO$3&amp;"/"&amp;$AP$3&amp;"/"&amp;$AQ$3,"aaaa"),1)</f>
        <v>二</v>
      </c>
      <c r="AS3" s="145"/>
      <c r="AT3" s="145"/>
      <c r="AU3" s="127"/>
      <c r="AV3" s="127"/>
      <c r="AW3" s="362" t="s">
        <v>128</v>
      </c>
      <c r="AX3" s="287"/>
      <c r="AY3" s="368" t="str">
        <f>_xlfn.XLOOKUP($AR$3,訓練!$L$13:$L$19,訓練!$N$13:$N$19,"")</f>
        <v>人命救助訓練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27"/>
      <c r="AU4" s="127"/>
      <c r="AV4" s="127"/>
      <c r="AW4" s="362" t="s">
        <v>129</v>
      </c>
      <c r="AX4" s="287"/>
      <c r="AY4" s="363" t="str">
        <f>_xlfn.XLOOKUP($AR$3,訓練!$L$13:$L$19,訓練!$O$13:$O$19,"")</f>
        <v>火場控制及殘火處理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2"/>
      <c r="E5" s="340"/>
      <c r="F5" s="340"/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341"/>
      <c r="E6" s="341"/>
      <c r="F6" s="341"/>
      <c r="G6" s="312"/>
      <c r="H6" s="312"/>
      <c r="I6" s="334" t="s">
        <v>227</v>
      </c>
      <c r="J6" s="335"/>
      <c r="K6" s="334" t="s">
        <v>346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2+7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341"/>
      <c r="E7" s="341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192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27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27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27" cm="1">
        <f t="array" ref="AO9:AP36">TRANSPOSE(輪休基準表!E4:AF5)</f>
        <v>1</v>
      </c>
      <c r="AP9" s="127" t="str">
        <v>鄧力嘉</v>
      </c>
      <c r="AQ9" s="127" t="str" cm="1">
        <f t="array" ref="AQ9">IFERROR(_xlfn.XLOOKUP(_xlfn.XLOOKUP($AQ$3,輪休基準表!$C$6:$C$36,_xlfn.XLOOKUP(AP9,輪休基準表!$E$5:$AF$5,輪休基準表!$E$6:$AF$36,""),""),班別參數!$A$4:$A$20,班別參數!$B$4:$B$20,""),"")</f>
        <v>輪休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/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 t="array" ref="AX9">IFERROR(INDEX(班別參數!$D$4:$S$20,MATCH(AW9,班別參數!$D$4:$D$20,0),MATCH($AS$6,班別參數!$D$4:$S$4,0)),"")</f>
        <v>A</v>
      </c>
      <c r="AY9" s="35"/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H,K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2</v>
      </c>
      <c r="BD9" s="127"/>
    </row>
    <row r="10" spans="2:56" ht="30" customHeight="1">
      <c r="B10" s="81" t="s">
        <v>70</v>
      </c>
      <c r="C10" s="87">
        <f>_xlfn.XLOOKUP(_xlfn.XLOOKUP($AS$6&amp;$B10,公表[班別+時段],公表[值班],""),$AX$9:$AX$25,$AY$9:$AY$25,"")</f>
        <v>0</v>
      </c>
      <c r="D10" s="95"/>
      <c r="E10" s="95"/>
      <c r="F10" s="95"/>
      <c r="G10" s="122" t="str">
        <f>IF(BC9="","",BC9)</f>
        <v>2</v>
      </c>
      <c r="H10" s="37"/>
      <c r="I10" s="92">
        <f>_xlfn.XLOOKUP(_xlfn.XLOOKUP($AS$6&amp;$B10,公表[班別+時段],公表[救護1],""),$AX$9:$AX$25,$AY$9:$AY$25,"")</f>
        <v>0</v>
      </c>
      <c r="J10" s="92">
        <f>_xlfn.XLOOKUP(_xlfn.XLOOKUP($AS$6&amp;$B10,公表[班別+時段],公表[救護2],""),$AX$9:$AX$25,$AY$9:$AY$25,"")</f>
        <v>0</v>
      </c>
      <c r="K10" s="87"/>
      <c r="L10" s="87" t="s">
        <v>212</v>
      </c>
      <c r="M10" s="311"/>
      <c r="N10" s="87">
        <f>_xlfn.XLOOKUP(_xlfn.XLOOKUP($AS$6&amp;$B10,公表[班別+時段],公表[備勤1],""),$AX$9:$AX$25,$AY$9:$AY$25,"")</f>
        <v>0</v>
      </c>
      <c r="O10" s="87">
        <f>_xlfn.XLOOKUP(_xlfn.XLOOKUP($AS$6&amp;$B10,公表[班別+時段],公表[備勤2],""),$AX$9:$AX$25,$AY$9:$AY$25,"")</f>
        <v>0</v>
      </c>
      <c r="P10" s="87"/>
      <c r="Q10" s="87">
        <f>_xlfn.XLOOKUP(_xlfn.XLOOKUP($AS$6&amp;$B10,公表[班別+時段],公表[備勤3],""),$AX$9:$AX$25,$AY$9:$AY$25,"")</f>
        <v>0</v>
      </c>
      <c r="R10" s="87">
        <f>_xlfn.XLOOKUP(_xlfn.XLOOKUP($AS$6&amp;$B10,公表[班別+時段],公表[備勤4],""),$AX$9:$AX$25,$AY$9:$AY$25,"")</f>
        <v>0</v>
      </c>
      <c r="S10" s="87"/>
      <c r="T10" s="87">
        <f>_xlfn.XLOOKUP(_xlfn.XLOOKUP($AS$6&amp;$B10,公表[班別+時段],公表[備勤5],""),$AX$9:$AX$25,$AY$9:$AY$25,"")</f>
        <v>0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87"/>
      <c r="AB10" s="87"/>
      <c r="AC10" s="87"/>
      <c r="AD10" s="87"/>
      <c r="AE10" s="88">
        <f>_xlfn.XLOOKUP(_xlfn.XLOOKUP($AS$6&amp;$B10,公表[班別+時段],公表[指揮官],""),$AX$9:$AX$25,$AY$9:$AY$25,"")</f>
        <v>4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27">
        <v>2</v>
      </c>
      <c r="AP10" s="127" t="str">
        <v>莊勝斌</v>
      </c>
      <c r="AQ10" s="127" t="str" cm="1">
        <f t="array" ref="AQ10">IFERROR(_xlfn.XLOOKUP(_xlfn.XLOOKUP($AQ$3,輪休基準表!$C$6:$C$36,_xlfn.XLOOKUP(AP10,輪休基準表!$E$5:$AF$5,輪休基準表!$E$6:$AF$36,""),""),班別參數!$A$4:$A$20,班別參數!$B$4:$B$20,""),"")</f>
        <v>上班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>已排</v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/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/>
      </c>
      <c r="BD10" s="127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0</v>
      </c>
      <c r="D11" s="95"/>
      <c r="E11" s="95"/>
      <c r="F11" s="95"/>
      <c r="G11" s="122" t="str">
        <f>IF(BC9="","",BC9)</f>
        <v>2</v>
      </c>
      <c r="H11" s="296" t="str">
        <f>AY2</f>
        <v>通風排煙訓練</v>
      </c>
      <c r="I11" s="92">
        <f>_xlfn.XLOOKUP(_xlfn.XLOOKUP($AS$6&amp;$B11,公表[班別+時段],公表[救護1],""),$AX$9:$AX$25,$AY$9:$AY$25,"")</f>
        <v>0</v>
      </c>
      <c r="J11" s="92">
        <f>_xlfn.XLOOKUP(_xlfn.XLOOKUP($AS$6&amp;$B11,公表[班別+時段],公表[救護2],""),$AX$9:$AX$25,$AY$9:$AY$25,"")</f>
        <v>0</v>
      </c>
      <c r="K11" s="87"/>
      <c r="L11" s="87" t="s">
        <v>212</v>
      </c>
      <c r="M11" s="312"/>
      <c r="N11" s="87">
        <f>_xlfn.XLOOKUP(_xlfn.XLOOKUP($AS$6&amp;$B11,公表[班別+時段],公表[備勤1],""),$AX$9:$AX$25,$AY$9:$AY$25,"")</f>
        <v>0</v>
      </c>
      <c r="O11" s="87">
        <f>_xlfn.XLOOKUP(_xlfn.XLOOKUP($AS$6&amp;$B11,公表[班別+時段],公表[備勤2],""),$AX$9:$AX$25,$AY$9:$AY$25,"")</f>
        <v>0</v>
      </c>
      <c r="P11" s="87"/>
      <c r="Q11" s="87">
        <f>_xlfn.XLOOKUP(_xlfn.XLOOKUP($AS$6&amp;$B11,公表[班別+時段],公表[備勤3],""),$AX$9:$AX$25,$AY$9:$AY$25,"")</f>
        <v>0</v>
      </c>
      <c r="R11" s="87">
        <f>_xlfn.XLOOKUP(_xlfn.XLOOKUP($AS$6&amp;$B11,公表[班別+時段],公表[備勤4],""),$AX$9:$AX$25,$AY$9:$AY$25,"")</f>
        <v>0</v>
      </c>
      <c r="S11" s="87"/>
      <c r="T11" s="87">
        <f>_xlfn.XLOOKUP(_xlfn.XLOOKUP($AS$6&amp;$B11,公表[班別+時段],公表[備勤5],""),$AX$9:$AX$25,$AY$9:$AY$25,"")</f>
        <v>0</v>
      </c>
      <c r="U11" s="87">
        <f>_xlfn.XLOOKUP(_xlfn.XLOOKUP($AS$6&amp;$B11,公表[班別+時段],公表[備勤6],""),$AX$9:$AX$25,$AY$9:$AY$25,"")</f>
        <v>0</v>
      </c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87"/>
      <c r="AB11" s="87"/>
      <c r="AC11" s="87"/>
      <c r="AD11" s="87"/>
      <c r="AE11" s="88">
        <f>_xlfn.XLOOKUP(_xlfn.XLOOKUP($AS$6&amp;$B11,公表[班別+時段],公表[指揮官],""),$AX$9:$AX$25,$AY$9:$AY$25,"")</f>
        <v>4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27">
        <v>3</v>
      </c>
      <c r="AP11" s="127" t="str">
        <v>孫子翔</v>
      </c>
      <c r="AQ11" s="127" t="str" cm="1">
        <f t="array" ref="AQ11">IFERROR(_xlfn.XLOOKUP(_xlfn.XLOOKUP($AQ$3,輪休基準表!$C$6:$C$36,_xlfn.XLOOKUP(AP11,輪休基準表!$E$5:$AF$5,輪休基準表!$E$6:$AF$36,""),""),班別參數!$A$4:$A$20,班別參數!$B$4:$B$20,""),"")</f>
        <v>輪休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/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/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F</v>
      </c>
      <c r="BC11" s="39" t="str">
        <f t="shared" si="2"/>
        <v/>
      </c>
      <c r="BD11" s="127"/>
    </row>
    <row r="12" spans="2:56" ht="30" customHeight="1">
      <c r="B12" s="81" t="s">
        <v>75</v>
      </c>
      <c r="C12" s="87">
        <f>_xlfn.XLOOKUP(_xlfn.XLOOKUP($AS$6&amp;$B12,公表[班別+時段],公表[值班],""),$AX$9:$AX$25,$AY$9:$AY$25,"")</f>
        <v>0</v>
      </c>
      <c r="D12" s="95"/>
      <c r="E12" s="95"/>
      <c r="F12" s="95"/>
      <c r="G12" s="122" t="str">
        <f>IF(BC10="","",BC10)</f>
        <v/>
      </c>
      <c r="H12" s="314"/>
      <c r="I12" s="92">
        <f>_xlfn.XLOOKUP(_xlfn.XLOOKUP($AS$6&amp;$B12,公表[班別+時段],公表[救護1],""),$AX$9:$AX$25,$AY$9:$AY$25,"")</f>
        <v>0</v>
      </c>
      <c r="J12" s="92">
        <f>_xlfn.XLOOKUP(_xlfn.XLOOKUP($AS$6&amp;$B12,公表[班別+時段],公表[救護2],""),$AX$9:$AX$25,$AY$9:$AY$25,"")</f>
        <v>0</v>
      </c>
      <c r="K12" s="92"/>
      <c r="L12" s="87" t="s">
        <v>212</v>
      </c>
      <c r="M12" s="312"/>
      <c r="N12" s="87">
        <f>_xlfn.XLOOKUP(_xlfn.XLOOKUP($AS$6&amp;$B12,公表[班別+時段],公表[備勤1],""),$AX$9:$AX$25,$AY$9:$AY$25,"")</f>
        <v>0</v>
      </c>
      <c r="O12" s="87">
        <f>_xlfn.XLOOKUP(_xlfn.XLOOKUP($AS$6&amp;$B12,公表[班別+時段],公表[備勤2],""),$AX$9:$AX$25,$AY$9:$AY$25,"")</f>
        <v>0</v>
      </c>
      <c r="P12" s="87"/>
      <c r="Q12" s="87">
        <f>_xlfn.XLOOKUP(_xlfn.XLOOKUP($AS$6&amp;$B12,公表[班別+時段],公表[備勤3],""),$AX$9:$AX$25,$AY$9:$AY$25,"")</f>
        <v>0</v>
      </c>
      <c r="R12" s="87">
        <f>_xlfn.XLOOKUP(_xlfn.XLOOKUP($AS$6&amp;$B12,公表[班別+時段],公表[備勤4],""),$AX$9:$AX$25,$AY$9:$AY$25,"")</f>
        <v>0</v>
      </c>
      <c r="S12" s="87"/>
      <c r="T12" s="87">
        <f>_xlfn.XLOOKUP(_xlfn.XLOOKUP($AS$6&amp;$B12,公表[班別+時段],公表[備勤5],""),$AX$9:$AX$25,$AY$9:$AY$25,"")</f>
        <v>4</v>
      </c>
      <c r="U12" s="87">
        <f>_xlfn.XLOOKUP(_xlfn.XLOOKUP($AS$6&amp;$B12,公表[班別+時段],公表[備勤6],""),$AX$9:$AX$25,$AY$9:$AY$25,"")</f>
        <v>0</v>
      </c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87"/>
      <c r="AC12" s="87"/>
      <c r="AD12" s="87"/>
      <c r="AE12" s="88">
        <f>_xlfn.XLOOKUP(_xlfn.XLOOKUP($AS$6&amp;$B12,公表[班別+時段],公表[指揮官],""),$AX$9:$AX$25,$AY$9:$AY$25,"")</f>
        <v>2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27">
        <v>4</v>
      </c>
      <c r="AP12" s="127" t="str">
        <v>簡永豐</v>
      </c>
      <c r="AQ12" s="127" t="str" cm="1">
        <f t="array" ref="AQ12">IFERROR(_xlfn.XLOOKUP(_xlfn.XLOOKUP($AQ$3,輪休基準表!$C$6:$C$36,_xlfn.XLOOKUP(AP12,輪休基準表!$E$5:$AF$5,輪休基準表!$E$6:$AF$36,""),""),班別參數!$A$4:$A$20,班別參數!$B$4:$B$20,""),"")</f>
        <v>上班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>已排</v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/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27"/>
    </row>
    <row r="13" spans="2:56" ht="30" customHeight="1" thickBot="1">
      <c r="B13" s="82" t="s">
        <v>76</v>
      </c>
      <c r="C13" s="89">
        <f>_xlfn.XLOOKUP(_xlfn.XLOOKUP($AS$6&amp;$B13,公表[班別+時段],公表[值班],""),$AX$9:$AX$25,$AY$9:$AY$25,"")</f>
        <v>0</v>
      </c>
      <c r="D13" s="233"/>
      <c r="E13" s="96"/>
      <c r="F13" s="96"/>
      <c r="G13" s="123" t="str">
        <f>IF(BC10="","",BC10)</f>
        <v/>
      </c>
      <c r="H13" s="315"/>
      <c r="I13" s="216">
        <f>_xlfn.XLOOKUP(_xlfn.XLOOKUP($AS$6&amp;$B13,公表[班別+時段],公表[救護1],""),$AX$9:$AX$25,$AY$9:$AY$25,"")</f>
        <v>0</v>
      </c>
      <c r="J13" s="216">
        <f>_xlfn.XLOOKUP(_xlfn.XLOOKUP($AS$6&amp;$B13,公表[班別+時段],公表[救護2],""),$AX$9:$AX$25,$AY$9:$AY$25,"")</f>
        <v>0</v>
      </c>
      <c r="K13" s="105"/>
      <c r="L13" s="93" t="s">
        <v>212</v>
      </c>
      <c r="M13" s="312"/>
      <c r="N13" s="89">
        <f>_xlfn.XLOOKUP(_xlfn.XLOOKUP($AS$6&amp;$B13,公表[班別+時段],公表[備勤1],""),$AX$9:$AX$25,$AY$9:$AY$25,"")</f>
        <v>0</v>
      </c>
      <c r="O13" s="89">
        <f>_xlfn.XLOOKUP(_xlfn.XLOOKUP($AS$6&amp;$B13,公表[班別+時段],公表[備勤2],""),$AX$9:$AX$25,$AY$9:$AY$25,"")</f>
        <v>0</v>
      </c>
      <c r="P13" s="89"/>
      <c r="Q13" s="89">
        <f>_xlfn.XLOOKUP(_xlfn.XLOOKUP($AS$6&amp;$B13,公表[班別+時段],公表[備勤3],""),$AX$9:$AX$25,$AY$9:$AY$25,"")</f>
        <v>0</v>
      </c>
      <c r="R13" s="89">
        <f>_xlfn.XLOOKUP(_xlfn.XLOOKUP($AS$6&amp;$B13,公表[班別+時段],公表[備勤4],""),$AX$9:$AX$25,$AY$9:$AY$25,"")</f>
        <v>0</v>
      </c>
      <c r="S13" s="89"/>
      <c r="T13" s="89">
        <f>_xlfn.XLOOKUP(_xlfn.XLOOKUP($AS$6&amp;$B13,公表[班別+時段],公表[備勤5],""),$AX$9:$AX$25,$AY$9:$AY$25,"")</f>
        <v>4</v>
      </c>
      <c r="U13" s="89">
        <f>_xlfn.XLOOKUP(_xlfn.XLOOKUP($AS$6&amp;$B13,公表[班別+時段],公表[備勤6],""),$AX$9:$AX$25,$AY$9:$AY$25,"")</f>
        <v>0</v>
      </c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89"/>
      <c r="AC13" s="89"/>
      <c r="AD13" s="89"/>
      <c r="AE13" s="104">
        <f>_xlfn.XLOOKUP(_xlfn.XLOOKUP($AS$6&amp;$B13,公表[班別+時段],公表[指揮官],""),$AX$9:$AX$25,$AY$9:$AY$25,"")</f>
        <v>2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27">
        <v>5</v>
      </c>
      <c r="AP13" s="127" t="str">
        <v>張鴻志</v>
      </c>
      <c r="AQ13" s="127" t="str" cm="1">
        <f t="array" ref="AQ13">IFERROR(_xlfn.XLOOKUP(_xlfn.XLOOKUP($AQ$3,輪休基準表!$C$6:$C$36,_xlfn.XLOOKUP(AP13,輪休基準表!$E$5:$AF$5,輪休基準表!$E$6:$AF$36,""),""),班別參數!$A$4:$A$20,班別參數!$B$4:$B$20,""),"")</f>
        <v>輪休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/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/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/>
      </c>
      <c r="BD13" s="127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0</v>
      </c>
      <c r="D14" s="234"/>
      <c r="E14" s="97"/>
      <c r="F14" s="97"/>
      <c r="G14" s="121" t="str">
        <f>IF(BC11="","",BC11)</f>
        <v/>
      </c>
      <c r="H14" s="55"/>
      <c r="I14" s="94">
        <f>_xlfn.XLOOKUP(_xlfn.XLOOKUP($AS$6&amp;$B14,公表[班別+時段],公表[救護1],""),$AX$9:$AX$25,$AY$9:$AY$25,"")</f>
        <v>0</v>
      </c>
      <c r="J14" s="94">
        <f>_xlfn.XLOOKUP(_xlfn.XLOOKUP($AS$6&amp;$B14,公表[班別+時段],公表[救護2],""),$AX$9:$AX$25,$AY$9:$AY$25,"")</f>
        <v>0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0</v>
      </c>
      <c r="O14" s="90">
        <f>_xlfn.XLOOKUP(_xlfn.XLOOKUP($AS$6&amp;$B14,公表[班別+時段],公表[備勤2],""),$AX$9:$AX$25,$AY$9:$AY$25,"")</f>
        <v>0</v>
      </c>
      <c r="P14" s="90"/>
      <c r="Q14" s="90">
        <f>_xlfn.XLOOKUP(_xlfn.XLOOKUP($AS$6&amp;$B14,公表[班別+時段],公表[備勤3],""),$AX$9:$AX$25,$AY$9:$AY$25,"")</f>
        <v>0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4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90"/>
      <c r="AC14" s="90"/>
      <c r="AD14" s="90"/>
      <c r="AE14" s="91">
        <f>_xlfn.XLOOKUP(_xlfn.XLOOKUP($AS$6&amp;$B14,公表[班別+時段],公表[指揮官],""),$AX$9:$AX$25,$AY$9:$AY$25,"")</f>
        <v>2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27">
        <v>6</v>
      </c>
      <c r="AP14" s="127" t="str">
        <v>吳宗耕</v>
      </c>
      <c r="AQ14" s="127" t="str" cm="1">
        <f t="array" ref="AQ14">IFERROR(_xlfn.XLOOKUP(_xlfn.XLOOKUP($AQ$3,輪休基準表!$C$6:$C$36,_xlfn.XLOOKUP(AP14,輪休基準表!$E$5:$AF$5,輪休基準表!$E$6:$AF$36,""),""),班別參數!$A$4:$A$20,班別參數!$B$4:$B$20,""),"")</f>
        <v>輪休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/>
      </c>
      <c r="AT14" s="180" t="str">
        <f t="shared" si="0"/>
        <v/>
      </c>
      <c r="AU14" s="180" t="str">
        <f t="shared" si="1"/>
        <v/>
      </c>
      <c r="AV14" s="25"/>
      <c r="AW14" s="33" t="str">
        <f t="array" ref="AW14">INDEX(班別參數!$D$4:$D$20,ROW()-7,MATCH($AW$8,班別參數!$D$4:$D$20,0))</f>
        <v>18-20</v>
      </c>
      <c r="AX14" s="34">
        <f t="array" ref="AX14">IFERROR(INDEX(班別參數!$D$4:$S$20,MATCH(AW14,班別參數!$D$4:$D$20,0),MATCH($AS$6,班別參數!$D$4:$S$4,0)),"")</f>
        <v>0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</v>
      </c>
      <c r="BC14" s="39" t="str">
        <f t="shared" si="2"/>
        <v/>
      </c>
      <c r="BD14" s="127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0</v>
      </c>
      <c r="D15" s="235"/>
      <c r="E15" s="106"/>
      <c r="F15" s="96"/>
      <c r="G15" s="123" t="str">
        <f>IF(BC11="","",BC11)</f>
        <v/>
      </c>
      <c r="H15" s="40"/>
      <c r="I15" s="216">
        <f>_xlfn.XLOOKUP(_xlfn.XLOOKUP($AS$6&amp;$B15,公表[班別+時段],公表[救護1],""),$AX$9:$AX$25,$AY$9:$AY$25,"")</f>
        <v>0</v>
      </c>
      <c r="J15" s="216">
        <f>_xlfn.XLOOKUP(_xlfn.XLOOKUP($AS$6&amp;$B15,公表[班別+時段],公表[救護2],""),$AX$9:$AX$25,$AY$9:$AY$25,"")</f>
        <v>0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0</v>
      </c>
      <c r="O15" s="89">
        <f>_xlfn.XLOOKUP(_xlfn.XLOOKUP($AS$6&amp;$B15,公表[班別+時段],公表[備勤2],""),$AX$9:$AX$25,$AY$9:$AY$25,"")</f>
        <v>0</v>
      </c>
      <c r="P15" s="89"/>
      <c r="Q15" s="89">
        <f>_xlfn.XLOOKUP(_xlfn.XLOOKUP($AS$6&amp;$B15,公表[班別+時段],公表[備勤3],""),$AX$9:$AX$25,$AY$9:$AY$25,"")</f>
        <v>0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4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89"/>
      <c r="AC15" s="89"/>
      <c r="AD15" s="89"/>
      <c r="AE15" s="104">
        <f>_xlfn.XLOOKUP(_xlfn.XLOOKUP($AS$6&amp;$B15,公表[班別+時段],公表[指揮官],""),$AX$9:$AX$25,$AY$9:$AY$25,"")</f>
        <v>2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27">
        <v>7</v>
      </c>
      <c r="AP15" s="127" t="str">
        <v>包華先</v>
      </c>
      <c r="AQ15" s="127" t="str" cm="1">
        <f t="array" ref="AQ15">IFERROR(_xlfn.XLOOKUP(_xlfn.XLOOKUP($AQ$3,輪休基準表!$C$6:$C$36,_xlfn.XLOOKUP(AP15,輪休基準表!$E$5:$AF$5,輪休基準表!$E$6:$AF$36,""),""),班別參數!$A$4:$A$20,班別參數!$B$4:$B$20,""),"")</f>
        <v>輪休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/>
      </c>
      <c r="AT15" s="180" t="str">
        <f t="shared" si="0"/>
        <v/>
      </c>
      <c r="AU15" s="180" t="str">
        <f t="shared" si="1"/>
        <v/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/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/>
      </c>
      <c r="BD15" s="127"/>
    </row>
    <row r="16" spans="2:56" ht="30" customHeight="1">
      <c r="B16" s="83" t="s">
        <v>79</v>
      </c>
      <c r="C16" s="90">
        <f>_xlfn.XLOOKUP(_xlfn.XLOOKUP($AS$6&amp;$B16,公表[班別+時段],公表[值班],""),$AX$9:$AX$25,$AY$9:$AY$25,"")</f>
        <v>0</v>
      </c>
      <c r="D16" s="98"/>
      <c r="E16" s="99"/>
      <c r="F16" s="98"/>
      <c r="G16" s="121" t="str">
        <f>IF(BC12="","",BC12)</f>
        <v/>
      </c>
      <c r="H16" s="316" t="str">
        <f>AY3</f>
        <v>人命救助訓練</v>
      </c>
      <c r="I16" s="94">
        <f>_xlfn.XLOOKUP(_xlfn.XLOOKUP($AS$6&amp;$B16,公表[班別+時段],公表[救護1],""),$AX$9:$AX$25,$AY$9:$AY$25,"")</f>
        <v>0</v>
      </c>
      <c r="J16" s="94">
        <f>_xlfn.XLOOKUP(_xlfn.XLOOKUP($AS$6&amp;$B16,公表[班別+時段],公表[救護2],""),$AX$9:$AX$25,$AY$9:$AY$25,"")</f>
        <v>0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0</v>
      </c>
      <c r="O16" s="90">
        <f>_xlfn.XLOOKUP(_xlfn.XLOOKUP($AS$6&amp;$B16,公表[班別+時段],公表[備勤2],""),$AX$9:$AX$25,$AY$9:$AY$25,"")</f>
        <v>0</v>
      </c>
      <c r="P16" s="90"/>
      <c r="Q16" s="90">
        <f>_xlfn.XLOOKUP(_xlfn.XLOOKUP($AS$6&amp;$B16,公表[班別+時段],公表[備勤3],""),$AX$9:$AX$25,$AY$9:$AY$25,"")</f>
        <v>0</v>
      </c>
      <c r="R16" s="90">
        <f>_xlfn.XLOOKUP(_xlfn.XLOOKUP($AS$6&amp;$B16,公表[班別+時段],公表[備勤4],""),$AX$9:$AX$25,$AY$9:$AY$25,"")</f>
        <v>0</v>
      </c>
      <c r="S16" s="90"/>
      <c r="T16" s="90">
        <f>_xlfn.XLOOKUP(_xlfn.XLOOKUP($AS$6&amp;$B16,公表[班別+時段],公表[備勤5],""),$AX$9:$AX$25,$AY$9:$AY$25,"")</f>
        <v>4</v>
      </c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90"/>
      <c r="AC16" s="90"/>
      <c r="AD16" s="90"/>
      <c r="AE16" s="91">
        <f>_xlfn.XLOOKUP(_xlfn.XLOOKUP($AS$6&amp;$B16,公表[班別+時段],公表[指揮官],""),$AX$9:$AX$25,$AY$9:$AY$25,"")</f>
        <v>2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27">
        <v>8</v>
      </c>
      <c r="AP16" s="127" t="str">
        <v>曾彥綸</v>
      </c>
      <c r="AQ16" s="127" t="str" cm="1">
        <f t="array" ref="AQ16">IFERROR(_xlfn.XLOOKUP(_xlfn.XLOOKUP($AQ$3,輪休基準表!$C$6:$C$36,_xlfn.XLOOKUP(AP16,輪休基準表!$E$5:$AF$5,輪休基準表!$E$6:$AF$36,""),""),班別參數!$A$4:$A$20,班別參數!$B$4:$B$20,""),"")</f>
        <v>上班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>未排</v>
      </c>
      <c r="AT16" s="180" t="str">
        <f t="shared" si="0"/>
        <v/>
      </c>
      <c r="AU16" s="180" t="str">
        <f t="shared" si="1"/>
        <v/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/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27"/>
    </row>
    <row r="17" spans="2:56" ht="30" customHeight="1">
      <c r="B17" s="81" t="s">
        <v>80</v>
      </c>
      <c r="C17" s="87">
        <f>_xlfn.XLOOKUP(_xlfn.XLOOKUP($AS$6&amp;$B17,公表[班別+時段],公表[值班],""),$AX$9:$AX$25,$AY$9:$AY$25,"")</f>
        <v>0</v>
      </c>
      <c r="D17" s="95"/>
      <c r="E17" s="95"/>
      <c r="F17" s="100"/>
      <c r="G17" s="122" t="str">
        <f>IF(BC12="","",BC12)</f>
        <v/>
      </c>
      <c r="H17" s="314"/>
      <c r="I17" s="92">
        <f>_xlfn.XLOOKUP(_xlfn.XLOOKUP($AS$6&amp;$B17,公表[班別+時段],公表[救護1],""),$AX$9:$AX$25,$AY$9:$AY$25,"")</f>
        <v>0</v>
      </c>
      <c r="J17" s="92">
        <f>_xlfn.XLOOKUP(_xlfn.XLOOKUP($AS$6&amp;$B17,公表[班別+時段],公表[救護2],""),$AX$9:$AX$25,$AY$9:$AY$25,"")</f>
        <v>0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0</v>
      </c>
      <c r="O17" s="87">
        <f>_xlfn.XLOOKUP(_xlfn.XLOOKUP($AS$6&amp;$B17,公表[班別+時段],公表[備勤2],""),$AX$9:$AX$25,$AY$9:$AY$25,"")</f>
        <v>0</v>
      </c>
      <c r="P17" s="87"/>
      <c r="Q17" s="87">
        <f>_xlfn.XLOOKUP(_xlfn.XLOOKUP($AS$6&amp;$B17,公表[班別+時段],公表[備勤3],""),$AX$9:$AX$25,$AY$9:$AY$25,"")</f>
        <v>0</v>
      </c>
      <c r="R17" s="87">
        <f>_xlfn.XLOOKUP(_xlfn.XLOOKUP($AS$6&amp;$B17,公表[班別+時段],公表[備勤4],""),$AX$9:$AX$25,$AY$9:$AY$25,"")</f>
        <v>0</v>
      </c>
      <c r="S17" s="87"/>
      <c r="T17" s="87">
        <f>_xlfn.XLOOKUP(_xlfn.XLOOKUP($AS$6&amp;$B17,公表[班別+時段],公表[備勤5],""),$AX$9:$AX$25,$AY$9:$AY$25,"")</f>
        <v>4</v>
      </c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87"/>
      <c r="AC17" s="87"/>
      <c r="AD17" s="87"/>
      <c r="AE17" s="88">
        <f>_xlfn.XLOOKUP(_xlfn.XLOOKUP($AS$6&amp;$B17,公表[班別+時段],公表[指揮官],""),$AX$9:$AX$25,$AY$9:$AY$25,"")</f>
        <v>2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27">
        <v>9</v>
      </c>
      <c r="AP17" s="127" t="str">
        <v>鍾佳諭</v>
      </c>
      <c r="AQ17" s="127" t="str" cm="1">
        <f t="array" ref="AQ17">IFERROR(_xlfn.XLOOKUP(_xlfn.XLOOKUP($AQ$3,輪休基準表!$C$6:$C$36,_xlfn.XLOOKUP(AP17,輪休基準表!$E$5:$AF$5,輪休基準表!$E$6:$AF$36,""),""),班別參數!$A$4:$A$20,班別參數!$B$4:$B$20,""),"")</f>
        <v>輪休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/>
      </c>
      <c r="AT17" s="180" t="str">
        <f t="shared" si="0"/>
        <v/>
      </c>
      <c r="AU17" s="180" t="str">
        <f t="shared" si="1"/>
        <v/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27"/>
    </row>
    <row r="18" spans="2:56" ht="30" customHeight="1">
      <c r="B18" s="81" t="s">
        <v>81</v>
      </c>
      <c r="C18" s="87">
        <f>_xlfn.XLOOKUP(_xlfn.XLOOKUP($AS$6&amp;$B18,公表[班別+時段],公表[值班],""),$AX$9:$AX$25,$AY$9:$AY$25,"")</f>
        <v>0</v>
      </c>
      <c r="D18" s="100"/>
      <c r="E18" s="95"/>
      <c r="F18" s="100"/>
      <c r="G18" s="122" t="str">
        <f>IF(BC13="","",BC13)</f>
        <v/>
      </c>
      <c r="H18" s="297"/>
      <c r="I18" s="92">
        <f>_xlfn.XLOOKUP(_xlfn.XLOOKUP($AS$6&amp;$B18,公表[班別+時段],公表[救護1],""),$AX$9:$AX$25,$AY$9:$AY$25,"")</f>
        <v>0</v>
      </c>
      <c r="J18" s="92">
        <f>_xlfn.XLOOKUP(_xlfn.XLOOKUP($AS$6&amp;$B18,公表[班別+時段],公表[救護2],""),$AX$9:$AX$25,$AY$9:$AY$25,"")</f>
        <v>0</v>
      </c>
      <c r="K18" s="92"/>
      <c r="L18" s="87" t="s">
        <v>212</v>
      </c>
      <c r="M18" s="312"/>
      <c r="N18" s="87">
        <f>_xlfn.XLOOKUP(_xlfn.XLOOKUP($AS$6&amp;$B18,公表[班別+時段],公表[備勤1],""),$AX$9:$AX$25,$AY$9:$AY$25,"")</f>
        <v>0</v>
      </c>
      <c r="O18" s="87">
        <f>_xlfn.XLOOKUP(_xlfn.XLOOKUP($AS$6&amp;$B18,公表[班別+時段],公表[備勤2],""),$AX$9:$AX$25,$AY$9:$AY$25,"")</f>
        <v>0</v>
      </c>
      <c r="P18" s="87"/>
      <c r="Q18" s="87">
        <f>_xlfn.XLOOKUP(_xlfn.XLOOKUP($AS$6&amp;$B18,公表[班別+時段],公表[備勤3],""),$AX$9:$AX$25,$AY$9:$AY$25,"")</f>
        <v>0</v>
      </c>
      <c r="R18" s="87">
        <f>_xlfn.XLOOKUP(_xlfn.XLOOKUP($AS$6&amp;$B18,公表[班別+時段],公表[備勤4],""),$AX$9:$AX$25,$AY$9:$AY$25,"")</f>
        <v>0</v>
      </c>
      <c r="S18" s="87"/>
      <c r="T18" s="87">
        <f>_xlfn.XLOOKUP(_xlfn.XLOOKUP($AS$6&amp;$B18,公表[班別+時段],公表[備勤5],""),$AX$9:$AX$25,$AY$9:$AY$25,"")</f>
        <v>4</v>
      </c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87"/>
      <c r="AC18" s="87"/>
      <c r="AD18" s="87"/>
      <c r="AE18" s="88">
        <f>_xlfn.XLOOKUP(_xlfn.XLOOKUP($AS$6&amp;$B18,公表[班別+時段],公表[指揮官],""),$AX$9:$AX$25,$AY$9:$AY$25,"")</f>
        <v>2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27">
        <v>10</v>
      </c>
      <c r="AP18" s="127" t="str">
        <v>林宏澤</v>
      </c>
      <c r="AQ18" s="127" t="str" cm="1">
        <f t="array" ref="AQ18">IFERROR(_xlfn.XLOOKUP(_xlfn.XLOOKUP($AQ$3,輪休基準表!$C$6:$C$36,_xlfn.XLOOKUP(AP18,輪休基準表!$E$5:$AF$5,輪休基準表!$E$6:$AF$36,""),""),班別參數!$A$4:$A$20,班別參數!$B$4:$B$20,""),"")</f>
        <v>輪休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/>
      </c>
      <c r="AT18" s="180" t="str">
        <f t="shared" si="0"/>
        <v/>
      </c>
      <c r="AU18" s="180" t="str">
        <f t="shared" si="1"/>
        <v/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27"/>
    </row>
    <row r="19" spans="2:56" ht="30" customHeight="1" thickBot="1">
      <c r="B19" s="110" t="s">
        <v>82</v>
      </c>
      <c r="C19" s="89">
        <f>_xlfn.XLOOKUP(_xlfn.XLOOKUP($AS$6&amp;$B19,公表[班別+時段],公表[值班],""),$AX$9:$AX$25,$AY$9:$AY$25,"")</f>
        <v>0</v>
      </c>
      <c r="D19" s="106"/>
      <c r="E19" s="96"/>
      <c r="F19" s="236"/>
      <c r="G19" s="123" t="str">
        <f>IF(BC13="","",BC13)</f>
        <v/>
      </c>
      <c r="H19" s="107"/>
      <c r="I19" s="216">
        <f>_xlfn.XLOOKUP(_xlfn.XLOOKUP($AS$6&amp;$B19,公表[班別+時段],公表[救護1],""),$AX$9:$AX$25,$AY$9:$AY$25,"")</f>
        <v>0</v>
      </c>
      <c r="J19" s="216">
        <f>_xlfn.XLOOKUP(_xlfn.XLOOKUP($AS$6&amp;$B19,公表[班別+時段],公表[救護2],""),$AX$9:$AX$25,$AY$9:$AY$25,"")</f>
        <v>0</v>
      </c>
      <c r="K19" s="105"/>
      <c r="L19" s="93" t="s">
        <v>212</v>
      </c>
      <c r="M19" s="312"/>
      <c r="N19" s="89">
        <f>_xlfn.XLOOKUP(_xlfn.XLOOKUP($AS$6&amp;$B19,公表[班別+時段],公表[備勤1],""),$AX$9:$AX$25,$AY$9:$AY$25,"")</f>
        <v>0</v>
      </c>
      <c r="O19" s="89">
        <f>_xlfn.XLOOKUP(_xlfn.XLOOKUP($AS$6&amp;$B19,公表[班別+時段],公表[備勤2],""),$AX$9:$AX$25,$AY$9:$AY$25,"")</f>
        <v>0</v>
      </c>
      <c r="P19" s="89"/>
      <c r="Q19" s="89">
        <f>_xlfn.XLOOKUP(_xlfn.XLOOKUP($AS$6&amp;$B19,公表[班別+時段],公表[備勤3],""),$AX$9:$AX$25,$AY$9:$AY$25,"")</f>
        <v>0</v>
      </c>
      <c r="R19" s="89">
        <f>_xlfn.XLOOKUP(_xlfn.XLOOKUP($AS$6&amp;$B19,公表[班別+時段],公表[備勤4],""),$AX$9:$AX$25,$AY$9:$AY$25,"")</f>
        <v>0</v>
      </c>
      <c r="S19" s="89"/>
      <c r="T19" s="89">
        <f>_xlfn.XLOOKUP(_xlfn.XLOOKUP($AS$6&amp;$B19,公表[班別+時段],公表[備勤5],""),$AX$9:$AX$25,$AY$9:$AY$25,"")</f>
        <v>4</v>
      </c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89"/>
      <c r="AC19" s="89"/>
      <c r="AD19" s="89"/>
      <c r="AE19" s="104">
        <f>_xlfn.XLOOKUP(_xlfn.XLOOKUP($AS$6&amp;$B19,公表[班別+時段],公表[指揮官],""),$AX$9:$AX$25,$AY$9:$AY$25,"")</f>
        <v>2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27">
        <v>11</v>
      </c>
      <c r="AP19" s="127" t="str">
        <v>簡君諺</v>
      </c>
      <c r="AQ19" s="127" t="str" cm="1">
        <f t="array" ref="AQ19">IFERROR(_xlfn.XLOOKUP(_xlfn.XLOOKUP($AQ$3,輪休基準表!$C$6:$C$36,_xlfn.XLOOKUP(AP19,輪休基準表!$E$5:$AF$5,輪休基準表!$E$6:$AF$36,""),""),班別參數!$A$4:$A$20,班別參數!$B$4:$B$20,""),"")</f>
        <v>輪休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/>
      </c>
      <c r="AT19" s="180" t="str">
        <f t="shared" si="0"/>
        <v/>
      </c>
      <c r="AU19" s="180" t="str">
        <f t="shared" si="1"/>
        <v/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:AY20">IF(AX19="","",_xlfn._xlws.FILTER($AO$9:$AO$13,$AQ$9:$AQ$13="上班",""))</f>
        <v>2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27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4</v>
      </c>
      <c r="D20" s="97"/>
      <c r="E20" s="97"/>
      <c r="F20" s="97"/>
      <c r="G20" s="121" t="str">
        <f>IF(BC14="","",BC14)</f>
        <v/>
      </c>
      <c r="H20" s="55"/>
      <c r="I20" s="94">
        <f>_xlfn.XLOOKUP(_xlfn.XLOOKUP($AS$6&amp;$B20,公表[班別+時段],公表[救護1],""),$AX$9:$AX$25,$AY$9:$AY$25,"")</f>
        <v>0</v>
      </c>
      <c r="J20" s="94">
        <f>_xlfn.XLOOKUP(_xlfn.XLOOKUP($AS$6&amp;$B20,公表[班別+時段],公表[救護2],""),$AX$9:$AX$25,$AY$9:$AY$25,"")</f>
        <v>0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0</v>
      </c>
      <c r="O20" s="90">
        <f>_xlfn.XLOOKUP(_xlfn.XLOOKUP($AS$6&amp;$B20,公表[班別+時段],公表[備勤2],""),$AX$9:$AX$25,$AY$9:$AY$25,"")</f>
        <v>0</v>
      </c>
      <c r="P20" s="90"/>
      <c r="Q20" s="90">
        <f>_xlfn.XLOOKUP(_xlfn.XLOOKUP($AS$6&amp;$B20,公表[班別+時段],公表[備勤3],""),$AX$9:$AX$25,$AY$9:$AY$25,"")</f>
        <v>0</v>
      </c>
      <c r="R20" s="90">
        <f>_xlfn.XLOOKUP(_xlfn.XLOOKUP($AS$6&amp;$B20,公表[班別+時段],公表[備勤4],""),$AX$9:$AX$25,$AY$9:$AY$25,"")</f>
        <v>0</v>
      </c>
      <c r="S20" s="90"/>
      <c r="T20" s="90">
        <f>_xlfn.XLOOKUP(_xlfn.XLOOKUP($AS$6&amp;$B20,公表[班別+時段],公表[備勤5],""),$AX$9:$AX$25,$AY$9:$AY$25,"")</f>
        <v>0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90"/>
      <c r="AC20" s="90"/>
      <c r="AD20" s="90"/>
      <c r="AE20" s="91">
        <f>_xlfn.XLOOKUP(_xlfn.XLOOKUP($AS$6&amp;$B20,公表[班別+時段],公表[指揮官],""),$AX$9:$AX$25,$AY$9:$AY$25,"")</f>
        <v>2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27">
        <v>12</v>
      </c>
      <c r="AP20" s="127" t="str">
        <v>王昱勛</v>
      </c>
      <c r="AQ20" s="127" t="str" cm="1">
        <f t="array" ref="AQ20">IFERROR(_xlfn.XLOOKUP(_xlfn.XLOOKUP($AQ$3,輪休基準表!$C$6:$C$36,_xlfn.XLOOKUP(AP20,輪休基準表!$E$5:$AF$5,輪休基準表!$E$6:$AF$36,""),""),班別參數!$A$4:$A$20,班別參數!$B$4:$B$20,""),"")</f>
        <v>輪休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/>
      </c>
      <c r="AT20" s="180" t="str">
        <f t="shared" si="0"/>
        <v/>
      </c>
      <c r="AU20" s="180" t="str">
        <f t="shared" si="1"/>
        <v/>
      </c>
      <c r="AV20" s="25"/>
      <c r="AW20" s="33" t="str">
        <f t="array" ref="AW20">INDEX(班別參數!$D$4:$D$20,ROW()-7,MATCH($AW$8,班別參數!$D$4:$D$20,0))</f>
        <v>帶隊官</v>
      </c>
      <c r="AX20" s="34" t="str">
        <f t="array" ref="AX20">IFERROR(INDEX(班別參數!$D$4:$S$20,MATCH(AW20,班別參數!$D$4:$D$20,0),MATCH($AS$6,班別參數!$D$4:$S$4,0)),"")</f>
        <v>L</v>
      </c>
      <c r="AY20" s="38">
        <v>4</v>
      </c>
      <c r="AZ20" s="32"/>
      <c r="BA20" s="33" t="s">
        <v>67</v>
      </c>
      <c r="BB20" s="34" t="str">
        <f t="array" ref="BB20">IFERROR(INDEX(班別參數!$D$23:$S$35,MATCH(BA20,班別參數!$D$23:$D$35,0),MATCH($AS$6,班別參數!$D$23:$S$23,0)),"")</f>
        <v>G,L</v>
      </c>
      <c r="BC20" s="41" t="str">
        <f t="shared" si="2"/>
        <v>4</v>
      </c>
      <c r="BD20" s="127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4</v>
      </c>
      <c r="D21" s="95"/>
      <c r="E21" s="95"/>
      <c r="F21" s="95"/>
      <c r="G21" s="122" t="str">
        <f>IF(BC14="","",BC14)</f>
        <v/>
      </c>
      <c r="H21" s="296" t="str">
        <f>AY4</f>
        <v>火場控制及殘火處理</v>
      </c>
      <c r="I21" s="92">
        <f>_xlfn.XLOOKUP(_xlfn.XLOOKUP($AS$6&amp;$B21,公表[班別+時段],公表[救護1],""),$AX$9:$AX$25,$AY$9:$AY$25,"")</f>
        <v>0</v>
      </c>
      <c r="J21" s="92">
        <f>_xlfn.XLOOKUP(_xlfn.XLOOKUP($AS$6&amp;$B21,公表[班別+時段],公表[救護2],""),$AX$9:$AX$25,$AY$9:$AY$25,"")</f>
        <v>0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0</v>
      </c>
      <c r="O21" s="87">
        <f>_xlfn.XLOOKUP(_xlfn.XLOOKUP($AS$6&amp;$B21,公表[班別+時段],公表[備勤2],""),$AX$9:$AX$25,$AY$9:$AY$25,"")</f>
        <v>0</v>
      </c>
      <c r="P21" s="87"/>
      <c r="Q21" s="87">
        <f>_xlfn.XLOOKUP(_xlfn.XLOOKUP($AS$6&amp;$B21,公表[班別+時段],公表[備勤3],""),$AX$9:$AX$25,$AY$9:$AY$25,"")</f>
        <v>0</v>
      </c>
      <c r="R21" s="87">
        <f>_xlfn.XLOOKUP(_xlfn.XLOOKUP($AS$6&amp;$B21,公表[班別+時段],公表[備勤4],""),$AX$9:$AX$25,$AY$9:$AY$25,"")</f>
        <v>0</v>
      </c>
      <c r="S21" s="87"/>
      <c r="T21" s="87">
        <f>_xlfn.XLOOKUP(_xlfn.XLOOKUP($AS$6&amp;$B21,公表[班別+時段],公表[備勤5],""),$AX$9:$AX$25,$AY$9:$AY$25,"")</f>
        <v>0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87"/>
      <c r="AC21" s="87"/>
      <c r="AD21" s="87"/>
      <c r="AE21" s="88">
        <f>_xlfn.XLOOKUP(_xlfn.XLOOKUP($AS$6&amp;$B21,公表[班別+時段],公表[指揮官],""),$AX$9:$AX$25,$AY$9:$AY$25,"")</f>
        <v>2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27">
        <v>13</v>
      </c>
      <c r="AP21" s="127" t="str">
        <v>葉宗哲</v>
      </c>
      <c r="AQ21" s="127" t="str" cm="1">
        <f t="array" ref="AQ21">IFERROR(_xlfn.XLOOKUP(_xlfn.XLOOKUP($AQ$3,輪休基準表!$C$6:$C$36,_xlfn.XLOOKUP(AP21,輪休基準表!$E$5:$AF$5,輪休基準表!$E$6:$AF$36,""),""),班別參數!$A$4:$A$20,班別參數!$B$4:$B$20,""),"")</f>
        <v>公假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/>
      </c>
      <c r="AT21" s="180" t="str">
        <f t="shared" si="0"/>
        <v/>
      </c>
      <c r="AU21" s="180" t="str">
        <f t="shared" si="1"/>
        <v/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27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0</v>
      </c>
      <c r="D22" s="95"/>
      <c r="E22" s="95"/>
      <c r="F22" s="95"/>
      <c r="G22" s="122" t="str">
        <f>IF(BC15="","",BC15)</f>
        <v/>
      </c>
      <c r="H22" s="297"/>
      <c r="I22" s="92">
        <f>_xlfn.XLOOKUP(_xlfn.XLOOKUP($AS$6&amp;$B22,公表[班別+時段],公表[救護1],""),$AX$9:$AX$25,$AY$9:$AY$25,"")</f>
        <v>0</v>
      </c>
      <c r="J22" s="92">
        <f>_xlfn.XLOOKUP(_xlfn.XLOOKUP($AS$6&amp;$B22,公表[班別+時段],公表[救護2],""),$AX$9:$AX$25,$AY$9:$AY$25,"")</f>
        <v>0</v>
      </c>
      <c r="K22" s="92"/>
      <c r="L22" s="87" t="s">
        <v>212</v>
      </c>
      <c r="M22" s="312"/>
      <c r="N22" s="87">
        <f>_xlfn.XLOOKUP(_xlfn.XLOOKUP($AS$6&amp;$B22,公表[班別+時段],公表[備勤1],""),$AX$9:$AX$25,$AY$9:$AY$25,"")</f>
        <v>0</v>
      </c>
      <c r="O22" s="87">
        <f>_xlfn.XLOOKUP(_xlfn.XLOOKUP($AS$6&amp;$B22,公表[班別+時段],公表[備勤2],""),$AX$9:$AX$25,$AY$9:$AY$25,"")</f>
        <v>0</v>
      </c>
      <c r="P22" s="87"/>
      <c r="Q22" s="87">
        <f>_xlfn.XLOOKUP(_xlfn.XLOOKUP($AS$6&amp;$B22,公表[班別+時段],公表[備勤3],""),$AX$9:$AX$25,$AY$9:$AY$25,"")</f>
        <v>0</v>
      </c>
      <c r="R22" s="87">
        <f>_xlfn.XLOOKUP(_xlfn.XLOOKUP($AS$6&amp;$B22,公表[班別+時段],公表[備勤4],""),$AX$9:$AX$25,$AY$9:$AY$25,"")</f>
        <v>0</v>
      </c>
      <c r="S22" s="87"/>
      <c r="T22" s="87">
        <f>_xlfn.XLOOKUP(_xlfn.XLOOKUP($AS$6&amp;$B22,公表[班別+時段],公表[備勤5],""),$AX$9:$AX$25,$AY$9:$AY$25,"")</f>
        <v>4</v>
      </c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87"/>
      <c r="AC22" s="87"/>
      <c r="AD22" s="87"/>
      <c r="AE22" s="88">
        <f>_xlfn.XLOOKUP(_xlfn.XLOOKUP($AS$6&amp;$B22,公表[班別+時段],公表[指揮官],""),$AX$9:$AX$25,$AY$9:$AY$25,"")</f>
        <v>2</v>
      </c>
      <c r="AF22" s="57" t="s">
        <v>213</v>
      </c>
      <c r="AG22" s="305" t="str" cm="1">
        <f t="array" ref="AG22">_xlfn.TEXTJOIN(".",1,_xlfn._xlws.FILTER($AO$9:$AO$40,$AQ$9:$AQ$40="上班",""))</f>
        <v>2.4.8.17.18.19.23.25.26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27">
        <v>14</v>
      </c>
      <c r="AP22" s="127" t="str">
        <v>王浩任</v>
      </c>
      <c r="AQ22" s="127" t="str" cm="1">
        <f t="array" ref="AQ22">IFERROR(_xlfn.XLOOKUP(_xlfn.XLOOKUP($AQ$3,輪休基準表!$C$6:$C$36,_xlfn.XLOOKUP(AP22,輪休基準表!$E$5:$AF$5,輪休基準表!$E$6:$AF$36,""),""),班別參數!$A$4:$A$20,班別參數!$B$4:$B$20,""),"")</f>
        <v>公假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/>
      </c>
      <c r="AT22" s="180" t="str">
        <f t="shared" si="0"/>
        <v/>
      </c>
      <c r="AU22" s="180" t="str">
        <f t="shared" si="1"/>
        <v/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27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0</v>
      </c>
      <c r="D23" s="106"/>
      <c r="E23" s="96"/>
      <c r="F23" s="96"/>
      <c r="G23" s="123" t="str">
        <f>IF(BC15="","",BC15)</f>
        <v/>
      </c>
      <c r="H23" s="107"/>
      <c r="I23" s="216">
        <f>_xlfn.XLOOKUP(_xlfn.XLOOKUP($AS$6&amp;$B23,公表[班別+時段],公表[救護1],""),$AX$9:$AX$25,$AY$9:$AY$25,"")</f>
        <v>0</v>
      </c>
      <c r="J23" s="216">
        <f>_xlfn.XLOOKUP(_xlfn.XLOOKUP($AS$6&amp;$B23,公表[班別+時段],公表[救護2],""),$AX$9:$AX$25,$AY$9:$AY$25,"")</f>
        <v>0</v>
      </c>
      <c r="K23" s="105"/>
      <c r="L23" s="93" t="s">
        <v>212</v>
      </c>
      <c r="M23" s="312"/>
      <c r="N23" s="89">
        <f>_xlfn.XLOOKUP(_xlfn.XLOOKUP($AS$6&amp;$B23,公表[班別+時段],公表[備勤1],""),$AX$9:$AX$25,$AY$9:$AY$25,"")</f>
        <v>0</v>
      </c>
      <c r="O23" s="89">
        <f>_xlfn.XLOOKUP(_xlfn.XLOOKUP($AS$6&amp;$B23,公表[班別+時段],公表[備勤2],""),$AX$9:$AX$25,$AY$9:$AY$25,"")</f>
        <v>0</v>
      </c>
      <c r="P23" s="89"/>
      <c r="Q23" s="89">
        <f>_xlfn.XLOOKUP(_xlfn.XLOOKUP($AS$6&amp;$B23,公表[班別+時段],公表[備勤3],""),$AX$9:$AX$25,$AY$9:$AY$25,"")</f>
        <v>0</v>
      </c>
      <c r="R23" s="89">
        <f>_xlfn.XLOOKUP(_xlfn.XLOOKUP($AS$6&amp;$B23,公表[班別+時段],公表[備勤4],""),$AX$9:$AX$25,$AY$9:$AY$25,"")</f>
        <v>0</v>
      </c>
      <c r="S23" s="89"/>
      <c r="T23" s="89">
        <f>_xlfn.XLOOKUP(_xlfn.XLOOKUP($AS$6&amp;$B23,公表[班別+時段],公表[備勤5],""),$AX$9:$AX$25,$AY$9:$AY$25,"")</f>
        <v>4</v>
      </c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89"/>
      <c r="AC23" s="89"/>
      <c r="AD23" s="89"/>
      <c r="AE23" s="104">
        <f>_xlfn.XLOOKUP(_xlfn.XLOOKUP($AS$6&amp;$B23,公表[班別+時段],公表[指揮官],""),$AX$9:$AX$25,$AY$9:$AY$25,"")</f>
        <v>2</v>
      </c>
      <c r="AF23" s="57" t="s">
        <v>6</v>
      </c>
      <c r="AG23" s="305" t="str" cm="1">
        <f t="array" ref="AG23">_xlfn.TEXTJOIN(".",1,_xlfn._xlws.FILTER($AO$9:$AO$40,$AQ$9:$AQ$40=$AF$23,""))</f>
        <v>1.3.5.6.7.9.10.11.12.15.16.27</v>
      </c>
      <c r="AH23" s="400"/>
      <c r="AI23" s="400"/>
      <c r="AJ23" s="400"/>
      <c r="AK23" s="400"/>
      <c r="AL23" s="400"/>
      <c r="AM23" s="401"/>
      <c r="AN23" s="214"/>
      <c r="AO23" s="127">
        <v>15</v>
      </c>
      <c r="AP23" s="127" t="str">
        <v>李仕詮</v>
      </c>
      <c r="AQ23" s="127" t="str" cm="1">
        <f t="array" ref="AQ23">IFERROR(_xlfn.XLOOKUP(_xlfn.XLOOKUP($AQ$3,輪休基準表!$C$6:$C$36,_xlfn.XLOOKUP(AP23,輪休基準表!$E$5:$AF$5,輪休基準表!$E$6:$AF$36,""),""),班別參數!$A$4:$A$20,班別參數!$B$4:$B$20,""),"")</f>
        <v>輪休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/>
      </c>
      <c r="AT23" s="180" t="str">
        <f t="shared" si="0"/>
        <v/>
      </c>
      <c r="AU23" s="180" t="str">
        <f t="shared" si="1"/>
        <v/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27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0</v>
      </c>
      <c r="D24" s="97"/>
      <c r="E24" s="97"/>
      <c r="F24" s="97"/>
      <c r="G24" s="121" t="str">
        <f>IF(BC16="","",BC16)</f>
        <v/>
      </c>
      <c r="H24" s="55"/>
      <c r="I24" s="94">
        <f>_xlfn.XLOOKUP(_xlfn.XLOOKUP($AS$6&amp;$B24,公表[班別+時段],公表[救護1],""),$AX$9:$AX$25,$AY$9:$AY$25,"")</f>
        <v>0</v>
      </c>
      <c r="J24" s="94">
        <f>_xlfn.XLOOKUP(_xlfn.XLOOKUP($AS$6&amp;$B24,公表[班別+時段],公表[救護2],""),$AX$9:$AX$25,$AY$9:$AY$25,"")</f>
        <v>0</v>
      </c>
      <c r="K24" s="90"/>
      <c r="L24" s="90" t="s">
        <v>212</v>
      </c>
      <c r="M24" s="312"/>
      <c r="N24" s="90">
        <f>_xlfn.XLOOKUP(_xlfn.XLOOKUP($AS$6&amp;$B24,公表[班別+時段],公表[備勤1],""),$AX$9:$AX$25,$AY$9:$AY$25,"")</f>
        <v>0</v>
      </c>
      <c r="O24" s="90">
        <f>_xlfn.XLOOKUP(_xlfn.XLOOKUP($AS$6&amp;$B24,公表[班別+時段],公表[備勤2],""),$AX$9:$AX$25,$AY$9:$AY$25,"")</f>
        <v>0</v>
      </c>
      <c r="P24" s="90"/>
      <c r="Q24" s="90">
        <f>_xlfn.XLOOKUP(_xlfn.XLOOKUP($AS$6&amp;$B24,公表[班別+時段],公表[備勤3],""),$AX$9:$AX$25,$AY$9:$AY$25,"")</f>
        <v>0</v>
      </c>
      <c r="R24" s="90">
        <f>_xlfn.XLOOKUP(_xlfn.XLOOKUP($AS$6&amp;$B24,公表[班別+時段],公表[備勤4],""),$AX$9:$AX$25,$AY$9:$AY$25,"")</f>
        <v>0</v>
      </c>
      <c r="S24" s="90"/>
      <c r="T24" s="90">
        <f>_xlfn.XLOOKUP(_xlfn.XLOOKUP($AS$6&amp;$B24,公表[班別+時段],公表[備勤5],""),$AX$9:$AX$25,$AY$9:$AY$25,"")</f>
        <v>4</v>
      </c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90"/>
      <c r="AC24" s="90"/>
      <c r="AD24" s="90"/>
      <c r="AE24" s="91">
        <f>_xlfn.XLOOKUP(_xlfn.XLOOKUP($AS$6&amp;$B24,公表[班別+時段],公表[指揮官],""),$AX$9:$AX$25,$AY$9:$AY$25,"")</f>
        <v>2</v>
      </c>
      <c r="AF24" s="57" t="s">
        <v>17</v>
      </c>
      <c r="AG24" s="305" t="str" cm="1">
        <f t="array" ref="AG24">_xlfn.TEXTJOIN(".",1,_xlfn._xlws.FILTER($AO$9:$AO$40,$AQ$9:$AQ$40=$AF$24,""))</f>
        <v>21.24</v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/>
      </c>
      <c r="AL24" s="400"/>
      <c r="AM24" s="401"/>
      <c r="AN24" s="214"/>
      <c r="AO24" s="127">
        <v>16</v>
      </c>
      <c r="AP24" s="127" t="str">
        <v>楊弘宇</v>
      </c>
      <c r="AQ24" s="127" t="str" cm="1">
        <f t="array" ref="AQ24">IFERROR(_xlfn.XLOOKUP(_xlfn.XLOOKUP($AQ$3,輪休基準表!$C$6:$C$36,_xlfn.XLOOKUP(AP24,輪休基準表!$E$5:$AF$5,輪休基準表!$E$6:$AF$36,""),""),班別參數!$A$4:$A$20,班別參數!$B$4:$B$20,""),"")</f>
        <v>輪休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/>
      </c>
      <c r="AT24" s="180" t="str">
        <f t="shared" si="0"/>
        <v/>
      </c>
      <c r="AU24" s="180" t="str">
        <f t="shared" si="1"/>
        <v/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27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0</v>
      </c>
      <c r="D25" s="95"/>
      <c r="E25" s="95"/>
      <c r="F25" s="95"/>
      <c r="G25" s="122" t="str">
        <f>IF(BC16="","",BC16)</f>
        <v/>
      </c>
      <c r="H25" s="37"/>
      <c r="I25" s="92">
        <f>_xlfn.XLOOKUP(_xlfn.XLOOKUP($AS$6&amp;$B25,公表[班別+時段],公表[救護1],""),$AX$9:$AX$25,$AY$9:$AY$25,"")</f>
        <v>0</v>
      </c>
      <c r="J25" s="92">
        <f>_xlfn.XLOOKUP(_xlfn.XLOOKUP($AS$6&amp;$B25,公表[班別+時段],公表[救護2],""),$AX$9:$AX$25,$AY$9:$AY$25,"")</f>
        <v>0</v>
      </c>
      <c r="K25" s="87"/>
      <c r="L25" s="87" t="s">
        <v>212</v>
      </c>
      <c r="M25" s="312"/>
      <c r="N25" s="87">
        <f>_xlfn.XLOOKUP(_xlfn.XLOOKUP($AS$6&amp;$B25,公表[班別+時段],公表[備勤1],""),$AX$9:$AX$25,$AY$9:$AY$25,"")</f>
        <v>0</v>
      </c>
      <c r="O25" s="87">
        <f>_xlfn.XLOOKUP(_xlfn.XLOOKUP($AS$6&amp;$B25,公表[班別+時段],公表[備勤2],""),$AX$9:$AX$25,$AY$9:$AY$25,"")</f>
        <v>0</v>
      </c>
      <c r="P25" s="87"/>
      <c r="Q25" s="87">
        <f>_xlfn.XLOOKUP(_xlfn.XLOOKUP($AS$6&amp;$B25,公表[班別+時段],公表[備勤3],""),$AX$9:$AX$25,$AY$9:$AY$25,"")</f>
        <v>0</v>
      </c>
      <c r="R25" s="87">
        <f>_xlfn.XLOOKUP(_xlfn.XLOOKUP($AS$6&amp;$B25,公表[班別+時段],公表[備勤4],""),$AX$9:$AX$25,$AY$9:$AY$25,"")</f>
        <v>0</v>
      </c>
      <c r="S25" s="87"/>
      <c r="T25" s="87">
        <f>_xlfn.XLOOKUP(_xlfn.XLOOKUP($AS$6&amp;$B25,公表[班別+時段],公表[備勤5],""),$AX$9:$AX$25,$AY$9:$AY$25,"")</f>
        <v>4</v>
      </c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87"/>
      <c r="AC25" s="87"/>
      <c r="AD25" s="87"/>
      <c r="AE25" s="88">
        <f>_xlfn.XLOOKUP(_xlfn.XLOOKUP($AS$6&amp;$B25,公表[班別+時段],公表[指揮官],""),$AX$9:$AX$25,$AY$9:$AY$25,"")</f>
        <v>2</v>
      </c>
      <c r="AF25" s="57" t="s">
        <v>28</v>
      </c>
      <c r="AG25" s="305" t="str" cm="1">
        <f t="array" ref="AG25">_xlfn.TEXTJOIN(".",1,_xlfn._xlws.FILTER($AO$9:$AO$40,$AQ$9:$AQ$40=$AF$25,""))</f>
        <v/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>13.14.20.22</v>
      </c>
      <c r="AL25" s="309"/>
      <c r="AM25" s="310"/>
      <c r="AN25" s="214"/>
      <c r="AO25" s="127">
        <v>17</v>
      </c>
      <c r="AP25" s="127" t="str">
        <v>楊仲豪</v>
      </c>
      <c r="AQ25" s="127" t="str" cm="1">
        <f t="array" ref="AQ25">IFERROR(_xlfn.XLOOKUP(_xlfn.XLOOKUP($AQ$3,輪休基準表!$C$6:$C$36,_xlfn.XLOOKUP(AP25,輪休基準表!$E$5:$AF$5,輪休基準表!$E$6:$AF$36,""),""),班別參數!$A$4:$A$20,班別參數!$B$4:$B$20,""),"")</f>
        <v>上班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>未排</v>
      </c>
      <c r="AT25" s="180" t="str">
        <f t="shared" si="0"/>
        <v/>
      </c>
      <c r="AU25" s="180" t="str">
        <f t="shared" si="1"/>
        <v/>
      </c>
      <c r="AW25" s="33"/>
      <c r="AX25" s="45"/>
      <c r="AY25" s="25"/>
      <c r="AZ25" s="28"/>
      <c r="BA25" s="33"/>
      <c r="BB25" s="25"/>
      <c r="BD25" s="127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0</v>
      </c>
      <c r="D26" s="95"/>
      <c r="E26" s="95"/>
      <c r="F26" s="95"/>
      <c r="G26" s="122" t="str">
        <f>IF(BC17="","",BC17)</f>
        <v/>
      </c>
      <c r="H26" s="37"/>
      <c r="I26" s="92">
        <f>_xlfn.XLOOKUP(_xlfn.XLOOKUP($AS$6&amp;$B26,公表[班別+時段],公表[救護1],""),$AX$9:$AX$25,$AY$9:$AY$25,"")</f>
        <v>0</v>
      </c>
      <c r="J26" s="92">
        <f>_xlfn.XLOOKUP(_xlfn.XLOOKUP($AS$6&amp;$B26,公表[班別+時段],公表[救護2],""),$AX$9:$AX$25,$AY$9:$AY$25,"")</f>
        <v>0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0</v>
      </c>
      <c r="O26" s="87">
        <f>_xlfn.XLOOKUP(_xlfn.XLOOKUP($AS$6&amp;$B26,公表[班別+時段],公表[備勤2],""),$AX$9:$AX$25,$AY$9:$AY$25,"")</f>
        <v>0</v>
      </c>
      <c r="P26" s="87"/>
      <c r="Q26" s="87">
        <f>_xlfn.XLOOKUP(_xlfn.XLOOKUP($AS$6&amp;$B26,公表[班別+時段],公表[備勤3],""),$AX$9:$AX$25,$AY$9:$AY$25,"")</f>
        <v>0</v>
      </c>
      <c r="R26" s="87">
        <f>_xlfn.XLOOKUP(_xlfn.XLOOKUP($AS$6&amp;$B26,公表[班別+時段],公表[備勤4],""),$AX$9:$AX$25,$AY$9:$AY$25,"")</f>
        <v>0</v>
      </c>
      <c r="S26" s="87"/>
      <c r="T26" s="87">
        <f>_xlfn.XLOOKUP(_xlfn.XLOOKUP($AS$6&amp;$B26,公表[班別+時段],公表[備勤5],""),$AX$9:$AX$25,$AY$9:$AY$25,"")</f>
        <v>4</v>
      </c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87"/>
      <c r="AC26" s="87"/>
      <c r="AD26" s="87"/>
      <c r="AE26" s="88">
        <f>_xlfn.XLOOKUP(_xlfn.XLOOKUP($AS$6&amp;$B26,公表[班別+時段],公表[指揮官],""),$AX$9:$AX$25,$AY$9:$AY$25,"")</f>
        <v>2</v>
      </c>
      <c r="AF26" s="57" t="s">
        <v>289</v>
      </c>
      <c r="AG26" s="178" t="str" cm="1">
        <f t="array" ref="AG26">_xlfn.TEXTJOIN(".",1,_xlfn._xlws.FILTER($AO$9:$AO$40,$AQ$9:$AQ$40=$AF$26,""))</f>
        <v/>
      </c>
      <c r="AH26" s="168" t="s">
        <v>290</v>
      </c>
      <c r="AI26" s="179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>28</v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27">
        <v>18</v>
      </c>
      <c r="AP26" s="127" t="str">
        <v>林志偉</v>
      </c>
      <c r="AQ26" s="127" t="str" cm="1">
        <f t="array" ref="AQ26">IFERROR(_xlfn.XLOOKUP(_xlfn.XLOOKUP($AQ$3,輪休基準表!$C$6:$C$36,_xlfn.XLOOKUP(AP26,輪休基準表!$E$5:$AF$5,輪休基準表!$E$6:$AF$36,""),""),班別參數!$A$4:$A$20,班別參數!$B$4:$B$20,""),"")</f>
        <v>上班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>未排</v>
      </c>
      <c r="AT26" s="180" t="str">
        <f t="shared" si="0"/>
        <v/>
      </c>
      <c r="AU26" s="180" t="str">
        <f t="shared" si="1"/>
        <v/>
      </c>
      <c r="AV26" s="10"/>
      <c r="AW26" s="46"/>
      <c r="AX26" s="45"/>
      <c r="AY26" s="25"/>
      <c r="AZ26" s="28"/>
      <c r="BA26" s="33"/>
      <c r="BB26" s="25"/>
      <c r="BD26" s="127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0</v>
      </c>
      <c r="D27" s="95"/>
      <c r="E27" s="95"/>
      <c r="F27" s="95"/>
      <c r="G27" s="122" t="str">
        <f>IF(BC17="","",BC17)</f>
        <v/>
      </c>
      <c r="H27" s="37"/>
      <c r="I27" s="92">
        <f>_xlfn.XLOOKUP(_xlfn.XLOOKUP($AS$6&amp;$B27,公表[班別+時段],公表[救護1],""),$AX$9:$AX$25,$AY$9:$AY$25,"")</f>
        <v>0</v>
      </c>
      <c r="J27" s="92">
        <f>_xlfn.XLOOKUP(_xlfn.XLOOKUP($AS$6&amp;$B27,公表[班別+時段],公表[救護2],""),$AX$9:$AX$25,$AY$9:$AY$25,"")</f>
        <v>0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0</v>
      </c>
      <c r="O27" s="87">
        <f>_xlfn.XLOOKUP(_xlfn.XLOOKUP($AS$6&amp;$B27,公表[班別+時段],公表[備勤2],""),$AX$9:$AX$25,$AY$9:$AY$25,"")</f>
        <v>0</v>
      </c>
      <c r="P27" s="87"/>
      <c r="Q27" s="87">
        <f>_xlfn.XLOOKUP(_xlfn.XLOOKUP($AS$6&amp;$B27,公表[班別+時段],公表[備勤3],""),$AX$9:$AX$25,$AY$9:$AY$25,"")</f>
        <v>0</v>
      </c>
      <c r="R27" s="87">
        <f>_xlfn.XLOOKUP(_xlfn.XLOOKUP($AS$6&amp;$B27,公表[班別+時段],公表[備勤4],""),$AX$9:$AX$25,$AY$9:$AY$25,"")</f>
        <v>0</v>
      </c>
      <c r="S27" s="87"/>
      <c r="T27" s="87">
        <f>_xlfn.XLOOKUP(_xlfn.XLOOKUP($AS$6&amp;$B27,公表[班別+時段],公表[備勤5],""),$AX$9:$AX$25,$AY$9:$AY$25,"")</f>
        <v>4</v>
      </c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87"/>
      <c r="AC27" s="87"/>
      <c r="AD27" s="87"/>
      <c r="AE27" s="88">
        <f>_xlfn.XLOOKUP(_xlfn.XLOOKUP($AS$6&amp;$B27,公表[班別+時段],公表[指揮官],""),$AX$9:$AX$25,$AY$9:$AY$25,"")</f>
        <v>2</v>
      </c>
      <c r="AF27" s="317" t="s">
        <v>215</v>
      </c>
      <c r="AG27" s="319"/>
      <c r="AH27" s="321"/>
      <c r="AI27" s="321"/>
      <c r="AJ27" s="321"/>
      <c r="AK27" s="321"/>
      <c r="AL27" s="321"/>
      <c r="AM27" s="322"/>
      <c r="AN27" s="214"/>
      <c r="AO27" s="127">
        <v>19</v>
      </c>
      <c r="AP27" s="127" t="str">
        <v>劉家誠</v>
      </c>
      <c r="AQ27" s="127" t="str" cm="1">
        <f t="array" ref="AQ27">IFERROR(_xlfn.XLOOKUP(_xlfn.XLOOKUP($AQ$3,輪休基準表!$C$6:$C$36,_xlfn.XLOOKUP(AP27,輪休基準表!$E$5:$AF$5,輪休基準表!$E$6:$AF$36,""),""),班別參數!$A$4:$A$20,班別參數!$B$4:$B$20,""),"")</f>
        <v>上班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>未排</v>
      </c>
      <c r="AT27" s="180" t="str">
        <f t="shared" si="0"/>
        <v/>
      </c>
      <c r="AU27" s="180" t="str">
        <f t="shared" si="1"/>
        <v/>
      </c>
      <c r="AV27" s="10"/>
      <c r="AW27" s="46"/>
      <c r="AX27" s="45"/>
      <c r="AY27" s="25"/>
      <c r="AZ27" s="28"/>
      <c r="BA27" s="33"/>
      <c r="BB27" s="25"/>
      <c r="BD27" s="127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0</v>
      </c>
      <c r="D28" s="95"/>
      <c r="E28" s="95"/>
      <c r="F28" s="95"/>
      <c r="G28" s="122" t="str">
        <f>IF(BC18="","",BC18)</f>
        <v/>
      </c>
      <c r="H28" s="37"/>
      <c r="I28" s="92">
        <f>_xlfn.XLOOKUP(_xlfn.XLOOKUP($AS$6&amp;$B28,公表[班別+時段],公表[救護1],""),$AX$9:$AX$25,$AY$9:$AY$25,"")</f>
        <v>0</v>
      </c>
      <c r="J28" s="92">
        <f>_xlfn.XLOOKUP(_xlfn.XLOOKUP($AS$6&amp;$B28,公表[班別+時段],公表[救護2],""),$AX$9:$AX$25,$AY$9:$AY$25,"")</f>
        <v>0</v>
      </c>
      <c r="K28" s="87"/>
      <c r="L28" s="87" t="s">
        <v>212</v>
      </c>
      <c r="M28" s="312"/>
      <c r="N28" s="87">
        <f>_xlfn.XLOOKUP(_xlfn.XLOOKUP($AS$6&amp;$B28,公表[班別+時段],公表[備勤1],""),$AX$9:$AX$25,$AY$9:$AY$25,"")</f>
        <v>0</v>
      </c>
      <c r="O28" s="87">
        <f>_xlfn.XLOOKUP(_xlfn.XLOOKUP($AS$6&amp;$B28,公表[班別+時段],公表[備勤2],""),$AX$9:$AX$25,$AY$9:$AY$25,"")</f>
        <v>0</v>
      </c>
      <c r="P28" s="87"/>
      <c r="Q28" s="87">
        <f>_xlfn.XLOOKUP(_xlfn.XLOOKUP($AS$6&amp;$B28,公表[班別+時段],公表[備勤3],""),$AX$9:$AX$25,$AY$9:$AY$25,"")</f>
        <v>0</v>
      </c>
      <c r="R28" s="87">
        <f>_xlfn.XLOOKUP(_xlfn.XLOOKUP($AS$6&amp;$B28,公表[班別+時段],公表[備勤4],""),$AX$9:$AX$25,$AY$9:$AY$25,"")</f>
        <v>0</v>
      </c>
      <c r="S28" s="87"/>
      <c r="T28" s="87">
        <f>_xlfn.XLOOKUP(_xlfn.XLOOKUP($AS$6&amp;$B28,公表[班別+時段],公表[備勤5],""),$AX$9:$AX$25,$AY$9:$AY$25,"")</f>
        <v>4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87"/>
      <c r="AC28" s="87"/>
      <c r="AD28" s="87"/>
      <c r="AE28" s="88">
        <f>_xlfn.XLOOKUP(_xlfn.XLOOKUP($AS$6&amp;$B28,公表[班別+時段],公表[指揮官],""),$AX$9:$AX$25,$AY$9:$AY$25,"")</f>
        <v>2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27">
        <v>20</v>
      </c>
      <c r="AP28" s="127" t="str">
        <v>呂奇霈</v>
      </c>
      <c r="AQ28" s="127" t="str" cm="1">
        <f t="array" ref="AQ28">IFERROR(_xlfn.XLOOKUP(_xlfn.XLOOKUP($AQ$3,輪休基準表!$C$6:$C$36,_xlfn.XLOOKUP(AP28,輪休基準表!$E$5:$AF$5,輪休基準表!$E$6:$AF$36,""),""),班別參數!$A$4:$A$20,班別參數!$B$4:$B$20,""),"")</f>
        <v>公假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27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0</v>
      </c>
      <c r="D29" s="95"/>
      <c r="E29" s="95"/>
      <c r="F29" s="95"/>
      <c r="G29" s="122" t="str">
        <f>IF(BC18="","",BC18)</f>
        <v/>
      </c>
      <c r="H29" s="37"/>
      <c r="I29" s="92">
        <f>_xlfn.XLOOKUP(_xlfn.XLOOKUP($AS$6&amp;$B29,公表[班別+時段],公表[救護1],""),$AX$9:$AX$25,$AY$9:$AY$25,"")</f>
        <v>0</v>
      </c>
      <c r="J29" s="92">
        <f>_xlfn.XLOOKUP(_xlfn.XLOOKUP($AS$6&amp;$B29,公表[班別+時段],公表[救護2],""),$AX$9:$AX$25,$AY$9:$AY$25,"")</f>
        <v>0</v>
      </c>
      <c r="K29" s="87"/>
      <c r="L29" s="87" t="s">
        <v>212</v>
      </c>
      <c r="M29" s="312"/>
      <c r="N29" s="87">
        <f>_xlfn.XLOOKUP(_xlfn.XLOOKUP($AS$6&amp;$B29,公表[班別+時段],公表[備勤1],""),$AX$9:$AX$25,$AY$9:$AY$25,"")</f>
        <v>0</v>
      </c>
      <c r="O29" s="87">
        <f>_xlfn.XLOOKUP(_xlfn.XLOOKUP($AS$6&amp;$B29,公表[班別+時段],公表[備勤2],""),$AX$9:$AX$25,$AY$9:$AY$25,"")</f>
        <v>0</v>
      </c>
      <c r="P29" s="87"/>
      <c r="Q29" s="87">
        <f>_xlfn.XLOOKUP(_xlfn.XLOOKUP($AS$6&amp;$B29,公表[班別+時段],公表[備勤3],""),$AX$9:$AX$25,$AY$9:$AY$25,"")</f>
        <v>0</v>
      </c>
      <c r="R29" s="87">
        <f>_xlfn.XLOOKUP(_xlfn.XLOOKUP($AS$6&amp;$B29,公表[班別+時段],公表[備勤4],""),$AX$9:$AX$25,$AY$9:$AY$25,"")</f>
        <v>0</v>
      </c>
      <c r="S29" s="87"/>
      <c r="T29" s="87">
        <f>_xlfn.XLOOKUP(_xlfn.XLOOKUP($AS$6&amp;$B29,公表[班別+時段],公表[備勤5],""),$AX$9:$AX$25,$AY$9:$AY$25,"")</f>
        <v>4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87"/>
      <c r="AC29" s="87"/>
      <c r="AD29" s="87"/>
      <c r="AE29" s="88">
        <f>_xlfn.XLOOKUP(_xlfn.XLOOKUP($AS$6&amp;$B29,公表[班別+時段],公表[指揮官],""),$AX$9:$AX$25,$AY$9:$AY$25,"")</f>
        <v>2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27">
        <v>21</v>
      </c>
      <c r="AP29" s="127" t="str">
        <v>張家和</v>
      </c>
      <c r="AQ29" s="127" t="str" cm="1">
        <f t="array" ref="AQ29">IFERROR(_xlfn.XLOOKUP(_xlfn.XLOOKUP($AQ$3,輪休基準表!$C$6:$C$36,_xlfn.XLOOKUP(AP29,輪休基準表!$E$5:$AF$5,輪休基準表!$E$6:$AF$36,""),""),班別參數!$A$4:$A$20,班別參數!$B$4:$B$20,""),"")</f>
        <v>月補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/>
      </c>
      <c r="AT29" s="180" t="str">
        <f t="shared" si="0"/>
        <v/>
      </c>
      <c r="AU29" s="180" t="str">
        <f t="shared" si="1"/>
        <v/>
      </c>
      <c r="AV29" s="10"/>
      <c r="AW29" s="47"/>
      <c r="AX29" s="45"/>
      <c r="AY29" s="25"/>
      <c r="AZ29" s="28"/>
      <c r="BA29" s="33"/>
      <c r="BB29" s="25"/>
      <c r="BD29" s="127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0</v>
      </c>
      <c r="D30" s="95"/>
      <c r="E30" s="95"/>
      <c r="F30" s="95"/>
      <c r="G30" s="122" t="str">
        <f>IF(BC19="","",BC19)</f>
        <v/>
      </c>
      <c r="H30" s="37"/>
      <c r="I30" s="92">
        <f>_xlfn.XLOOKUP(_xlfn.XLOOKUP($AS$6&amp;$B30,公表[班別+時段],公表[救護1],""),$AX$9:$AX$25,$AY$9:$AY$25,"")</f>
        <v>0</v>
      </c>
      <c r="J30" s="92">
        <f>_xlfn.XLOOKUP(_xlfn.XLOOKUP($AS$6&amp;$B30,公表[班別+時段],公表[救護2],""),$AX$9:$AX$25,$AY$9:$AY$25,"")</f>
        <v>0</v>
      </c>
      <c r="K30" s="87"/>
      <c r="L30" s="87" t="s">
        <v>212</v>
      </c>
      <c r="M30" s="312"/>
      <c r="N30" s="87">
        <f>_xlfn.XLOOKUP(_xlfn.XLOOKUP($AS$6&amp;$B30,公表[班別+時段],公表[備勤1],""),$AX$9:$AX$25,$AY$9:$AY$25,"")</f>
        <v>0</v>
      </c>
      <c r="O30" s="87">
        <f>_xlfn.XLOOKUP(_xlfn.XLOOKUP($AS$6&amp;$B30,公表[班別+時段],公表[備勤2],""),$AX$9:$AX$25,$AY$9:$AY$25,"")</f>
        <v>0</v>
      </c>
      <c r="P30" s="87"/>
      <c r="Q30" s="87">
        <f>_xlfn.XLOOKUP(_xlfn.XLOOKUP($AS$6&amp;$B30,公表[班別+時段],公表[備勤3],""),$AX$9:$AX$25,$AY$9:$AY$25,"")</f>
        <v>0</v>
      </c>
      <c r="R30" s="87">
        <f>_xlfn.XLOOKUP(_xlfn.XLOOKUP($AS$6&amp;$B30,公表[班別+時段],公表[備勤4],""),$AX$9:$AX$25,$AY$9:$AY$25,"")</f>
        <v>0</v>
      </c>
      <c r="S30" s="87"/>
      <c r="T30" s="87">
        <f>_xlfn.XLOOKUP(_xlfn.XLOOKUP($AS$6&amp;$B30,公表[班別+時段],公表[備勤5],""),$AX$9:$AX$25,$AY$9:$AY$25,"")</f>
        <v>4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87"/>
      <c r="AC30" s="87"/>
      <c r="AD30" s="87"/>
      <c r="AE30" s="88">
        <f>_xlfn.XLOOKUP(_xlfn.XLOOKUP($AS$6&amp;$B30,公表[班別+時段],公表[指揮官],""),$AX$9:$AX$25,$AY$9:$AY$25,"")</f>
        <v>2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27">
        <v>22</v>
      </c>
      <c r="AP30" s="127" t="str">
        <v>陳俊瑋</v>
      </c>
      <c r="AQ30" s="127" t="str" cm="1">
        <f t="array" ref="AQ30">IFERROR(_xlfn.XLOOKUP(_xlfn.XLOOKUP($AQ$3,輪休基準表!$C$6:$C$36,_xlfn.XLOOKUP(AP30,輪休基準表!$E$5:$AF$5,輪休基準表!$E$6:$AF$36,""),""),班別參數!$A$4:$A$20,班別參數!$B$4:$B$20,""),"")</f>
        <v>公假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27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0</v>
      </c>
      <c r="D31" s="106"/>
      <c r="E31" s="96"/>
      <c r="F31" s="96"/>
      <c r="G31" s="123" t="str">
        <f>IF(BC19="","",BC19)</f>
        <v/>
      </c>
      <c r="H31" s="109"/>
      <c r="I31" s="216">
        <f>_xlfn.XLOOKUP(_xlfn.XLOOKUP($AS$6&amp;$B31,公表[班別+時段],公表[救護1],""),$AX$9:$AX$25,$AY$9:$AY$25,"")</f>
        <v>0</v>
      </c>
      <c r="J31" s="216">
        <f>_xlfn.XLOOKUP(_xlfn.XLOOKUP($AS$6&amp;$B31,公表[班別+時段],公表[救護2],""),$AX$9:$AX$25,$AY$9:$AY$25,"")</f>
        <v>0</v>
      </c>
      <c r="K31" s="108"/>
      <c r="L31" s="93" t="s">
        <v>212</v>
      </c>
      <c r="M31" s="312"/>
      <c r="N31" s="89">
        <f>_xlfn.XLOOKUP(_xlfn.XLOOKUP($AS$6&amp;$B31,公表[班別+時段],公表[備勤1],""),$AX$9:$AX$25,$AY$9:$AY$25,"")</f>
        <v>0</v>
      </c>
      <c r="O31" s="89">
        <f>_xlfn.XLOOKUP(_xlfn.XLOOKUP($AS$6&amp;$B31,公表[班別+時段],公表[備勤2],""),$AX$9:$AX$25,$AY$9:$AY$25,"")</f>
        <v>0</v>
      </c>
      <c r="P31" s="89"/>
      <c r="Q31" s="89">
        <f>_xlfn.XLOOKUP(_xlfn.XLOOKUP($AS$6&amp;$B31,公表[班別+時段],公表[備勤3],""),$AX$9:$AX$25,$AY$9:$AY$25,"")</f>
        <v>0</v>
      </c>
      <c r="R31" s="89">
        <f>_xlfn.XLOOKUP(_xlfn.XLOOKUP($AS$6&amp;$B31,公表[班別+時段],公表[備勤4],""),$AX$9:$AX$25,$AY$9:$AY$25,"")</f>
        <v>0</v>
      </c>
      <c r="S31" s="89"/>
      <c r="T31" s="89">
        <f>_xlfn.XLOOKUP(_xlfn.XLOOKUP($AS$6&amp;$B31,公表[班別+時段],公表[備勤5],""),$AX$9:$AX$25,$AY$9:$AY$25,"")</f>
        <v>4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89"/>
      <c r="AC31" s="89"/>
      <c r="AD31" s="89"/>
      <c r="AE31" s="104">
        <f>_xlfn.XLOOKUP(_xlfn.XLOOKUP($AS$6&amp;$B31,公表[班別+時段],公表[指揮官],""),$AX$9:$AX$25,$AY$9:$AY$25,"")</f>
        <v>2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27">
        <v>23</v>
      </c>
      <c r="AP31" s="127" t="str">
        <v>陳俊翰</v>
      </c>
      <c r="AQ31" s="127" t="str" cm="1">
        <f t="array" ref="AQ31">IFERROR(_xlfn.XLOOKUP(_xlfn.XLOOKUP($AQ$3,輪休基準表!$C$6:$C$36,_xlfn.XLOOKUP(AP31,輪休基準表!$E$5:$AF$5,輪休基準表!$E$6:$AF$36,""),""),班別參數!$A$4:$A$20,班別參數!$B$4:$B$20,""),"")</f>
        <v>上班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>未排</v>
      </c>
      <c r="AT31" s="180" t="str">
        <f t="shared" si="0"/>
        <v/>
      </c>
      <c r="AU31" s="180" t="str">
        <f t="shared" si="1"/>
        <v/>
      </c>
      <c r="AW31" s="47"/>
      <c r="AX31" s="45"/>
      <c r="AY31" s="25"/>
      <c r="AZ31" s="28"/>
      <c r="BA31" s="33"/>
      <c r="BB31" s="25"/>
      <c r="BD31" s="127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0</v>
      </c>
      <c r="D32" s="97"/>
      <c r="E32" s="97"/>
      <c r="F32" s="97"/>
      <c r="G32" s="121" t="str">
        <f>IF(BC20="","",BC20)</f>
        <v>4</v>
      </c>
      <c r="H32" s="56"/>
      <c r="I32" s="94">
        <f>_xlfn.XLOOKUP(_xlfn.XLOOKUP($AS$6&amp;$B32,公表[班別+時段],公表[救護1],""),$AX$9:$AX$25,$AY$9:$AY$25,"")</f>
        <v>0</v>
      </c>
      <c r="J32" s="94">
        <f>_xlfn.XLOOKUP(_xlfn.XLOOKUP($AS$6&amp;$B32,公表[班別+時段],公表[救護2],""),$AX$9:$AX$25,$AY$9:$AY$25,"")</f>
        <v>0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0</v>
      </c>
      <c r="O32" s="90">
        <f>_xlfn.XLOOKUP(_xlfn.XLOOKUP($AS$6&amp;$B32,公表[班別+時段],公表[備勤2],""),$AX$9:$AX$25,$AY$9:$AY$25,"")</f>
        <v>0</v>
      </c>
      <c r="P32" s="90"/>
      <c r="Q32" s="90">
        <f>_xlfn.XLOOKUP(_xlfn.XLOOKUP($AS$6&amp;$B32,公表[班別+時段],公表[備勤3],""),$AX$9:$AX$25,$AY$9:$AY$25,"")</f>
        <v>0</v>
      </c>
      <c r="R32" s="90">
        <f>_xlfn.XLOOKUP(_xlfn.XLOOKUP($AS$6&amp;$B32,公表[班別+時段],公表[備勤4],""),$AX$9:$AX$25,$AY$9:$AY$25,"")</f>
        <v>0</v>
      </c>
      <c r="S32" s="90"/>
      <c r="T32" s="90">
        <f>_xlfn.XLOOKUP(_xlfn.XLOOKUP($AS$6&amp;$B32,公表[班別+時段],公表[備勤5],""),$AX$9:$AX$25,$AY$9:$AY$25,"")</f>
        <v>0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90"/>
      <c r="AC32" s="90"/>
      <c r="AD32" s="90"/>
      <c r="AE32" s="91">
        <f>_xlfn.XLOOKUP(_xlfn.XLOOKUP($AS$6&amp;$B32,公表[班別+時段],公表[指揮官],""),$AX$9:$AX$25,$AY$9:$AY$25,"")</f>
        <v>2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27">
        <v>24</v>
      </c>
      <c r="AP32" s="127" t="str">
        <v>賴俊豪</v>
      </c>
      <c r="AQ32" s="127" t="str" cm="1">
        <f t="array" ref="AQ32">IFERROR(_xlfn.XLOOKUP(_xlfn.XLOOKUP($AQ$3,輪休基準表!$C$6:$C$36,_xlfn.XLOOKUP(AP32,輪休基準表!$E$5:$AF$5,輪休基準表!$E$6:$AF$36,""),""),班別參數!$A$4:$A$20,班別參數!$B$4:$B$20,""),"")</f>
        <v>月補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/>
      </c>
      <c r="AT32" s="180" t="str">
        <f t="shared" si="0"/>
        <v/>
      </c>
      <c r="AU32" s="180" t="str">
        <f t="shared" si="1"/>
        <v/>
      </c>
      <c r="AW32" s="47"/>
      <c r="AX32" s="45"/>
      <c r="AY32" s="25"/>
      <c r="AZ32" s="28"/>
      <c r="BA32" s="33"/>
      <c r="BB32" s="25"/>
      <c r="BD32" s="127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0</v>
      </c>
      <c r="D33" s="95"/>
      <c r="E33" s="95"/>
      <c r="F33" s="95"/>
      <c r="G33" s="122" t="str">
        <f>IF(BC20="","",BC20)</f>
        <v>4</v>
      </c>
      <c r="H33" s="48"/>
      <c r="I33" s="92">
        <f>_xlfn.XLOOKUP(_xlfn.XLOOKUP($AS$6&amp;$B33,公表[班別+時段],公表[救護1],""),$AX$9:$AX$25,$AY$9:$AY$25,"")</f>
        <v>0</v>
      </c>
      <c r="J33" s="92">
        <f>_xlfn.XLOOKUP(_xlfn.XLOOKUP($AS$6&amp;$B33,公表[班別+時段],公表[救護2],""),$AX$9:$AX$25,$AY$9:$AY$25,"")</f>
        <v>0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0</v>
      </c>
      <c r="O33" s="87">
        <f>_xlfn.XLOOKUP(_xlfn.XLOOKUP($AS$6&amp;$B33,公表[班別+時段],公表[備勤2],""),$AX$9:$AX$25,$AY$9:$AY$25,"")</f>
        <v>0</v>
      </c>
      <c r="P33" s="87"/>
      <c r="Q33" s="87">
        <f>_xlfn.XLOOKUP(_xlfn.XLOOKUP($AS$6&amp;$B33,公表[班別+時段],公表[備勤3],""),$AX$9:$AX$25,$AY$9:$AY$25,"")</f>
        <v>0</v>
      </c>
      <c r="R33" s="87">
        <f>_xlfn.XLOOKUP(_xlfn.XLOOKUP($AS$6&amp;$B33,公表[班別+時段],公表[備勤4],""),$AX$9:$AX$25,$AY$9:$AY$25,"")</f>
        <v>0</v>
      </c>
      <c r="S33" s="87"/>
      <c r="T33" s="87">
        <f>_xlfn.XLOOKUP(_xlfn.XLOOKUP($AS$6&amp;$B33,公表[班別+時段],公表[備勤5],""),$AX$9:$AX$25,$AY$9:$AY$25,"")</f>
        <v>0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87"/>
      <c r="AC33" s="87"/>
      <c r="AD33" s="87"/>
      <c r="AE33" s="88">
        <f>_xlfn.XLOOKUP(_xlfn.XLOOKUP($AS$6&amp;$B33,公表[班別+時段],公表[指揮官],""),$AX$9:$AX$25,$AY$9:$AY$25,"")</f>
        <v>2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27">
        <v>25</v>
      </c>
      <c r="AP33" s="127" t="str">
        <v>郭國偵</v>
      </c>
      <c r="AQ33" s="127" t="str" cm="1">
        <f t="array" ref="AQ33">IFERROR(_xlfn.XLOOKUP(_xlfn.XLOOKUP($AQ$3,輪休基準表!$C$6:$C$36,_xlfn.XLOOKUP(AP33,輪休基準表!$E$5:$AF$5,輪休基準表!$E$6:$AF$36,""),""),班別參數!$A$4:$A$20,班別參數!$B$4:$B$20,""),"")</f>
        <v>上班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>未排</v>
      </c>
      <c r="AT33" s="180" t="str">
        <f t="shared" si="0"/>
        <v/>
      </c>
      <c r="AU33" s="180" t="str">
        <f t="shared" si="1"/>
        <v/>
      </c>
      <c r="AW33" s="47"/>
      <c r="AX33" s="45"/>
      <c r="AY33" s="25"/>
      <c r="AZ33" s="28"/>
      <c r="BA33" s="25"/>
      <c r="BB33" s="25"/>
      <c r="BD33" s="127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一、本日主管輪休，職務由小隊長莊勝斌代理。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27">
        <v>26</v>
      </c>
      <c r="AP34" s="127" t="str">
        <v>楊紹文</v>
      </c>
      <c r="AQ34" s="127" t="str" cm="1">
        <f t="array" ref="AQ34">IFERROR(_xlfn.XLOOKUP(_xlfn.XLOOKUP($AQ$3,輪休基準表!$C$6:$C$36,_xlfn.XLOOKUP(AP34,輪休基準表!$E$5:$AF$5,輪休基準表!$E$6:$AF$36,""),""),班別參數!$A$4:$A$20,班別參數!$B$4:$B$20,""),"")</f>
        <v>上班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>未排</v>
      </c>
      <c r="AT34" s="180" t="str">
        <f t="shared" si="0"/>
        <v/>
      </c>
      <c r="AU34" s="180" t="str">
        <f t="shared" si="1"/>
        <v/>
      </c>
      <c r="AW34" s="47"/>
      <c r="AX34" s="45"/>
      <c r="AY34" s="25"/>
      <c r="AZ34" s="28"/>
      <c r="BA34" s="25"/>
      <c r="BB34" s="25"/>
      <c r="BD34" s="127"/>
    </row>
    <row r="35" spans="2:56" ht="30" customHeight="1">
      <c r="B35" s="349"/>
      <c r="C35" s="359" t="str">
        <f>CONCATENATE("二、在隊訓練:09-12時:",H11,";14-17時:",H16,";19-21時:",H21,"。")</f>
        <v>二、在隊訓練:09-12時:通風排煙訓練;14-17時:人命救助訓練;19-21時:火場控制及殘火處理。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27">
        <v>27</v>
      </c>
      <c r="AP35" s="127" t="str">
        <v>林宏為</v>
      </c>
      <c r="AQ35" s="127" t="str" cm="1">
        <f t="array" ref="AQ35">IFERROR(_xlfn.XLOOKUP(_xlfn.XLOOKUP($AQ$3,輪休基準表!$C$6:$C$36,_xlfn.XLOOKUP(AP35,輪休基準表!$E$5:$AF$5,輪休基準表!$E$6:$AF$36,""),""),班別參數!$A$4:$A$20,班別參數!$B$4:$B$20,""),"")</f>
        <v>輪休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/>
      </c>
      <c r="AT35" s="180" t="str">
        <f t="shared" si="0"/>
        <v/>
      </c>
      <c r="AU35" s="180" t="str">
        <f t="shared" si="1"/>
        <v/>
      </c>
      <c r="AW35" s="47"/>
      <c r="AX35" s="45"/>
      <c r="AY35" s="25"/>
      <c r="AZ35" s="28"/>
      <c r="BA35" s="25"/>
      <c r="BB35" s="25"/>
      <c r="BD35" s="127"/>
    </row>
    <row r="36" spans="2:56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27">
        <v>28</v>
      </c>
      <c r="AP36" s="127" t="str">
        <v>林宸彥</v>
      </c>
      <c r="AQ36" s="127" t="str" cm="1">
        <f t="array" ref="AQ36">IFERROR(_xlfn.XLOOKUP(_xlfn.XLOOKUP($AQ$3,輪休基準表!$C$6:$C$36,_xlfn.XLOOKUP(AP36,輪休基準表!$E$5:$AF$5,輪休基準表!$E$6:$AF$36,""),""),班別參數!$A$4:$A$20,班別參數!$B$4:$B$20,""),"")</f>
        <v>身心假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/>
      </c>
      <c r="AT36" s="180" t="str">
        <f t="shared" si="0"/>
        <v/>
      </c>
      <c r="AU36" s="180" t="str">
        <f t="shared" si="1"/>
        <v/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27"/>
      <c r="AP37" s="127"/>
      <c r="AQ37" s="127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27"/>
      <c r="BD37" s="10"/>
    </row>
    <row r="38" spans="2:56" ht="15" customHeight="1">
      <c r="AQ38" s="127"/>
      <c r="AR38" s="118"/>
      <c r="AS38" s="119"/>
      <c r="AT38" s="119"/>
    </row>
    <row r="39" spans="2:56" ht="15" customHeight="1">
      <c r="AR39" s="118"/>
      <c r="AS39" s="119"/>
      <c r="AT39" s="119"/>
    </row>
    <row r="40" spans="2:56" ht="15" customHeight="1">
      <c r="AR40" s="118"/>
      <c r="AS40" s="119"/>
      <c r="AT40" s="119"/>
    </row>
  </sheetData>
  <mergeCells count="71">
    <mergeCell ref="AG22:AK22"/>
    <mergeCell ref="AG23:AM23"/>
    <mergeCell ref="AG24:AI24"/>
    <mergeCell ref="AK24:AM24"/>
    <mergeCell ref="AF33:AG33"/>
    <mergeCell ref="AH33:AI33"/>
    <mergeCell ref="AJ33:AK33"/>
    <mergeCell ref="AF31:AG31"/>
    <mergeCell ref="AH31:AI31"/>
    <mergeCell ref="AJ31:AK31"/>
    <mergeCell ref="AF32:AG32"/>
    <mergeCell ref="AH32:AI32"/>
    <mergeCell ref="AJ32:AK32"/>
    <mergeCell ref="AF27:AF28"/>
    <mergeCell ref="AG27:AM27"/>
    <mergeCell ref="AG28:AM28"/>
    <mergeCell ref="B34:B36"/>
    <mergeCell ref="C34:AE34"/>
    <mergeCell ref="AF34:AM34"/>
    <mergeCell ref="C35:AE35"/>
    <mergeCell ref="AF35:AM35"/>
    <mergeCell ref="C36:AE36"/>
    <mergeCell ref="AF36:AM36"/>
    <mergeCell ref="AF29:AM29"/>
    <mergeCell ref="AF30:AG30"/>
    <mergeCell ref="AH30:AI30"/>
    <mergeCell ref="AJ30:AK30"/>
    <mergeCell ref="AG25:AI25"/>
    <mergeCell ref="AK25:AM25"/>
    <mergeCell ref="C8:AE8"/>
    <mergeCell ref="C9:AE9"/>
    <mergeCell ref="M10:M33"/>
    <mergeCell ref="H11:H13"/>
    <mergeCell ref="H16:H18"/>
    <mergeCell ref="H21:H22"/>
    <mergeCell ref="I6:J6"/>
    <mergeCell ref="K6:L6"/>
    <mergeCell ref="N6:P6"/>
    <mergeCell ref="Q6:S6"/>
    <mergeCell ref="T6:V6"/>
    <mergeCell ref="AF5:AM6"/>
    <mergeCell ref="AO5:AO6"/>
    <mergeCell ref="T7:V7"/>
    <mergeCell ref="AR5:AR6"/>
    <mergeCell ref="AS5:AT5"/>
    <mergeCell ref="W6:Y6"/>
    <mergeCell ref="AE6:AE7"/>
    <mergeCell ref="AS6:AT6"/>
    <mergeCell ref="AP5:AQ6"/>
    <mergeCell ref="G5:G7"/>
    <mergeCell ref="B3:AM3"/>
    <mergeCell ref="AW3:AX3"/>
    <mergeCell ref="AY3:BB3"/>
    <mergeCell ref="B4:AI4"/>
    <mergeCell ref="AJ4:AM4"/>
    <mergeCell ref="AW4:AX4"/>
    <mergeCell ref="AY4:BB4"/>
    <mergeCell ref="B5:B7"/>
    <mergeCell ref="C5:C7"/>
    <mergeCell ref="D5:D7"/>
    <mergeCell ref="E5:E7"/>
    <mergeCell ref="F5:F7"/>
    <mergeCell ref="H5:H7"/>
    <mergeCell ref="I5:L5"/>
    <mergeCell ref="M5:AE5"/>
    <mergeCell ref="AY2:BB2"/>
    <mergeCell ref="B1:AE1"/>
    <mergeCell ref="AP1:AQ1"/>
    <mergeCell ref="B2:AE2"/>
    <mergeCell ref="AG2:AM2"/>
    <mergeCell ref="AW2:AX2"/>
  </mergeCells>
  <phoneticPr fontId="9" type="noConversion"/>
  <conditionalFormatting sqref="AO9:AQ36 AO37:AP37 AQ37:AQ38">
    <cfRule type="expression" dxfId="41" priority="16">
      <formula>COUNTIF($AQ9,"上班")&gt;=1</formula>
    </cfRule>
  </conditionalFormatting>
  <conditionalFormatting sqref="AF8:AF13 AH8:AH21 AJ8:AJ21 AL8:AM21">
    <cfRule type="expression" dxfId="40" priority="11">
      <formula>OR(VLOOKUP(AF8,$AO$9:$AQ$40,3,0)="上班",VLOOKUP(AF8,$AO$9:$AQ$40,3,0)="外宿")</formula>
    </cfRule>
  </conditionalFormatting>
  <conditionalFormatting sqref="AL8">
    <cfRule type="expression" dxfId="39" priority="10">
      <formula>OR(VLOOKUP(AL8,$AO$9:$AQ$36,3,0)="上班",VLOOKUP(AL8,$AO$9:$AQ$36,3,0)="外宿")</formula>
    </cfRule>
  </conditionalFormatting>
  <conditionalFormatting sqref="AR9:AR36">
    <cfRule type="notContainsText" dxfId="38" priority="2" operator="notContains" text="已排">
      <formula>ISERROR(SEARCH("已排",AR9))</formula>
    </cfRule>
  </conditionalFormatting>
  <conditionalFormatting sqref="AS9:AS36">
    <cfRule type="notContainsText" dxfId="37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7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C50DC-E749-4CF8-9072-6996992C8AEC}">
  <sheetPr codeName="工作表31">
    <pageSetUpPr fitToPage="1"/>
  </sheetPr>
  <dimension ref="B1:BD40"/>
  <sheetViews>
    <sheetView showZeros="0" view="pageBreakPreview" topLeftCell="A10" zoomScale="55" zoomScaleNormal="55" zoomScaleSheetLayoutView="55" workbookViewId="0">
      <selection activeCell="I6" sqref="I6:V7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6" width="5.375" style="126" customWidth="1"/>
    <col min="7" max="8" width="8.625" style="126" customWidth="1"/>
    <col min="9" max="12" width="5.375" style="126" customWidth="1"/>
    <col min="13" max="13" width="6.625" style="126" customWidth="1"/>
    <col min="14" max="31" width="5.375" style="126" customWidth="1"/>
    <col min="32" max="32" width="7.625" style="126" customWidth="1"/>
    <col min="33" max="33" width="10.625" style="126" customWidth="1"/>
    <col min="34" max="34" width="7.625" style="126" customWidth="1"/>
    <col min="35" max="35" width="10.625" style="126" customWidth="1"/>
    <col min="36" max="36" width="7.625" style="126" customWidth="1"/>
    <col min="37" max="37" width="10.625" style="126" customWidth="1"/>
    <col min="38" max="38" width="7.625" style="126" customWidth="1"/>
    <col min="39" max="39" width="10.625" style="126" customWidth="1"/>
    <col min="40" max="40" width="4.125" style="213" customWidth="1"/>
    <col min="41" max="47" width="11.625" style="126" customWidth="1"/>
    <col min="48" max="48" width="4.125" style="126" customWidth="1"/>
    <col min="49" max="49" width="16" style="126" customWidth="1"/>
    <col min="50" max="51" width="8.25" style="126" customWidth="1"/>
    <col min="52" max="52" width="4.125" style="126" customWidth="1"/>
    <col min="53" max="53" width="16" style="126" customWidth="1"/>
    <col min="54" max="54" width="8.25" style="126" customWidth="1"/>
    <col min="55" max="55" width="10.875" style="126" customWidth="1"/>
    <col min="56" max="58" width="4.125" style="126" customWidth="1"/>
    <col min="59" max="16384" width="11.25" style="126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27"/>
      <c r="AP1" s="399"/>
      <c r="AQ1" s="399"/>
      <c r="AR1" s="127"/>
      <c r="AS1" s="127"/>
      <c r="AT1" s="127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3" t="s">
        <v>178</v>
      </c>
      <c r="AR2" s="146" t="s">
        <v>228</v>
      </c>
      <c r="AS2" s="142"/>
      <c r="AT2" s="140"/>
      <c r="AU2" s="127"/>
      <c r="AV2" s="127"/>
      <c r="AW2" s="362" t="s">
        <v>127</v>
      </c>
      <c r="AX2" s="287"/>
      <c r="AY2" s="367" t="str">
        <f>_xlfn.XLOOKUP($AR$3,訓練!$L$13:$L$19,訓練!$M$13:$M$19,"")</f>
        <v>個人防護裝備操作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115年5月27日星期三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27</v>
      </c>
      <c r="AR3" s="141" t="str">
        <f>RIGHT(TEXT(1911+$AO$3&amp;"/"&amp;$AP$3&amp;"/"&amp;$AQ$3,"aaaa"),1)</f>
        <v>三</v>
      </c>
      <c r="AS3" s="145"/>
      <c r="AT3" s="145"/>
      <c r="AU3" s="127"/>
      <c r="AV3" s="127"/>
      <c r="AW3" s="362" t="s">
        <v>128</v>
      </c>
      <c r="AX3" s="287"/>
      <c r="AY3" s="368" t="str">
        <f>_xlfn.XLOOKUP($AR$3,訓練!$L$13:$L$19,訓練!$N$13:$N$19,"")</f>
        <v>常訓體技能訓練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27"/>
      <c r="AU4" s="127"/>
      <c r="AV4" s="127"/>
      <c r="AW4" s="362" t="s">
        <v>129</v>
      </c>
      <c r="AX4" s="287"/>
      <c r="AY4" s="363" t="str">
        <f>_xlfn.XLOOKUP($AR$3,訓練!$L$13:$L$19,訓練!$O$13:$O$19,"")</f>
        <v>救護訓練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2"/>
      <c r="E5" s="340"/>
      <c r="F5" s="340"/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341"/>
      <c r="E6" s="341"/>
      <c r="F6" s="341"/>
      <c r="G6" s="312"/>
      <c r="H6" s="312"/>
      <c r="I6" s="334" t="s">
        <v>227</v>
      </c>
      <c r="J6" s="335"/>
      <c r="K6" s="334" t="s">
        <v>346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2+7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341"/>
      <c r="E7" s="341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192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27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27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27" cm="1">
        <f t="array" ref="AO9:AP36">TRANSPOSE(輪休基準表!E4:AF5)</f>
        <v>1</v>
      </c>
      <c r="AP9" s="127" t="str">
        <v>鄧力嘉</v>
      </c>
      <c r="AQ9" s="127" t="str" cm="1">
        <f t="array" ref="AQ9">IFERROR(_xlfn.XLOOKUP(_xlfn.XLOOKUP($AQ$3,輪休基準表!$C$6:$C$36,_xlfn.XLOOKUP(AP9,輪休基準表!$E$5:$AF$5,輪休基準表!$E$6:$AF$36,""),""),班別參數!$A$4:$A$20,班別參數!$B$4:$B$20,""),"")</f>
        <v>上班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>已排</v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 t="array" ref="AX9">IFERROR(INDEX(班別參數!$D$4:$S$20,MATCH(AW9,班別參數!$D$4:$D$20,0),MATCH($AS$6,班別參數!$D$4:$S$4,0)),"")</f>
        <v>A</v>
      </c>
      <c r="AY9" s="35"/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H,K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1</v>
      </c>
      <c r="BD9" s="127"/>
    </row>
    <row r="10" spans="2:56" ht="30" customHeight="1">
      <c r="B10" s="81" t="s">
        <v>70</v>
      </c>
      <c r="C10" s="87">
        <f>_xlfn.XLOOKUP(_xlfn.XLOOKUP($AS$6&amp;$B10,公表[班別+時段],公表[值班],""),$AX$9:$AX$25,$AY$9:$AY$25,"")</f>
        <v>0</v>
      </c>
      <c r="D10" s="95"/>
      <c r="E10" s="95"/>
      <c r="F10" s="95"/>
      <c r="G10" s="122" t="str">
        <f>IF(BC9="","",BC9)</f>
        <v>1</v>
      </c>
      <c r="H10" s="37"/>
      <c r="I10" s="92">
        <f>_xlfn.XLOOKUP(_xlfn.XLOOKUP($AS$6&amp;$B10,公表[班別+時段],公表[救護1],""),$AX$9:$AX$25,$AY$9:$AY$25,"")</f>
        <v>0</v>
      </c>
      <c r="J10" s="92">
        <f>_xlfn.XLOOKUP(_xlfn.XLOOKUP($AS$6&amp;$B10,公表[班別+時段],公表[救護2],""),$AX$9:$AX$25,$AY$9:$AY$25,"")</f>
        <v>0</v>
      </c>
      <c r="K10" s="87"/>
      <c r="L10" s="87" t="s">
        <v>212</v>
      </c>
      <c r="M10" s="311"/>
      <c r="N10" s="87">
        <f>_xlfn.XLOOKUP(_xlfn.XLOOKUP($AS$6&amp;$B10,公表[班別+時段],公表[備勤1],""),$AX$9:$AX$25,$AY$9:$AY$25,"")</f>
        <v>0</v>
      </c>
      <c r="O10" s="87">
        <f>_xlfn.XLOOKUP(_xlfn.XLOOKUP($AS$6&amp;$B10,公表[班別+時段],公表[備勤2],""),$AX$9:$AX$25,$AY$9:$AY$25,"")</f>
        <v>0</v>
      </c>
      <c r="P10" s="87"/>
      <c r="Q10" s="87">
        <f>_xlfn.XLOOKUP(_xlfn.XLOOKUP($AS$6&amp;$B10,公表[班別+時段],公表[備勤3],""),$AX$9:$AX$25,$AY$9:$AY$25,"")</f>
        <v>0</v>
      </c>
      <c r="R10" s="87">
        <f>_xlfn.XLOOKUP(_xlfn.XLOOKUP($AS$6&amp;$B10,公表[班別+時段],公表[備勤4],""),$AX$9:$AX$25,$AY$9:$AY$25,"")</f>
        <v>0</v>
      </c>
      <c r="S10" s="87"/>
      <c r="T10" s="87">
        <f>_xlfn.XLOOKUP(_xlfn.XLOOKUP($AS$6&amp;$B10,公表[班別+時段],公表[備勤5],""),$AX$9:$AX$25,$AY$9:$AY$25,"")</f>
        <v>0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87"/>
      <c r="AB10" s="87"/>
      <c r="AC10" s="87"/>
      <c r="AD10" s="87"/>
      <c r="AE10" s="88">
        <f>_xlfn.XLOOKUP(_xlfn.XLOOKUP($AS$6&amp;$B10,公表[班別+時段],公表[指揮官],""),$AX$9:$AX$25,$AY$9:$AY$25,"")</f>
        <v>5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27">
        <v>2</v>
      </c>
      <c r="AP10" s="127" t="str">
        <v>莊勝斌</v>
      </c>
      <c r="AQ10" s="127" t="str" cm="1">
        <f t="array" ref="AQ10">IFERROR(_xlfn.XLOOKUP(_xlfn.XLOOKUP($AQ$3,輪休基準表!$C$6:$C$36,_xlfn.XLOOKUP(AP10,輪休基準表!$E$5:$AF$5,輪休基準表!$E$6:$AF$36,""),""),班別參數!$A$4:$A$20,班別參數!$B$4:$B$20,""),"")</f>
        <v>輪休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/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/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/>
      </c>
      <c r="BD10" s="127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0</v>
      </c>
      <c r="D11" s="95"/>
      <c r="E11" s="95"/>
      <c r="F11" s="95"/>
      <c r="G11" s="122" t="str">
        <f>IF(BC9="","",BC9)</f>
        <v>1</v>
      </c>
      <c r="H11" s="296" t="str">
        <f>AY2</f>
        <v>個人防護裝備操作</v>
      </c>
      <c r="I11" s="92">
        <f>_xlfn.XLOOKUP(_xlfn.XLOOKUP($AS$6&amp;$B11,公表[班別+時段],公表[救護1],""),$AX$9:$AX$25,$AY$9:$AY$25,"")</f>
        <v>0</v>
      </c>
      <c r="J11" s="92">
        <f>_xlfn.XLOOKUP(_xlfn.XLOOKUP($AS$6&amp;$B11,公表[班別+時段],公表[救護2],""),$AX$9:$AX$25,$AY$9:$AY$25,"")</f>
        <v>0</v>
      </c>
      <c r="K11" s="87"/>
      <c r="L11" s="87" t="s">
        <v>212</v>
      </c>
      <c r="M11" s="312"/>
      <c r="N11" s="87">
        <f>_xlfn.XLOOKUP(_xlfn.XLOOKUP($AS$6&amp;$B11,公表[班別+時段],公表[備勤1],""),$AX$9:$AX$25,$AY$9:$AY$25,"")</f>
        <v>0</v>
      </c>
      <c r="O11" s="87">
        <f>_xlfn.XLOOKUP(_xlfn.XLOOKUP($AS$6&amp;$B11,公表[班別+時段],公表[備勤2],""),$AX$9:$AX$25,$AY$9:$AY$25,"")</f>
        <v>0</v>
      </c>
      <c r="P11" s="87"/>
      <c r="Q11" s="87">
        <f>_xlfn.XLOOKUP(_xlfn.XLOOKUP($AS$6&amp;$B11,公表[班別+時段],公表[備勤3],""),$AX$9:$AX$25,$AY$9:$AY$25,"")</f>
        <v>0</v>
      </c>
      <c r="R11" s="87">
        <f>_xlfn.XLOOKUP(_xlfn.XLOOKUP($AS$6&amp;$B11,公表[班別+時段],公表[備勤4],""),$AX$9:$AX$25,$AY$9:$AY$25,"")</f>
        <v>0</v>
      </c>
      <c r="S11" s="87"/>
      <c r="T11" s="87">
        <f>_xlfn.XLOOKUP(_xlfn.XLOOKUP($AS$6&amp;$B11,公表[班別+時段],公表[備勤5],""),$AX$9:$AX$25,$AY$9:$AY$25,"")</f>
        <v>0</v>
      </c>
      <c r="U11" s="87">
        <f>_xlfn.XLOOKUP(_xlfn.XLOOKUP($AS$6&amp;$B11,公表[班別+時段],公表[備勤6],""),$AX$9:$AX$25,$AY$9:$AY$25,"")</f>
        <v>0</v>
      </c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87"/>
      <c r="AB11" s="87"/>
      <c r="AC11" s="87"/>
      <c r="AD11" s="87"/>
      <c r="AE11" s="88">
        <f>_xlfn.XLOOKUP(_xlfn.XLOOKUP($AS$6&amp;$B11,公表[班別+時段],公表[指揮官],""),$AX$9:$AX$25,$AY$9:$AY$25,"")</f>
        <v>5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27">
        <v>3</v>
      </c>
      <c r="AP11" s="127" t="str">
        <v>孫子翔</v>
      </c>
      <c r="AQ11" s="127" t="str" cm="1">
        <f t="array" ref="AQ11">IFERROR(_xlfn.XLOOKUP(_xlfn.XLOOKUP($AQ$3,輪休基準表!$C$6:$C$36,_xlfn.XLOOKUP(AP11,輪休基準表!$E$5:$AF$5,輪休基準表!$E$6:$AF$36,""),""),班別參數!$A$4:$A$20,班別參數!$B$4:$B$20,""),"")</f>
        <v>輪休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/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/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F</v>
      </c>
      <c r="BC11" s="39" t="str">
        <f t="shared" si="2"/>
        <v/>
      </c>
      <c r="BD11" s="127"/>
    </row>
    <row r="12" spans="2:56" ht="30" customHeight="1">
      <c r="B12" s="81" t="s">
        <v>75</v>
      </c>
      <c r="C12" s="87">
        <f>_xlfn.XLOOKUP(_xlfn.XLOOKUP($AS$6&amp;$B12,公表[班別+時段],公表[值班],""),$AX$9:$AX$25,$AY$9:$AY$25,"")</f>
        <v>0</v>
      </c>
      <c r="D12" s="95"/>
      <c r="E12" s="95"/>
      <c r="F12" s="95"/>
      <c r="G12" s="122" t="str">
        <f>IF(BC10="","",BC10)</f>
        <v/>
      </c>
      <c r="H12" s="314"/>
      <c r="I12" s="92">
        <f>_xlfn.XLOOKUP(_xlfn.XLOOKUP($AS$6&amp;$B12,公表[班別+時段],公表[救護1],""),$AX$9:$AX$25,$AY$9:$AY$25,"")</f>
        <v>0</v>
      </c>
      <c r="J12" s="92">
        <f>_xlfn.XLOOKUP(_xlfn.XLOOKUP($AS$6&amp;$B12,公表[班別+時段],公表[救護2],""),$AX$9:$AX$25,$AY$9:$AY$25,"")</f>
        <v>0</v>
      </c>
      <c r="K12" s="92"/>
      <c r="L12" s="87" t="s">
        <v>212</v>
      </c>
      <c r="M12" s="312"/>
      <c r="N12" s="87">
        <f>_xlfn.XLOOKUP(_xlfn.XLOOKUP($AS$6&amp;$B12,公表[班別+時段],公表[備勤1],""),$AX$9:$AX$25,$AY$9:$AY$25,"")</f>
        <v>0</v>
      </c>
      <c r="O12" s="87">
        <f>_xlfn.XLOOKUP(_xlfn.XLOOKUP($AS$6&amp;$B12,公表[班別+時段],公表[備勤2],""),$AX$9:$AX$25,$AY$9:$AY$25,"")</f>
        <v>0</v>
      </c>
      <c r="P12" s="87"/>
      <c r="Q12" s="87">
        <f>_xlfn.XLOOKUP(_xlfn.XLOOKUP($AS$6&amp;$B12,公表[班別+時段],公表[備勤3],""),$AX$9:$AX$25,$AY$9:$AY$25,"")</f>
        <v>0</v>
      </c>
      <c r="R12" s="87">
        <f>_xlfn.XLOOKUP(_xlfn.XLOOKUP($AS$6&amp;$B12,公表[班別+時段],公表[備勤4],""),$AX$9:$AX$25,$AY$9:$AY$25,"")</f>
        <v>0</v>
      </c>
      <c r="S12" s="87"/>
      <c r="T12" s="87">
        <f>_xlfn.XLOOKUP(_xlfn.XLOOKUP($AS$6&amp;$B12,公表[班別+時段],公表[備勤5],""),$AX$9:$AX$25,$AY$9:$AY$25,"")</f>
        <v>5</v>
      </c>
      <c r="U12" s="87">
        <f>_xlfn.XLOOKUP(_xlfn.XLOOKUP($AS$6&amp;$B12,公表[班別+時段],公表[備勤6],""),$AX$9:$AX$25,$AY$9:$AY$25,"")</f>
        <v>0</v>
      </c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87"/>
      <c r="AC12" s="87"/>
      <c r="AD12" s="87"/>
      <c r="AE12" s="88">
        <f>_xlfn.XLOOKUP(_xlfn.XLOOKUP($AS$6&amp;$B12,公表[班別+時段],公表[指揮官],""),$AX$9:$AX$25,$AY$9:$AY$25,"")</f>
        <v>1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27">
        <v>4</v>
      </c>
      <c r="AP12" s="127" t="str">
        <v>簡永豐</v>
      </c>
      <c r="AQ12" s="127" t="str" cm="1">
        <f t="array" ref="AQ12">IFERROR(_xlfn.XLOOKUP(_xlfn.XLOOKUP($AQ$3,輪休基準表!$C$6:$C$36,_xlfn.XLOOKUP(AP12,輪休基準表!$E$5:$AF$5,輪休基準表!$E$6:$AF$36,""),""),班別參數!$A$4:$A$20,班別參數!$B$4:$B$20,""),"")</f>
        <v>輪休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/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/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27"/>
    </row>
    <row r="13" spans="2:56" ht="30" customHeight="1" thickBot="1">
      <c r="B13" s="82" t="s">
        <v>76</v>
      </c>
      <c r="C13" s="89">
        <f>_xlfn.XLOOKUP(_xlfn.XLOOKUP($AS$6&amp;$B13,公表[班別+時段],公表[值班],""),$AX$9:$AX$25,$AY$9:$AY$25,"")</f>
        <v>0</v>
      </c>
      <c r="D13" s="233"/>
      <c r="E13" s="96"/>
      <c r="F13" s="96"/>
      <c r="G13" s="123" t="str">
        <f>IF(BC10="","",BC10)</f>
        <v/>
      </c>
      <c r="H13" s="315"/>
      <c r="I13" s="216">
        <f>_xlfn.XLOOKUP(_xlfn.XLOOKUP($AS$6&amp;$B13,公表[班別+時段],公表[救護1],""),$AX$9:$AX$25,$AY$9:$AY$25,"")</f>
        <v>0</v>
      </c>
      <c r="J13" s="216">
        <f>_xlfn.XLOOKUP(_xlfn.XLOOKUP($AS$6&amp;$B13,公表[班別+時段],公表[救護2],""),$AX$9:$AX$25,$AY$9:$AY$25,"")</f>
        <v>0</v>
      </c>
      <c r="K13" s="105"/>
      <c r="L13" s="93" t="s">
        <v>212</v>
      </c>
      <c r="M13" s="312"/>
      <c r="N13" s="89">
        <f>_xlfn.XLOOKUP(_xlfn.XLOOKUP($AS$6&amp;$B13,公表[班別+時段],公表[備勤1],""),$AX$9:$AX$25,$AY$9:$AY$25,"")</f>
        <v>0</v>
      </c>
      <c r="O13" s="89">
        <f>_xlfn.XLOOKUP(_xlfn.XLOOKUP($AS$6&amp;$B13,公表[班別+時段],公表[備勤2],""),$AX$9:$AX$25,$AY$9:$AY$25,"")</f>
        <v>0</v>
      </c>
      <c r="P13" s="89"/>
      <c r="Q13" s="89">
        <f>_xlfn.XLOOKUP(_xlfn.XLOOKUP($AS$6&amp;$B13,公表[班別+時段],公表[備勤3],""),$AX$9:$AX$25,$AY$9:$AY$25,"")</f>
        <v>0</v>
      </c>
      <c r="R13" s="89">
        <f>_xlfn.XLOOKUP(_xlfn.XLOOKUP($AS$6&amp;$B13,公表[班別+時段],公表[備勤4],""),$AX$9:$AX$25,$AY$9:$AY$25,"")</f>
        <v>0</v>
      </c>
      <c r="S13" s="89"/>
      <c r="T13" s="89">
        <f>_xlfn.XLOOKUP(_xlfn.XLOOKUP($AS$6&amp;$B13,公表[班別+時段],公表[備勤5],""),$AX$9:$AX$25,$AY$9:$AY$25,"")</f>
        <v>5</v>
      </c>
      <c r="U13" s="89">
        <f>_xlfn.XLOOKUP(_xlfn.XLOOKUP($AS$6&amp;$B13,公表[班別+時段],公表[備勤6],""),$AX$9:$AX$25,$AY$9:$AY$25,"")</f>
        <v>0</v>
      </c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89"/>
      <c r="AC13" s="89"/>
      <c r="AD13" s="89"/>
      <c r="AE13" s="104">
        <f>_xlfn.XLOOKUP(_xlfn.XLOOKUP($AS$6&amp;$B13,公表[班別+時段],公表[指揮官],""),$AX$9:$AX$25,$AY$9:$AY$25,"")</f>
        <v>1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27">
        <v>5</v>
      </c>
      <c r="AP13" s="127" t="str">
        <v>張鴻志</v>
      </c>
      <c r="AQ13" s="127" t="str" cm="1">
        <f t="array" ref="AQ13">IFERROR(_xlfn.XLOOKUP(_xlfn.XLOOKUP($AQ$3,輪休基準表!$C$6:$C$36,_xlfn.XLOOKUP(AP13,輪休基準表!$E$5:$AF$5,輪休基準表!$E$6:$AF$36,""),""),班別參數!$A$4:$A$20,班別參數!$B$4:$B$20,""),"")</f>
        <v>上班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>已排</v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/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/>
      </c>
      <c r="BD13" s="127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0</v>
      </c>
      <c r="D14" s="234"/>
      <c r="E14" s="97"/>
      <c r="F14" s="97"/>
      <c r="G14" s="121" t="str">
        <f>IF(BC11="","",BC11)</f>
        <v/>
      </c>
      <c r="H14" s="55"/>
      <c r="I14" s="94">
        <f>_xlfn.XLOOKUP(_xlfn.XLOOKUP($AS$6&amp;$B14,公表[班別+時段],公表[救護1],""),$AX$9:$AX$25,$AY$9:$AY$25,"")</f>
        <v>0</v>
      </c>
      <c r="J14" s="94">
        <f>_xlfn.XLOOKUP(_xlfn.XLOOKUP($AS$6&amp;$B14,公表[班別+時段],公表[救護2],""),$AX$9:$AX$25,$AY$9:$AY$25,"")</f>
        <v>0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0</v>
      </c>
      <c r="O14" s="90">
        <f>_xlfn.XLOOKUP(_xlfn.XLOOKUP($AS$6&amp;$B14,公表[班別+時段],公表[備勤2],""),$AX$9:$AX$25,$AY$9:$AY$25,"")</f>
        <v>0</v>
      </c>
      <c r="P14" s="90"/>
      <c r="Q14" s="90">
        <f>_xlfn.XLOOKUP(_xlfn.XLOOKUP($AS$6&amp;$B14,公表[班別+時段],公表[備勤3],""),$AX$9:$AX$25,$AY$9:$AY$25,"")</f>
        <v>0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5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90"/>
      <c r="AC14" s="90"/>
      <c r="AD14" s="90"/>
      <c r="AE14" s="91">
        <f>_xlfn.XLOOKUP(_xlfn.XLOOKUP($AS$6&amp;$B14,公表[班別+時段],公表[指揮官],""),$AX$9:$AX$25,$AY$9:$AY$25,"")</f>
        <v>1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27">
        <v>6</v>
      </c>
      <c r="AP14" s="127" t="str">
        <v>吳宗耕</v>
      </c>
      <c r="AQ14" s="127" t="str" cm="1">
        <f t="array" ref="AQ14">IFERROR(_xlfn.XLOOKUP(_xlfn.XLOOKUP($AQ$3,輪休基準表!$C$6:$C$36,_xlfn.XLOOKUP(AP14,輪休基準表!$E$5:$AF$5,輪休基準表!$E$6:$AF$36,""),""),班別參數!$A$4:$A$20,班別參數!$B$4:$B$20,""),"")</f>
        <v>上班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>未排</v>
      </c>
      <c r="AT14" s="180" t="str">
        <f t="shared" si="0"/>
        <v/>
      </c>
      <c r="AU14" s="180" t="str">
        <f t="shared" si="1"/>
        <v/>
      </c>
      <c r="AV14" s="25"/>
      <c r="AW14" s="33" t="str">
        <f t="array" ref="AW14">INDEX(班別參數!$D$4:$D$20,ROW()-7,MATCH($AW$8,班別參數!$D$4:$D$20,0))</f>
        <v>18-20</v>
      </c>
      <c r="AX14" s="34">
        <f t="array" ref="AX14">IFERROR(INDEX(班別參數!$D$4:$S$20,MATCH(AW14,班別參數!$D$4:$D$20,0),MATCH($AS$6,班別參數!$D$4:$S$4,0)),"")</f>
        <v>0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</v>
      </c>
      <c r="BC14" s="39" t="str">
        <f t="shared" si="2"/>
        <v/>
      </c>
      <c r="BD14" s="127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0</v>
      </c>
      <c r="D15" s="235"/>
      <c r="E15" s="106"/>
      <c r="F15" s="96"/>
      <c r="G15" s="123" t="str">
        <f>IF(BC11="","",BC11)</f>
        <v/>
      </c>
      <c r="H15" s="40"/>
      <c r="I15" s="216">
        <f>_xlfn.XLOOKUP(_xlfn.XLOOKUP($AS$6&amp;$B15,公表[班別+時段],公表[救護1],""),$AX$9:$AX$25,$AY$9:$AY$25,"")</f>
        <v>0</v>
      </c>
      <c r="J15" s="216">
        <f>_xlfn.XLOOKUP(_xlfn.XLOOKUP($AS$6&amp;$B15,公表[班別+時段],公表[救護2],""),$AX$9:$AX$25,$AY$9:$AY$25,"")</f>
        <v>0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0</v>
      </c>
      <c r="O15" s="89">
        <f>_xlfn.XLOOKUP(_xlfn.XLOOKUP($AS$6&amp;$B15,公表[班別+時段],公表[備勤2],""),$AX$9:$AX$25,$AY$9:$AY$25,"")</f>
        <v>0</v>
      </c>
      <c r="P15" s="89"/>
      <c r="Q15" s="89">
        <f>_xlfn.XLOOKUP(_xlfn.XLOOKUP($AS$6&amp;$B15,公表[班別+時段],公表[備勤3],""),$AX$9:$AX$25,$AY$9:$AY$25,"")</f>
        <v>0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5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89"/>
      <c r="AC15" s="89"/>
      <c r="AD15" s="89"/>
      <c r="AE15" s="104">
        <f>_xlfn.XLOOKUP(_xlfn.XLOOKUP($AS$6&amp;$B15,公表[班別+時段],公表[指揮官],""),$AX$9:$AX$25,$AY$9:$AY$25,"")</f>
        <v>1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27">
        <v>7</v>
      </c>
      <c r="AP15" s="127" t="str">
        <v>包華先</v>
      </c>
      <c r="AQ15" s="127" t="str" cm="1">
        <f t="array" ref="AQ15">IFERROR(_xlfn.XLOOKUP(_xlfn.XLOOKUP($AQ$3,輪休基準表!$C$6:$C$36,_xlfn.XLOOKUP(AP15,輪休基準表!$E$5:$AF$5,輪休基準表!$E$6:$AF$36,""),""),班別參數!$A$4:$A$20,班別參數!$B$4:$B$20,""),"")</f>
        <v>請休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/>
      </c>
      <c r="AT15" s="180" t="str">
        <f t="shared" si="0"/>
        <v/>
      </c>
      <c r="AU15" s="180" t="str">
        <f t="shared" si="1"/>
        <v/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/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/>
      </c>
      <c r="BD15" s="127"/>
    </row>
    <row r="16" spans="2:56" ht="30" customHeight="1">
      <c r="B16" s="83" t="s">
        <v>79</v>
      </c>
      <c r="C16" s="90">
        <f>_xlfn.XLOOKUP(_xlfn.XLOOKUP($AS$6&amp;$B16,公表[班別+時段],公表[值班],""),$AX$9:$AX$25,$AY$9:$AY$25,"")</f>
        <v>0</v>
      </c>
      <c r="D16" s="98"/>
      <c r="E16" s="99"/>
      <c r="F16" s="98"/>
      <c r="G16" s="121" t="str">
        <f>IF(BC12="","",BC12)</f>
        <v/>
      </c>
      <c r="H16" s="316" t="str">
        <f>AY3</f>
        <v>常訓體技能訓練</v>
      </c>
      <c r="I16" s="94">
        <f>_xlfn.XLOOKUP(_xlfn.XLOOKUP($AS$6&amp;$B16,公表[班別+時段],公表[救護1],""),$AX$9:$AX$25,$AY$9:$AY$25,"")</f>
        <v>0</v>
      </c>
      <c r="J16" s="94">
        <f>_xlfn.XLOOKUP(_xlfn.XLOOKUP($AS$6&amp;$B16,公表[班別+時段],公表[救護2],""),$AX$9:$AX$25,$AY$9:$AY$25,"")</f>
        <v>0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0</v>
      </c>
      <c r="O16" s="90">
        <f>_xlfn.XLOOKUP(_xlfn.XLOOKUP($AS$6&amp;$B16,公表[班別+時段],公表[備勤2],""),$AX$9:$AX$25,$AY$9:$AY$25,"")</f>
        <v>0</v>
      </c>
      <c r="P16" s="90"/>
      <c r="Q16" s="90">
        <f>_xlfn.XLOOKUP(_xlfn.XLOOKUP($AS$6&amp;$B16,公表[班別+時段],公表[備勤3],""),$AX$9:$AX$25,$AY$9:$AY$25,"")</f>
        <v>0</v>
      </c>
      <c r="R16" s="90">
        <f>_xlfn.XLOOKUP(_xlfn.XLOOKUP($AS$6&amp;$B16,公表[班別+時段],公表[備勤4],""),$AX$9:$AX$25,$AY$9:$AY$25,"")</f>
        <v>0</v>
      </c>
      <c r="S16" s="90"/>
      <c r="T16" s="90">
        <f>_xlfn.XLOOKUP(_xlfn.XLOOKUP($AS$6&amp;$B16,公表[班別+時段],公表[備勤5],""),$AX$9:$AX$25,$AY$9:$AY$25,"")</f>
        <v>5</v>
      </c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90"/>
      <c r="AC16" s="90"/>
      <c r="AD16" s="90"/>
      <c r="AE16" s="91">
        <f>_xlfn.XLOOKUP(_xlfn.XLOOKUP($AS$6&amp;$B16,公表[班別+時段],公表[指揮官],""),$AX$9:$AX$25,$AY$9:$AY$25,"")</f>
        <v>1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27">
        <v>8</v>
      </c>
      <c r="AP16" s="127" t="str">
        <v>曾彥綸</v>
      </c>
      <c r="AQ16" s="127" t="str" cm="1">
        <f t="array" ref="AQ16">IFERROR(_xlfn.XLOOKUP(_xlfn.XLOOKUP($AQ$3,輪休基準表!$C$6:$C$36,_xlfn.XLOOKUP(AP16,輪休基準表!$E$5:$AF$5,輪休基準表!$E$6:$AF$36,""),""),班別參數!$A$4:$A$20,班別參數!$B$4:$B$20,""),"")</f>
        <v>輪休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/>
      </c>
      <c r="AT16" s="180" t="str">
        <f t="shared" si="0"/>
        <v/>
      </c>
      <c r="AU16" s="180" t="str">
        <f t="shared" si="1"/>
        <v/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/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27"/>
    </row>
    <row r="17" spans="2:56" ht="30" customHeight="1">
      <c r="B17" s="81" t="s">
        <v>80</v>
      </c>
      <c r="C17" s="87">
        <f>_xlfn.XLOOKUP(_xlfn.XLOOKUP($AS$6&amp;$B17,公表[班別+時段],公表[值班],""),$AX$9:$AX$25,$AY$9:$AY$25,"")</f>
        <v>0</v>
      </c>
      <c r="D17" s="95"/>
      <c r="E17" s="95"/>
      <c r="F17" s="100"/>
      <c r="G17" s="122" t="str">
        <f>IF(BC12="","",BC12)</f>
        <v/>
      </c>
      <c r="H17" s="314"/>
      <c r="I17" s="92">
        <f>_xlfn.XLOOKUP(_xlfn.XLOOKUP($AS$6&amp;$B17,公表[班別+時段],公表[救護1],""),$AX$9:$AX$25,$AY$9:$AY$25,"")</f>
        <v>0</v>
      </c>
      <c r="J17" s="92">
        <f>_xlfn.XLOOKUP(_xlfn.XLOOKUP($AS$6&amp;$B17,公表[班別+時段],公表[救護2],""),$AX$9:$AX$25,$AY$9:$AY$25,"")</f>
        <v>0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0</v>
      </c>
      <c r="O17" s="87">
        <f>_xlfn.XLOOKUP(_xlfn.XLOOKUP($AS$6&amp;$B17,公表[班別+時段],公表[備勤2],""),$AX$9:$AX$25,$AY$9:$AY$25,"")</f>
        <v>0</v>
      </c>
      <c r="P17" s="87"/>
      <c r="Q17" s="87">
        <f>_xlfn.XLOOKUP(_xlfn.XLOOKUP($AS$6&amp;$B17,公表[班別+時段],公表[備勤3],""),$AX$9:$AX$25,$AY$9:$AY$25,"")</f>
        <v>0</v>
      </c>
      <c r="R17" s="87">
        <f>_xlfn.XLOOKUP(_xlfn.XLOOKUP($AS$6&amp;$B17,公表[班別+時段],公表[備勤4],""),$AX$9:$AX$25,$AY$9:$AY$25,"")</f>
        <v>0</v>
      </c>
      <c r="S17" s="87"/>
      <c r="T17" s="87">
        <f>_xlfn.XLOOKUP(_xlfn.XLOOKUP($AS$6&amp;$B17,公表[班別+時段],公表[備勤5],""),$AX$9:$AX$25,$AY$9:$AY$25,"")</f>
        <v>5</v>
      </c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87"/>
      <c r="AC17" s="87"/>
      <c r="AD17" s="87"/>
      <c r="AE17" s="88">
        <f>_xlfn.XLOOKUP(_xlfn.XLOOKUP($AS$6&amp;$B17,公表[班別+時段],公表[指揮官],""),$AX$9:$AX$25,$AY$9:$AY$25,"")</f>
        <v>1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27">
        <v>9</v>
      </c>
      <c r="AP17" s="127" t="str">
        <v>鍾佳諭</v>
      </c>
      <c r="AQ17" s="127" t="str" cm="1">
        <f t="array" ref="AQ17">IFERROR(_xlfn.XLOOKUP(_xlfn.XLOOKUP($AQ$3,輪休基準表!$C$6:$C$36,_xlfn.XLOOKUP(AP17,輪休基準表!$E$5:$AF$5,輪休基準表!$E$6:$AF$36,""),""),班別參數!$A$4:$A$20,班別參數!$B$4:$B$20,""),"")</f>
        <v>上班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>未排</v>
      </c>
      <c r="AT17" s="180" t="str">
        <f t="shared" si="0"/>
        <v/>
      </c>
      <c r="AU17" s="180" t="str">
        <f t="shared" si="1"/>
        <v/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27"/>
    </row>
    <row r="18" spans="2:56" ht="30" customHeight="1">
      <c r="B18" s="81" t="s">
        <v>81</v>
      </c>
      <c r="C18" s="87">
        <f>_xlfn.XLOOKUP(_xlfn.XLOOKUP($AS$6&amp;$B18,公表[班別+時段],公表[值班],""),$AX$9:$AX$25,$AY$9:$AY$25,"")</f>
        <v>0</v>
      </c>
      <c r="D18" s="100"/>
      <c r="E18" s="95"/>
      <c r="F18" s="100"/>
      <c r="G18" s="122" t="str">
        <f>IF(BC13="","",BC13)</f>
        <v/>
      </c>
      <c r="H18" s="297"/>
      <c r="I18" s="92">
        <f>_xlfn.XLOOKUP(_xlfn.XLOOKUP($AS$6&amp;$B18,公表[班別+時段],公表[救護1],""),$AX$9:$AX$25,$AY$9:$AY$25,"")</f>
        <v>0</v>
      </c>
      <c r="J18" s="92">
        <f>_xlfn.XLOOKUP(_xlfn.XLOOKUP($AS$6&amp;$B18,公表[班別+時段],公表[救護2],""),$AX$9:$AX$25,$AY$9:$AY$25,"")</f>
        <v>0</v>
      </c>
      <c r="K18" s="92"/>
      <c r="L18" s="87" t="s">
        <v>212</v>
      </c>
      <c r="M18" s="312"/>
      <c r="N18" s="87">
        <f>_xlfn.XLOOKUP(_xlfn.XLOOKUP($AS$6&amp;$B18,公表[班別+時段],公表[備勤1],""),$AX$9:$AX$25,$AY$9:$AY$25,"")</f>
        <v>0</v>
      </c>
      <c r="O18" s="87">
        <f>_xlfn.XLOOKUP(_xlfn.XLOOKUP($AS$6&amp;$B18,公表[班別+時段],公表[備勤2],""),$AX$9:$AX$25,$AY$9:$AY$25,"")</f>
        <v>0</v>
      </c>
      <c r="P18" s="87"/>
      <c r="Q18" s="87">
        <f>_xlfn.XLOOKUP(_xlfn.XLOOKUP($AS$6&amp;$B18,公表[班別+時段],公表[備勤3],""),$AX$9:$AX$25,$AY$9:$AY$25,"")</f>
        <v>0</v>
      </c>
      <c r="R18" s="87">
        <f>_xlfn.XLOOKUP(_xlfn.XLOOKUP($AS$6&amp;$B18,公表[班別+時段],公表[備勤4],""),$AX$9:$AX$25,$AY$9:$AY$25,"")</f>
        <v>0</v>
      </c>
      <c r="S18" s="87"/>
      <c r="T18" s="87">
        <f>_xlfn.XLOOKUP(_xlfn.XLOOKUP($AS$6&amp;$B18,公表[班別+時段],公表[備勤5],""),$AX$9:$AX$25,$AY$9:$AY$25,"")</f>
        <v>5</v>
      </c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87"/>
      <c r="AC18" s="87"/>
      <c r="AD18" s="87"/>
      <c r="AE18" s="88">
        <f>_xlfn.XLOOKUP(_xlfn.XLOOKUP($AS$6&amp;$B18,公表[班別+時段],公表[指揮官],""),$AX$9:$AX$25,$AY$9:$AY$25,"")</f>
        <v>1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27">
        <v>10</v>
      </c>
      <c r="AP18" s="127" t="str">
        <v>林宏澤</v>
      </c>
      <c r="AQ18" s="127" t="str" cm="1">
        <f t="array" ref="AQ18">IFERROR(_xlfn.XLOOKUP(_xlfn.XLOOKUP($AQ$3,輪休基準表!$C$6:$C$36,_xlfn.XLOOKUP(AP18,輪休基準表!$E$5:$AF$5,輪休基準表!$E$6:$AF$36,""),""),班別參數!$A$4:$A$20,班別參數!$B$4:$B$20,""),"")</f>
        <v>請休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/>
      </c>
      <c r="AT18" s="180" t="str">
        <f t="shared" si="0"/>
        <v/>
      </c>
      <c r="AU18" s="180" t="str">
        <f t="shared" si="1"/>
        <v/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27"/>
    </row>
    <row r="19" spans="2:56" ht="30" customHeight="1" thickBot="1">
      <c r="B19" s="110" t="s">
        <v>82</v>
      </c>
      <c r="C19" s="89">
        <f>_xlfn.XLOOKUP(_xlfn.XLOOKUP($AS$6&amp;$B19,公表[班別+時段],公表[值班],""),$AX$9:$AX$25,$AY$9:$AY$25,"")</f>
        <v>0</v>
      </c>
      <c r="D19" s="106"/>
      <c r="E19" s="96"/>
      <c r="F19" s="236"/>
      <c r="G19" s="123" t="str">
        <f>IF(BC13="","",BC13)</f>
        <v/>
      </c>
      <c r="H19" s="107"/>
      <c r="I19" s="216">
        <f>_xlfn.XLOOKUP(_xlfn.XLOOKUP($AS$6&amp;$B19,公表[班別+時段],公表[救護1],""),$AX$9:$AX$25,$AY$9:$AY$25,"")</f>
        <v>0</v>
      </c>
      <c r="J19" s="216">
        <f>_xlfn.XLOOKUP(_xlfn.XLOOKUP($AS$6&amp;$B19,公表[班別+時段],公表[救護2],""),$AX$9:$AX$25,$AY$9:$AY$25,"")</f>
        <v>0</v>
      </c>
      <c r="K19" s="105"/>
      <c r="L19" s="93" t="s">
        <v>212</v>
      </c>
      <c r="M19" s="312"/>
      <c r="N19" s="89">
        <f>_xlfn.XLOOKUP(_xlfn.XLOOKUP($AS$6&amp;$B19,公表[班別+時段],公表[備勤1],""),$AX$9:$AX$25,$AY$9:$AY$25,"")</f>
        <v>0</v>
      </c>
      <c r="O19" s="89">
        <f>_xlfn.XLOOKUP(_xlfn.XLOOKUP($AS$6&amp;$B19,公表[班別+時段],公表[備勤2],""),$AX$9:$AX$25,$AY$9:$AY$25,"")</f>
        <v>0</v>
      </c>
      <c r="P19" s="89"/>
      <c r="Q19" s="89">
        <f>_xlfn.XLOOKUP(_xlfn.XLOOKUP($AS$6&amp;$B19,公表[班別+時段],公表[備勤3],""),$AX$9:$AX$25,$AY$9:$AY$25,"")</f>
        <v>0</v>
      </c>
      <c r="R19" s="89">
        <f>_xlfn.XLOOKUP(_xlfn.XLOOKUP($AS$6&amp;$B19,公表[班別+時段],公表[備勤4],""),$AX$9:$AX$25,$AY$9:$AY$25,"")</f>
        <v>0</v>
      </c>
      <c r="S19" s="89"/>
      <c r="T19" s="89">
        <f>_xlfn.XLOOKUP(_xlfn.XLOOKUP($AS$6&amp;$B19,公表[班別+時段],公表[備勤5],""),$AX$9:$AX$25,$AY$9:$AY$25,"")</f>
        <v>5</v>
      </c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89"/>
      <c r="AC19" s="89"/>
      <c r="AD19" s="89"/>
      <c r="AE19" s="104">
        <f>_xlfn.XLOOKUP(_xlfn.XLOOKUP($AS$6&amp;$B19,公表[班別+時段],公表[指揮官],""),$AX$9:$AX$25,$AY$9:$AY$25,"")</f>
        <v>1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27">
        <v>11</v>
      </c>
      <c r="AP19" s="127" t="str">
        <v>簡君諺</v>
      </c>
      <c r="AQ19" s="127" t="str" cm="1">
        <f t="array" ref="AQ19">IFERROR(_xlfn.XLOOKUP(_xlfn.XLOOKUP($AQ$3,輪休基準表!$C$6:$C$36,_xlfn.XLOOKUP(AP19,輪休基準表!$E$5:$AF$5,輪休基準表!$E$6:$AF$36,""),""),班別參數!$A$4:$A$20,班別參數!$B$4:$B$20,""),"")</f>
        <v>上班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>未排</v>
      </c>
      <c r="AT19" s="180" t="str">
        <f t="shared" si="0"/>
        <v/>
      </c>
      <c r="AU19" s="180" t="str">
        <f t="shared" si="1"/>
        <v/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:AY20">IF(AX19="","",_xlfn._xlws.FILTER($AO$9:$AO$13,$AQ$9:$AQ$13="上班",""))</f>
        <v>1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27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5</v>
      </c>
      <c r="D20" s="97"/>
      <c r="E20" s="97"/>
      <c r="F20" s="97"/>
      <c r="G20" s="121" t="str">
        <f>IF(BC14="","",BC14)</f>
        <v/>
      </c>
      <c r="H20" s="55"/>
      <c r="I20" s="94">
        <f>_xlfn.XLOOKUP(_xlfn.XLOOKUP($AS$6&amp;$B20,公表[班別+時段],公表[救護1],""),$AX$9:$AX$25,$AY$9:$AY$25,"")</f>
        <v>0</v>
      </c>
      <c r="J20" s="94">
        <f>_xlfn.XLOOKUP(_xlfn.XLOOKUP($AS$6&amp;$B20,公表[班別+時段],公表[救護2],""),$AX$9:$AX$25,$AY$9:$AY$25,"")</f>
        <v>0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0</v>
      </c>
      <c r="O20" s="90">
        <f>_xlfn.XLOOKUP(_xlfn.XLOOKUP($AS$6&amp;$B20,公表[班別+時段],公表[備勤2],""),$AX$9:$AX$25,$AY$9:$AY$25,"")</f>
        <v>0</v>
      </c>
      <c r="P20" s="90"/>
      <c r="Q20" s="90">
        <f>_xlfn.XLOOKUP(_xlfn.XLOOKUP($AS$6&amp;$B20,公表[班別+時段],公表[備勤3],""),$AX$9:$AX$25,$AY$9:$AY$25,"")</f>
        <v>0</v>
      </c>
      <c r="R20" s="90">
        <f>_xlfn.XLOOKUP(_xlfn.XLOOKUP($AS$6&amp;$B20,公表[班別+時段],公表[備勤4],""),$AX$9:$AX$25,$AY$9:$AY$25,"")</f>
        <v>0</v>
      </c>
      <c r="S20" s="90"/>
      <c r="T20" s="90">
        <f>_xlfn.XLOOKUP(_xlfn.XLOOKUP($AS$6&amp;$B20,公表[班別+時段],公表[備勤5],""),$AX$9:$AX$25,$AY$9:$AY$25,"")</f>
        <v>0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90"/>
      <c r="AC20" s="90"/>
      <c r="AD20" s="90"/>
      <c r="AE20" s="91">
        <f>_xlfn.XLOOKUP(_xlfn.XLOOKUP($AS$6&amp;$B20,公表[班別+時段],公表[指揮官],""),$AX$9:$AX$25,$AY$9:$AY$25,"")</f>
        <v>1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27">
        <v>12</v>
      </c>
      <c r="AP20" s="127" t="str">
        <v>王昱勛</v>
      </c>
      <c r="AQ20" s="127" t="str" cm="1">
        <f t="array" ref="AQ20">IFERROR(_xlfn.XLOOKUP(_xlfn.XLOOKUP($AQ$3,輪休基準表!$C$6:$C$36,_xlfn.XLOOKUP(AP20,輪休基準表!$E$5:$AF$5,輪休基準表!$E$6:$AF$36,""),""),班別參數!$A$4:$A$20,班別參數!$B$4:$B$20,""),"")</f>
        <v>上班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>未排</v>
      </c>
      <c r="AT20" s="180" t="str">
        <f t="shared" si="0"/>
        <v/>
      </c>
      <c r="AU20" s="180" t="str">
        <f t="shared" si="1"/>
        <v/>
      </c>
      <c r="AV20" s="25"/>
      <c r="AW20" s="33" t="str">
        <f t="array" ref="AW20">INDEX(班別參數!$D$4:$D$20,ROW()-7,MATCH($AW$8,班別參數!$D$4:$D$20,0))</f>
        <v>帶隊官</v>
      </c>
      <c r="AX20" s="34" t="str">
        <f t="array" ref="AX20">IFERROR(INDEX(班別參數!$D$4:$S$20,MATCH(AW20,班別參數!$D$4:$D$20,0),MATCH($AS$6,班別參數!$D$4:$S$4,0)),"")</f>
        <v>L</v>
      </c>
      <c r="AY20" s="38">
        <v>5</v>
      </c>
      <c r="AZ20" s="32"/>
      <c r="BA20" s="33" t="s">
        <v>67</v>
      </c>
      <c r="BB20" s="34" t="str">
        <f t="array" ref="BB20">IFERROR(INDEX(班別參數!$D$23:$S$35,MATCH(BA20,班別參數!$D$23:$D$35,0),MATCH($AS$6,班別參數!$D$23:$S$23,0)),"")</f>
        <v>G,L</v>
      </c>
      <c r="BC20" s="41" t="str">
        <f t="shared" si="2"/>
        <v>5</v>
      </c>
      <c r="BD20" s="127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5</v>
      </c>
      <c r="D21" s="95"/>
      <c r="E21" s="95"/>
      <c r="F21" s="95"/>
      <c r="G21" s="122" t="str">
        <f>IF(BC14="","",BC14)</f>
        <v/>
      </c>
      <c r="H21" s="296" t="str">
        <f>AY4</f>
        <v>救護訓練</v>
      </c>
      <c r="I21" s="92">
        <f>_xlfn.XLOOKUP(_xlfn.XLOOKUP($AS$6&amp;$B21,公表[班別+時段],公表[救護1],""),$AX$9:$AX$25,$AY$9:$AY$25,"")</f>
        <v>0</v>
      </c>
      <c r="J21" s="92">
        <f>_xlfn.XLOOKUP(_xlfn.XLOOKUP($AS$6&amp;$B21,公表[班別+時段],公表[救護2],""),$AX$9:$AX$25,$AY$9:$AY$25,"")</f>
        <v>0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0</v>
      </c>
      <c r="O21" s="87">
        <f>_xlfn.XLOOKUP(_xlfn.XLOOKUP($AS$6&amp;$B21,公表[班別+時段],公表[備勤2],""),$AX$9:$AX$25,$AY$9:$AY$25,"")</f>
        <v>0</v>
      </c>
      <c r="P21" s="87"/>
      <c r="Q21" s="87">
        <f>_xlfn.XLOOKUP(_xlfn.XLOOKUP($AS$6&amp;$B21,公表[班別+時段],公表[備勤3],""),$AX$9:$AX$25,$AY$9:$AY$25,"")</f>
        <v>0</v>
      </c>
      <c r="R21" s="87">
        <f>_xlfn.XLOOKUP(_xlfn.XLOOKUP($AS$6&amp;$B21,公表[班別+時段],公表[備勤4],""),$AX$9:$AX$25,$AY$9:$AY$25,"")</f>
        <v>0</v>
      </c>
      <c r="S21" s="87"/>
      <c r="T21" s="87">
        <f>_xlfn.XLOOKUP(_xlfn.XLOOKUP($AS$6&amp;$B21,公表[班別+時段],公表[備勤5],""),$AX$9:$AX$25,$AY$9:$AY$25,"")</f>
        <v>0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87"/>
      <c r="AC21" s="87"/>
      <c r="AD21" s="87"/>
      <c r="AE21" s="88">
        <f>_xlfn.XLOOKUP(_xlfn.XLOOKUP($AS$6&amp;$B21,公表[班別+時段],公表[指揮官],""),$AX$9:$AX$25,$AY$9:$AY$25,"")</f>
        <v>1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27">
        <v>13</v>
      </c>
      <c r="AP21" s="127" t="str">
        <v>葉宗哲</v>
      </c>
      <c r="AQ21" s="127" t="str" cm="1">
        <f t="array" ref="AQ21">IFERROR(_xlfn.XLOOKUP(_xlfn.XLOOKUP($AQ$3,輪休基準表!$C$6:$C$36,_xlfn.XLOOKUP(AP21,輪休基準表!$E$5:$AF$5,輪休基準表!$E$6:$AF$36,""),""),班別參數!$A$4:$A$20,班別參數!$B$4:$B$20,""),"")</f>
        <v>公假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/>
      </c>
      <c r="AT21" s="180" t="str">
        <f t="shared" si="0"/>
        <v/>
      </c>
      <c r="AU21" s="180" t="str">
        <f t="shared" si="1"/>
        <v/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27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0</v>
      </c>
      <c r="D22" s="95"/>
      <c r="E22" s="95"/>
      <c r="F22" s="95"/>
      <c r="G22" s="122" t="str">
        <f>IF(BC15="","",BC15)</f>
        <v/>
      </c>
      <c r="H22" s="297"/>
      <c r="I22" s="92">
        <f>_xlfn.XLOOKUP(_xlfn.XLOOKUP($AS$6&amp;$B22,公表[班別+時段],公表[救護1],""),$AX$9:$AX$25,$AY$9:$AY$25,"")</f>
        <v>0</v>
      </c>
      <c r="J22" s="92">
        <f>_xlfn.XLOOKUP(_xlfn.XLOOKUP($AS$6&amp;$B22,公表[班別+時段],公表[救護2],""),$AX$9:$AX$25,$AY$9:$AY$25,"")</f>
        <v>0</v>
      </c>
      <c r="K22" s="92"/>
      <c r="L22" s="87" t="s">
        <v>212</v>
      </c>
      <c r="M22" s="312"/>
      <c r="N22" s="87">
        <f>_xlfn.XLOOKUP(_xlfn.XLOOKUP($AS$6&amp;$B22,公表[班別+時段],公表[備勤1],""),$AX$9:$AX$25,$AY$9:$AY$25,"")</f>
        <v>0</v>
      </c>
      <c r="O22" s="87">
        <f>_xlfn.XLOOKUP(_xlfn.XLOOKUP($AS$6&amp;$B22,公表[班別+時段],公表[備勤2],""),$AX$9:$AX$25,$AY$9:$AY$25,"")</f>
        <v>0</v>
      </c>
      <c r="P22" s="87"/>
      <c r="Q22" s="87">
        <f>_xlfn.XLOOKUP(_xlfn.XLOOKUP($AS$6&amp;$B22,公表[班別+時段],公表[備勤3],""),$AX$9:$AX$25,$AY$9:$AY$25,"")</f>
        <v>0</v>
      </c>
      <c r="R22" s="87">
        <f>_xlfn.XLOOKUP(_xlfn.XLOOKUP($AS$6&amp;$B22,公表[班別+時段],公表[備勤4],""),$AX$9:$AX$25,$AY$9:$AY$25,"")</f>
        <v>0</v>
      </c>
      <c r="S22" s="87"/>
      <c r="T22" s="87">
        <f>_xlfn.XLOOKUP(_xlfn.XLOOKUP($AS$6&amp;$B22,公表[班別+時段],公表[備勤5],""),$AX$9:$AX$25,$AY$9:$AY$25,"")</f>
        <v>5</v>
      </c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87"/>
      <c r="AC22" s="87"/>
      <c r="AD22" s="87"/>
      <c r="AE22" s="88">
        <f>_xlfn.XLOOKUP(_xlfn.XLOOKUP($AS$6&amp;$B22,公表[班別+時段],公表[指揮官],""),$AX$9:$AX$25,$AY$9:$AY$25,"")</f>
        <v>1</v>
      </c>
      <c r="AF22" s="57" t="s">
        <v>213</v>
      </c>
      <c r="AG22" s="305" t="str" cm="1">
        <f t="array" ref="AG22">_xlfn.TEXTJOIN(".",1,_xlfn._xlws.FILTER($AO$9:$AO$40,$AQ$9:$AQ$40="上班",""))</f>
        <v>1.5.6.9.11.12.15.16.18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27">
        <v>14</v>
      </c>
      <c r="AP22" s="127" t="str">
        <v>王浩任</v>
      </c>
      <c r="AQ22" s="127" t="str" cm="1">
        <f t="array" ref="AQ22">IFERROR(_xlfn.XLOOKUP(_xlfn.XLOOKUP($AQ$3,輪休基準表!$C$6:$C$36,_xlfn.XLOOKUP(AP22,輪休基準表!$E$5:$AF$5,輪休基準表!$E$6:$AF$36,""),""),班別參數!$A$4:$A$20,班別參數!$B$4:$B$20,""),"")</f>
        <v>公假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/>
      </c>
      <c r="AT22" s="180" t="str">
        <f t="shared" si="0"/>
        <v/>
      </c>
      <c r="AU22" s="180" t="str">
        <f t="shared" si="1"/>
        <v/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27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0</v>
      </c>
      <c r="D23" s="106"/>
      <c r="E23" s="96"/>
      <c r="F23" s="96"/>
      <c r="G23" s="123" t="str">
        <f>IF(BC15="","",BC15)</f>
        <v/>
      </c>
      <c r="H23" s="107"/>
      <c r="I23" s="216">
        <f>_xlfn.XLOOKUP(_xlfn.XLOOKUP($AS$6&amp;$B23,公表[班別+時段],公表[救護1],""),$AX$9:$AX$25,$AY$9:$AY$25,"")</f>
        <v>0</v>
      </c>
      <c r="J23" s="216">
        <f>_xlfn.XLOOKUP(_xlfn.XLOOKUP($AS$6&amp;$B23,公表[班別+時段],公表[救護2],""),$AX$9:$AX$25,$AY$9:$AY$25,"")</f>
        <v>0</v>
      </c>
      <c r="K23" s="105"/>
      <c r="L23" s="93" t="s">
        <v>212</v>
      </c>
      <c r="M23" s="312"/>
      <c r="N23" s="89">
        <f>_xlfn.XLOOKUP(_xlfn.XLOOKUP($AS$6&amp;$B23,公表[班別+時段],公表[備勤1],""),$AX$9:$AX$25,$AY$9:$AY$25,"")</f>
        <v>0</v>
      </c>
      <c r="O23" s="89">
        <f>_xlfn.XLOOKUP(_xlfn.XLOOKUP($AS$6&amp;$B23,公表[班別+時段],公表[備勤2],""),$AX$9:$AX$25,$AY$9:$AY$25,"")</f>
        <v>0</v>
      </c>
      <c r="P23" s="89"/>
      <c r="Q23" s="89">
        <f>_xlfn.XLOOKUP(_xlfn.XLOOKUP($AS$6&amp;$B23,公表[班別+時段],公表[備勤3],""),$AX$9:$AX$25,$AY$9:$AY$25,"")</f>
        <v>0</v>
      </c>
      <c r="R23" s="89">
        <f>_xlfn.XLOOKUP(_xlfn.XLOOKUP($AS$6&amp;$B23,公表[班別+時段],公表[備勤4],""),$AX$9:$AX$25,$AY$9:$AY$25,"")</f>
        <v>0</v>
      </c>
      <c r="S23" s="89"/>
      <c r="T23" s="89">
        <f>_xlfn.XLOOKUP(_xlfn.XLOOKUP($AS$6&amp;$B23,公表[班別+時段],公表[備勤5],""),$AX$9:$AX$25,$AY$9:$AY$25,"")</f>
        <v>5</v>
      </c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89"/>
      <c r="AC23" s="89"/>
      <c r="AD23" s="89"/>
      <c r="AE23" s="104">
        <f>_xlfn.XLOOKUP(_xlfn.XLOOKUP($AS$6&amp;$B23,公表[班別+時段],公表[指揮官],""),$AX$9:$AX$25,$AY$9:$AY$25,"")</f>
        <v>1</v>
      </c>
      <c r="AF23" s="57" t="s">
        <v>6</v>
      </c>
      <c r="AG23" s="305" t="str" cm="1">
        <f t="array" ref="AG23">_xlfn.TEXTJOIN(".",1,_xlfn._xlws.FILTER($AO$9:$AO$40,$AQ$9:$AQ$40=$AF$23,""))</f>
        <v>2.3.4.8.17.19.21.23.24.25.26.27.28</v>
      </c>
      <c r="AH23" s="400"/>
      <c r="AI23" s="400"/>
      <c r="AJ23" s="400"/>
      <c r="AK23" s="400"/>
      <c r="AL23" s="400"/>
      <c r="AM23" s="401"/>
      <c r="AN23" s="214"/>
      <c r="AO23" s="127">
        <v>15</v>
      </c>
      <c r="AP23" s="127" t="str">
        <v>李仕詮</v>
      </c>
      <c r="AQ23" s="127" t="str" cm="1">
        <f t="array" ref="AQ23">IFERROR(_xlfn.XLOOKUP(_xlfn.XLOOKUP($AQ$3,輪休基準表!$C$6:$C$36,_xlfn.XLOOKUP(AP23,輪休基準表!$E$5:$AF$5,輪休基準表!$E$6:$AF$36,""),""),班別參數!$A$4:$A$20,班別參數!$B$4:$B$20,""),"")</f>
        <v>上班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>未排</v>
      </c>
      <c r="AT23" s="180" t="str">
        <f t="shared" si="0"/>
        <v/>
      </c>
      <c r="AU23" s="180" t="str">
        <f t="shared" si="1"/>
        <v/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27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0</v>
      </c>
      <c r="D24" s="97"/>
      <c r="E24" s="97"/>
      <c r="F24" s="97"/>
      <c r="G24" s="121" t="str">
        <f>IF(BC16="","",BC16)</f>
        <v/>
      </c>
      <c r="H24" s="55"/>
      <c r="I24" s="94">
        <f>_xlfn.XLOOKUP(_xlfn.XLOOKUP($AS$6&amp;$B24,公表[班別+時段],公表[救護1],""),$AX$9:$AX$25,$AY$9:$AY$25,"")</f>
        <v>0</v>
      </c>
      <c r="J24" s="94">
        <f>_xlfn.XLOOKUP(_xlfn.XLOOKUP($AS$6&amp;$B24,公表[班別+時段],公表[救護2],""),$AX$9:$AX$25,$AY$9:$AY$25,"")</f>
        <v>0</v>
      </c>
      <c r="K24" s="90"/>
      <c r="L24" s="90" t="s">
        <v>212</v>
      </c>
      <c r="M24" s="312"/>
      <c r="N24" s="90">
        <f>_xlfn.XLOOKUP(_xlfn.XLOOKUP($AS$6&amp;$B24,公表[班別+時段],公表[備勤1],""),$AX$9:$AX$25,$AY$9:$AY$25,"")</f>
        <v>0</v>
      </c>
      <c r="O24" s="90">
        <f>_xlfn.XLOOKUP(_xlfn.XLOOKUP($AS$6&amp;$B24,公表[班別+時段],公表[備勤2],""),$AX$9:$AX$25,$AY$9:$AY$25,"")</f>
        <v>0</v>
      </c>
      <c r="P24" s="90"/>
      <c r="Q24" s="90">
        <f>_xlfn.XLOOKUP(_xlfn.XLOOKUP($AS$6&amp;$B24,公表[班別+時段],公表[備勤3],""),$AX$9:$AX$25,$AY$9:$AY$25,"")</f>
        <v>0</v>
      </c>
      <c r="R24" s="90">
        <f>_xlfn.XLOOKUP(_xlfn.XLOOKUP($AS$6&amp;$B24,公表[班別+時段],公表[備勤4],""),$AX$9:$AX$25,$AY$9:$AY$25,"")</f>
        <v>0</v>
      </c>
      <c r="S24" s="90"/>
      <c r="T24" s="90">
        <f>_xlfn.XLOOKUP(_xlfn.XLOOKUP($AS$6&amp;$B24,公表[班別+時段],公表[備勤5],""),$AX$9:$AX$25,$AY$9:$AY$25,"")</f>
        <v>5</v>
      </c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90"/>
      <c r="AC24" s="90"/>
      <c r="AD24" s="90"/>
      <c r="AE24" s="91">
        <f>_xlfn.XLOOKUP(_xlfn.XLOOKUP($AS$6&amp;$B24,公表[班別+時段],公表[指揮官],""),$AX$9:$AX$25,$AY$9:$AY$25,"")</f>
        <v>1</v>
      </c>
      <c r="AF24" s="57" t="s">
        <v>17</v>
      </c>
      <c r="AG24" s="305" t="str" cm="1">
        <f t="array" ref="AG24">_xlfn.TEXTJOIN(".",1,_xlfn._xlws.FILTER($AO$9:$AO$40,$AQ$9:$AQ$40=$AF$24,""))</f>
        <v/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/>
      </c>
      <c r="AL24" s="400"/>
      <c r="AM24" s="401"/>
      <c r="AN24" s="214"/>
      <c r="AO24" s="127">
        <v>16</v>
      </c>
      <c r="AP24" s="127" t="str">
        <v>楊弘宇</v>
      </c>
      <c r="AQ24" s="127" t="str" cm="1">
        <f t="array" ref="AQ24">IFERROR(_xlfn.XLOOKUP(_xlfn.XLOOKUP($AQ$3,輪休基準表!$C$6:$C$36,_xlfn.XLOOKUP(AP24,輪休基準表!$E$5:$AF$5,輪休基準表!$E$6:$AF$36,""),""),班別參數!$A$4:$A$20,班別參數!$B$4:$B$20,""),"")</f>
        <v>上班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>未排</v>
      </c>
      <c r="AT24" s="180" t="str">
        <f t="shared" si="0"/>
        <v/>
      </c>
      <c r="AU24" s="180" t="str">
        <f t="shared" si="1"/>
        <v/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27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0</v>
      </c>
      <c r="D25" s="95"/>
      <c r="E25" s="95"/>
      <c r="F25" s="95"/>
      <c r="G25" s="122" t="str">
        <f>IF(BC16="","",BC16)</f>
        <v/>
      </c>
      <c r="H25" s="37"/>
      <c r="I25" s="92">
        <f>_xlfn.XLOOKUP(_xlfn.XLOOKUP($AS$6&amp;$B25,公表[班別+時段],公表[救護1],""),$AX$9:$AX$25,$AY$9:$AY$25,"")</f>
        <v>0</v>
      </c>
      <c r="J25" s="92">
        <f>_xlfn.XLOOKUP(_xlfn.XLOOKUP($AS$6&amp;$B25,公表[班別+時段],公表[救護2],""),$AX$9:$AX$25,$AY$9:$AY$25,"")</f>
        <v>0</v>
      </c>
      <c r="K25" s="87"/>
      <c r="L25" s="87" t="s">
        <v>212</v>
      </c>
      <c r="M25" s="312"/>
      <c r="N25" s="87">
        <f>_xlfn.XLOOKUP(_xlfn.XLOOKUP($AS$6&amp;$B25,公表[班別+時段],公表[備勤1],""),$AX$9:$AX$25,$AY$9:$AY$25,"")</f>
        <v>0</v>
      </c>
      <c r="O25" s="87">
        <f>_xlfn.XLOOKUP(_xlfn.XLOOKUP($AS$6&amp;$B25,公表[班別+時段],公表[備勤2],""),$AX$9:$AX$25,$AY$9:$AY$25,"")</f>
        <v>0</v>
      </c>
      <c r="P25" s="87"/>
      <c r="Q25" s="87">
        <f>_xlfn.XLOOKUP(_xlfn.XLOOKUP($AS$6&amp;$B25,公表[班別+時段],公表[備勤3],""),$AX$9:$AX$25,$AY$9:$AY$25,"")</f>
        <v>0</v>
      </c>
      <c r="R25" s="87">
        <f>_xlfn.XLOOKUP(_xlfn.XLOOKUP($AS$6&amp;$B25,公表[班別+時段],公表[備勤4],""),$AX$9:$AX$25,$AY$9:$AY$25,"")</f>
        <v>0</v>
      </c>
      <c r="S25" s="87"/>
      <c r="T25" s="87">
        <f>_xlfn.XLOOKUP(_xlfn.XLOOKUP($AS$6&amp;$B25,公表[班別+時段],公表[備勤5],""),$AX$9:$AX$25,$AY$9:$AY$25,"")</f>
        <v>5</v>
      </c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87"/>
      <c r="AC25" s="87"/>
      <c r="AD25" s="87"/>
      <c r="AE25" s="88">
        <f>_xlfn.XLOOKUP(_xlfn.XLOOKUP($AS$6&amp;$B25,公表[班別+時段],公表[指揮官],""),$AX$9:$AX$25,$AY$9:$AY$25,"")</f>
        <v>1</v>
      </c>
      <c r="AF25" s="57" t="s">
        <v>28</v>
      </c>
      <c r="AG25" s="305" t="str" cm="1">
        <f t="array" ref="AG25">_xlfn.TEXTJOIN(".",1,_xlfn._xlws.FILTER($AO$9:$AO$40,$AQ$9:$AQ$40=$AF$25,""))</f>
        <v>7.10</v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>13.14.20.22</v>
      </c>
      <c r="AL25" s="309"/>
      <c r="AM25" s="310"/>
      <c r="AN25" s="214"/>
      <c r="AO25" s="127">
        <v>17</v>
      </c>
      <c r="AP25" s="127" t="str">
        <v>楊仲豪</v>
      </c>
      <c r="AQ25" s="127" t="str" cm="1">
        <f t="array" ref="AQ25">IFERROR(_xlfn.XLOOKUP(_xlfn.XLOOKUP($AQ$3,輪休基準表!$C$6:$C$36,_xlfn.XLOOKUP(AP25,輪休基準表!$E$5:$AF$5,輪休基準表!$E$6:$AF$36,""),""),班別參數!$A$4:$A$20,班別參數!$B$4:$B$20,""),"")</f>
        <v>輪休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/>
      </c>
      <c r="AT25" s="180" t="str">
        <f t="shared" si="0"/>
        <v/>
      </c>
      <c r="AU25" s="180" t="str">
        <f t="shared" si="1"/>
        <v/>
      </c>
      <c r="AW25" s="33"/>
      <c r="AX25" s="45"/>
      <c r="AY25" s="25"/>
      <c r="AZ25" s="28"/>
      <c r="BA25" s="33"/>
      <c r="BB25" s="25"/>
      <c r="BD25" s="127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0</v>
      </c>
      <c r="D26" s="95"/>
      <c r="E26" s="95"/>
      <c r="F26" s="95"/>
      <c r="G26" s="122" t="str">
        <f>IF(BC17="","",BC17)</f>
        <v/>
      </c>
      <c r="H26" s="37"/>
      <c r="I26" s="92">
        <f>_xlfn.XLOOKUP(_xlfn.XLOOKUP($AS$6&amp;$B26,公表[班別+時段],公表[救護1],""),$AX$9:$AX$25,$AY$9:$AY$25,"")</f>
        <v>0</v>
      </c>
      <c r="J26" s="92">
        <f>_xlfn.XLOOKUP(_xlfn.XLOOKUP($AS$6&amp;$B26,公表[班別+時段],公表[救護2],""),$AX$9:$AX$25,$AY$9:$AY$25,"")</f>
        <v>0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0</v>
      </c>
      <c r="O26" s="87">
        <f>_xlfn.XLOOKUP(_xlfn.XLOOKUP($AS$6&amp;$B26,公表[班別+時段],公表[備勤2],""),$AX$9:$AX$25,$AY$9:$AY$25,"")</f>
        <v>0</v>
      </c>
      <c r="P26" s="87"/>
      <c r="Q26" s="87">
        <f>_xlfn.XLOOKUP(_xlfn.XLOOKUP($AS$6&amp;$B26,公表[班別+時段],公表[備勤3],""),$AX$9:$AX$25,$AY$9:$AY$25,"")</f>
        <v>0</v>
      </c>
      <c r="R26" s="87">
        <f>_xlfn.XLOOKUP(_xlfn.XLOOKUP($AS$6&amp;$B26,公表[班別+時段],公表[備勤4],""),$AX$9:$AX$25,$AY$9:$AY$25,"")</f>
        <v>0</v>
      </c>
      <c r="S26" s="87"/>
      <c r="T26" s="87">
        <f>_xlfn.XLOOKUP(_xlfn.XLOOKUP($AS$6&amp;$B26,公表[班別+時段],公表[備勤5],""),$AX$9:$AX$25,$AY$9:$AY$25,"")</f>
        <v>5</v>
      </c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87"/>
      <c r="AC26" s="87"/>
      <c r="AD26" s="87"/>
      <c r="AE26" s="88">
        <f>_xlfn.XLOOKUP(_xlfn.XLOOKUP($AS$6&amp;$B26,公表[班別+時段],公表[指揮官],""),$AX$9:$AX$25,$AY$9:$AY$25,"")</f>
        <v>1</v>
      </c>
      <c r="AF26" s="57" t="s">
        <v>289</v>
      </c>
      <c r="AG26" s="178" t="str" cm="1">
        <f t="array" ref="AG26">_xlfn.TEXTJOIN(".",1,_xlfn._xlws.FILTER($AO$9:$AO$40,$AQ$9:$AQ$40=$AF$26,""))</f>
        <v/>
      </c>
      <c r="AH26" s="168" t="s">
        <v>290</v>
      </c>
      <c r="AI26" s="179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/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27">
        <v>18</v>
      </c>
      <c r="AP26" s="127" t="str">
        <v>林志偉</v>
      </c>
      <c r="AQ26" s="127" t="str" cm="1">
        <f t="array" ref="AQ26">IFERROR(_xlfn.XLOOKUP(_xlfn.XLOOKUP($AQ$3,輪休基準表!$C$6:$C$36,_xlfn.XLOOKUP(AP26,輪休基準表!$E$5:$AF$5,輪休基準表!$E$6:$AF$36,""),""),班別參數!$A$4:$A$20,班別參數!$B$4:$B$20,""),"")</f>
        <v>上班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>未排</v>
      </c>
      <c r="AT26" s="180" t="str">
        <f t="shared" si="0"/>
        <v/>
      </c>
      <c r="AU26" s="180" t="str">
        <f t="shared" si="1"/>
        <v/>
      </c>
      <c r="AV26" s="10"/>
      <c r="AW26" s="46"/>
      <c r="AX26" s="45"/>
      <c r="AY26" s="25"/>
      <c r="AZ26" s="28"/>
      <c r="BA26" s="33"/>
      <c r="BB26" s="25"/>
      <c r="BD26" s="127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0</v>
      </c>
      <c r="D27" s="95"/>
      <c r="E27" s="95"/>
      <c r="F27" s="95"/>
      <c r="G27" s="122" t="str">
        <f>IF(BC17="","",BC17)</f>
        <v/>
      </c>
      <c r="H27" s="37"/>
      <c r="I27" s="92">
        <f>_xlfn.XLOOKUP(_xlfn.XLOOKUP($AS$6&amp;$B27,公表[班別+時段],公表[救護1],""),$AX$9:$AX$25,$AY$9:$AY$25,"")</f>
        <v>0</v>
      </c>
      <c r="J27" s="92">
        <f>_xlfn.XLOOKUP(_xlfn.XLOOKUP($AS$6&amp;$B27,公表[班別+時段],公表[救護2],""),$AX$9:$AX$25,$AY$9:$AY$25,"")</f>
        <v>0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0</v>
      </c>
      <c r="O27" s="87">
        <f>_xlfn.XLOOKUP(_xlfn.XLOOKUP($AS$6&amp;$B27,公表[班別+時段],公表[備勤2],""),$AX$9:$AX$25,$AY$9:$AY$25,"")</f>
        <v>0</v>
      </c>
      <c r="P27" s="87"/>
      <c r="Q27" s="87">
        <f>_xlfn.XLOOKUP(_xlfn.XLOOKUP($AS$6&amp;$B27,公表[班別+時段],公表[備勤3],""),$AX$9:$AX$25,$AY$9:$AY$25,"")</f>
        <v>0</v>
      </c>
      <c r="R27" s="87">
        <f>_xlfn.XLOOKUP(_xlfn.XLOOKUP($AS$6&amp;$B27,公表[班別+時段],公表[備勤4],""),$AX$9:$AX$25,$AY$9:$AY$25,"")</f>
        <v>0</v>
      </c>
      <c r="S27" s="87"/>
      <c r="T27" s="87">
        <f>_xlfn.XLOOKUP(_xlfn.XLOOKUP($AS$6&amp;$B27,公表[班別+時段],公表[備勤5],""),$AX$9:$AX$25,$AY$9:$AY$25,"")</f>
        <v>5</v>
      </c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87"/>
      <c r="AC27" s="87"/>
      <c r="AD27" s="87"/>
      <c r="AE27" s="88">
        <f>_xlfn.XLOOKUP(_xlfn.XLOOKUP($AS$6&amp;$B27,公表[班別+時段],公表[指揮官],""),$AX$9:$AX$25,$AY$9:$AY$25,"")</f>
        <v>1</v>
      </c>
      <c r="AF27" s="317" t="s">
        <v>215</v>
      </c>
      <c r="AG27" s="319"/>
      <c r="AH27" s="321"/>
      <c r="AI27" s="321"/>
      <c r="AJ27" s="321"/>
      <c r="AK27" s="321"/>
      <c r="AL27" s="321"/>
      <c r="AM27" s="322"/>
      <c r="AN27" s="214"/>
      <c r="AO27" s="127">
        <v>19</v>
      </c>
      <c r="AP27" s="127" t="str">
        <v>劉家誠</v>
      </c>
      <c r="AQ27" s="127" t="str" cm="1">
        <f t="array" ref="AQ27">IFERROR(_xlfn.XLOOKUP(_xlfn.XLOOKUP($AQ$3,輪休基準表!$C$6:$C$36,_xlfn.XLOOKUP(AP27,輪休基準表!$E$5:$AF$5,輪休基準表!$E$6:$AF$36,""),""),班別參數!$A$4:$A$20,班別參數!$B$4:$B$20,""),"")</f>
        <v>輪休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/>
      </c>
      <c r="AT27" s="180" t="str">
        <f t="shared" si="0"/>
        <v/>
      </c>
      <c r="AU27" s="180" t="str">
        <f t="shared" si="1"/>
        <v/>
      </c>
      <c r="AV27" s="10"/>
      <c r="AW27" s="46"/>
      <c r="AX27" s="45"/>
      <c r="AY27" s="25"/>
      <c r="AZ27" s="28"/>
      <c r="BA27" s="33"/>
      <c r="BB27" s="25"/>
      <c r="BD27" s="127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0</v>
      </c>
      <c r="D28" s="95"/>
      <c r="E28" s="95"/>
      <c r="F28" s="95"/>
      <c r="G28" s="122" t="str">
        <f>IF(BC18="","",BC18)</f>
        <v/>
      </c>
      <c r="H28" s="37"/>
      <c r="I28" s="92">
        <f>_xlfn.XLOOKUP(_xlfn.XLOOKUP($AS$6&amp;$B28,公表[班別+時段],公表[救護1],""),$AX$9:$AX$25,$AY$9:$AY$25,"")</f>
        <v>0</v>
      </c>
      <c r="J28" s="92">
        <f>_xlfn.XLOOKUP(_xlfn.XLOOKUP($AS$6&amp;$B28,公表[班別+時段],公表[救護2],""),$AX$9:$AX$25,$AY$9:$AY$25,"")</f>
        <v>0</v>
      </c>
      <c r="K28" s="87"/>
      <c r="L28" s="87" t="s">
        <v>212</v>
      </c>
      <c r="M28" s="312"/>
      <c r="N28" s="87">
        <f>_xlfn.XLOOKUP(_xlfn.XLOOKUP($AS$6&amp;$B28,公表[班別+時段],公表[備勤1],""),$AX$9:$AX$25,$AY$9:$AY$25,"")</f>
        <v>0</v>
      </c>
      <c r="O28" s="87">
        <f>_xlfn.XLOOKUP(_xlfn.XLOOKUP($AS$6&amp;$B28,公表[班別+時段],公表[備勤2],""),$AX$9:$AX$25,$AY$9:$AY$25,"")</f>
        <v>0</v>
      </c>
      <c r="P28" s="87"/>
      <c r="Q28" s="87">
        <f>_xlfn.XLOOKUP(_xlfn.XLOOKUP($AS$6&amp;$B28,公表[班別+時段],公表[備勤3],""),$AX$9:$AX$25,$AY$9:$AY$25,"")</f>
        <v>0</v>
      </c>
      <c r="R28" s="87">
        <f>_xlfn.XLOOKUP(_xlfn.XLOOKUP($AS$6&amp;$B28,公表[班別+時段],公表[備勤4],""),$AX$9:$AX$25,$AY$9:$AY$25,"")</f>
        <v>0</v>
      </c>
      <c r="S28" s="87"/>
      <c r="T28" s="87">
        <f>_xlfn.XLOOKUP(_xlfn.XLOOKUP($AS$6&amp;$B28,公表[班別+時段],公表[備勤5],""),$AX$9:$AX$25,$AY$9:$AY$25,"")</f>
        <v>5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87"/>
      <c r="AC28" s="87"/>
      <c r="AD28" s="87"/>
      <c r="AE28" s="88">
        <f>_xlfn.XLOOKUP(_xlfn.XLOOKUP($AS$6&amp;$B28,公表[班別+時段],公表[指揮官],""),$AX$9:$AX$25,$AY$9:$AY$25,"")</f>
        <v>1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27">
        <v>20</v>
      </c>
      <c r="AP28" s="127" t="str">
        <v>呂奇霈</v>
      </c>
      <c r="AQ28" s="127" t="str" cm="1">
        <f t="array" ref="AQ28">IFERROR(_xlfn.XLOOKUP(_xlfn.XLOOKUP($AQ$3,輪休基準表!$C$6:$C$36,_xlfn.XLOOKUP(AP28,輪休基準表!$E$5:$AF$5,輪休基準表!$E$6:$AF$36,""),""),班別參數!$A$4:$A$20,班別參數!$B$4:$B$20,""),"")</f>
        <v>公假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27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0</v>
      </c>
      <c r="D29" s="95"/>
      <c r="E29" s="95"/>
      <c r="F29" s="95"/>
      <c r="G29" s="122" t="str">
        <f>IF(BC18="","",BC18)</f>
        <v/>
      </c>
      <c r="H29" s="37"/>
      <c r="I29" s="92">
        <f>_xlfn.XLOOKUP(_xlfn.XLOOKUP($AS$6&amp;$B29,公表[班別+時段],公表[救護1],""),$AX$9:$AX$25,$AY$9:$AY$25,"")</f>
        <v>0</v>
      </c>
      <c r="J29" s="92">
        <f>_xlfn.XLOOKUP(_xlfn.XLOOKUP($AS$6&amp;$B29,公表[班別+時段],公表[救護2],""),$AX$9:$AX$25,$AY$9:$AY$25,"")</f>
        <v>0</v>
      </c>
      <c r="K29" s="87"/>
      <c r="L29" s="87" t="s">
        <v>212</v>
      </c>
      <c r="M29" s="312"/>
      <c r="N29" s="87">
        <f>_xlfn.XLOOKUP(_xlfn.XLOOKUP($AS$6&amp;$B29,公表[班別+時段],公表[備勤1],""),$AX$9:$AX$25,$AY$9:$AY$25,"")</f>
        <v>0</v>
      </c>
      <c r="O29" s="87">
        <f>_xlfn.XLOOKUP(_xlfn.XLOOKUP($AS$6&amp;$B29,公表[班別+時段],公表[備勤2],""),$AX$9:$AX$25,$AY$9:$AY$25,"")</f>
        <v>0</v>
      </c>
      <c r="P29" s="87"/>
      <c r="Q29" s="87">
        <f>_xlfn.XLOOKUP(_xlfn.XLOOKUP($AS$6&amp;$B29,公表[班別+時段],公表[備勤3],""),$AX$9:$AX$25,$AY$9:$AY$25,"")</f>
        <v>0</v>
      </c>
      <c r="R29" s="87">
        <f>_xlfn.XLOOKUP(_xlfn.XLOOKUP($AS$6&amp;$B29,公表[班別+時段],公表[備勤4],""),$AX$9:$AX$25,$AY$9:$AY$25,"")</f>
        <v>0</v>
      </c>
      <c r="S29" s="87"/>
      <c r="T29" s="87">
        <f>_xlfn.XLOOKUP(_xlfn.XLOOKUP($AS$6&amp;$B29,公表[班別+時段],公表[備勤5],""),$AX$9:$AX$25,$AY$9:$AY$25,"")</f>
        <v>5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87"/>
      <c r="AC29" s="87"/>
      <c r="AD29" s="87"/>
      <c r="AE29" s="88">
        <f>_xlfn.XLOOKUP(_xlfn.XLOOKUP($AS$6&amp;$B29,公表[班別+時段],公表[指揮官],""),$AX$9:$AX$25,$AY$9:$AY$25,"")</f>
        <v>1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27">
        <v>21</v>
      </c>
      <c r="AP29" s="127" t="str">
        <v>張家和</v>
      </c>
      <c r="AQ29" s="127" t="str" cm="1">
        <f t="array" ref="AQ29">IFERROR(_xlfn.XLOOKUP(_xlfn.XLOOKUP($AQ$3,輪休基準表!$C$6:$C$36,_xlfn.XLOOKUP(AP29,輪休基準表!$E$5:$AF$5,輪休基準表!$E$6:$AF$36,""),""),班別參數!$A$4:$A$20,班別參數!$B$4:$B$20,""),"")</f>
        <v>輪休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/>
      </c>
      <c r="AT29" s="180" t="str">
        <f t="shared" si="0"/>
        <v/>
      </c>
      <c r="AU29" s="180" t="str">
        <f t="shared" si="1"/>
        <v/>
      </c>
      <c r="AV29" s="10"/>
      <c r="AW29" s="47"/>
      <c r="AX29" s="45"/>
      <c r="AY29" s="25"/>
      <c r="AZ29" s="28"/>
      <c r="BA29" s="33"/>
      <c r="BB29" s="25"/>
      <c r="BD29" s="127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0</v>
      </c>
      <c r="D30" s="95"/>
      <c r="E30" s="95"/>
      <c r="F30" s="95"/>
      <c r="G30" s="122" t="str">
        <f>IF(BC19="","",BC19)</f>
        <v/>
      </c>
      <c r="H30" s="37"/>
      <c r="I30" s="92">
        <f>_xlfn.XLOOKUP(_xlfn.XLOOKUP($AS$6&amp;$B30,公表[班別+時段],公表[救護1],""),$AX$9:$AX$25,$AY$9:$AY$25,"")</f>
        <v>0</v>
      </c>
      <c r="J30" s="92">
        <f>_xlfn.XLOOKUP(_xlfn.XLOOKUP($AS$6&amp;$B30,公表[班別+時段],公表[救護2],""),$AX$9:$AX$25,$AY$9:$AY$25,"")</f>
        <v>0</v>
      </c>
      <c r="K30" s="87"/>
      <c r="L30" s="87" t="s">
        <v>212</v>
      </c>
      <c r="M30" s="312"/>
      <c r="N30" s="87">
        <f>_xlfn.XLOOKUP(_xlfn.XLOOKUP($AS$6&amp;$B30,公表[班別+時段],公表[備勤1],""),$AX$9:$AX$25,$AY$9:$AY$25,"")</f>
        <v>0</v>
      </c>
      <c r="O30" s="87">
        <f>_xlfn.XLOOKUP(_xlfn.XLOOKUP($AS$6&amp;$B30,公表[班別+時段],公表[備勤2],""),$AX$9:$AX$25,$AY$9:$AY$25,"")</f>
        <v>0</v>
      </c>
      <c r="P30" s="87"/>
      <c r="Q30" s="87">
        <f>_xlfn.XLOOKUP(_xlfn.XLOOKUP($AS$6&amp;$B30,公表[班別+時段],公表[備勤3],""),$AX$9:$AX$25,$AY$9:$AY$25,"")</f>
        <v>0</v>
      </c>
      <c r="R30" s="87">
        <f>_xlfn.XLOOKUP(_xlfn.XLOOKUP($AS$6&amp;$B30,公表[班別+時段],公表[備勤4],""),$AX$9:$AX$25,$AY$9:$AY$25,"")</f>
        <v>0</v>
      </c>
      <c r="S30" s="87"/>
      <c r="T30" s="87">
        <f>_xlfn.XLOOKUP(_xlfn.XLOOKUP($AS$6&amp;$B30,公表[班別+時段],公表[備勤5],""),$AX$9:$AX$25,$AY$9:$AY$25,"")</f>
        <v>5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87"/>
      <c r="AC30" s="87"/>
      <c r="AD30" s="87"/>
      <c r="AE30" s="88">
        <f>_xlfn.XLOOKUP(_xlfn.XLOOKUP($AS$6&amp;$B30,公表[班別+時段],公表[指揮官],""),$AX$9:$AX$25,$AY$9:$AY$25,"")</f>
        <v>1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27">
        <v>22</v>
      </c>
      <c r="AP30" s="127" t="str">
        <v>陳俊瑋</v>
      </c>
      <c r="AQ30" s="127" t="str" cm="1">
        <f t="array" ref="AQ30">IFERROR(_xlfn.XLOOKUP(_xlfn.XLOOKUP($AQ$3,輪休基準表!$C$6:$C$36,_xlfn.XLOOKUP(AP30,輪休基準表!$E$5:$AF$5,輪休基準表!$E$6:$AF$36,""),""),班別參數!$A$4:$A$20,班別參數!$B$4:$B$20,""),"")</f>
        <v>公假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27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0</v>
      </c>
      <c r="D31" s="106"/>
      <c r="E31" s="96"/>
      <c r="F31" s="96"/>
      <c r="G31" s="123" t="str">
        <f>IF(BC19="","",BC19)</f>
        <v/>
      </c>
      <c r="H31" s="109"/>
      <c r="I31" s="216">
        <f>_xlfn.XLOOKUP(_xlfn.XLOOKUP($AS$6&amp;$B31,公表[班別+時段],公表[救護1],""),$AX$9:$AX$25,$AY$9:$AY$25,"")</f>
        <v>0</v>
      </c>
      <c r="J31" s="216">
        <f>_xlfn.XLOOKUP(_xlfn.XLOOKUP($AS$6&amp;$B31,公表[班別+時段],公表[救護2],""),$AX$9:$AX$25,$AY$9:$AY$25,"")</f>
        <v>0</v>
      </c>
      <c r="K31" s="108"/>
      <c r="L31" s="93" t="s">
        <v>212</v>
      </c>
      <c r="M31" s="312"/>
      <c r="N31" s="89">
        <f>_xlfn.XLOOKUP(_xlfn.XLOOKUP($AS$6&amp;$B31,公表[班別+時段],公表[備勤1],""),$AX$9:$AX$25,$AY$9:$AY$25,"")</f>
        <v>0</v>
      </c>
      <c r="O31" s="89">
        <f>_xlfn.XLOOKUP(_xlfn.XLOOKUP($AS$6&amp;$B31,公表[班別+時段],公表[備勤2],""),$AX$9:$AX$25,$AY$9:$AY$25,"")</f>
        <v>0</v>
      </c>
      <c r="P31" s="89"/>
      <c r="Q31" s="89">
        <f>_xlfn.XLOOKUP(_xlfn.XLOOKUP($AS$6&amp;$B31,公表[班別+時段],公表[備勤3],""),$AX$9:$AX$25,$AY$9:$AY$25,"")</f>
        <v>0</v>
      </c>
      <c r="R31" s="89">
        <f>_xlfn.XLOOKUP(_xlfn.XLOOKUP($AS$6&amp;$B31,公表[班別+時段],公表[備勤4],""),$AX$9:$AX$25,$AY$9:$AY$25,"")</f>
        <v>0</v>
      </c>
      <c r="S31" s="89"/>
      <c r="T31" s="89">
        <f>_xlfn.XLOOKUP(_xlfn.XLOOKUP($AS$6&amp;$B31,公表[班別+時段],公表[備勤5],""),$AX$9:$AX$25,$AY$9:$AY$25,"")</f>
        <v>5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89"/>
      <c r="AC31" s="89"/>
      <c r="AD31" s="89"/>
      <c r="AE31" s="104">
        <f>_xlfn.XLOOKUP(_xlfn.XLOOKUP($AS$6&amp;$B31,公表[班別+時段],公表[指揮官],""),$AX$9:$AX$25,$AY$9:$AY$25,"")</f>
        <v>1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27">
        <v>23</v>
      </c>
      <c r="AP31" s="127" t="str">
        <v>陳俊翰</v>
      </c>
      <c r="AQ31" s="127" t="str" cm="1">
        <f t="array" ref="AQ31">IFERROR(_xlfn.XLOOKUP(_xlfn.XLOOKUP($AQ$3,輪休基準表!$C$6:$C$36,_xlfn.XLOOKUP(AP31,輪休基準表!$E$5:$AF$5,輪休基準表!$E$6:$AF$36,""),""),班別參數!$A$4:$A$20,班別參數!$B$4:$B$20,""),"")</f>
        <v>輪休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/>
      </c>
      <c r="AT31" s="180" t="str">
        <f t="shared" si="0"/>
        <v/>
      </c>
      <c r="AU31" s="180" t="str">
        <f t="shared" si="1"/>
        <v/>
      </c>
      <c r="AW31" s="47"/>
      <c r="AX31" s="45"/>
      <c r="AY31" s="25"/>
      <c r="AZ31" s="28"/>
      <c r="BA31" s="33"/>
      <c r="BB31" s="25"/>
      <c r="BD31" s="127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0</v>
      </c>
      <c r="D32" s="97"/>
      <c r="E32" s="97"/>
      <c r="F32" s="97"/>
      <c r="G32" s="121" t="str">
        <f>IF(BC20="","",BC20)</f>
        <v>5</v>
      </c>
      <c r="H32" s="56"/>
      <c r="I32" s="94">
        <f>_xlfn.XLOOKUP(_xlfn.XLOOKUP($AS$6&amp;$B32,公表[班別+時段],公表[救護1],""),$AX$9:$AX$25,$AY$9:$AY$25,"")</f>
        <v>0</v>
      </c>
      <c r="J32" s="94">
        <f>_xlfn.XLOOKUP(_xlfn.XLOOKUP($AS$6&amp;$B32,公表[班別+時段],公表[救護2],""),$AX$9:$AX$25,$AY$9:$AY$25,"")</f>
        <v>0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0</v>
      </c>
      <c r="O32" s="90">
        <f>_xlfn.XLOOKUP(_xlfn.XLOOKUP($AS$6&amp;$B32,公表[班別+時段],公表[備勤2],""),$AX$9:$AX$25,$AY$9:$AY$25,"")</f>
        <v>0</v>
      </c>
      <c r="P32" s="90"/>
      <c r="Q32" s="90">
        <f>_xlfn.XLOOKUP(_xlfn.XLOOKUP($AS$6&amp;$B32,公表[班別+時段],公表[備勤3],""),$AX$9:$AX$25,$AY$9:$AY$25,"")</f>
        <v>0</v>
      </c>
      <c r="R32" s="90">
        <f>_xlfn.XLOOKUP(_xlfn.XLOOKUP($AS$6&amp;$B32,公表[班別+時段],公表[備勤4],""),$AX$9:$AX$25,$AY$9:$AY$25,"")</f>
        <v>0</v>
      </c>
      <c r="S32" s="90"/>
      <c r="T32" s="90">
        <f>_xlfn.XLOOKUP(_xlfn.XLOOKUP($AS$6&amp;$B32,公表[班別+時段],公表[備勤5],""),$AX$9:$AX$25,$AY$9:$AY$25,"")</f>
        <v>0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90"/>
      <c r="AC32" s="90"/>
      <c r="AD32" s="90"/>
      <c r="AE32" s="91">
        <f>_xlfn.XLOOKUP(_xlfn.XLOOKUP($AS$6&amp;$B32,公表[班別+時段],公表[指揮官],""),$AX$9:$AX$25,$AY$9:$AY$25,"")</f>
        <v>1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27">
        <v>24</v>
      </c>
      <c r="AP32" s="127" t="str">
        <v>賴俊豪</v>
      </c>
      <c r="AQ32" s="127" t="str" cm="1">
        <f t="array" ref="AQ32">IFERROR(_xlfn.XLOOKUP(_xlfn.XLOOKUP($AQ$3,輪休基準表!$C$6:$C$36,_xlfn.XLOOKUP(AP32,輪休基準表!$E$5:$AF$5,輪休基準表!$E$6:$AF$36,""),""),班別參數!$A$4:$A$20,班別參數!$B$4:$B$20,""),"")</f>
        <v>輪休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/>
      </c>
      <c r="AT32" s="180" t="str">
        <f t="shared" si="0"/>
        <v/>
      </c>
      <c r="AU32" s="180" t="str">
        <f t="shared" si="1"/>
        <v/>
      </c>
      <c r="AW32" s="47"/>
      <c r="AX32" s="45"/>
      <c r="AY32" s="25"/>
      <c r="AZ32" s="28"/>
      <c r="BA32" s="33"/>
      <c r="BB32" s="25"/>
      <c r="BD32" s="127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0</v>
      </c>
      <c r="D33" s="95"/>
      <c r="E33" s="95"/>
      <c r="F33" s="95"/>
      <c r="G33" s="122" t="str">
        <f>IF(BC20="","",BC20)</f>
        <v>5</v>
      </c>
      <c r="H33" s="48"/>
      <c r="I33" s="92">
        <f>_xlfn.XLOOKUP(_xlfn.XLOOKUP($AS$6&amp;$B33,公表[班別+時段],公表[救護1],""),$AX$9:$AX$25,$AY$9:$AY$25,"")</f>
        <v>0</v>
      </c>
      <c r="J33" s="92">
        <f>_xlfn.XLOOKUP(_xlfn.XLOOKUP($AS$6&amp;$B33,公表[班別+時段],公表[救護2],""),$AX$9:$AX$25,$AY$9:$AY$25,"")</f>
        <v>0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0</v>
      </c>
      <c r="O33" s="87">
        <f>_xlfn.XLOOKUP(_xlfn.XLOOKUP($AS$6&amp;$B33,公表[班別+時段],公表[備勤2],""),$AX$9:$AX$25,$AY$9:$AY$25,"")</f>
        <v>0</v>
      </c>
      <c r="P33" s="87"/>
      <c r="Q33" s="87">
        <f>_xlfn.XLOOKUP(_xlfn.XLOOKUP($AS$6&amp;$B33,公表[班別+時段],公表[備勤3],""),$AX$9:$AX$25,$AY$9:$AY$25,"")</f>
        <v>0</v>
      </c>
      <c r="R33" s="87">
        <f>_xlfn.XLOOKUP(_xlfn.XLOOKUP($AS$6&amp;$B33,公表[班別+時段],公表[備勤4],""),$AX$9:$AX$25,$AY$9:$AY$25,"")</f>
        <v>0</v>
      </c>
      <c r="S33" s="87"/>
      <c r="T33" s="87">
        <f>_xlfn.XLOOKUP(_xlfn.XLOOKUP($AS$6&amp;$B33,公表[班別+時段],公表[備勤5],""),$AX$9:$AX$25,$AY$9:$AY$25,"")</f>
        <v>0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87"/>
      <c r="AC33" s="87"/>
      <c r="AD33" s="87"/>
      <c r="AE33" s="88">
        <f>_xlfn.XLOOKUP(_xlfn.XLOOKUP($AS$6&amp;$B33,公表[班別+時段],公表[指揮官],""),$AX$9:$AX$25,$AY$9:$AY$25,"")</f>
        <v>1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27">
        <v>25</v>
      </c>
      <c r="AP33" s="127" t="str">
        <v>郭國偵</v>
      </c>
      <c r="AQ33" s="127" t="str" cm="1">
        <f t="array" ref="AQ33">IFERROR(_xlfn.XLOOKUP(_xlfn.XLOOKUP($AQ$3,輪休基準表!$C$6:$C$36,_xlfn.XLOOKUP(AP33,輪休基準表!$E$5:$AF$5,輪休基準表!$E$6:$AF$36,""),""),班別參數!$A$4:$A$20,班別參數!$B$4:$B$20,""),"")</f>
        <v>輪休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/>
      </c>
      <c r="AT33" s="180" t="str">
        <f t="shared" si="0"/>
        <v/>
      </c>
      <c r="AU33" s="180" t="str">
        <f t="shared" si="1"/>
        <v/>
      </c>
      <c r="AW33" s="47"/>
      <c r="AX33" s="45"/>
      <c r="AY33" s="25"/>
      <c r="AZ33" s="28"/>
      <c r="BA33" s="25"/>
      <c r="BB33" s="25"/>
      <c r="BD33" s="127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一、本日主管上班。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27">
        <v>26</v>
      </c>
      <c r="AP34" s="127" t="str">
        <v>楊紹文</v>
      </c>
      <c r="AQ34" s="127" t="str" cm="1">
        <f t="array" ref="AQ34">IFERROR(_xlfn.XLOOKUP(_xlfn.XLOOKUP($AQ$3,輪休基準表!$C$6:$C$36,_xlfn.XLOOKUP(AP34,輪休基準表!$E$5:$AF$5,輪休基準表!$E$6:$AF$36,""),""),班別參數!$A$4:$A$20,班別參數!$B$4:$B$20,""),"")</f>
        <v>輪休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/>
      </c>
      <c r="AT34" s="180" t="str">
        <f t="shared" si="0"/>
        <v/>
      </c>
      <c r="AU34" s="180" t="str">
        <f t="shared" si="1"/>
        <v/>
      </c>
      <c r="AW34" s="47"/>
      <c r="AX34" s="45"/>
      <c r="AY34" s="25"/>
      <c r="AZ34" s="28"/>
      <c r="BA34" s="25"/>
      <c r="BB34" s="25"/>
      <c r="BD34" s="127"/>
    </row>
    <row r="35" spans="2:56" ht="30" customHeight="1">
      <c r="B35" s="349"/>
      <c r="C35" s="359" t="str">
        <f>CONCATENATE("二、在隊訓練:09-12時:",H11,";14-17時:",H16,";19-21時:",H21,"。")</f>
        <v>二、在隊訓練:09-12時:個人防護裝備操作;14-17時:常訓體技能訓練;19-21時:救護訓練。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27">
        <v>27</v>
      </c>
      <c r="AP35" s="127" t="str">
        <v>林宏為</v>
      </c>
      <c r="AQ35" s="127" t="str" cm="1">
        <f t="array" ref="AQ35">IFERROR(_xlfn.XLOOKUP(_xlfn.XLOOKUP($AQ$3,輪休基準表!$C$6:$C$36,_xlfn.XLOOKUP(AP35,輪休基準表!$E$5:$AF$5,輪休基準表!$E$6:$AF$36,""),""),班別參數!$A$4:$A$20,班別參數!$B$4:$B$20,""),"")</f>
        <v>輪休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/>
      </c>
      <c r="AT35" s="180" t="str">
        <f t="shared" si="0"/>
        <v/>
      </c>
      <c r="AU35" s="180" t="str">
        <f t="shared" si="1"/>
        <v/>
      </c>
      <c r="AW35" s="47"/>
      <c r="AX35" s="45"/>
      <c r="AY35" s="25"/>
      <c r="AZ35" s="28"/>
      <c r="BA35" s="25"/>
      <c r="BB35" s="25"/>
      <c r="BD35" s="127"/>
    </row>
    <row r="36" spans="2:56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27">
        <v>28</v>
      </c>
      <c r="AP36" s="127" t="str">
        <v>林宸彥</v>
      </c>
      <c r="AQ36" s="127" t="str" cm="1">
        <f t="array" ref="AQ36">IFERROR(_xlfn.XLOOKUP(_xlfn.XLOOKUP($AQ$3,輪休基準表!$C$6:$C$36,_xlfn.XLOOKUP(AP36,輪休基準表!$E$5:$AF$5,輪休基準表!$E$6:$AF$36,""),""),班別參數!$A$4:$A$20,班別參數!$B$4:$B$20,""),"")</f>
        <v>輪休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/>
      </c>
      <c r="AT36" s="180" t="str">
        <f t="shared" si="0"/>
        <v/>
      </c>
      <c r="AU36" s="180" t="str">
        <f t="shared" si="1"/>
        <v/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27"/>
      <c r="AP37" s="127"/>
      <c r="AQ37" s="127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27"/>
      <c r="BD37" s="10"/>
    </row>
    <row r="38" spans="2:56" ht="15" customHeight="1">
      <c r="AQ38" s="127"/>
      <c r="AR38" s="118"/>
      <c r="AS38" s="119"/>
      <c r="AT38" s="119"/>
    </row>
    <row r="39" spans="2:56" ht="15" customHeight="1">
      <c r="AR39" s="118"/>
      <c r="AS39" s="119"/>
      <c r="AT39" s="119"/>
    </row>
    <row r="40" spans="2:56" ht="15" customHeight="1">
      <c r="AR40" s="118"/>
      <c r="AS40" s="119"/>
      <c r="AT40" s="119"/>
    </row>
  </sheetData>
  <mergeCells count="71">
    <mergeCell ref="AG22:AK22"/>
    <mergeCell ref="AG23:AM23"/>
    <mergeCell ref="AG24:AI24"/>
    <mergeCell ref="AK24:AM24"/>
    <mergeCell ref="AF33:AG33"/>
    <mergeCell ref="AH33:AI33"/>
    <mergeCell ref="AJ33:AK33"/>
    <mergeCell ref="AF31:AG31"/>
    <mergeCell ref="AH31:AI31"/>
    <mergeCell ref="AJ31:AK31"/>
    <mergeCell ref="AF32:AG32"/>
    <mergeCell ref="AH32:AI32"/>
    <mergeCell ref="AJ32:AK32"/>
    <mergeCell ref="AF27:AF28"/>
    <mergeCell ref="AG27:AM27"/>
    <mergeCell ref="AG28:AM28"/>
    <mergeCell ref="B34:B36"/>
    <mergeCell ref="C34:AE34"/>
    <mergeCell ref="AF34:AM34"/>
    <mergeCell ref="C35:AE35"/>
    <mergeCell ref="AF35:AM35"/>
    <mergeCell ref="C36:AE36"/>
    <mergeCell ref="AF36:AM36"/>
    <mergeCell ref="AF29:AM29"/>
    <mergeCell ref="AF30:AG30"/>
    <mergeCell ref="AH30:AI30"/>
    <mergeCell ref="AJ30:AK30"/>
    <mergeCell ref="AG25:AI25"/>
    <mergeCell ref="AK25:AM25"/>
    <mergeCell ref="C8:AE8"/>
    <mergeCell ref="C9:AE9"/>
    <mergeCell ref="M10:M33"/>
    <mergeCell ref="H11:H13"/>
    <mergeCell ref="H16:H18"/>
    <mergeCell ref="H21:H22"/>
    <mergeCell ref="I6:J6"/>
    <mergeCell ref="K6:L6"/>
    <mergeCell ref="N6:P6"/>
    <mergeCell ref="Q6:S6"/>
    <mergeCell ref="T6:V6"/>
    <mergeCell ref="AF5:AM6"/>
    <mergeCell ref="AO5:AO6"/>
    <mergeCell ref="T7:V7"/>
    <mergeCell ref="AR5:AR6"/>
    <mergeCell ref="AS5:AT5"/>
    <mergeCell ref="W6:Y6"/>
    <mergeCell ref="AE6:AE7"/>
    <mergeCell ref="AS6:AT6"/>
    <mergeCell ref="AP5:AQ6"/>
    <mergeCell ref="G5:G7"/>
    <mergeCell ref="B3:AM3"/>
    <mergeCell ref="AW3:AX3"/>
    <mergeCell ref="AY3:BB3"/>
    <mergeCell ref="B4:AI4"/>
    <mergeCell ref="AJ4:AM4"/>
    <mergeCell ref="AW4:AX4"/>
    <mergeCell ref="AY4:BB4"/>
    <mergeCell ref="B5:B7"/>
    <mergeCell ref="C5:C7"/>
    <mergeCell ref="D5:D7"/>
    <mergeCell ref="E5:E7"/>
    <mergeCell ref="F5:F7"/>
    <mergeCell ref="H5:H7"/>
    <mergeCell ref="I5:L5"/>
    <mergeCell ref="M5:AE5"/>
    <mergeCell ref="AY2:BB2"/>
    <mergeCell ref="B1:AE1"/>
    <mergeCell ref="AP1:AQ1"/>
    <mergeCell ref="B2:AE2"/>
    <mergeCell ref="AG2:AM2"/>
    <mergeCell ref="AW2:AX2"/>
  </mergeCells>
  <phoneticPr fontId="9" type="noConversion"/>
  <conditionalFormatting sqref="AO9:AQ36 AO37:AP37 AQ37:AQ38">
    <cfRule type="expression" dxfId="36" priority="16">
      <formula>COUNTIF($AQ9,"上班")&gt;=1</formula>
    </cfRule>
  </conditionalFormatting>
  <conditionalFormatting sqref="AF8:AF13 AH8:AH21 AJ8:AJ21 AL8:AM21">
    <cfRule type="expression" dxfId="35" priority="11">
      <formula>OR(VLOOKUP(AF8,$AO$9:$AQ$40,3,0)="上班",VLOOKUP(AF8,$AO$9:$AQ$40,3,0)="外宿")</formula>
    </cfRule>
  </conditionalFormatting>
  <conditionalFormatting sqref="AL8">
    <cfRule type="expression" dxfId="34" priority="10">
      <formula>OR(VLOOKUP(AL8,$AO$9:$AQ$36,3,0)="上班",VLOOKUP(AL8,$AO$9:$AQ$36,3,0)="外宿")</formula>
    </cfRule>
  </conditionalFormatting>
  <conditionalFormatting sqref="AR9:AR36">
    <cfRule type="notContainsText" dxfId="33" priority="2" operator="notContains" text="已排">
      <formula>ISERROR(SEARCH("已排",AR9))</formula>
    </cfRule>
  </conditionalFormatting>
  <conditionalFormatting sqref="AS9:AS36">
    <cfRule type="notContainsText" dxfId="32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51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BE798-E32E-414F-AEF1-888195D8C323}">
  <sheetPr codeName="工作表32">
    <pageSetUpPr fitToPage="1"/>
  </sheetPr>
  <dimension ref="B1:BD40"/>
  <sheetViews>
    <sheetView showZeros="0" view="pageBreakPreview" zoomScale="55" zoomScaleNormal="55" zoomScaleSheetLayoutView="55" workbookViewId="0">
      <selection activeCell="I6" sqref="I6:V7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6" width="5.375" style="126" customWidth="1"/>
    <col min="7" max="8" width="8.625" style="126" customWidth="1"/>
    <col min="9" max="12" width="5.375" style="126" customWidth="1"/>
    <col min="13" max="13" width="6.625" style="126" customWidth="1"/>
    <col min="14" max="31" width="5.375" style="126" customWidth="1"/>
    <col min="32" max="32" width="7.625" style="126" customWidth="1"/>
    <col min="33" max="33" width="10.625" style="126" customWidth="1"/>
    <col min="34" max="34" width="7.625" style="126" customWidth="1"/>
    <col min="35" max="35" width="10.625" style="126" customWidth="1"/>
    <col min="36" max="36" width="7.625" style="126" customWidth="1"/>
    <col min="37" max="37" width="10.625" style="126" customWidth="1"/>
    <col min="38" max="38" width="7.625" style="126" customWidth="1"/>
    <col min="39" max="39" width="10.625" style="126" customWidth="1"/>
    <col min="40" max="40" width="4.125" style="213" customWidth="1"/>
    <col min="41" max="47" width="11.625" style="126" customWidth="1"/>
    <col min="48" max="48" width="4.125" style="126" customWidth="1"/>
    <col min="49" max="49" width="16" style="126" customWidth="1"/>
    <col min="50" max="51" width="8.25" style="126" customWidth="1"/>
    <col min="52" max="52" width="4.125" style="126" customWidth="1"/>
    <col min="53" max="53" width="16" style="126" customWidth="1"/>
    <col min="54" max="54" width="8.25" style="126" customWidth="1"/>
    <col min="55" max="55" width="10.875" style="126" customWidth="1"/>
    <col min="56" max="58" width="4.125" style="126" customWidth="1"/>
    <col min="59" max="16384" width="11.25" style="126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27"/>
      <c r="AP1" s="399"/>
      <c r="AQ1" s="399"/>
      <c r="AR1" s="127"/>
      <c r="AS1" s="127"/>
      <c r="AT1" s="127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3" t="s">
        <v>178</v>
      </c>
      <c r="AR2" s="146" t="s">
        <v>228</v>
      </c>
      <c r="AS2" s="142"/>
      <c r="AT2" s="140"/>
      <c r="AU2" s="127"/>
      <c r="AV2" s="127"/>
      <c r="AW2" s="362" t="s">
        <v>127</v>
      </c>
      <c r="AX2" s="287"/>
      <c r="AY2" s="367" t="str">
        <f>_xlfn.XLOOKUP($AR$3,訓練!$L$13:$L$19,訓練!$M$13:$M$19,"")</f>
        <v>車輛裝備基礎保養維護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115年5月28日星期四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28</v>
      </c>
      <c r="AR3" s="141" t="str">
        <f>RIGHT(TEXT(1911+$AO$3&amp;"/"&amp;$AP$3&amp;"/"&amp;$AQ$3,"aaaa"),1)</f>
        <v>四</v>
      </c>
      <c r="AS3" s="145"/>
      <c r="AT3" s="145"/>
      <c r="AU3" s="127"/>
      <c r="AV3" s="127"/>
      <c r="AW3" s="362" t="s">
        <v>128</v>
      </c>
      <c r="AX3" s="287"/>
      <c r="AY3" s="368" t="str">
        <f>_xlfn.XLOOKUP($AR$3,訓練!$L$13:$L$19,訓練!$N$13:$N$19,"")</f>
        <v>戰術體能訓練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27"/>
      <c r="AU4" s="127"/>
      <c r="AV4" s="127"/>
      <c r="AW4" s="362" t="s">
        <v>129</v>
      </c>
      <c r="AX4" s="287"/>
      <c r="AY4" s="363" t="str">
        <f>_xlfn.XLOOKUP($AR$3,訓練!$L$13:$L$19,訓練!$O$13:$O$19,"")</f>
        <v>救護訓練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2"/>
      <c r="E5" s="340"/>
      <c r="F5" s="340"/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341"/>
      <c r="E6" s="341"/>
      <c r="F6" s="341"/>
      <c r="G6" s="312"/>
      <c r="H6" s="312"/>
      <c r="I6" s="334" t="s">
        <v>227</v>
      </c>
      <c r="J6" s="335"/>
      <c r="K6" s="334" t="s">
        <v>346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2+7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341"/>
      <c r="E7" s="341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192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27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27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27" cm="1">
        <f t="array" ref="AO9:AP36">TRANSPOSE(輪休基準表!E4:AF5)</f>
        <v>1</v>
      </c>
      <c r="AP9" s="127" t="str">
        <v>鄧力嘉</v>
      </c>
      <c r="AQ9" s="127" t="str" cm="1">
        <f t="array" ref="AQ9">IFERROR(_xlfn.XLOOKUP(_xlfn.XLOOKUP($AQ$3,輪休基準表!$C$6:$C$36,_xlfn.XLOOKUP(AP9,輪休基準表!$E$5:$AF$5,輪休基準表!$E$6:$AF$36,""),""),班別參數!$A$4:$A$20,班別參數!$B$4:$B$20,""),"")</f>
        <v>輪休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/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 t="array" ref="AX9">IFERROR(INDEX(班別參數!$D$4:$S$20,MATCH(AW9,班別參數!$D$4:$D$20,0),MATCH($AS$6,班別參數!$D$4:$S$4,0)),"")</f>
        <v>A</v>
      </c>
      <c r="AY9" s="35"/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H,K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2</v>
      </c>
      <c r="BD9" s="127"/>
    </row>
    <row r="10" spans="2:56" ht="30" customHeight="1">
      <c r="B10" s="81" t="s">
        <v>70</v>
      </c>
      <c r="C10" s="87">
        <f>_xlfn.XLOOKUP(_xlfn.XLOOKUP($AS$6&amp;$B10,公表[班別+時段],公表[值班],""),$AX$9:$AX$25,$AY$9:$AY$25,"")</f>
        <v>0</v>
      </c>
      <c r="D10" s="95"/>
      <c r="E10" s="95"/>
      <c r="F10" s="95"/>
      <c r="G10" s="122" t="str">
        <f>IF(BC9="","",BC9)</f>
        <v>2</v>
      </c>
      <c r="H10" s="37"/>
      <c r="I10" s="92">
        <f>_xlfn.XLOOKUP(_xlfn.XLOOKUP($AS$6&amp;$B10,公表[班別+時段],公表[救護1],""),$AX$9:$AX$25,$AY$9:$AY$25,"")</f>
        <v>0</v>
      </c>
      <c r="J10" s="92">
        <f>_xlfn.XLOOKUP(_xlfn.XLOOKUP($AS$6&amp;$B10,公表[班別+時段],公表[救護2],""),$AX$9:$AX$25,$AY$9:$AY$25,"")</f>
        <v>0</v>
      </c>
      <c r="K10" s="87"/>
      <c r="L10" s="87" t="s">
        <v>212</v>
      </c>
      <c r="M10" s="311"/>
      <c r="N10" s="87">
        <f>_xlfn.XLOOKUP(_xlfn.XLOOKUP($AS$6&amp;$B10,公表[班別+時段],公表[備勤1],""),$AX$9:$AX$25,$AY$9:$AY$25,"")</f>
        <v>0</v>
      </c>
      <c r="O10" s="87">
        <f>_xlfn.XLOOKUP(_xlfn.XLOOKUP($AS$6&amp;$B10,公表[班別+時段],公表[備勤2],""),$AX$9:$AX$25,$AY$9:$AY$25,"")</f>
        <v>0</v>
      </c>
      <c r="P10" s="87"/>
      <c r="Q10" s="87">
        <f>_xlfn.XLOOKUP(_xlfn.XLOOKUP($AS$6&amp;$B10,公表[班別+時段],公表[備勤3],""),$AX$9:$AX$25,$AY$9:$AY$25,"")</f>
        <v>0</v>
      </c>
      <c r="R10" s="87">
        <f>_xlfn.XLOOKUP(_xlfn.XLOOKUP($AS$6&amp;$B10,公表[班別+時段],公表[備勤4],""),$AX$9:$AX$25,$AY$9:$AY$25,"")</f>
        <v>0</v>
      </c>
      <c r="S10" s="87"/>
      <c r="T10" s="87">
        <f>_xlfn.XLOOKUP(_xlfn.XLOOKUP($AS$6&amp;$B10,公表[班別+時段],公表[備勤5],""),$AX$9:$AX$25,$AY$9:$AY$25,"")</f>
        <v>0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87"/>
      <c r="AB10" s="87"/>
      <c r="AC10" s="87"/>
      <c r="AD10" s="87"/>
      <c r="AE10" s="88">
        <f>_xlfn.XLOOKUP(_xlfn.XLOOKUP($AS$6&amp;$B10,公表[班別+時段],公表[指揮官],""),$AX$9:$AX$25,$AY$9:$AY$25,"")</f>
        <v>3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27">
        <v>2</v>
      </c>
      <c r="AP10" s="127" t="str">
        <v>莊勝斌</v>
      </c>
      <c r="AQ10" s="127" t="str" cm="1">
        <f t="array" ref="AQ10">IFERROR(_xlfn.XLOOKUP(_xlfn.XLOOKUP($AQ$3,輪休基準表!$C$6:$C$36,_xlfn.XLOOKUP(AP10,輪休基準表!$E$5:$AF$5,輪休基準表!$E$6:$AF$36,""),""),班別參數!$A$4:$A$20,班別參數!$B$4:$B$20,""),"")</f>
        <v>上班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>已排</v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/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/>
      </c>
      <c r="BD10" s="127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0</v>
      </c>
      <c r="D11" s="95"/>
      <c r="E11" s="95"/>
      <c r="F11" s="95"/>
      <c r="G11" s="122" t="str">
        <f>IF(BC9="","",BC9)</f>
        <v>2</v>
      </c>
      <c r="H11" s="296" t="str">
        <f>AY2</f>
        <v>車輛裝備基礎保養維護</v>
      </c>
      <c r="I11" s="92">
        <f>_xlfn.XLOOKUP(_xlfn.XLOOKUP($AS$6&amp;$B11,公表[班別+時段],公表[救護1],""),$AX$9:$AX$25,$AY$9:$AY$25,"")</f>
        <v>0</v>
      </c>
      <c r="J11" s="92">
        <f>_xlfn.XLOOKUP(_xlfn.XLOOKUP($AS$6&amp;$B11,公表[班別+時段],公表[救護2],""),$AX$9:$AX$25,$AY$9:$AY$25,"")</f>
        <v>0</v>
      </c>
      <c r="K11" s="87"/>
      <c r="L11" s="87" t="s">
        <v>212</v>
      </c>
      <c r="M11" s="312"/>
      <c r="N11" s="87">
        <f>_xlfn.XLOOKUP(_xlfn.XLOOKUP($AS$6&amp;$B11,公表[班別+時段],公表[備勤1],""),$AX$9:$AX$25,$AY$9:$AY$25,"")</f>
        <v>0</v>
      </c>
      <c r="O11" s="87">
        <f>_xlfn.XLOOKUP(_xlfn.XLOOKUP($AS$6&amp;$B11,公表[班別+時段],公表[備勤2],""),$AX$9:$AX$25,$AY$9:$AY$25,"")</f>
        <v>0</v>
      </c>
      <c r="P11" s="87"/>
      <c r="Q11" s="87">
        <f>_xlfn.XLOOKUP(_xlfn.XLOOKUP($AS$6&amp;$B11,公表[班別+時段],公表[備勤3],""),$AX$9:$AX$25,$AY$9:$AY$25,"")</f>
        <v>0</v>
      </c>
      <c r="R11" s="87">
        <f>_xlfn.XLOOKUP(_xlfn.XLOOKUP($AS$6&amp;$B11,公表[班別+時段],公表[備勤4],""),$AX$9:$AX$25,$AY$9:$AY$25,"")</f>
        <v>0</v>
      </c>
      <c r="S11" s="87"/>
      <c r="T11" s="87">
        <f>_xlfn.XLOOKUP(_xlfn.XLOOKUP($AS$6&amp;$B11,公表[班別+時段],公表[備勤5],""),$AX$9:$AX$25,$AY$9:$AY$25,"")</f>
        <v>0</v>
      </c>
      <c r="U11" s="87">
        <f>_xlfn.XLOOKUP(_xlfn.XLOOKUP($AS$6&amp;$B11,公表[班別+時段],公表[備勤6],""),$AX$9:$AX$25,$AY$9:$AY$25,"")</f>
        <v>0</v>
      </c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87"/>
      <c r="AB11" s="87"/>
      <c r="AC11" s="87"/>
      <c r="AD11" s="87"/>
      <c r="AE11" s="88">
        <f>_xlfn.XLOOKUP(_xlfn.XLOOKUP($AS$6&amp;$B11,公表[班別+時段],公表[指揮官],""),$AX$9:$AX$25,$AY$9:$AY$25,"")</f>
        <v>3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27">
        <v>3</v>
      </c>
      <c r="AP11" s="127" t="str">
        <v>孫子翔</v>
      </c>
      <c r="AQ11" s="127" t="str" cm="1">
        <f t="array" ref="AQ11">IFERROR(_xlfn.XLOOKUP(_xlfn.XLOOKUP($AQ$3,輪休基準表!$C$6:$C$36,_xlfn.XLOOKUP(AP11,輪休基準表!$E$5:$AF$5,輪休基準表!$E$6:$AF$36,""),""),班別參數!$A$4:$A$20,班別參數!$B$4:$B$20,""),"")</f>
        <v>上班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>已排</v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/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F</v>
      </c>
      <c r="BC11" s="39" t="str">
        <f t="shared" si="2"/>
        <v/>
      </c>
      <c r="BD11" s="127"/>
    </row>
    <row r="12" spans="2:56" ht="30" customHeight="1">
      <c r="B12" s="81" t="s">
        <v>75</v>
      </c>
      <c r="C12" s="87">
        <f>_xlfn.XLOOKUP(_xlfn.XLOOKUP($AS$6&amp;$B12,公表[班別+時段],公表[值班],""),$AX$9:$AX$25,$AY$9:$AY$25,"")</f>
        <v>0</v>
      </c>
      <c r="D12" s="95"/>
      <c r="E12" s="95"/>
      <c r="F12" s="95"/>
      <c r="G12" s="122" t="str">
        <f>IF(BC10="","",BC10)</f>
        <v/>
      </c>
      <c r="H12" s="314"/>
      <c r="I12" s="92">
        <f>_xlfn.XLOOKUP(_xlfn.XLOOKUP($AS$6&amp;$B12,公表[班別+時段],公表[救護1],""),$AX$9:$AX$25,$AY$9:$AY$25,"")</f>
        <v>0</v>
      </c>
      <c r="J12" s="92">
        <f>_xlfn.XLOOKUP(_xlfn.XLOOKUP($AS$6&amp;$B12,公表[班別+時段],公表[救護2],""),$AX$9:$AX$25,$AY$9:$AY$25,"")</f>
        <v>0</v>
      </c>
      <c r="K12" s="92"/>
      <c r="L12" s="87" t="s">
        <v>212</v>
      </c>
      <c r="M12" s="312"/>
      <c r="N12" s="87">
        <f>_xlfn.XLOOKUP(_xlfn.XLOOKUP($AS$6&amp;$B12,公表[班別+時段],公表[備勤1],""),$AX$9:$AX$25,$AY$9:$AY$25,"")</f>
        <v>0</v>
      </c>
      <c r="O12" s="87">
        <f>_xlfn.XLOOKUP(_xlfn.XLOOKUP($AS$6&amp;$B12,公表[班別+時段],公表[備勤2],""),$AX$9:$AX$25,$AY$9:$AY$25,"")</f>
        <v>0</v>
      </c>
      <c r="P12" s="87"/>
      <c r="Q12" s="87">
        <f>_xlfn.XLOOKUP(_xlfn.XLOOKUP($AS$6&amp;$B12,公表[班別+時段],公表[備勤3],""),$AX$9:$AX$25,$AY$9:$AY$25,"")</f>
        <v>0</v>
      </c>
      <c r="R12" s="87">
        <f>_xlfn.XLOOKUP(_xlfn.XLOOKUP($AS$6&amp;$B12,公表[班別+時段],公表[備勤4],""),$AX$9:$AX$25,$AY$9:$AY$25,"")</f>
        <v>0</v>
      </c>
      <c r="S12" s="87"/>
      <c r="T12" s="87">
        <f>_xlfn.XLOOKUP(_xlfn.XLOOKUP($AS$6&amp;$B12,公表[班別+時段],公表[備勤5],""),$AX$9:$AX$25,$AY$9:$AY$25,"")</f>
        <v>3</v>
      </c>
      <c r="U12" s="87">
        <f>_xlfn.XLOOKUP(_xlfn.XLOOKUP($AS$6&amp;$B12,公表[班別+時段],公表[備勤6],""),$AX$9:$AX$25,$AY$9:$AY$25,"")</f>
        <v>0</v>
      </c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87"/>
      <c r="AC12" s="87"/>
      <c r="AD12" s="87"/>
      <c r="AE12" s="88">
        <f>_xlfn.XLOOKUP(_xlfn.XLOOKUP($AS$6&amp;$B12,公表[班別+時段],公表[指揮官],""),$AX$9:$AX$25,$AY$9:$AY$25,"")</f>
        <v>2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27">
        <v>4</v>
      </c>
      <c r="AP12" s="127" t="str">
        <v>簡永豐</v>
      </c>
      <c r="AQ12" s="127" t="str" cm="1">
        <f t="array" ref="AQ12">IFERROR(_xlfn.XLOOKUP(_xlfn.XLOOKUP($AQ$3,輪休基準表!$C$6:$C$36,_xlfn.XLOOKUP(AP12,輪休基準表!$E$5:$AF$5,輪休基準表!$E$6:$AF$36,""),""),班別參數!$A$4:$A$20,班別參數!$B$4:$B$20,""),"")</f>
        <v>請休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/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/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27"/>
    </row>
    <row r="13" spans="2:56" ht="30" customHeight="1" thickBot="1">
      <c r="B13" s="82" t="s">
        <v>76</v>
      </c>
      <c r="C13" s="89">
        <f>_xlfn.XLOOKUP(_xlfn.XLOOKUP($AS$6&amp;$B13,公表[班別+時段],公表[值班],""),$AX$9:$AX$25,$AY$9:$AY$25,"")</f>
        <v>0</v>
      </c>
      <c r="D13" s="233"/>
      <c r="E13" s="96"/>
      <c r="F13" s="96"/>
      <c r="G13" s="123" t="str">
        <f>IF(BC10="","",BC10)</f>
        <v/>
      </c>
      <c r="H13" s="315"/>
      <c r="I13" s="216">
        <f>_xlfn.XLOOKUP(_xlfn.XLOOKUP($AS$6&amp;$B13,公表[班別+時段],公表[救護1],""),$AX$9:$AX$25,$AY$9:$AY$25,"")</f>
        <v>0</v>
      </c>
      <c r="J13" s="216">
        <f>_xlfn.XLOOKUP(_xlfn.XLOOKUP($AS$6&amp;$B13,公表[班別+時段],公表[救護2],""),$AX$9:$AX$25,$AY$9:$AY$25,"")</f>
        <v>0</v>
      </c>
      <c r="K13" s="105"/>
      <c r="L13" s="93" t="s">
        <v>212</v>
      </c>
      <c r="M13" s="312"/>
      <c r="N13" s="89">
        <f>_xlfn.XLOOKUP(_xlfn.XLOOKUP($AS$6&amp;$B13,公表[班別+時段],公表[備勤1],""),$AX$9:$AX$25,$AY$9:$AY$25,"")</f>
        <v>0</v>
      </c>
      <c r="O13" s="89">
        <f>_xlfn.XLOOKUP(_xlfn.XLOOKUP($AS$6&amp;$B13,公表[班別+時段],公表[備勤2],""),$AX$9:$AX$25,$AY$9:$AY$25,"")</f>
        <v>0</v>
      </c>
      <c r="P13" s="89"/>
      <c r="Q13" s="89">
        <f>_xlfn.XLOOKUP(_xlfn.XLOOKUP($AS$6&amp;$B13,公表[班別+時段],公表[備勤3],""),$AX$9:$AX$25,$AY$9:$AY$25,"")</f>
        <v>0</v>
      </c>
      <c r="R13" s="89">
        <f>_xlfn.XLOOKUP(_xlfn.XLOOKUP($AS$6&amp;$B13,公表[班別+時段],公表[備勤4],""),$AX$9:$AX$25,$AY$9:$AY$25,"")</f>
        <v>0</v>
      </c>
      <c r="S13" s="89"/>
      <c r="T13" s="89">
        <f>_xlfn.XLOOKUP(_xlfn.XLOOKUP($AS$6&amp;$B13,公表[班別+時段],公表[備勤5],""),$AX$9:$AX$25,$AY$9:$AY$25,"")</f>
        <v>3</v>
      </c>
      <c r="U13" s="89">
        <f>_xlfn.XLOOKUP(_xlfn.XLOOKUP($AS$6&amp;$B13,公表[班別+時段],公表[備勤6],""),$AX$9:$AX$25,$AY$9:$AY$25,"")</f>
        <v>0</v>
      </c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89"/>
      <c r="AC13" s="89"/>
      <c r="AD13" s="89"/>
      <c r="AE13" s="104">
        <f>_xlfn.XLOOKUP(_xlfn.XLOOKUP($AS$6&amp;$B13,公表[班別+時段],公表[指揮官],""),$AX$9:$AX$25,$AY$9:$AY$25,"")</f>
        <v>2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27">
        <v>5</v>
      </c>
      <c r="AP13" s="127" t="str">
        <v>張鴻志</v>
      </c>
      <c r="AQ13" s="127" t="str" cm="1">
        <f t="array" ref="AQ13">IFERROR(_xlfn.XLOOKUP(_xlfn.XLOOKUP($AQ$3,輪休基準表!$C$6:$C$36,_xlfn.XLOOKUP(AP13,輪休基準表!$E$5:$AF$5,輪休基準表!$E$6:$AF$36,""),""),班別參數!$A$4:$A$20,班別參數!$B$4:$B$20,""),"")</f>
        <v>輪休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/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/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/>
      </c>
      <c r="BD13" s="127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0</v>
      </c>
      <c r="D14" s="234"/>
      <c r="E14" s="97"/>
      <c r="F14" s="97"/>
      <c r="G14" s="121" t="str">
        <f>IF(BC11="","",BC11)</f>
        <v/>
      </c>
      <c r="H14" s="55"/>
      <c r="I14" s="94">
        <f>_xlfn.XLOOKUP(_xlfn.XLOOKUP($AS$6&amp;$B14,公表[班別+時段],公表[救護1],""),$AX$9:$AX$25,$AY$9:$AY$25,"")</f>
        <v>0</v>
      </c>
      <c r="J14" s="94">
        <f>_xlfn.XLOOKUP(_xlfn.XLOOKUP($AS$6&amp;$B14,公表[班別+時段],公表[救護2],""),$AX$9:$AX$25,$AY$9:$AY$25,"")</f>
        <v>0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0</v>
      </c>
      <c r="O14" s="90">
        <f>_xlfn.XLOOKUP(_xlfn.XLOOKUP($AS$6&amp;$B14,公表[班別+時段],公表[備勤2],""),$AX$9:$AX$25,$AY$9:$AY$25,"")</f>
        <v>0</v>
      </c>
      <c r="P14" s="90"/>
      <c r="Q14" s="90">
        <f>_xlfn.XLOOKUP(_xlfn.XLOOKUP($AS$6&amp;$B14,公表[班別+時段],公表[備勤3],""),$AX$9:$AX$25,$AY$9:$AY$25,"")</f>
        <v>0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3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90"/>
      <c r="AC14" s="90"/>
      <c r="AD14" s="90"/>
      <c r="AE14" s="91">
        <f>_xlfn.XLOOKUP(_xlfn.XLOOKUP($AS$6&amp;$B14,公表[班別+時段],公表[指揮官],""),$AX$9:$AX$25,$AY$9:$AY$25,"")</f>
        <v>2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27">
        <v>6</v>
      </c>
      <c r="AP14" s="127" t="str">
        <v>吳宗耕</v>
      </c>
      <c r="AQ14" s="127" t="str" cm="1">
        <f t="array" ref="AQ14">IFERROR(_xlfn.XLOOKUP(_xlfn.XLOOKUP($AQ$3,輪休基準表!$C$6:$C$36,_xlfn.XLOOKUP(AP14,輪休基準表!$E$5:$AF$5,輪休基準表!$E$6:$AF$36,""),""),班別參數!$A$4:$A$20,班別參數!$B$4:$B$20,""),"")</f>
        <v>輪休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/>
      </c>
      <c r="AT14" s="180" t="str">
        <f t="shared" si="0"/>
        <v/>
      </c>
      <c r="AU14" s="180" t="str">
        <f t="shared" si="1"/>
        <v/>
      </c>
      <c r="AV14" s="25"/>
      <c r="AW14" s="33" t="str">
        <f t="array" ref="AW14">INDEX(班別參數!$D$4:$D$20,ROW()-7,MATCH($AW$8,班別參數!$D$4:$D$20,0))</f>
        <v>18-20</v>
      </c>
      <c r="AX14" s="34">
        <f t="array" ref="AX14">IFERROR(INDEX(班別參數!$D$4:$S$20,MATCH(AW14,班別參數!$D$4:$D$20,0),MATCH($AS$6,班別參數!$D$4:$S$4,0)),"")</f>
        <v>0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</v>
      </c>
      <c r="BC14" s="39" t="str">
        <f t="shared" si="2"/>
        <v/>
      </c>
      <c r="BD14" s="127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0</v>
      </c>
      <c r="D15" s="235"/>
      <c r="E15" s="106"/>
      <c r="F15" s="96"/>
      <c r="G15" s="123" t="str">
        <f>IF(BC11="","",BC11)</f>
        <v/>
      </c>
      <c r="H15" s="40"/>
      <c r="I15" s="216">
        <f>_xlfn.XLOOKUP(_xlfn.XLOOKUP($AS$6&amp;$B15,公表[班別+時段],公表[救護1],""),$AX$9:$AX$25,$AY$9:$AY$25,"")</f>
        <v>0</v>
      </c>
      <c r="J15" s="216">
        <f>_xlfn.XLOOKUP(_xlfn.XLOOKUP($AS$6&amp;$B15,公表[班別+時段],公表[救護2],""),$AX$9:$AX$25,$AY$9:$AY$25,"")</f>
        <v>0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0</v>
      </c>
      <c r="O15" s="89">
        <f>_xlfn.XLOOKUP(_xlfn.XLOOKUP($AS$6&amp;$B15,公表[班別+時段],公表[備勤2],""),$AX$9:$AX$25,$AY$9:$AY$25,"")</f>
        <v>0</v>
      </c>
      <c r="P15" s="89"/>
      <c r="Q15" s="89">
        <f>_xlfn.XLOOKUP(_xlfn.XLOOKUP($AS$6&amp;$B15,公表[班別+時段],公表[備勤3],""),$AX$9:$AX$25,$AY$9:$AY$25,"")</f>
        <v>0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3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89"/>
      <c r="AC15" s="89"/>
      <c r="AD15" s="89"/>
      <c r="AE15" s="104">
        <f>_xlfn.XLOOKUP(_xlfn.XLOOKUP($AS$6&amp;$B15,公表[班別+時段],公表[指揮官],""),$AX$9:$AX$25,$AY$9:$AY$25,"")</f>
        <v>2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27">
        <v>7</v>
      </c>
      <c r="AP15" s="127" t="str">
        <v>包華先</v>
      </c>
      <c r="AQ15" s="127" t="str" cm="1">
        <f t="array" ref="AQ15">IFERROR(_xlfn.XLOOKUP(_xlfn.XLOOKUP($AQ$3,輪休基準表!$C$6:$C$36,_xlfn.XLOOKUP(AP15,輪休基準表!$E$5:$AF$5,輪休基準表!$E$6:$AF$36,""),""),班別參數!$A$4:$A$20,班別參數!$B$4:$B$20,""),"")</f>
        <v>輪休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/>
      </c>
      <c r="AT15" s="180" t="str">
        <f t="shared" si="0"/>
        <v/>
      </c>
      <c r="AU15" s="180" t="str">
        <f t="shared" si="1"/>
        <v/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/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/>
      </c>
      <c r="BD15" s="127"/>
    </row>
    <row r="16" spans="2:56" ht="30" customHeight="1">
      <c r="B16" s="83" t="s">
        <v>79</v>
      </c>
      <c r="C16" s="90">
        <f>_xlfn.XLOOKUP(_xlfn.XLOOKUP($AS$6&amp;$B16,公表[班別+時段],公表[值班],""),$AX$9:$AX$25,$AY$9:$AY$25,"")</f>
        <v>0</v>
      </c>
      <c r="D16" s="98"/>
      <c r="E16" s="99"/>
      <c r="F16" s="98"/>
      <c r="G16" s="121" t="str">
        <f>IF(BC12="","",BC12)</f>
        <v/>
      </c>
      <c r="H16" s="316" t="str">
        <f>AY3</f>
        <v>戰術體能訓練</v>
      </c>
      <c r="I16" s="94">
        <f>_xlfn.XLOOKUP(_xlfn.XLOOKUP($AS$6&amp;$B16,公表[班別+時段],公表[救護1],""),$AX$9:$AX$25,$AY$9:$AY$25,"")</f>
        <v>0</v>
      </c>
      <c r="J16" s="94">
        <f>_xlfn.XLOOKUP(_xlfn.XLOOKUP($AS$6&amp;$B16,公表[班別+時段],公表[救護2],""),$AX$9:$AX$25,$AY$9:$AY$25,"")</f>
        <v>0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0</v>
      </c>
      <c r="O16" s="90">
        <f>_xlfn.XLOOKUP(_xlfn.XLOOKUP($AS$6&amp;$B16,公表[班別+時段],公表[備勤2],""),$AX$9:$AX$25,$AY$9:$AY$25,"")</f>
        <v>0</v>
      </c>
      <c r="P16" s="90"/>
      <c r="Q16" s="90">
        <f>_xlfn.XLOOKUP(_xlfn.XLOOKUP($AS$6&amp;$B16,公表[班別+時段],公表[備勤3],""),$AX$9:$AX$25,$AY$9:$AY$25,"")</f>
        <v>0</v>
      </c>
      <c r="R16" s="90">
        <f>_xlfn.XLOOKUP(_xlfn.XLOOKUP($AS$6&amp;$B16,公表[班別+時段],公表[備勤4],""),$AX$9:$AX$25,$AY$9:$AY$25,"")</f>
        <v>0</v>
      </c>
      <c r="S16" s="90"/>
      <c r="T16" s="90">
        <f>_xlfn.XLOOKUP(_xlfn.XLOOKUP($AS$6&amp;$B16,公表[班別+時段],公表[備勤5],""),$AX$9:$AX$25,$AY$9:$AY$25,"")</f>
        <v>3</v>
      </c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90"/>
      <c r="AC16" s="90"/>
      <c r="AD16" s="90"/>
      <c r="AE16" s="91">
        <f>_xlfn.XLOOKUP(_xlfn.XLOOKUP($AS$6&amp;$B16,公表[班別+時段],公表[指揮官],""),$AX$9:$AX$25,$AY$9:$AY$25,"")</f>
        <v>2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27">
        <v>8</v>
      </c>
      <c r="AP16" s="127" t="str">
        <v>曾彥綸</v>
      </c>
      <c r="AQ16" s="127" t="str" cm="1">
        <f t="array" ref="AQ16">IFERROR(_xlfn.XLOOKUP(_xlfn.XLOOKUP($AQ$3,輪休基準表!$C$6:$C$36,_xlfn.XLOOKUP(AP16,輪休基準表!$E$5:$AF$5,輪休基準表!$E$6:$AF$36,""),""),班別參數!$A$4:$A$20,班別參數!$B$4:$B$20,""),"")</f>
        <v>請休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/>
      </c>
      <c r="AT16" s="180" t="str">
        <f t="shared" si="0"/>
        <v/>
      </c>
      <c r="AU16" s="180" t="str">
        <f t="shared" si="1"/>
        <v/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/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27"/>
    </row>
    <row r="17" spans="2:56" ht="30" customHeight="1">
      <c r="B17" s="81" t="s">
        <v>80</v>
      </c>
      <c r="C17" s="87">
        <f>_xlfn.XLOOKUP(_xlfn.XLOOKUP($AS$6&amp;$B17,公表[班別+時段],公表[值班],""),$AX$9:$AX$25,$AY$9:$AY$25,"")</f>
        <v>0</v>
      </c>
      <c r="D17" s="95"/>
      <c r="E17" s="95"/>
      <c r="F17" s="100"/>
      <c r="G17" s="122" t="str">
        <f>IF(BC12="","",BC12)</f>
        <v/>
      </c>
      <c r="H17" s="314"/>
      <c r="I17" s="92">
        <f>_xlfn.XLOOKUP(_xlfn.XLOOKUP($AS$6&amp;$B17,公表[班別+時段],公表[救護1],""),$AX$9:$AX$25,$AY$9:$AY$25,"")</f>
        <v>0</v>
      </c>
      <c r="J17" s="92">
        <f>_xlfn.XLOOKUP(_xlfn.XLOOKUP($AS$6&amp;$B17,公表[班別+時段],公表[救護2],""),$AX$9:$AX$25,$AY$9:$AY$25,"")</f>
        <v>0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0</v>
      </c>
      <c r="O17" s="87">
        <f>_xlfn.XLOOKUP(_xlfn.XLOOKUP($AS$6&amp;$B17,公表[班別+時段],公表[備勤2],""),$AX$9:$AX$25,$AY$9:$AY$25,"")</f>
        <v>0</v>
      </c>
      <c r="P17" s="87"/>
      <c r="Q17" s="87">
        <f>_xlfn.XLOOKUP(_xlfn.XLOOKUP($AS$6&amp;$B17,公表[班別+時段],公表[備勤3],""),$AX$9:$AX$25,$AY$9:$AY$25,"")</f>
        <v>0</v>
      </c>
      <c r="R17" s="87">
        <f>_xlfn.XLOOKUP(_xlfn.XLOOKUP($AS$6&amp;$B17,公表[班別+時段],公表[備勤4],""),$AX$9:$AX$25,$AY$9:$AY$25,"")</f>
        <v>0</v>
      </c>
      <c r="S17" s="87"/>
      <c r="T17" s="87">
        <f>_xlfn.XLOOKUP(_xlfn.XLOOKUP($AS$6&amp;$B17,公表[班別+時段],公表[備勤5],""),$AX$9:$AX$25,$AY$9:$AY$25,"")</f>
        <v>3</v>
      </c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87"/>
      <c r="AC17" s="87"/>
      <c r="AD17" s="87"/>
      <c r="AE17" s="88">
        <f>_xlfn.XLOOKUP(_xlfn.XLOOKUP($AS$6&amp;$B17,公表[班別+時段],公表[指揮官],""),$AX$9:$AX$25,$AY$9:$AY$25,"")</f>
        <v>2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27">
        <v>9</v>
      </c>
      <c r="AP17" s="127" t="str">
        <v>鍾佳諭</v>
      </c>
      <c r="AQ17" s="127" t="str" cm="1">
        <f t="array" ref="AQ17">IFERROR(_xlfn.XLOOKUP(_xlfn.XLOOKUP($AQ$3,輪休基準表!$C$6:$C$36,_xlfn.XLOOKUP(AP17,輪休基準表!$E$5:$AF$5,輪休基準表!$E$6:$AF$36,""),""),班別參數!$A$4:$A$20,班別參數!$B$4:$B$20,""),"")</f>
        <v>輪休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/>
      </c>
      <c r="AT17" s="180" t="str">
        <f t="shared" si="0"/>
        <v/>
      </c>
      <c r="AU17" s="180" t="str">
        <f t="shared" si="1"/>
        <v/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27"/>
    </row>
    <row r="18" spans="2:56" ht="30" customHeight="1">
      <c r="B18" s="81" t="s">
        <v>81</v>
      </c>
      <c r="C18" s="87">
        <f>_xlfn.XLOOKUP(_xlfn.XLOOKUP($AS$6&amp;$B18,公表[班別+時段],公表[值班],""),$AX$9:$AX$25,$AY$9:$AY$25,"")</f>
        <v>0</v>
      </c>
      <c r="D18" s="100"/>
      <c r="E18" s="95"/>
      <c r="F18" s="100"/>
      <c r="G18" s="122" t="str">
        <f>IF(BC13="","",BC13)</f>
        <v/>
      </c>
      <c r="H18" s="297"/>
      <c r="I18" s="92">
        <f>_xlfn.XLOOKUP(_xlfn.XLOOKUP($AS$6&amp;$B18,公表[班別+時段],公表[救護1],""),$AX$9:$AX$25,$AY$9:$AY$25,"")</f>
        <v>0</v>
      </c>
      <c r="J18" s="92">
        <f>_xlfn.XLOOKUP(_xlfn.XLOOKUP($AS$6&amp;$B18,公表[班別+時段],公表[救護2],""),$AX$9:$AX$25,$AY$9:$AY$25,"")</f>
        <v>0</v>
      </c>
      <c r="K18" s="92"/>
      <c r="L18" s="87" t="s">
        <v>212</v>
      </c>
      <c r="M18" s="312"/>
      <c r="N18" s="87">
        <f>_xlfn.XLOOKUP(_xlfn.XLOOKUP($AS$6&amp;$B18,公表[班別+時段],公表[備勤1],""),$AX$9:$AX$25,$AY$9:$AY$25,"")</f>
        <v>0</v>
      </c>
      <c r="O18" s="87">
        <f>_xlfn.XLOOKUP(_xlfn.XLOOKUP($AS$6&amp;$B18,公表[班別+時段],公表[備勤2],""),$AX$9:$AX$25,$AY$9:$AY$25,"")</f>
        <v>0</v>
      </c>
      <c r="P18" s="87"/>
      <c r="Q18" s="87">
        <f>_xlfn.XLOOKUP(_xlfn.XLOOKUP($AS$6&amp;$B18,公表[班別+時段],公表[備勤3],""),$AX$9:$AX$25,$AY$9:$AY$25,"")</f>
        <v>0</v>
      </c>
      <c r="R18" s="87">
        <f>_xlfn.XLOOKUP(_xlfn.XLOOKUP($AS$6&amp;$B18,公表[班別+時段],公表[備勤4],""),$AX$9:$AX$25,$AY$9:$AY$25,"")</f>
        <v>0</v>
      </c>
      <c r="S18" s="87"/>
      <c r="T18" s="87">
        <f>_xlfn.XLOOKUP(_xlfn.XLOOKUP($AS$6&amp;$B18,公表[班別+時段],公表[備勤5],""),$AX$9:$AX$25,$AY$9:$AY$25,"")</f>
        <v>3</v>
      </c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87"/>
      <c r="AC18" s="87"/>
      <c r="AD18" s="87"/>
      <c r="AE18" s="88">
        <f>_xlfn.XLOOKUP(_xlfn.XLOOKUP($AS$6&amp;$B18,公表[班別+時段],公表[指揮官],""),$AX$9:$AX$25,$AY$9:$AY$25,"")</f>
        <v>2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27">
        <v>10</v>
      </c>
      <c r="AP18" s="127" t="str">
        <v>林宏澤</v>
      </c>
      <c r="AQ18" s="127" t="str" cm="1">
        <f t="array" ref="AQ18">IFERROR(_xlfn.XLOOKUP(_xlfn.XLOOKUP($AQ$3,輪休基準表!$C$6:$C$36,_xlfn.XLOOKUP(AP18,輪休基準表!$E$5:$AF$5,輪休基準表!$E$6:$AF$36,""),""),班別參數!$A$4:$A$20,班別參數!$B$4:$B$20,""),"")</f>
        <v>輪休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/>
      </c>
      <c r="AT18" s="180" t="str">
        <f t="shared" si="0"/>
        <v/>
      </c>
      <c r="AU18" s="180" t="str">
        <f t="shared" si="1"/>
        <v/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27"/>
    </row>
    <row r="19" spans="2:56" ht="30" customHeight="1" thickBot="1">
      <c r="B19" s="110" t="s">
        <v>82</v>
      </c>
      <c r="C19" s="89">
        <f>_xlfn.XLOOKUP(_xlfn.XLOOKUP($AS$6&amp;$B19,公表[班別+時段],公表[值班],""),$AX$9:$AX$25,$AY$9:$AY$25,"")</f>
        <v>0</v>
      </c>
      <c r="D19" s="106"/>
      <c r="E19" s="96"/>
      <c r="F19" s="236"/>
      <c r="G19" s="123" t="str">
        <f>IF(BC13="","",BC13)</f>
        <v/>
      </c>
      <c r="H19" s="107"/>
      <c r="I19" s="216">
        <f>_xlfn.XLOOKUP(_xlfn.XLOOKUP($AS$6&amp;$B19,公表[班別+時段],公表[救護1],""),$AX$9:$AX$25,$AY$9:$AY$25,"")</f>
        <v>0</v>
      </c>
      <c r="J19" s="216">
        <f>_xlfn.XLOOKUP(_xlfn.XLOOKUP($AS$6&amp;$B19,公表[班別+時段],公表[救護2],""),$AX$9:$AX$25,$AY$9:$AY$25,"")</f>
        <v>0</v>
      </c>
      <c r="K19" s="105"/>
      <c r="L19" s="93" t="s">
        <v>212</v>
      </c>
      <c r="M19" s="312"/>
      <c r="N19" s="89">
        <f>_xlfn.XLOOKUP(_xlfn.XLOOKUP($AS$6&amp;$B19,公表[班別+時段],公表[備勤1],""),$AX$9:$AX$25,$AY$9:$AY$25,"")</f>
        <v>0</v>
      </c>
      <c r="O19" s="89">
        <f>_xlfn.XLOOKUP(_xlfn.XLOOKUP($AS$6&amp;$B19,公表[班別+時段],公表[備勤2],""),$AX$9:$AX$25,$AY$9:$AY$25,"")</f>
        <v>0</v>
      </c>
      <c r="P19" s="89"/>
      <c r="Q19" s="89">
        <f>_xlfn.XLOOKUP(_xlfn.XLOOKUP($AS$6&amp;$B19,公表[班別+時段],公表[備勤3],""),$AX$9:$AX$25,$AY$9:$AY$25,"")</f>
        <v>0</v>
      </c>
      <c r="R19" s="89">
        <f>_xlfn.XLOOKUP(_xlfn.XLOOKUP($AS$6&amp;$B19,公表[班別+時段],公表[備勤4],""),$AX$9:$AX$25,$AY$9:$AY$25,"")</f>
        <v>0</v>
      </c>
      <c r="S19" s="89"/>
      <c r="T19" s="89">
        <f>_xlfn.XLOOKUP(_xlfn.XLOOKUP($AS$6&amp;$B19,公表[班別+時段],公表[備勤5],""),$AX$9:$AX$25,$AY$9:$AY$25,"")</f>
        <v>3</v>
      </c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89"/>
      <c r="AC19" s="89"/>
      <c r="AD19" s="89"/>
      <c r="AE19" s="104">
        <f>_xlfn.XLOOKUP(_xlfn.XLOOKUP($AS$6&amp;$B19,公表[班別+時段],公表[指揮官],""),$AX$9:$AX$25,$AY$9:$AY$25,"")</f>
        <v>2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27">
        <v>11</v>
      </c>
      <c r="AP19" s="127" t="str">
        <v>簡君諺</v>
      </c>
      <c r="AQ19" s="127" t="str" cm="1">
        <f t="array" ref="AQ19">IFERROR(_xlfn.XLOOKUP(_xlfn.XLOOKUP($AQ$3,輪休基準表!$C$6:$C$36,_xlfn.XLOOKUP(AP19,輪休基準表!$E$5:$AF$5,輪休基準表!$E$6:$AF$36,""),""),班別參數!$A$4:$A$20,班別參數!$B$4:$B$20,""),"")</f>
        <v>輪休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/>
      </c>
      <c r="AT19" s="180" t="str">
        <f t="shared" si="0"/>
        <v/>
      </c>
      <c r="AU19" s="180" t="str">
        <f t="shared" si="1"/>
        <v/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:AY20">IF(AX19="","",_xlfn._xlws.FILTER($AO$9:$AO$13,$AQ$9:$AQ$13="上班",""))</f>
        <v>2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27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3</v>
      </c>
      <c r="D20" s="97"/>
      <c r="E20" s="97"/>
      <c r="F20" s="97"/>
      <c r="G20" s="121" t="str">
        <f>IF(BC14="","",BC14)</f>
        <v/>
      </c>
      <c r="H20" s="55"/>
      <c r="I20" s="94">
        <f>_xlfn.XLOOKUP(_xlfn.XLOOKUP($AS$6&amp;$B20,公表[班別+時段],公表[救護1],""),$AX$9:$AX$25,$AY$9:$AY$25,"")</f>
        <v>0</v>
      </c>
      <c r="J20" s="94">
        <f>_xlfn.XLOOKUP(_xlfn.XLOOKUP($AS$6&amp;$B20,公表[班別+時段],公表[救護2],""),$AX$9:$AX$25,$AY$9:$AY$25,"")</f>
        <v>0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0</v>
      </c>
      <c r="O20" s="90">
        <f>_xlfn.XLOOKUP(_xlfn.XLOOKUP($AS$6&amp;$B20,公表[班別+時段],公表[備勤2],""),$AX$9:$AX$25,$AY$9:$AY$25,"")</f>
        <v>0</v>
      </c>
      <c r="P20" s="90"/>
      <c r="Q20" s="90">
        <f>_xlfn.XLOOKUP(_xlfn.XLOOKUP($AS$6&amp;$B20,公表[班別+時段],公表[備勤3],""),$AX$9:$AX$25,$AY$9:$AY$25,"")</f>
        <v>0</v>
      </c>
      <c r="R20" s="90">
        <f>_xlfn.XLOOKUP(_xlfn.XLOOKUP($AS$6&amp;$B20,公表[班別+時段],公表[備勤4],""),$AX$9:$AX$25,$AY$9:$AY$25,"")</f>
        <v>0</v>
      </c>
      <c r="S20" s="90"/>
      <c r="T20" s="90">
        <f>_xlfn.XLOOKUP(_xlfn.XLOOKUP($AS$6&amp;$B20,公表[班別+時段],公表[備勤5],""),$AX$9:$AX$25,$AY$9:$AY$25,"")</f>
        <v>0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90"/>
      <c r="AC20" s="90"/>
      <c r="AD20" s="90"/>
      <c r="AE20" s="91">
        <f>_xlfn.XLOOKUP(_xlfn.XLOOKUP($AS$6&amp;$B20,公表[班別+時段],公表[指揮官],""),$AX$9:$AX$25,$AY$9:$AY$25,"")</f>
        <v>2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27">
        <v>12</v>
      </c>
      <c r="AP20" s="127" t="str">
        <v>王昱勛</v>
      </c>
      <c r="AQ20" s="127" t="str" cm="1">
        <f t="array" ref="AQ20">IFERROR(_xlfn.XLOOKUP(_xlfn.XLOOKUP($AQ$3,輪休基準表!$C$6:$C$36,_xlfn.XLOOKUP(AP20,輪休基準表!$E$5:$AF$5,輪休基準表!$E$6:$AF$36,""),""),班別參數!$A$4:$A$20,班別參數!$B$4:$B$20,""),"")</f>
        <v>輪休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/>
      </c>
      <c r="AT20" s="180" t="str">
        <f t="shared" si="0"/>
        <v/>
      </c>
      <c r="AU20" s="180" t="str">
        <f t="shared" si="1"/>
        <v/>
      </c>
      <c r="AV20" s="25"/>
      <c r="AW20" s="33" t="str">
        <f t="array" ref="AW20">INDEX(班別參數!$D$4:$D$20,ROW()-7,MATCH($AW$8,班別參數!$D$4:$D$20,0))</f>
        <v>帶隊官</v>
      </c>
      <c r="AX20" s="34" t="str">
        <f t="array" ref="AX20">IFERROR(INDEX(班別參數!$D$4:$S$20,MATCH(AW20,班別參數!$D$4:$D$20,0),MATCH($AS$6,班別參數!$D$4:$S$4,0)),"")</f>
        <v>L</v>
      </c>
      <c r="AY20" s="38">
        <v>3</v>
      </c>
      <c r="AZ20" s="32"/>
      <c r="BA20" s="33" t="s">
        <v>67</v>
      </c>
      <c r="BB20" s="34" t="str">
        <f t="array" ref="BB20">IFERROR(INDEX(班別參數!$D$23:$S$35,MATCH(BA20,班別參數!$D$23:$D$35,0),MATCH($AS$6,班別參數!$D$23:$S$23,0)),"")</f>
        <v>G,L</v>
      </c>
      <c r="BC20" s="41" t="str">
        <f t="shared" si="2"/>
        <v>3</v>
      </c>
      <c r="BD20" s="127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3</v>
      </c>
      <c r="D21" s="95"/>
      <c r="E21" s="95"/>
      <c r="F21" s="95"/>
      <c r="G21" s="122" t="str">
        <f>IF(BC14="","",BC14)</f>
        <v/>
      </c>
      <c r="H21" s="296" t="str">
        <f>AY4</f>
        <v>救護訓練</v>
      </c>
      <c r="I21" s="92">
        <f>_xlfn.XLOOKUP(_xlfn.XLOOKUP($AS$6&amp;$B21,公表[班別+時段],公表[救護1],""),$AX$9:$AX$25,$AY$9:$AY$25,"")</f>
        <v>0</v>
      </c>
      <c r="J21" s="92">
        <f>_xlfn.XLOOKUP(_xlfn.XLOOKUP($AS$6&amp;$B21,公表[班別+時段],公表[救護2],""),$AX$9:$AX$25,$AY$9:$AY$25,"")</f>
        <v>0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0</v>
      </c>
      <c r="O21" s="87">
        <f>_xlfn.XLOOKUP(_xlfn.XLOOKUP($AS$6&amp;$B21,公表[班別+時段],公表[備勤2],""),$AX$9:$AX$25,$AY$9:$AY$25,"")</f>
        <v>0</v>
      </c>
      <c r="P21" s="87"/>
      <c r="Q21" s="87">
        <f>_xlfn.XLOOKUP(_xlfn.XLOOKUP($AS$6&amp;$B21,公表[班別+時段],公表[備勤3],""),$AX$9:$AX$25,$AY$9:$AY$25,"")</f>
        <v>0</v>
      </c>
      <c r="R21" s="87">
        <f>_xlfn.XLOOKUP(_xlfn.XLOOKUP($AS$6&amp;$B21,公表[班別+時段],公表[備勤4],""),$AX$9:$AX$25,$AY$9:$AY$25,"")</f>
        <v>0</v>
      </c>
      <c r="S21" s="87"/>
      <c r="T21" s="87">
        <f>_xlfn.XLOOKUP(_xlfn.XLOOKUP($AS$6&amp;$B21,公表[班別+時段],公表[備勤5],""),$AX$9:$AX$25,$AY$9:$AY$25,"")</f>
        <v>0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87"/>
      <c r="AC21" s="87"/>
      <c r="AD21" s="87"/>
      <c r="AE21" s="88">
        <f>_xlfn.XLOOKUP(_xlfn.XLOOKUP($AS$6&amp;$B21,公表[班別+時段],公表[指揮官],""),$AX$9:$AX$25,$AY$9:$AY$25,"")</f>
        <v>2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27">
        <v>13</v>
      </c>
      <c r="AP21" s="127" t="str">
        <v>葉宗哲</v>
      </c>
      <c r="AQ21" s="127" t="str" cm="1">
        <f t="array" ref="AQ21">IFERROR(_xlfn.XLOOKUP(_xlfn.XLOOKUP($AQ$3,輪休基準表!$C$6:$C$36,_xlfn.XLOOKUP(AP21,輪休基準表!$E$5:$AF$5,輪休基準表!$E$6:$AF$36,""),""),班別參數!$A$4:$A$20,班別參數!$B$4:$B$20,""),"")</f>
        <v>公假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/>
      </c>
      <c r="AT21" s="180" t="str">
        <f t="shared" si="0"/>
        <v/>
      </c>
      <c r="AU21" s="180" t="str">
        <f t="shared" si="1"/>
        <v/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27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0</v>
      </c>
      <c r="D22" s="95"/>
      <c r="E22" s="95"/>
      <c r="F22" s="95"/>
      <c r="G22" s="122" t="str">
        <f>IF(BC15="","",BC15)</f>
        <v/>
      </c>
      <c r="H22" s="297"/>
      <c r="I22" s="92">
        <f>_xlfn.XLOOKUP(_xlfn.XLOOKUP($AS$6&amp;$B22,公表[班別+時段],公表[救護1],""),$AX$9:$AX$25,$AY$9:$AY$25,"")</f>
        <v>0</v>
      </c>
      <c r="J22" s="92">
        <f>_xlfn.XLOOKUP(_xlfn.XLOOKUP($AS$6&amp;$B22,公表[班別+時段],公表[救護2],""),$AX$9:$AX$25,$AY$9:$AY$25,"")</f>
        <v>0</v>
      </c>
      <c r="K22" s="92"/>
      <c r="L22" s="87" t="s">
        <v>212</v>
      </c>
      <c r="M22" s="312"/>
      <c r="N22" s="87">
        <f>_xlfn.XLOOKUP(_xlfn.XLOOKUP($AS$6&amp;$B22,公表[班別+時段],公表[備勤1],""),$AX$9:$AX$25,$AY$9:$AY$25,"")</f>
        <v>0</v>
      </c>
      <c r="O22" s="87">
        <f>_xlfn.XLOOKUP(_xlfn.XLOOKUP($AS$6&amp;$B22,公表[班別+時段],公表[備勤2],""),$AX$9:$AX$25,$AY$9:$AY$25,"")</f>
        <v>0</v>
      </c>
      <c r="P22" s="87"/>
      <c r="Q22" s="87">
        <f>_xlfn.XLOOKUP(_xlfn.XLOOKUP($AS$6&amp;$B22,公表[班別+時段],公表[備勤3],""),$AX$9:$AX$25,$AY$9:$AY$25,"")</f>
        <v>0</v>
      </c>
      <c r="R22" s="87">
        <f>_xlfn.XLOOKUP(_xlfn.XLOOKUP($AS$6&amp;$B22,公表[班別+時段],公表[備勤4],""),$AX$9:$AX$25,$AY$9:$AY$25,"")</f>
        <v>0</v>
      </c>
      <c r="S22" s="87"/>
      <c r="T22" s="87">
        <f>_xlfn.XLOOKUP(_xlfn.XLOOKUP($AS$6&amp;$B22,公表[班別+時段],公表[備勤5],""),$AX$9:$AX$25,$AY$9:$AY$25,"")</f>
        <v>3</v>
      </c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87"/>
      <c r="AC22" s="87"/>
      <c r="AD22" s="87"/>
      <c r="AE22" s="88">
        <f>_xlfn.XLOOKUP(_xlfn.XLOOKUP($AS$6&amp;$B22,公表[班別+時段],公表[指揮官],""),$AX$9:$AX$25,$AY$9:$AY$25,"")</f>
        <v>2</v>
      </c>
      <c r="AF22" s="57" t="s">
        <v>213</v>
      </c>
      <c r="AG22" s="305" t="str" cm="1">
        <f t="array" ref="AG22">_xlfn.TEXTJOIN(".",1,_xlfn._xlws.FILTER($AO$9:$AO$40,$AQ$9:$AQ$40="上班",""))</f>
        <v>2.3.17.21.23.25.26.27.28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27">
        <v>14</v>
      </c>
      <c r="AP22" s="127" t="str">
        <v>王浩任</v>
      </c>
      <c r="AQ22" s="127" t="str" cm="1">
        <f t="array" ref="AQ22">IFERROR(_xlfn.XLOOKUP(_xlfn.XLOOKUP($AQ$3,輪休基準表!$C$6:$C$36,_xlfn.XLOOKUP(AP22,輪休基準表!$E$5:$AF$5,輪休基準表!$E$6:$AF$36,""),""),班別參數!$A$4:$A$20,班別參數!$B$4:$B$20,""),"")</f>
        <v>公假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/>
      </c>
      <c r="AT22" s="180" t="str">
        <f t="shared" si="0"/>
        <v/>
      </c>
      <c r="AU22" s="180" t="str">
        <f t="shared" si="1"/>
        <v/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27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0</v>
      </c>
      <c r="D23" s="106"/>
      <c r="E23" s="96"/>
      <c r="F23" s="96"/>
      <c r="G23" s="123" t="str">
        <f>IF(BC15="","",BC15)</f>
        <v/>
      </c>
      <c r="H23" s="107"/>
      <c r="I23" s="216">
        <f>_xlfn.XLOOKUP(_xlfn.XLOOKUP($AS$6&amp;$B23,公表[班別+時段],公表[救護1],""),$AX$9:$AX$25,$AY$9:$AY$25,"")</f>
        <v>0</v>
      </c>
      <c r="J23" s="216">
        <f>_xlfn.XLOOKUP(_xlfn.XLOOKUP($AS$6&amp;$B23,公表[班別+時段],公表[救護2],""),$AX$9:$AX$25,$AY$9:$AY$25,"")</f>
        <v>0</v>
      </c>
      <c r="K23" s="105"/>
      <c r="L23" s="93" t="s">
        <v>212</v>
      </c>
      <c r="M23" s="312"/>
      <c r="N23" s="89">
        <f>_xlfn.XLOOKUP(_xlfn.XLOOKUP($AS$6&amp;$B23,公表[班別+時段],公表[備勤1],""),$AX$9:$AX$25,$AY$9:$AY$25,"")</f>
        <v>0</v>
      </c>
      <c r="O23" s="89">
        <f>_xlfn.XLOOKUP(_xlfn.XLOOKUP($AS$6&amp;$B23,公表[班別+時段],公表[備勤2],""),$AX$9:$AX$25,$AY$9:$AY$25,"")</f>
        <v>0</v>
      </c>
      <c r="P23" s="89"/>
      <c r="Q23" s="89">
        <f>_xlfn.XLOOKUP(_xlfn.XLOOKUP($AS$6&amp;$B23,公表[班別+時段],公表[備勤3],""),$AX$9:$AX$25,$AY$9:$AY$25,"")</f>
        <v>0</v>
      </c>
      <c r="R23" s="89">
        <f>_xlfn.XLOOKUP(_xlfn.XLOOKUP($AS$6&amp;$B23,公表[班別+時段],公表[備勤4],""),$AX$9:$AX$25,$AY$9:$AY$25,"")</f>
        <v>0</v>
      </c>
      <c r="S23" s="89"/>
      <c r="T23" s="89">
        <f>_xlfn.XLOOKUP(_xlfn.XLOOKUP($AS$6&amp;$B23,公表[班別+時段],公表[備勤5],""),$AX$9:$AX$25,$AY$9:$AY$25,"")</f>
        <v>3</v>
      </c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89"/>
      <c r="AC23" s="89"/>
      <c r="AD23" s="89"/>
      <c r="AE23" s="104">
        <f>_xlfn.XLOOKUP(_xlfn.XLOOKUP($AS$6&amp;$B23,公表[班別+時段],公表[指揮官],""),$AX$9:$AX$25,$AY$9:$AY$25,"")</f>
        <v>2</v>
      </c>
      <c r="AF23" s="57" t="s">
        <v>6</v>
      </c>
      <c r="AG23" s="305" t="str" cm="1">
        <f t="array" ref="AG23">_xlfn.TEXTJOIN(".",1,_xlfn._xlws.FILTER($AO$9:$AO$40,$AQ$9:$AQ$40=$AF$23,""))</f>
        <v>1.5.6.7.9.10.11.12.15.16.18</v>
      </c>
      <c r="AH23" s="400"/>
      <c r="AI23" s="400"/>
      <c r="AJ23" s="400"/>
      <c r="AK23" s="400"/>
      <c r="AL23" s="400"/>
      <c r="AM23" s="401"/>
      <c r="AN23" s="214"/>
      <c r="AO23" s="127">
        <v>15</v>
      </c>
      <c r="AP23" s="127" t="str">
        <v>李仕詮</v>
      </c>
      <c r="AQ23" s="127" t="str" cm="1">
        <f t="array" ref="AQ23">IFERROR(_xlfn.XLOOKUP(_xlfn.XLOOKUP($AQ$3,輪休基準表!$C$6:$C$36,_xlfn.XLOOKUP(AP23,輪休基準表!$E$5:$AF$5,輪休基準表!$E$6:$AF$36,""),""),班別參數!$A$4:$A$20,班別參數!$B$4:$B$20,""),"")</f>
        <v>輪休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/>
      </c>
      <c r="AT23" s="180" t="str">
        <f t="shared" si="0"/>
        <v/>
      </c>
      <c r="AU23" s="180" t="str">
        <f t="shared" si="1"/>
        <v/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27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0</v>
      </c>
      <c r="D24" s="97"/>
      <c r="E24" s="97"/>
      <c r="F24" s="97"/>
      <c r="G24" s="121" t="str">
        <f>IF(BC16="","",BC16)</f>
        <v/>
      </c>
      <c r="H24" s="55"/>
      <c r="I24" s="94">
        <f>_xlfn.XLOOKUP(_xlfn.XLOOKUP($AS$6&amp;$B24,公表[班別+時段],公表[救護1],""),$AX$9:$AX$25,$AY$9:$AY$25,"")</f>
        <v>0</v>
      </c>
      <c r="J24" s="94">
        <f>_xlfn.XLOOKUP(_xlfn.XLOOKUP($AS$6&amp;$B24,公表[班別+時段],公表[救護2],""),$AX$9:$AX$25,$AY$9:$AY$25,"")</f>
        <v>0</v>
      </c>
      <c r="K24" s="90"/>
      <c r="L24" s="90" t="s">
        <v>212</v>
      </c>
      <c r="M24" s="312"/>
      <c r="N24" s="90">
        <f>_xlfn.XLOOKUP(_xlfn.XLOOKUP($AS$6&amp;$B24,公表[班別+時段],公表[備勤1],""),$AX$9:$AX$25,$AY$9:$AY$25,"")</f>
        <v>0</v>
      </c>
      <c r="O24" s="90">
        <f>_xlfn.XLOOKUP(_xlfn.XLOOKUP($AS$6&amp;$B24,公表[班別+時段],公表[備勤2],""),$AX$9:$AX$25,$AY$9:$AY$25,"")</f>
        <v>0</v>
      </c>
      <c r="P24" s="90"/>
      <c r="Q24" s="90">
        <f>_xlfn.XLOOKUP(_xlfn.XLOOKUP($AS$6&amp;$B24,公表[班別+時段],公表[備勤3],""),$AX$9:$AX$25,$AY$9:$AY$25,"")</f>
        <v>0</v>
      </c>
      <c r="R24" s="90">
        <f>_xlfn.XLOOKUP(_xlfn.XLOOKUP($AS$6&amp;$B24,公表[班別+時段],公表[備勤4],""),$AX$9:$AX$25,$AY$9:$AY$25,"")</f>
        <v>0</v>
      </c>
      <c r="S24" s="90"/>
      <c r="T24" s="90">
        <f>_xlfn.XLOOKUP(_xlfn.XLOOKUP($AS$6&amp;$B24,公表[班別+時段],公表[備勤5],""),$AX$9:$AX$25,$AY$9:$AY$25,"")</f>
        <v>3</v>
      </c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90"/>
      <c r="AC24" s="90"/>
      <c r="AD24" s="90"/>
      <c r="AE24" s="91">
        <f>_xlfn.XLOOKUP(_xlfn.XLOOKUP($AS$6&amp;$B24,公表[班別+時段],公表[指揮官],""),$AX$9:$AX$25,$AY$9:$AY$25,"")</f>
        <v>2</v>
      </c>
      <c r="AF24" s="57" t="s">
        <v>17</v>
      </c>
      <c r="AG24" s="305" t="str" cm="1">
        <f t="array" ref="AG24">_xlfn.TEXTJOIN(".",1,_xlfn._xlws.FILTER($AO$9:$AO$40,$AQ$9:$AQ$40=$AF$24,""))</f>
        <v>24</v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/>
      </c>
      <c r="AL24" s="400"/>
      <c r="AM24" s="401"/>
      <c r="AN24" s="214"/>
      <c r="AO24" s="127">
        <v>16</v>
      </c>
      <c r="AP24" s="127" t="str">
        <v>楊弘宇</v>
      </c>
      <c r="AQ24" s="127" t="str" cm="1">
        <f t="array" ref="AQ24">IFERROR(_xlfn.XLOOKUP(_xlfn.XLOOKUP($AQ$3,輪休基準表!$C$6:$C$36,_xlfn.XLOOKUP(AP24,輪休基準表!$E$5:$AF$5,輪休基準表!$E$6:$AF$36,""),""),班別參數!$A$4:$A$20,班別參數!$B$4:$B$20,""),"")</f>
        <v>輪休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/>
      </c>
      <c r="AT24" s="180" t="str">
        <f t="shared" si="0"/>
        <v/>
      </c>
      <c r="AU24" s="180" t="str">
        <f t="shared" si="1"/>
        <v/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27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0</v>
      </c>
      <c r="D25" s="95"/>
      <c r="E25" s="95"/>
      <c r="F25" s="95"/>
      <c r="G25" s="122" t="str">
        <f>IF(BC16="","",BC16)</f>
        <v/>
      </c>
      <c r="H25" s="37"/>
      <c r="I25" s="92">
        <f>_xlfn.XLOOKUP(_xlfn.XLOOKUP($AS$6&amp;$B25,公表[班別+時段],公表[救護1],""),$AX$9:$AX$25,$AY$9:$AY$25,"")</f>
        <v>0</v>
      </c>
      <c r="J25" s="92">
        <f>_xlfn.XLOOKUP(_xlfn.XLOOKUP($AS$6&amp;$B25,公表[班別+時段],公表[救護2],""),$AX$9:$AX$25,$AY$9:$AY$25,"")</f>
        <v>0</v>
      </c>
      <c r="K25" s="87"/>
      <c r="L25" s="87" t="s">
        <v>212</v>
      </c>
      <c r="M25" s="312"/>
      <c r="N25" s="87">
        <f>_xlfn.XLOOKUP(_xlfn.XLOOKUP($AS$6&amp;$B25,公表[班別+時段],公表[備勤1],""),$AX$9:$AX$25,$AY$9:$AY$25,"")</f>
        <v>0</v>
      </c>
      <c r="O25" s="87">
        <f>_xlfn.XLOOKUP(_xlfn.XLOOKUP($AS$6&amp;$B25,公表[班別+時段],公表[備勤2],""),$AX$9:$AX$25,$AY$9:$AY$25,"")</f>
        <v>0</v>
      </c>
      <c r="P25" s="87"/>
      <c r="Q25" s="87">
        <f>_xlfn.XLOOKUP(_xlfn.XLOOKUP($AS$6&amp;$B25,公表[班別+時段],公表[備勤3],""),$AX$9:$AX$25,$AY$9:$AY$25,"")</f>
        <v>0</v>
      </c>
      <c r="R25" s="87">
        <f>_xlfn.XLOOKUP(_xlfn.XLOOKUP($AS$6&amp;$B25,公表[班別+時段],公表[備勤4],""),$AX$9:$AX$25,$AY$9:$AY$25,"")</f>
        <v>0</v>
      </c>
      <c r="S25" s="87"/>
      <c r="T25" s="87">
        <f>_xlfn.XLOOKUP(_xlfn.XLOOKUP($AS$6&amp;$B25,公表[班別+時段],公表[備勤5],""),$AX$9:$AX$25,$AY$9:$AY$25,"")</f>
        <v>3</v>
      </c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87"/>
      <c r="AC25" s="87"/>
      <c r="AD25" s="87"/>
      <c r="AE25" s="88">
        <f>_xlfn.XLOOKUP(_xlfn.XLOOKUP($AS$6&amp;$B25,公表[班別+時段],公表[指揮官],""),$AX$9:$AX$25,$AY$9:$AY$25,"")</f>
        <v>2</v>
      </c>
      <c r="AF25" s="57" t="s">
        <v>28</v>
      </c>
      <c r="AG25" s="305" t="str" cm="1">
        <f t="array" ref="AG25">_xlfn.TEXTJOIN(".",1,_xlfn._xlws.FILTER($AO$9:$AO$40,$AQ$9:$AQ$40=$AF$25,""))</f>
        <v>4.8.19</v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>13.14.20.22</v>
      </c>
      <c r="AL25" s="309"/>
      <c r="AM25" s="310"/>
      <c r="AN25" s="214"/>
      <c r="AO25" s="127">
        <v>17</v>
      </c>
      <c r="AP25" s="127" t="str">
        <v>楊仲豪</v>
      </c>
      <c r="AQ25" s="127" t="str" cm="1">
        <f t="array" ref="AQ25">IFERROR(_xlfn.XLOOKUP(_xlfn.XLOOKUP($AQ$3,輪休基準表!$C$6:$C$36,_xlfn.XLOOKUP(AP25,輪休基準表!$E$5:$AF$5,輪休基準表!$E$6:$AF$36,""),""),班別參數!$A$4:$A$20,班別參數!$B$4:$B$20,""),"")</f>
        <v>上班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>未排</v>
      </c>
      <c r="AT25" s="180" t="str">
        <f t="shared" si="0"/>
        <v/>
      </c>
      <c r="AU25" s="180" t="str">
        <f t="shared" si="1"/>
        <v/>
      </c>
      <c r="AW25" s="33"/>
      <c r="AX25" s="45"/>
      <c r="AY25" s="25"/>
      <c r="AZ25" s="28"/>
      <c r="BA25" s="33"/>
      <c r="BB25" s="25"/>
      <c r="BD25" s="127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0</v>
      </c>
      <c r="D26" s="95"/>
      <c r="E26" s="95"/>
      <c r="F26" s="95"/>
      <c r="G26" s="122" t="str">
        <f>IF(BC17="","",BC17)</f>
        <v/>
      </c>
      <c r="H26" s="37"/>
      <c r="I26" s="92">
        <f>_xlfn.XLOOKUP(_xlfn.XLOOKUP($AS$6&amp;$B26,公表[班別+時段],公表[救護1],""),$AX$9:$AX$25,$AY$9:$AY$25,"")</f>
        <v>0</v>
      </c>
      <c r="J26" s="92">
        <f>_xlfn.XLOOKUP(_xlfn.XLOOKUP($AS$6&amp;$B26,公表[班別+時段],公表[救護2],""),$AX$9:$AX$25,$AY$9:$AY$25,"")</f>
        <v>0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0</v>
      </c>
      <c r="O26" s="87">
        <f>_xlfn.XLOOKUP(_xlfn.XLOOKUP($AS$6&amp;$B26,公表[班別+時段],公表[備勤2],""),$AX$9:$AX$25,$AY$9:$AY$25,"")</f>
        <v>0</v>
      </c>
      <c r="P26" s="87"/>
      <c r="Q26" s="87">
        <f>_xlfn.XLOOKUP(_xlfn.XLOOKUP($AS$6&amp;$B26,公表[班別+時段],公表[備勤3],""),$AX$9:$AX$25,$AY$9:$AY$25,"")</f>
        <v>0</v>
      </c>
      <c r="R26" s="87">
        <f>_xlfn.XLOOKUP(_xlfn.XLOOKUP($AS$6&amp;$B26,公表[班別+時段],公表[備勤4],""),$AX$9:$AX$25,$AY$9:$AY$25,"")</f>
        <v>0</v>
      </c>
      <c r="S26" s="87"/>
      <c r="T26" s="87">
        <f>_xlfn.XLOOKUP(_xlfn.XLOOKUP($AS$6&amp;$B26,公表[班別+時段],公表[備勤5],""),$AX$9:$AX$25,$AY$9:$AY$25,"")</f>
        <v>3</v>
      </c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87"/>
      <c r="AC26" s="87"/>
      <c r="AD26" s="87"/>
      <c r="AE26" s="88">
        <f>_xlfn.XLOOKUP(_xlfn.XLOOKUP($AS$6&amp;$B26,公表[班別+時段],公表[指揮官],""),$AX$9:$AX$25,$AY$9:$AY$25,"")</f>
        <v>2</v>
      </c>
      <c r="AF26" s="57" t="s">
        <v>289</v>
      </c>
      <c r="AG26" s="178" t="str" cm="1">
        <f t="array" ref="AG26">_xlfn.TEXTJOIN(".",1,_xlfn._xlws.FILTER($AO$9:$AO$40,$AQ$9:$AQ$40=$AF$26,""))</f>
        <v/>
      </c>
      <c r="AH26" s="168" t="s">
        <v>290</v>
      </c>
      <c r="AI26" s="179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/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27">
        <v>18</v>
      </c>
      <c r="AP26" s="127" t="str">
        <v>林志偉</v>
      </c>
      <c r="AQ26" s="127" t="str" cm="1">
        <f t="array" ref="AQ26">IFERROR(_xlfn.XLOOKUP(_xlfn.XLOOKUP($AQ$3,輪休基準表!$C$6:$C$36,_xlfn.XLOOKUP(AP26,輪休基準表!$E$5:$AF$5,輪休基準表!$E$6:$AF$36,""),""),班別參數!$A$4:$A$20,班別參數!$B$4:$B$20,""),"")</f>
        <v>輪休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/>
      </c>
      <c r="AT26" s="180" t="str">
        <f t="shared" si="0"/>
        <v/>
      </c>
      <c r="AU26" s="180" t="str">
        <f t="shared" si="1"/>
        <v/>
      </c>
      <c r="AV26" s="10"/>
      <c r="AW26" s="46"/>
      <c r="AX26" s="45"/>
      <c r="AY26" s="25"/>
      <c r="AZ26" s="28"/>
      <c r="BA26" s="33"/>
      <c r="BB26" s="25"/>
      <c r="BD26" s="127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0</v>
      </c>
      <c r="D27" s="95"/>
      <c r="E27" s="95"/>
      <c r="F27" s="95"/>
      <c r="G27" s="122" t="str">
        <f>IF(BC17="","",BC17)</f>
        <v/>
      </c>
      <c r="H27" s="37"/>
      <c r="I27" s="92">
        <f>_xlfn.XLOOKUP(_xlfn.XLOOKUP($AS$6&amp;$B27,公表[班別+時段],公表[救護1],""),$AX$9:$AX$25,$AY$9:$AY$25,"")</f>
        <v>0</v>
      </c>
      <c r="J27" s="92">
        <f>_xlfn.XLOOKUP(_xlfn.XLOOKUP($AS$6&amp;$B27,公表[班別+時段],公表[救護2],""),$AX$9:$AX$25,$AY$9:$AY$25,"")</f>
        <v>0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0</v>
      </c>
      <c r="O27" s="87">
        <f>_xlfn.XLOOKUP(_xlfn.XLOOKUP($AS$6&amp;$B27,公表[班別+時段],公表[備勤2],""),$AX$9:$AX$25,$AY$9:$AY$25,"")</f>
        <v>0</v>
      </c>
      <c r="P27" s="87"/>
      <c r="Q27" s="87">
        <f>_xlfn.XLOOKUP(_xlfn.XLOOKUP($AS$6&amp;$B27,公表[班別+時段],公表[備勤3],""),$AX$9:$AX$25,$AY$9:$AY$25,"")</f>
        <v>0</v>
      </c>
      <c r="R27" s="87">
        <f>_xlfn.XLOOKUP(_xlfn.XLOOKUP($AS$6&amp;$B27,公表[班別+時段],公表[備勤4],""),$AX$9:$AX$25,$AY$9:$AY$25,"")</f>
        <v>0</v>
      </c>
      <c r="S27" s="87"/>
      <c r="T27" s="87">
        <f>_xlfn.XLOOKUP(_xlfn.XLOOKUP($AS$6&amp;$B27,公表[班別+時段],公表[備勤5],""),$AX$9:$AX$25,$AY$9:$AY$25,"")</f>
        <v>3</v>
      </c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87"/>
      <c r="AC27" s="87"/>
      <c r="AD27" s="87"/>
      <c r="AE27" s="88">
        <f>_xlfn.XLOOKUP(_xlfn.XLOOKUP($AS$6&amp;$B27,公表[班別+時段],公表[指揮官],""),$AX$9:$AX$25,$AY$9:$AY$25,"")</f>
        <v>2</v>
      </c>
      <c r="AF27" s="317" t="s">
        <v>215</v>
      </c>
      <c r="AG27" s="319"/>
      <c r="AH27" s="321"/>
      <c r="AI27" s="321"/>
      <c r="AJ27" s="321"/>
      <c r="AK27" s="321"/>
      <c r="AL27" s="321"/>
      <c r="AM27" s="322"/>
      <c r="AN27" s="214"/>
      <c r="AO27" s="127">
        <v>19</v>
      </c>
      <c r="AP27" s="127" t="str">
        <v>劉家誠</v>
      </c>
      <c r="AQ27" s="127" t="str" cm="1">
        <f t="array" ref="AQ27">IFERROR(_xlfn.XLOOKUP(_xlfn.XLOOKUP($AQ$3,輪休基準表!$C$6:$C$36,_xlfn.XLOOKUP(AP27,輪休基準表!$E$5:$AF$5,輪休基準表!$E$6:$AF$36,""),""),班別參數!$A$4:$A$20,班別參數!$B$4:$B$20,""),"")</f>
        <v>請休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/>
      </c>
      <c r="AT27" s="180" t="str">
        <f t="shared" si="0"/>
        <v/>
      </c>
      <c r="AU27" s="180" t="str">
        <f t="shared" si="1"/>
        <v/>
      </c>
      <c r="AV27" s="10"/>
      <c r="AW27" s="46"/>
      <c r="AX27" s="45"/>
      <c r="AY27" s="25"/>
      <c r="AZ27" s="28"/>
      <c r="BA27" s="33"/>
      <c r="BB27" s="25"/>
      <c r="BD27" s="127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0</v>
      </c>
      <c r="D28" s="95"/>
      <c r="E28" s="95"/>
      <c r="F28" s="95"/>
      <c r="G28" s="122" t="str">
        <f>IF(BC18="","",BC18)</f>
        <v/>
      </c>
      <c r="H28" s="37"/>
      <c r="I28" s="92">
        <f>_xlfn.XLOOKUP(_xlfn.XLOOKUP($AS$6&amp;$B28,公表[班別+時段],公表[救護1],""),$AX$9:$AX$25,$AY$9:$AY$25,"")</f>
        <v>0</v>
      </c>
      <c r="J28" s="92">
        <f>_xlfn.XLOOKUP(_xlfn.XLOOKUP($AS$6&amp;$B28,公表[班別+時段],公表[救護2],""),$AX$9:$AX$25,$AY$9:$AY$25,"")</f>
        <v>0</v>
      </c>
      <c r="K28" s="87"/>
      <c r="L28" s="87" t="s">
        <v>212</v>
      </c>
      <c r="M28" s="312"/>
      <c r="N28" s="87">
        <f>_xlfn.XLOOKUP(_xlfn.XLOOKUP($AS$6&amp;$B28,公表[班別+時段],公表[備勤1],""),$AX$9:$AX$25,$AY$9:$AY$25,"")</f>
        <v>0</v>
      </c>
      <c r="O28" s="87">
        <f>_xlfn.XLOOKUP(_xlfn.XLOOKUP($AS$6&amp;$B28,公表[班別+時段],公表[備勤2],""),$AX$9:$AX$25,$AY$9:$AY$25,"")</f>
        <v>0</v>
      </c>
      <c r="P28" s="87"/>
      <c r="Q28" s="87">
        <f>_xlfn.XLOOKUP(_xlfn.XLOOKUP($AS$6&amp;$B28,公表[班別+時段],公表[備勤3],""),$AX$9:$AX$25,$AY$9:$AY$25,"")</f>
        <v>0</v>
      </c>
      <c r="R28" s="87">
        <f>_xlfn.XLOOKUP(_xlfn.XLOOKUP($AS$6&amp;$B28,公表[班別+時段],公表[備勤4],""),$AX$9:$AX$25,$AY$9:$AY$25,"")</f>
        <v>0</v>
      </c>
      <c r="S28" s="87"/>
      <c r="T28" s="87">
        <f>_xlfn.XLOOKUP(_xlfn.XLOOKUP($AS$6&amp;$B28,公表[班別+時段],公表[備勤5],""),$AX$9:$AX$25,$AY$9:$AY$25,"")</f>
        <v>3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87"/>
      <c r="AC28" s="87"/>
      <c r="AD28" s="87"/>
      <c r="AE28" s="88">
        <f>_xlfn.XLOOKUP(_xlfn.XLOOKUP($AS$6&amp;$B28,公表[班別+時段],公表[指揮官],""),$AX$9:$AX$25,$AY$9:$AY$25,"")</f>
        <v>2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27">
        <v>20</v>
      </c>
      <c r="AP28" s="127" t="str">
        <v>呂奇霈</v>
      </c>
      <c r="AQ28" s="127" t="str" cm="1">
        <f t="array" ref="AQ28">IFERROR(_xlfn.XLOOKUP(_xlfn.XLOOKUP($AQ$3,輪休基準表!$C$6:$C$36,_xlfn.XLOOKUP(AP28,輪休基準表!$E$5:$AF$5,輪休基準表!$E$6:$AF$36,""),""),班別參數!$A$4:$A$20,班別參數!$B$4:$B$20,""),"")</f>
        <v>公假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27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0</v>
      </c>
      <c r="D29" s="95"/>
      <c r="E29" s="95"/>
      <c r="F29" s="95"/>
      <c r="G29" s="122" t="str">
        <f>IF(BC18="","",BC18)</f>
        <v/>
      </c>
      <c r="H29" s="37"/>
      <c r="I29" s="92">
        <f>_xlfn.XLOOKUP(_xlfn.XLOOKUP($AS$6&amp;$B29,公表[班別+時段],公表[救護1],""),$AX$9:$AX$25,$AY$9:$AY$25,"")</f>
        <v>0</v>
      </c>
      <c r="J29" s="92">
        <f>_xlfn.XLOOKUP(_xlfn.XLOOKUP($AS$6&amp;$B29,公表[班別+時段],公表[救護2],""),$AX$9:$AX$25,$AY$9:$AY$25,"")</f>
        <v>0</v>
      </c>
      <c r="K29" s="87"/>
      <c r="L29" s="87" t="s">
        <v>212</v>
      </c>
      <c r="M29" s="312"/>
      <c r="N29" s="87">
        <f>_xlfn.XLOOKUP(_xlfn.XLOOKUP($AS$6&amp;$B29,公表[班別+時段],公表[備勤1],""),$AX$9:$AX$25,$AY$9:$AY$25,"")</f>
        <v>0</v>
      </c>
      <c r="O29" s="87">
        <f>_xlfn.XLOOKUP(_xlfn.XLOOKUP($AS$6&amp;$B29,公表[班別+時段],公表[備勤2],""),$AX$9:$AX$25,$AY$9:$AY$25,"")</f>
        <v>0</v>
      </c>
      <c r="P29" s="87"/>
      <c r="Q29" s="87">
        <f>_xlfn.XLOOKUP(_xlfn.XLOOKUP($AS$6&amp;$B29,公表[班別+時段],公表[備勤3],""),$AX$9:$AX$25,$AY$9:$AY$25,"")</f>
        <v>0</v>
      </c>
      <c r="R29" s="87">
        <f>_xlfn.XLOOKUP(_xlfn.XLOOKUP($AS$6&amp;$B29,公表[班別+時段],公表[備勤4],""),$AX$9:$AX$25,$AY$9:$AY$25,"")</f>
        <v>0</v>
      </c>
      <c r="S29" s="87"/>
      <c r="T29" s="87">
        <f>_xlfn.XLOOKUP(_xlfn.XLOOKUP($AS$6&amp;$B29,公表[班別+時段],公表[備勤5],""),$AX$9:$AX$25,$AY$9:$AY$25,"")</f>
        <v>3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87"/>
      <c r="AC29" s="87"/>
      <c r="AD29" s="87"/>
      <c r="AE29" s="88">
        <f>_xlfn.XLOOKUP(_xlfn.XLOOKUP($AS$6&amp;$B29,公表[班別+時段],公表[指揮官],""),$AX$9:$AX$25,$AY$9:$AY$25,"")</f>
        <v>2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27">
        <v>21</v>
      </c>
      <c r="AP29" s="127" t="str">
        <v>張家和</v>
      </c>
      <c r="AQ29" s="127" t="str" cm="1">
        <f t="array" ref="AQ29">IFERROR(_xlfn.XLOOKUP(_xlfn.XLOOKUP($AQ$3,輪休基準表!$C$6:$C$36,_xlfn.XLOOKUP(AP29,輪休基準表!$E$5:$AF$5,輪休基準表!$E$6:$AF$36,""),""),班別參數!$A$4:$A$20,班別參數!$B$4:$B$20,""),"")</f>
        <v>上班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>未排</v>
      </c>
      <c r="AT29" s="180" t="str">
        <f t="shared" si="0"/>
        <v/>
      </c>
      <c r="AU29" s="180" t="str">
        <f t="shared" si="1"/>
        <v/>
      </c>
      <c r="AV29" s="10"/>
      <c r="AW29" s="47"/>
      <c r="AX29" s="45"/>
      <c r="AY29" s="25"/>
      <c r="AZ29" s="28"/>
      <c r="BA29" s="33"/>
      <c r="BB29" s="25"/>
      <c r="BD29" s="127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0</v>
      </c>
      <c r="D30" s="95"/>
      <c r="E30" s="95"/>
      <c r="F30" s="95"/>
      <c r="G30" s="122" t="str">
        <f>IF(BC19="","",BC19)</f>
        <v/>
      </c>
      <c r="H30" s="37"/>
      <c r="I30" s="92">
        <f>_xlfn.XLOOKUP(_xlfn.XLOOKUP($AS$6&amp;$B30,公表[班別+時段],公表[救護1],""),$AX$9:$AX$25,$AY$9:$AY$25,"")</f>
        <v>0</v>
      </c>
      <c r="J30" s="92">
        <f>_xlfn.XLOOKUP(_xlfn.XLOOKUP($AS$6&amp;$B30,公表[班別+時段],公表[救護2],""),$AX$9:$AX$25,$AY$9:$AY$25,"")</f>
        <v>0</v>
      </c>
      <c r="K30" s="87"/>
      <c r="L30" s="87" t="s">
        <v>212</v>
      </c>
      <c r="M30" s="312"/>
      <c r="N30" s="87">
        <f>_xlfn.XLOOKUP(_xlfn.XLOOKUP($AS$6&amp;$B30,公表[班別+時段],公表[備勤1],""),$AX$9:$AX$25,$AY$9:$AY$25,"")</f>
        <v>0</v>
      </c>
      <c r="O30" s="87">
        <f>_xlfn.XLOOKUP(_xlfn.XLOOKUP($AS$6&amp;$B30,公表[班別+時段],公表[備勤2],""),$AX$9:$AX$25,$AY$9:$AY$25,"")</f>
        <v>0</v>
      </c>
      <c r="P30" s="87"/>
      <c r="Q30" s="87">
        <f>_xlfn.XLOOKUP(_xlfn.XLOOKUP($AS$6&amp;$B30,公表[班別+時段],公表[備勤3],""),$AX$9:$AX$25,$AY$9:$AY$25,"")</f>
        <v>0</v>
      </c>
      <c r="R30" s="87">
        <f>_xlfn.XLOOKUP(_xlfn.XLOOKUP($AS$6&amp;$B30,公表[班別+時段],公表[備勤4],""),$AX$9:$AX$25,$AY$9:$AY$25,"")</f>
        <v>0</v>
      </c>
      <c r="S30" s="87"/>
      <c r="T30" s="87">
        <f>_xlfn.XLOOKUP(_xlfn.XLOOKUP($AS$6&amp;$B30,公表[班別+時段],公表[備勤5],""),$AX$9:$AX$25,$AY$9:$AY$25,"")</f>
        <v>3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87"/>
      <c r="AC30" s="87"/>
      <c r="AD30" s="87"/>
      <c r="AE30" s="88">
        <f>_xlfn.XLOOKUP(_xlfn.XLOOKUP($AS$6&amp;$B30,公表[班別+時段],公表[指揮官],""),$AX$9:$AX$25,$AY$9:$AY$25,"")</f>
        <v>2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27">
        <v>22</v>
      </c>
      <c r="AP30" s="127" t="str">
        <v>陳俊瑋</v>
      </c>
      <c r="AQ30" s="127" t="str" cm="1">
        <f t="array" ref="AQ30">IFERROR(_xlfn.XLOOKUP(_xlfn.XLOOKUP($AQ$3,輪休基準表!$C$6:$C$36,_xlfn.XLOOKUP(AP30,輪休基準表!$E$5:$AF$5,輪休基準表!$E$6:$AF$36,""),""),班別參數!$A$4:$A$20,班別參數!$B$4:$B$20,""),"")</f>
        <v>公假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27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0</v>
      </c>
      <c r="D31" s="106"/>
      <c r="E31" s="96"/>
      <c r="F31" s="96"/>
      <c r="G31" s="123" t="str">
        <f>IF(BC19="","",BC19)</f>
        <v/>
      </c>
      <c r="H31" s="109"/>
      <c r="I31" s="216">
        <f>_xlfn.XLOOKUP(_xlfn.XLOOKUP($AS$6&amp;$B31,公表[班別+時段],公表[救護1],""),$AX$9:$AX$25,$AY$9:$AY$25,"")</f>
        <v>0</v>
      </c>
      <c r="J31" s="216">
        <f>_xlfn.XLOOKUP(_xlfn.XLOOKUP($AS$6&amp;$B31,公表[班別+時段],公表[救護2],""),$AX$9:$AX$25,$AY$9:$AY$25,"")</f>
        <v>0</v>
      </c>
      <c r="K31" s="108"/>
      <c r="L31" s="93" t="s">
        <v>212</v>
      </c>
      <c r="M31" s="312"/>
      <c r="N31" s="89">
        <f>_xlfn.XLOOKUP(_xlfn.XLOOKUP($AS$6&amp;$B31,公表[班別+時段],公表[備勤1],""),$AX$9:$AX$25,$AY$9:$AY$25,"")</f>
        <v>0</v>
      </c>
      <c r="O31" s="89">
        <f>_xlfn.XLOOKUP(_xlfn.XLOOKUP($AS$6&amp;$B31,公表[班別+時段],公表[備勤2],""),$AX$9:$AX$25,$AY$9:$AY$25,"")</f>
        <v>0</v>
      </c>
      <c r="P31" s="89"/>
      <c r="Q31" s="89">
        <f>_xlfn.XLOOKUP(_xlfn.XLOOKUP($AS$6&amp;$B31,公表[班別+時段],公表[備勤3],""),$AX$9:$AX$25,$AY$9:$AY$25,"")</f>
        <v>0</v>
      </c>
      <c r="R31" s="89">
        <f>_xlfn.XLOOKUP(_xlfn.XLOOKUP($AS$6&amp;$B31,公表[班別+時段],公表[備勤4],""),$AX$9:$AX$25,$AY$9:$AY$25,"")</f>
        <v>0</v>
      </c>
      <c r="S31" s="89"/>
      <c r="T31" s="89">
        <f>_xlfn.XLOOKUP(_xlfn.XLOOKUP($AS$6&amp;$B31,公表[班別+時段],公表[備勤5],""),$AX$9:$AX$25,$AY$9:$AY$25,"")</f>
        <v>3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89"/>
      <c r="AC31" s="89"/>
      <c r="AD31" s="89"/>
      <c r="AE31" s="104">
        <f>_xlfn.XLOOKUP(_xlfn.XLOOKUP($AS$6&amp;$B31,公表[班別+時段],公表[指揮官],""),$AX$9:$AX$25,$AY$9:$AY$25,"")</f>
        <v>2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27">
        <v>23</v>
      </c>
      <c r="AP31" s="127" t="str">
        <v>陳俊翰</v>
      </c>
      <c r="AQ31" s="127" t="str" cm="1">
        <f t="array" ref="AQ31">IFERROR(_xlfn.XLOOKUP(_xlfn.XLOOKUP($AQ$3,輪休基準表!$C$6:$C$36,_xlfn.XLOOKUP(AP31,輪休基準表!$E$5:$AF$5,輪休基準表!$E$6:$AF$36,""),""),班別參數!$A$4:$A$20,班別參數!$B$4:$B$20,""),"")</f>
        <v>上班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>未排</v>
      </c>
      <c r="AT31" s="180" t="str">
        <f t="shared" si="0"/>
        <v/>
      </c>
      <c r="AU31" s="180" t="str">
        <f t="shared" si="1"/>
        <v/>
      </c>
      <c r="AW31" s="47"/>
      <c r="AX31" s="45"/>
      <c r="AY31" s="25"/>
      <c r="AZ31" s="28"/>
      <c r="BA31" s="33"/>
      <c r="BB31" s="25"/>
      <c r="BD31" s="127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0</v>
      </c>
      <c r="D32" s="97"/>
      <c r="E32" s="97"/>
      <c r="F32" s="97"/>
      <c r="G32" s="121" t="str">
        <f>IF(BC20="","",BC20)</f>
        <v>3</v>
      </c>
      <c r="H32" s="56"/>
      <c r="I32" s="94">
        <f>_xlfn.XLOOKUP(_xlfn.XLOOKUP($AS$6&amp;$B32,公表[班別+時段],公表[救護1],""),$AX$9:$AX$25,$AY$9:$AY$25,"")</f>
        <v>0</v>
      </c>
      <c r="J32" s="94">
        <f>_xlfn.XLOOKUP(_xlfn.XLOOKUP($AS$6&amp;$B32,公表[班別+時段],公表[救護2],""),$AX$9:$AX$25,$AY$9:$AY$25,"")</f>
        <v>0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0</v>
      </c>
      <c r="O32" s="90">
        <f>_xlfn.XLOOKUP(_xlfn.XLOOKUP($AS$6&amp;$B32,公表[班別+時段],公表[備勤2],""),$AX$9:$AX$25,$AY$9:$AY$25,"")</f>
        <v>0</v>
      </c>
      <c r="P32" s="90"/>
      <c r="Q32" s="90">
        <f>_xlfn.XLOOKUP(_xlfn.XLOOKUP($AS$6&amp;$B32,公表[班別+時段],公表[備勤3],""),$AX$9:$AX$25,$AY$9:$AY$25,"")</f>
        <v>0</v>
      </c>
      <c r="R32" s="90">
        <f>_xlfn.XLOOKUP(_xlfn.XLOOKUP($AS$6&amp;$B32,公表[班別+時段],公表[備勤4],""),$AX$9:$AX$25,$AY$9:$AY$25,"")</f>
        <v>0</v>
      </c>
      <c r="S32" s="90"/>
      <c r="T32" s="90">
        <f>_xlfn.XLOOKUP(_xlfn.XLOOKUP($AS$6&amp;$B32,公表[班別+時段],公表[備勤5],""),$AX$9:$AX$25,$AY$9:$AY$25,"")</f>
        <v>0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90"/>
      <c r="AC32" s="90"/>
      <c r="AD32" s="90"/>
      <c r="AE32" s="91">
        <f>_xlfn.XLOOKUP(_xlfn.XLOOKUP($AS$6&amp;$B32,公表[班別+時段],公表[指揮官],""),$AX$9:$AX$25,$AY$9:$AY$25,"")</f>
        <v>2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27">
        <v>24</v>
      </c>
      <c r="AP32" s="127" t="str">
        <v>賴俊豪</v>
      </c>
      <c r="AQ32" s="127" t="str" cm="1">
        <f t="array" ref="AQ32">IFERROR(_xlfn.XLOOKUP(_xlfn.XLOOKUP($AQ$3,輪休基準表!$C$6:$C$36,_xlfn.XLOOKUP(AP32,輪休基準表!$E$5:$AF$5,輪休基準表!$E$6:$AF$36,""),""),班別參數!$A$4:$A$20,班別參數!$B$4:$B$20,""),"")</f>
        <v>月補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/>
      </c>
      <c r="AT32" s="180" t="str">
        <f t="shared" si="0"/>
        <v/>
      </c>
      <c r="AU32" s="180" t="str">
        <f t="shared" si="1"/>
        <v/>
      </c>
      <c r="AW32" s="47"/>
      <c r="AX32" s="45"/>
      <c r="AY32" s="25"/>
      <c r="AZ32" s="28"/>
      <c r="BA32" s="33"/>
      <c r="BB32" s="25"/>
      <c r="BD32" s="127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0</v>
      </c>
      <c r="D33" s="95"/>
      <c r="E33" s="95"/>
      <c r="F33" s="95"/>
      <c r="G33" s="122" t="str">
        <f>IF(BC20="","",BC20)</f>
        <v>3</v>
      </c>
      <c r="H33" s="48"/>
      <c r="I33" s="92">
        <f>_xlfn.XLOOKUP(_xlfn.XLOOKUP($AS$6&amp;$B33,公表[班別+時段],公表[救護1],""),$AX$9:$AX$25,$AY$9:$AY$25,"")</f>
        <v>0</v>
      </c>
      <c r="J33" s="92">
        <f>_xlfn.XLOOKUP(_xlfn.XLOOKUP($AS$6&amp;$B33,公表[班別+時段],公表[救護2],""),$AX$9:$AX$25,$AY$9:$AY$25,"")</f>
        <v>0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0</v>
      </c>
      <c r="O33" s="87">
        <f>_xlfn.XLOOKUP(_xlfn.XLOOKUP($AS$6&amp;$B33,公表[班別+時段],公表[備勤2],""),$AX$9:$AX$25,$AY$9:$AY$25,"")</f>
        <v>0</v>
      </c>
      <c r="P33" s="87"/>
      <c r="Q33" s="87">
        <f>_xlfn.XLOOKUP(_xlfn.XLOOKUP($AS$6&amp;$B33,公表[班別+時段],公表[備勤3],""),$AX$9:$AX$25,$AY$9:$AY$25,"")</f>
        <v>0</v>
      </c>
      <c r="R33" s="87">
        <f>_xlfn.XLOOKUP(_xlfn.XLOOKUP($AS$6&amp;$B33,公表[班別+時段],公表[備勤4],""),$AX$9:$AX$25,$AY$9:$AY$25,"")</f>
        <v>0</v>
      </c>
      <c r="S33" s="87"/>
      <c r="T33" s="87">
        <f>_xlfn.XLOOKUP(_xlfn.XLOOKUP($AS$6&amp;$B33,公表[班別+時段],公表[備勤5],""),$AX$9:$AX$25,$AY$9:$AY$25,"")</f>
        <v>0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87"/>
      <c r="AC33" s="87"/>
      <c r="AD33" s="87"/>
      <c r="AE33" s="88">
        <f>_xlfn.XLOOKUP(_xlfn.XLOOKUP($AS$6&amp;$B33,公表[班別+時段],公表[指揮官],""),$AX$9:$AX$25,$AY$9:$AY$25,"")</f>
        <v>2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27">
        <v>25</v>
      </c>
      <c r="AP33" s="127" t="str">
        <v>郭國偵</v>
      </c>
      <c r="AQ33" s="127" t="str" cm="1">
        <f t="array" ref="AQ33">IFERROR(_xlfn.XLOOKUP(_xlfn.XLOOKUP($AQ$3,輪休基準表!$C$6:$C$36,_xlfn.XLOOKUP(AP33,輪休基準表!$E$5:$AF$5,輪休基準表!$E$6:$AF$36,""),""),班別參數!$A$4:$A$20,班別參數!$B$4:$B$20,""),"")</f>
        <v>上班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>未排</v>
      </c>
      <c r="AT33" s="180" t="str">
        <f t="shared" si="0"/>
        <v/>
      </c>
      <c r="AU33" s="180" t="str">
        <f t="shared" si="1"/>
        <v/>
      </c>
      <c r="AW33" s="47"/>
      <c r="AX33" s="45"/>
      <c r="AY33" s="25"/>
      <c r="AZ33" s="28"/>
      <c r="BA33" s="25"/>
      <c r="BB33" s="25"/>
      <c r="BD33" s="127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一、本日主管輪休，職務由小隊長莊勝斌代理。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27">
        <v>26</v>
      </c>
      <c r="AP34" s="127" t="str">
        <v>楊紹文</v>
      </c>
      <c r="AQ34" s="127" t="str" cm="1">
        <f t="array" ref="AQ34">IFERROR(_xlfn.XLOOKUP(_xlfn.XLOOKUP($AQ$3,輪休基準表!$C$6:$C$36,_xlfn.XLOOKUP(AP34,輪休基準表!$E$5:$AF$5,輪休基準表!$E$6:$AF$36,""),""),班別參數!$A$4:$A$20,班別參數!$B$4:$B$20,""),"")</f>
        <v>上班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>未排</v>
      </c>
      <c r="AT34" s="180" t="str">
        <f t="shared" si="0"/>
        <v/>
      </c>
      <c r="AU34" s="180" t="str">
        <f t="shared" si="1"/>
        <v/>
      </c>
      <c r="AW34" s="47"/>
      <c r="AX34" s="45"/>
      <c r="AY34" s="25"/>
      <c r="AZ34" s="28"/>
      <c r="BA34" s="25"/>
      <c r="BB34" s="25"/>
      <c r="BD34" s="127"/>
    </row>
    <row r="35" spans="2:56" ht="30" customHeight="1">
      <c r="B35" s="349"/>
      <c r="C35" s="359" t="str">
        <f>CONCATENATE("二、在隊訓練:09-12時:",H11,";14-17時:",H16,";19-21時:",H21,"。")</f>
        <v>二、在隊訓練:09-12時:車輛裝備基礎保養維護;14-17時:戰術體能訓練;19-21時:救護訓練。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27">
        <v>27</v>
      </c>
      <c r="AP35" s="127" t="str">
        <v>林宏為</v>
      </c>
      <c r="AQ35" s="127" t="str" cm="1">
        <f t="array" ref="AQ35">IFERROR(_xlfn.XLOOKUP(_xlfn.XLOOKUP($AQ$3,輪休基準表!$C$6:$C$36,_xlfn.XLOOKUP(AP35,輪休基準表!$E$5:$AF$5,輪休基準表!$E$6:$AF$36,""),""),班別參數!$A$4:$A$20,班別參數!$B$4:$B$20,""),"")</f>
        <v>上班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>未排</v>
      </c>
      <c r="AT35" s="180" t="str">
        <f t="shared" si="0"/>
        <v/>
      </c>
      <c r="AU35" s="180" t="str">
        <f t="shared" si="1"/>
        <v/>
      </c>
      <c r="AW35" s="47"/>
      <c r="AX35" s="45"/>
      <c r="AY35" s="25"/>
      <c r="AZ35" s="28"/>
      <c r="BA35" s="25"/>
      <c r="BB35" s="25"/>
      <c r="BD35" s="127"/>
    </row>
    <row r="36" spans="2:56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27">
        <v>28</v>
      </c>
      <c r="AP36" s="127" t="str">
        <v>林宸彥</v>
      </c>
      <c r="AQ36" s="127" t="str" cm="1">
        <f t="array" ref="AQ36">IFERROR(_xlfn.XLOOKUP(_xlfn.XLOOKUP($AQ$3,輪休基準表!$C$6:$C$36,_xlfn.XLOOKUP(AP36,輪休基準表!$E$5:$AF$5,輪休基準表!$E$6:$AF$36,""),""),班別參數!$A$4:$A$20,班別參數!$B$4:$B$20,""),"")</f>
        <v>上班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>未排</v>
      </c>
      <c r="AT36" s="180" t="str">
        <f t="shared" si="0"/>
        <v/>
      </c>
      <c r="AU36" s="180" t="str">
        <f t="shared" si="1"/>
        <v/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27"/>
      <c r="AP37" s="127"/>
      <c r="AQ37" s="127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27"/>
      <c r="BD37" s="10"/>
    </row>
    <row r="38" spans="2:56" ht="15" customHeight="1">
      <c r="AQ38" s="127"/>
      <c r="AR38" s="118"/>
      <c r="AS38" s="119"/>
      <c r="AT38" s="119"/>
    </row>
    <row r="39" spans="2:56" ht="15" customHeight="1">
      <c r="AR39" s="118"/>
      <c r="AS39" s="119"/>
      <c r="AT39" s="119"/>
    </row>
    <row r="40" spans="2:56" ht="15" customHeight="1">
      <c r="AR40" s="118"/>
      <c r="AS40" s="119"/>
      <c r="AT40" s="119"/>
    </row>
  </sheetData>
  <mergeCells count="71">
    <mergeCell ref="AG22:AK22"/>
    <mergeCell ref="AG23:AM23"/>
    <mergeCell ref="AG24:AI24"/>
    <mergeCell ref="AK24:AM24"/>
    <mergeCell ref="AF33:AG33"/>
    <mergeCell ref="AH33:AI33"/>
    <mergeCell ref="AJ33:AK33"/>
    <mergeCell ref="AF31:AG31"/>
    <mergeCell ref="AH31:AI31"/>
    <mergeCell ref="AJ31:AK31"/>
    <mergeCell ref="AF32:AG32"/>
    <mergeCell ref="AH32:AI32"/>
    <mergeCell ref="AJ32:AK32"/>
    <mergeCell ref="AF27:AF28"/>
    <mergeCell ref="AG27:AM27"/>
    <mergeCell ref="AG28:AM28"/>
    <mergeCell ref="B34:B36"/>
    <mergeCell ref="C34:AE34"/>
    <mergeCell ref="AF34:AM34"/>
    <mergeCell ref="C35:AE35"/>
    <mergeCell ref="AF35:AM35"/>
    <mergeCell ref="C36:AE36"/>
    <mergeCell ref="AF36:AM36"/>
    <mergeCell ref="AF29:AM29"/>
    <mergeCell ref="AF30:AG30"/>
    <mergeCell ref="AH30:AI30"/>
    <mergeCell ref="AJ30:AK30"/>
    <mergeCell ref="AG25:AI25"/>
    <mergeCell ref="AK25:AM25"/>
    <mergeCell ref="C8:AE8"/>
    <mergeCell ref="C9:AE9"/>
    <mergeCell ref="M10:M33"/>
    <mergeCell ref="H11:H13"/>
    <mergeCell ref="H16:H18"/>
    <mergeCell ref="H21:H22"/>
    <mergeCell ref="I6:J6"/>
    <mergeCell ref="K6:L6"/>
    <mergeCell ref="N6:P6"/>
    <mergeCell ref="Q6:S6"/>
    <mergeCell ref="T6:V6"/>
    <mergeCell ref="AF5:AM6"/>
    <mergeCell ref="AO5:AO6"/>
    <mergeCell ref="T7:V7"/>
    <mergeCell ref="AR5:AR6"/>
    <mergeCell ref="AS5:AT5"/>
    <mergeCell ref="W6:Y6"/>
    <mergeCell ref="AE6:AE7"/>
    <mergeCell ref="AS6:AT6"/>
    <mergeCell ref="AP5:AQ6"/>
    <mergeCell ref="G5:G7"/>
    <mergeCell ref="B3:AM3"/>
    <mergeCell ref="AW3:AX3"/>
    <mergeCell ref="AY3:BB3"/>
    <mergeCell ref="B4:AI4"/>
    <mergeCell ref="AJ4:AM4"/>
    <mergeCell ref="AW4:AX4"/>
    <mergeCell ref="AY4:BB4"/>
    <mergeCell ref="B5:B7"/>
    <mergeCell ref="C5:C7"/>
    <mergeCell ref="D5:D7"/>
    <mergeCell ref="E5:E7"/>
    <mergeCell ref="F5:F7"/>
    <mergeCell ref="H5:H7"/>
    <mergeCell ref="I5:L5"/>
    <mergeCell ref="M5:AE5"/>
    <mergeCell ref="AY2:BB2"/>
    <mergeCell ref="B1:AE1"/>
    <mergeCell ref="AP1:AQ1"/>
    <mergeCell ref="B2:AE2"/>
    <mergeCell ref="AG2:AM2"/>
    <mergeCell ref="AW2:AX2"/>
  </mergeCells>
  <phoneticPr fontId="9" type="noConversion"/>
  <conditionalFormatting sqref="AO9:AQ36 AO37:AP37 AQ37:AQ38">
    <cfRule type="expression" dxfId="31" priority="16">
      <formula>COUNTIF($AQ9,"上班")&gt;=1</formula>
    </cfRule>
  </conditionalFormatting>
  <conditionalFormatting sqref="AF8:AF13 AH8:AH21 AJ8:AJ21 AL8:AM21">
    <cfRule type="expression" dxfId="30" priority="11">
      <formula>OR(VLOOKUP(AF8,$AO$9:$AQ$40,3,0)="上班",VLOOKUP(AF8,$AO$9:$AQ$40,3,0)="外宿")</formula>
    </cfRule>
  </conditionalFormatting>
  <conditionalFormatting sqref="AL8">
    <cfRule type="expression" dxfId="29" priority="10">
      <formula>OR(VLOOKUP(AL8,$AO$9:$AQ$36,3,0)="上班",VLOOKUP(AL8,$AO$9:$AQ$36,3,0)="外宿")</formula>
    </cfRule>
  </conditionalFormatting>
  <conditionalFormatting sqref="AR9:AR36">
    <cfRule type="notContainsText" dxfId="28" priority="2" operator="notContains" text="已排">
      <formula>ISERROR(SEARCH("已排",AR9))</formula>
    </cfRule>
  </conditionalFormatting>
  <conditionalFormatting sqref="AS9:AS36">
    <cfRule type="notContainsText" dxfId="27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5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4517D-B87C-4A49-9238-1BB06ECDBD76}">
  <sheetPr codeName="工作表33">
    <pageSetUpPr fitToPage="1"/>
  </sheetPr>
  <dimension ref="B1:BD40"/>
  <sheetViews>
    <sheetView showZeros="0" view="pageBreakPreview" zoomScale="55" zoomScaleNormal="55" zoomScaleSheetLayoutView="55" workbookViewId="0">
      <selection activeCell="I6" sqref="I6:V7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6" width="5.375" style="126" customWidth="1"/>
    <col min="7" max="8" width="8.625" style="126" customWidth="1"/>
    <col min="9" max="12" width="5.375" style="126" customWidth="1"/>
    <col min="13" max="13" width="6.625" style="126" customWidth="1"/>
    <col min="14" max="31" width="5.375" style="126" customWidth="1"/>
    <col min="32" max="32" width="7.625" style="126" customWidth="1"/>
    <col min="33" max="33" width="10.625" style="126" customWidth="1"/>
    <col min="34" max="34" width="7.625" style="126" customWidth="1"/>
    <col min="35" max="35" width="10.625" style="126" customWidth="1"/>
    <col min="36" max="36" width="7.625" style="126" customWidth="1"/>
    <col min="37" max="37" width="10.625" style="126" customWidth="1"/>
    <col min="38" max="38" width="7.625" style="126" customWidth="1"/>
    <col min="39" max="39" width="10.625" style="126" customWidth="1"/>
    <col min="40" max="40" width="4.125" style="213" customWidth="1"/>
    <col min="41" max="47" width="11.625" style="126" customWidth="1"/>
    <col min="48" max="48" width="4.125" style="126" customWidth="1"/>
    <col min="49" max="49" width="16" style="126" customWidth="1"/>
    <col min="50" max="51" width="8.25" style="126" customWidth="1"/>
    <col min="52" max="52" width="4.125" style="126" customWidth="1"/>
    <col min="53" max="53" width="16" style="126" customWidth="1"/>
    <col min="54" max="54" width="8.25" style="126" customWidth="1"/>
    <col min="55" max="55" width="10.875" style="126" customWidth="1"/>
    <col min="56" max="58" width="4.125" style="126" customWidth="1"/>
    <col min="59" max="16384" width="11.25" style="126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27"/>
      <c r="AP1" s="399"/>
      <c r="AQ1" s="399"/>
      <c r="AR1" s="127"/>
      <c r="AS1" s="127"/>
      <c r="AT1" s="127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3" t="s">
        <v>178</v>
      </c>
      <c r="AR2" s="146" t="s">
        <v>228</v>
      </c>
      <c r="AS2" s="142"/>
      <c r="AT2" s="140"/>
      <c r="AU2" s="127"/>
      <c r="AV2" s="127"/>
      <c r="AW2" s="362" t="s">
        <v>127</v>
      </c>
      <c r="AX2" s="287"/>
      <c r="AY2" s="367" t="str">
        <f>_xlfn.XLOOKUP($AR$3,訓練!$L$13:$L$19,訓練!$M$13:$M$19,"")</f>
        <v>救生艇拆裝組合訓練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115年5月29日星期五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29</v>
      </c>
      <c r="AR3" s="141" t="str">
        <f>RIGHT(TEXT(1911+$AO$3&amp;"/"&amp;$AP$3&amp;"/"&amp;$AQ$3,"aaaa"),1)</f>
        <v>五</v>
      </c>
      <c r="AS3" s="145"/>
      <c r="AT3" s="145"/>
      <c r="AU3" s="127"/>
      <c r="AV3" s="127"/>
      <c r="AW3" s="362" t="s">
        <v>128</v>
      </c>
      <c r="AX3" s="287"/>
      <c r="AY3" s="368" t="str">
        <f>_xlfn.XLOOKUP($AR$3,訓練!$L$13:$L$19,訓練!$N$13:$N$19,"")</f>
        <v>船外機與橡皮艇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27"/>
      <c r="AU4" s="127"/>
      <c r="AV4" s="127"/>
      <c r="AW4" s="362" t="s">
        <v>129</v>
      </c>
      <c r="AX4" s="287"/>
      <c r="AY4" s="363" t="str">
        <f>_xlfn.XLOOKUP($AR$3,訓練!$L$13:$L$19,訓練!$O$13:$O$19,"")</f>
        <v>個人水域防護裝備介紹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2"/>
      <c r="E5" s="340"/>
      <c r="F5" s="340"/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341"/>
      <c r="E6" s="341"/>
      <c r="F6" s="341"/>
      <c r="G6" s="312"/>
      <c r="H6" s="312"/>
      <c r="I6" s="334" t="s">
        <v>227</v>
      </c>
      <c r="J6" s="335"/>
      <c r="K6" s="334" t="s">
        <v>346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2+7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341"/>
      <c r="E7" s="341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192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27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27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27" cm="1">
        <f t="array" ref="AO9:AP36">TRANSPOSE(輪休基準表!E4:AF5)</f>
        <v>1</v>
      </c>
      <c r="AP9" s="127" t="str">
        <v>鄧力嘉</v>
      </c>
      <c r="AQ9" s="127" t="str" cm="1">
        <f t="array" ref="AQ9">IFERROR(_xlfn.XLOOKUP(_xlfn.XLOOKUP($AQ$3,輪休基準表!$C$6:$C$36,_xlfn.XLOOKUP(AP9,輪休基準表!$E$5:$AF$5,輪休基準表!$E$6:$AF$36,""),""),班別參數!$A$4:$A$20,班別參數!$B$4:$B$20,""),"")</f>
        <v>上班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>已排</v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 t="array" ref="AX9">IFERROR(INDEX(班別參數!$D$4:$S$20,MATCH(AW9,班別參數!$D$4:$D$20,0),MATCH($AS$6,班別參數!$D$4:$S$4,0)),"")</f>
        <v>A</v>
      </c>
      <c r="AY9" s="35"/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H,K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1</v>
      </c>
      <c r="BD9" s="127"/>
    </row>
    <row r="10" spans="2:56" ht="30" customHeight="1">
      <c r="B10" s="81" t="s">
        <v>70</v>
      </c>
      <c r="C10" s="87">
        <f>_xlfn.XLOOKUP(_xlfn.XLOOKUP($AS$6&amp;$B10,公表[班別+時段],公表[值班],""),$AX$9:$AX$25,$AY$9:$AY$25,"")</f>
        <v>0</v>
      </c>
      <c r="D10" s="95"/>
      <c r="E10" s="95"/>
      <c r="F10" s="95"/>
      <c r="G10" s="122" t="str">
        <f>IF(BC9="","",BC9)</f>
        <v>1</v>
      </c>
      <c r="H10" s="37"/>
      <c r="I10" s="92">
        <f>_xlfn.XLOOKUP(_xlfn.XLOOKUP($AS$6&amp;$B10,公表[班別+時段],公表[救護1],""),$AX$9:$AX$25,$AY$9:$AY$25,"")</f>
        <v>0</v>
      </c>
      <c r="J10" s="92">
        <f>_xlfn.XLOOKUP(_xlfn.XLOOKUP($AS$6&amp;$B10,公表[班別+時段],公表[救護2],""),$AX$9:$AX$25,$AY$9:$AY$25,"")</f>
        <v>0</v>
      </c>
      <c r="K10" s="87"/>
      <c r="L10" s="87" t="s">
        <v>212</v>
      </c>
      <c r="M10" s="311"/>
      <c r="N10" s="87">
        <f>_xlfn.XLOOKUP(_xlfn.XLOOKUP($AS$6&amp;$B10,公表[班別+時段],公表[備勤1],""),$AX$9:$AX$25,$AY$9:$AY$25,"")</f>
        <v>0</v>
      </c>
      <c r="O10" s="87">
        <f>_xlfn.XLOOKUP(_xlfn.XLOOKUP($AS$6&amp;$B10,公表[班別+時段],公表[備勤2],""),$AX$9:$AX$25,$AY$9:$AY$25,"")</f>
        <v>0</v>
      </c>
      <c r="P10" s="87"/>
      <c r="Q10" s="87">
        <f>_xlfn.XLOOKUP(_xlfn.XLOOKUP($AS$6&amp;$B10,公表[班別+時段],公表[備勤3],""),$AX$9:$AX$25,$AY$9:$AY$25,"")</f>
        <v>0</v>
      </c>
      <c r="R10" s="87">
        <f>_xlfn.XLOOKUP(_xlfn.XLOOKUP($AS$6&amp;$B10,公表[班別+時段],公表[備勤4],""),$AX$9:$AX$25,$AY$9:$AY$25,"")</f>
        <v>0</v>
      </c>
      <c r="S10" s="87"/>
      <c r="T10" s="87">
        <f>_xlfn.XLOOKUP(_xlfn.XLOOKUP($AS$6&amp;$B10,公表[班別+時段],公表[備勤5],""),$AX$9:$AX$25,$AY$9:$AY$25,"")</f>
        <v>0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87"/>
      <c r="AB10" s="87"/>
      <c r="AC10" s="87"/>
      <c r="AD10" s="87"/>
      <c r="AE10" s="88">
        <f>_xlfn.XLOOKUP(_xlfn.XLOOKUP($AS$6&amp;$B10,公表[班別+時段],公表[指揮官],""),$AX$9:$AX$25,$AY$9:$AY$25,"")</f>
        <v>5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27">
        <v>2</v>
      </c>
      <c r="AP10" s="127" t="str">
        <v>莊勝斌</v>
      </c>
      <c r="AQ10" s="127" t="str" cm="1">
        <f t="array" ref="AQ10">IFERROR(_xlfn.XLOOKUP(_xlfn.XLOOKUP($AQ$3,輪休基準表!$C$6:$C$36,_xlfn.XLOOKUP(AP10,輪休基準表!$E$5:$AF$5,輪休基準表!$E$6:$AF$36,""),""),班別參數!$A$4:$A$20,班別參數!$B$4:$B$20,""),"")</f>
        <v>輪休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/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/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/>
      </c>
      <c r="BD10" s="127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0</v>
      </c>
      <c r="D11" s="95"/>
      <c r="E11" s="95"/>
      <c r="F11" s="95"/>
      <c r="G11" s="122" t="str">
        <f>IF(BC9="","",BC9)</f>
        <v>1</v>
      </c>
      <c r="H11" s="296" t="str">
        <f>AY2</f>
        <v>救生艇拆裝組合訓練</v>
      </c>
      <c r="I11" s="92">
        <f>_xlfn.XLOOKUP(_xlfn.XLOOKUP($AS$6&amp;$B11,公表[班別+時段],公表[救護1],""),$AX$9:$AX$25,$AY$9:$AY$25,"")</f>
        <v>0</v>
      </c>
      <c r="J11" s="92">
        <f>_xlfn.XLOOKUP(_xlfn.XLOOKUP($AS$6&amp;$B11,公表[班別+時段],公表[救護2],""),$AX$9:$AX$25,$AY$9:$AY$25,"")</f>
        <v>0</v>
      </c>
      <c r="K11" s="87"/>
      <c r="L11" s="87" t="s">
        <v>212</v>
      </c>
      <c r="M11" s="312"/>
      <c r="N11" s="87">
        <f>_xlfn.XLOOKUP(_xlfn.XLOOKUP($AS$6&amp;$B11,公表[班別+時段],公表[備勤1],""),$AX$9:$AX$25,$AY$9:$AY$25,"")</f>
        <v>0</v>
      </c>
      <c r="O11" s="87">
        <f>_xlfn.XLOOKUP(_xlfn.XLOOKUP($AS$6&amp;$B11,公表[班別+時段],公表[備勤2],""),$AX$9:$AX$25,$AY$9:$AY$25,"")</f>
        <v>0</v>
      </c>
      <c r="P11" s="87"/>
      <c r="Q11" s="87">
        <f>_xlfn.XLOOKUP(_xlfn.XLOOKUP($AS$6&amp;$B11,公表[班別+時段],公表[備勤3],""),$AX$9:$AX$25,$AY$9:$AY$25,"")</f>
        <v>0</v>
      </c>
      <c r="R11" s="87">
        <f>_xlfn.XLOOKUP(_xlfn.XLOOKUP($AS$6&amp;$B11,公表[班別+時段],公表[備勤4],""),$AX$9:$AX$25,$AY$9:$AY$25,"")</f>
        <v>0</v>
      </c>
      <c r="S11" s="87"/>
      <c r="T11" s="87">
        <f>_xlfn.XLOOKUP(_xlfn.XLOOKUP($AS$6&amp;$B11,公表[班別+時段],公表[備勤5],""),$AX$9:$AX$25,$AY$9:$AY$25,"")</f>
        <v>0</v>
      </c>
      <c r="U11" s="87">
        <f>_xlfn.XLOOKUP(_xlfn.XLOOKUP($AS$6&amp;$B11,公表[班別+時段],公表[備勤6],""),$AX$9:$AX$25,$AY$9:$AY$25,"")</f>
        <v>0</v>
      </c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87"/>
      <c r="AB11" s="87"/>
      <c r="AC11" s="87"/>
      <c r="AD11" s="87"/>
      <c r="AE11" s="88">
        <f>_xlfn.XLOOKUP(_xlfn.XLOOKUP($AS$6&amp;$B11,公表[班別+時段],公表[指揮官],""),$AX$9:$AX$25,$AY$9:$AY$25,"")</f>
        <v>5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27">
        <v>3</v>
      </c>
      <c r="AP11" s="127" t="str">
        <v>孫子翔</v>
      </c>
      <c r="AQ11" s="127" t="str" cm="1">
        <f t="array" ref="AQ11">IFERROR(_xlfn.XLOOKUP(_xlfn.XLOOKUP($AQ$3,輪休基準表!$C$6:$C$36,_xlfn.XLOOKUP(AP11,輪休基準表!$E$5:$AF$5,輪休基準表!$E$6:$AF$36,""),""),班別參數!$A$4:$A$20,班別參數!$B$4:$B$20,""),"")</f>
        <v>請休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/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/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F</v>
      </c>
      <c r="BC11" s="39" t="str">
        <f t="shared" si="2"/>
        <v/>
      </c>
      <c r="BD11" s="127"/>
    </row>
    <row r="12" spans="2:56" ht="30" customHeight="1">
      <c r="B12" s="81" t="s">
        <v>75</v>
      </c>
      <c r="C12" s="87">
        <f>_xlfn.XLOOKUP(_xlfn.XLOOKUP($AS$6&amp;$B12,公表[班別+時段],公表[值班],""),$AX$9:$AX$25,$AY$9:$AY$25,"")</f>
        <v>0</v>
      </c>
      <c r="D12" s="95"/>
      <c r="E12" s="95"/>
      <c r="F12" s="95"/>
      <c r="G12" s="122" t="str">
        <f>IF(BC10="","",BC10)</f>
        <v/>
      </c>
      <c r="H12" s="314"/>
      <c r="I12" s="92">
        <f>_xlfn.XLOOKUP(_xlfn.XLOOKUP($AS$6&amp;$B12,公表[班別+時段],公表[救護1],""),$AX$9:$AX$25,$AY$9:$AY$25,"")</f>
        <v>0</v>
      </c>
      <c r="J12" s="92">
        <f>_xlfn.XLOOKUP(_xlfn.XLOOKUP($AS$6&amp;$B12,公表[班別+時段],公表[救護2],""),$AX$9:$AX$25,$AY$9:$AY$25,"")</f>
        <v>0</v>
      </c>
      <c r="K12" s="92"/>
      <c r="L12" s="87" t="s">
        <v>212</v>
      </c>
      <c r="M12" s="312"/>
      <c r="N12" s="87">
        <f>_xlfn.XLOOKUP(_xlfn.XLOOKUP($AS$6&amp;$B12,公表[班別+時段],公表[備勤1],""),$AX$9:$AX$25,$AY$9:$AY$25,"")</f>
        <v>0</v>
      </c>
      <c r="O12" s="87">
        <f>_xlfn.XLOOKUP(_xlfn.XLOOKUP($AS$6&amp;$B12,公表[班別+時段],公表[備勤2],""),$AX$9:$AX$25,$AY$9:$AY$25,"")</f>
        <v>0</v>
      </c>
      <c r="P12" s="87"/>
      <c r="Q12" s="87">
        <f>_xlfn.XLOOKUP(_xlfn.XLOOKUP($AS$6&amp;$B12,公表[班別+時段],公表[備勤3],""),$AX$9:$AX$25,$AY$9:$AY$25,"")</f>
        <v>0</v>
      </c>
      <c r="R12" s="87">
        <f>_xlfn.XLOOKUP(_xlfn.XLOOKUP($AS$6&amp;$B12,公表[班別+時段],公表[備勤4],""),$AX$9:$AX$25,$AY$9:$AY$25,"")</f>
        <v>0</v>
      </c>
      <c r="S12" s="87"/>
      <c r="T12" s="87">
        <f>_xlfn.XLOOKUP(_xlfn.XLOOKUP($AS$6&amp;$B12,公表[班別+時段],公表[備勤5],""),$AX$9:$AX$25,$AY$9:$AY$25,"")</f>
        <v>5</v>
      </c>
      <c r="U12" s="87">
        <f>_xlfn.XLOOKUP(_xlfn.XLOOKUP($AS$6&amp;$B12,公表[班別+時段],公表[備勤6],""),$AX$9:$AX$25,$AY$9:$AY$25,"")</f>
        <v>0</v>
      </c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87"/>
      <c r="AC12" s="87"/>
      <c r="AD12" s="87"/>
      <c r="AE12" s="88">
        <f>_xlfn.XLOOKUP(_xlfn.XLOOKUP($AS$6&amp;$B12,公表[班別+時段],公表[指揮官],""),$AX$9:$AX$25,$AY$9:$AY$25,"")</f>
        <v>1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27">
        <v>4</v>
      </c>
      <c r="AP12" s="127" t="str">
        <v>簡永豐</v>
      </c>
      <c r="AQ12" s="127" t="str" cm="1">
        <f t="array" ref="AQ12">IFERROR(_xlfn.XLOOKUP(_xlfn.XLOOKUP($AQ$3,輪休基準表!$C$6:$C$36,_xlfn.XLOOKUP(AP12,輪休基準表!$E$5:$AF$5,輪休基準表!$E$6:$AF$36,""),""),班別參數!$A$4:$A$20,班別參數!$B$4:$B$20,""),"")</f>
        <v>輪休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/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/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27"/>
    </row>
    <row r="13" spans="2:56" ht="30" customHeight="1" thickBot="1">
      <c r="B13" s="82" t="s">
        <v>76</v>
      </c>
      <c r="C13" s="89">
        <f>_xlfn.XLOOKUP(_xlfn.XLOOKUP($AS$6&amp;$B13,公表[班別+時段],公表[值班],""),$AX$9:$AX$25,$AY$9:$AY$25,"")</f>
        <v>0</v>
      </c>
      <c r="D13" s="233"/>
      <c r="E13" s="96"/>
      <c r="F13" s="96"/>
      <c r="G13" s="123" t="str">
        <f>IF(BC10="","",BC10)</f>
        <v/>
      </c>
      <c r="H13" s="315"/>
      <c r="I13" s="216">
        <f>_xlfn.XLOOKUP(_xlfn.XLOOKUP($AS$6&amp;$B13,公表[班別+時段],公表[救護1],""),$AX$9:$AX$25,$AY$9:$AY$25,"")</f>
        <v>0</v>
      </c>
      <c r="J13" s="216">
        <f>_xlfn.XLOOKUP(_xlfn.XLOOKUP($AS$6&amp;$B13,公表[班別+時段],公表[救護2],""),$AX$9:$AX$25,$AY$9:$AY$25,"")</f>
        <v>0</v>
      </c>
      <c r="K13" s="105"/>
      <c r="L13" s="93" t="s">
        <v>212</v>
      </c>
      <c r="M13" s="312"/>
      <c r="N13" s="89">
        <f>_xlfn.XLOOKUP(_xlfn.XLOOKUP($AS$6&amp;$B13,公表[班別+時段],公表[備勤1],""),$AX$9:$AX$25,$AY$9:$AY$25,"")</f>
        <v>0</v>
      </c>
      <c r="O13" s="89">
        <f>_xlfn.XLOOKUP(_xlfn.XLOOKUP($AS$6&amp;$B13,公表[班別+時段],公表[備勤2],""),$AX$9:$AX$25,$AY$9:$AY$25,"")</f>
        <v>0</v>
      </c>
      <c r="P13" s="89"/>
      <c r="Q13" s="89">
        <f>_xlfn.XLOOKUP(_xlfn.XLOOKUP($AS$6&amp;$B13,公表[班別+時段],公表[備勤3],""),$AX$9:$AX$25,$AY$9:$AY$25,"")</f>
        <v>0</v>
      </c>
      <c r="R13" s="89">
        <f>_xlfn.XLOOKUP(_xlfn.XLOOKUP($AS$6&amp;$B13,公表[班別+時段],公表[備勤4],""),$AX$9:$AX$25,$AY$9:$AY$25,"")</f>
        <v>0</v>
      </c>
      <c r="S13" s="89"/>
      <c r="T13" s="89">
        <f>_xlfn.XLOOKUP(_xlfn.XLOOKUP($AS$6&amp;$B13,公表[班別+時段],公表[備勤5],""),$AX$9:$AX$25,$AY$9:$AY$25,"")</f>
        <v>5</v>
      </c>
      <c r="U13" s="89">
        <f>_xlfn.XLOOKUP(_xlfn.XLOOKUP($AS$6&amp;$B13,公表[班別+時段],公表[備勤6],""),$AX$9:$AX$25,$AY$9:$AY$25,"")</f>
        <v>0</v>
      </c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89"/>
      <c r="AC13" s="89"/>
      <c r="AD13" s="89"/>
      <c r="AE13" s="104">
        <f>_xlfn.XLOOKUP(_xlfn.XLOOKUP($AS$6&amp;$B13,公表[班別+時段],公表[指揮官],""),$AX$9:$AX$25,$AY$9:$AY$25,"")</f>
        <v>1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27">
        <v>5</v>
      </c>
      <c r="AP13" s="127" t="str">
        <v>張鴻志</v>
      </c>
      <c r="AQ13" s="127" t="str" cm="1">
        <f t="array" ref="AQ13">IFERROR(_xlfn.XLOOKUP(_xlfn.XLOOKUP($AQ$3,輪休基準表!$C$6:$C$36,_xlfn.XLOOKUP(AP13,輪休基準表!$E$5:$AF$5,輪休基準表!$E$6:$AF$36,""),""),班別參數!$A$4:$A$20,班別參數!$B$4:$B$20,""),"")</f>
        <v>上班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>已排</v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/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/>
      </c>
      <c r="BD13" s="127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0</v>
      </c>
      <c r="D14" s="234"/>
      <c r="E14" s="97"/>
      <c r="F14" s="97"/>
      <c r="G14" s="121" t="str">
        <f>IF(BC11="","",BC11)</f>
        <v/>
      </c>
      <c r="H14" s="55"/>
      <c r="I14" s="94">
        <f>_xlfn.XLOOKUP(_xlfn.XLOOKUP($AS$6&amp;$B14,公表[班別+時段],公表[救護1],""),$AX$9:$AX$25,$AY$9:$AY$25,"")</f>
        <v>0</v>
      </c>
      <c r="J14" s="94">
        <f>_xlfn.XLOOKUP(_xlfn.XLOOKUP($AS$6&amp;$B14,公表[班別+時段],公表[救護2],""),$AX$9:$AX$25,$AY$9:$AY$25,"")</f>
        <v>0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0</v>
      </c>
      <c r="O14" s="90">
        <f>_xlfn.XLOOKUP(_xlfn.XLOOKUP($AS$6&amp;$B14,公表[班別+時段],公表[備勤2],""),$AX$9:$AX$25,$AY$9:$AY$25,"")</f>
        <v>0</v>
      </c>
      <c r="P14" s="90"/>
      <c r="Q14" s="90">
        <f>_xlfn.XLOOKUP(_xlfn.XLOOKUP($AS$6&amp;$B14,公表[班別+時段],公表[備勤3],""),$AX$9:$AX$25,$AY$9:$AY$25,"")</f>
        <v>0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5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90"/>
      <c r="AC14" s="90"/>
      <c r="AD14" s="90"/>
      <c r="AE14" s="91">
        <f>_xlfn.XLOOKUP(_xlfn.XLOOKUP($AS$6&amp;$B14,公表[班別+時段],公表[指揮官],""),$AX$9:$AX$25,$AY$9:$AY$25,"")</f>
        <v>1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27">
        <v>6</v>
      </c>
      <c r="AP14" s="127" t="str">
        <v>吳宗耕</v>
      </c>
      <c r="AQ14" s="127" t="str" cm="1">
        <f t="array" ref="AQ14">IFERROR(_xlfn.XLOOKUP(_xlfn.XLOOKUP($AQ$3,輪休基準表!$C$6:$C$36,_xlfn.XLOOKUP(AP14,輪休基準表!$E$5:$AF$5,輪休基準表!$E$6:$AF$36,""),""),班別參數!$A$4:$A$20,班別參數!$B$4:$B$20,""),"")</f>
        <v>上班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>未排</v>
      </c>
      <c r="AT14" s="180" t="str">
        <f t="shared" si="0"/>
        <v/>
      </c>
      <c r="AU14" s="180" t="str">
        <f t="shared" si="1"/>
        <v/>
      </c>
      <c r="AV14" s="25"/>
      <c r="AW14" s="33" t="str">
        <f t="array" ref="AW14">INDEX(班別參數!$D$4:$D$20,ROW()-7,MATCH($AW$8,班別參數!$D$4:$D$20,0))</f>
        <v>18-20</v>
      </c>
      <c r="AX14" s="34">
        <f t="array" ref="AX14">IFERROR(INDEX(班別參數!$D$4:$S$20,MATCH(AW14,班別參數!$D$4:$D$20,0),MATCH($AS$6,班別參數!$D$4:$S$4,0)),"")</f>
        <v>0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</v>
      </c>
      <c r="BC14" s="39" t="str">
        <f t="shared" si="2"/>
        <v/>
      </c>
      <c r="BD14" s="127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0</v>
      </c>
      <c r="D15" s="235"/>
      <c r="E15" s="106"/>
      <c r="F15" s="96"/>
      <c r="G15" s="123" t="str">
        <f>IF(BC11="","",BC11)</f>
        <v/>
      </c>
      <c r="H15" s="40"/>
      <c r="I15" s="216">
        <f>_xlfn.XLOOKUP(_xlfn.XLOOKUP($AS$6&amp;$B15,公表[班別+時段],公表[救護1],""),$AX$9:$AX$25,$AY$9:$AY$25,"")</f>
        <v>0</v>
      </c>
      <c r="J15" s="216">
        <f>_xlfn.XLOOKUP(_xlfn.XLOOKUP($AS$6&amp;$B15,公表[班別+時段],公表[救護2],""),$AX$9:$AX$25,$AY$9:$AY$25,"")</f>
        <v>0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0</v>
      </c>
      <c r="O15" s="89">
        <f>_xlfn.XLOOKUP(_xlfn.XLOOKUP($AS$6&amp;$B15,公表[班別+時段],公表[備勤2],""),$AX$9:$AX$25,$AY$9:$AY$25,"")</f>
        <v>0</v>
      </c>
      <c r="P15" s="89"/>
      <c r="Q15" s="89">
        <f>_xlfn.XLOOKUP(_xlfn.XLOOKUP($AS$6&amp;$B15,公表[班別+時段],公表[備勤3],""),$AX$9:$AX$25,$AY$9:$AY$25,"")</f>
        <v>0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5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89"/>
      <c r="AC15" s="89"/>
      <c r="AD15" s="89"/>
      <c r="AE15" s="104">
        <f>_xlfn.XLOOKUP(_xlfn.XLOOKUP($AS$6&amp;$B15,公表[班別+時段],公表[指揮官],""),$AX$9:$AX$25,$AY$9:$AY$25,"")</f>
        <v>1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27">
        <v>7</v>
      </c>
      <c r="AP15" s="127" t="str">
        <v>包華先</v>
      </c>
      <c r="AQ15" s="127" t="str" cm="1">
        <f t="array" ref="AQ15">IFERROR(_xlfn.XLOOKUP(_xlfn.XLOOKUP($AQ$3,輪休基準表!$C$6:$C$36,_xlfn.XLOOKUP(AP15,輪休基準表!$E$5:$AF$5,輪休基準表!$E$6:$AF$36,""),""),班別參數!$A$4:$A$20,班別參數!$B$4:$B$20,""),"")</f>
        <v>上班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>未排</v>
      </c>
      <c r="AT15" s="180" t="str">
        <f t="shared" si="0"/>
        <v/>
      </c>
      <c r="AU15" s="180" t="str">
        <f t="shared" si="1"/>
        <v/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/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/>
      </c>
      <c r="BD15" s="127"/>
    </row>
    <row r="16" spans="2:56" ht="30" customHeight="1">
      <c r="B16" s="83" t="s">
        <v>79</v>
      </c>
      <c r="C16" s="90">
        <f>_xlfn.XLOOKUP(_xlfn.XLOOKUP($AS$6&amp;$B16,公表[班別+時段],公表[值班],""),$AX$9:$AX$25,$AY$9:$AY$25,"")</f>
        <v>0</v>
      </c>
      <c r="D16" s="98"/>
      <c r="E16" s="99"/>
      <c r="F16" s="98"/>
      <c r="G16" s="121" t="str">
        <f>IF(BC12="","",BC12)</f>
        <v/>
      </c>
      <c r="H16" s="316" t="str">
        <f>AY3</f>
        <v>船外機與橡皮艇</v>
      </c>
      <c r="I16" s="94">
        <f>_xlfn.XLOOKUP(_xlfn.XLOOKUP($AS$6&amp;$B16,公表[班別+時段],公表[救護1],""),$AX$9:$AX$25,$AY$9:$AY$25,"")</f>
        <v>0</v>
      </c>
      <c r="J16" s="94">
        <f>_xlfn.XLOOKUP(_xlfn.XLOOKUP($AS$6&amp;$B16,公表[班別+時段],公表[救護2],""),$AX$9:$AX$25,$AY$9:$AY$25,"")</f>
        <v>0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0</v>
      </c>
      <c r="O16" s="90">
        <f>_xlfn.XLOOKUP(_xlfn.XLOOKUP($AS$6&amp;$B16,公表[班別+時段],公表[備勤2],""),$AX$9:$AX$25,$AY$9:$AY$25,"")</f>
        <v>0</v>
      </c>
      <c r="P16" s="90"/>
      <c r="Q16" s="90">
        <f>_xlfn.XLOOKUP(_xlfn.XLOOKUP($AS$6&amp;$B16,公表[班別+時段],公表[備勤3],""),$AX$9:$AX$25,$AY$9:$AY$25,"")</f>
        <v>0</v>
      </c>
      <c r="R16" s="90">
        <f>_xlfn.XLOOKUP(_xlfn.XLOOKUP($AS$6&amp;$B16,公表[班別+時段],公表[備勤4],""),$AX$9:$AX$25,$AY$9:$AY$25,"")</f>
        <v>0</v>
      </c>
      <c r="S16" s="90"/>
      <c r="T16" s="90">
        <f>_xlfn.XLOOKUP(_xlfn.XLOOKUP($AS$6&amp;$B16,公表[班別+時段],公表[備勤5],""),$AX$9:$AX$25,$AY$9:$AY$25,"")</f>
        <v>5</v>
      </c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90"/>
      <c r="AC16" s="90"/>
      <c r="AD16" s="90"/>
      <c r="AE16" s="91">
        <f>_xlfn.XLOOKUP(_xlfn.XLOOKUP($AS$6&amp;$B16,公表[班別+時段],公表[指揮官],""),$AX$9:$AX$25,$AY$9:$AY$25,"")</f>
        <v>1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27">
        <v>8</v>
      </c>
      <c r="AP16" s="127" t="str">
        <v>曾彥綸</v>
      </c>
      <c r="AQ16" s="127" t="str" cm="1">
        <f t="array" ref="AQ16">IFERROR(_xlfn.XLOOKUP(_xlfn.XLOOKUP($AQ$3,輪休基準表!$C$6:$C$36,_xlfn.XLOOKUP(AP16,輪休基準表!$E$5:$AF$5,輪休基準表!$E$6:$AF$36,""),""),班別參數!$A$4:$A$20,班別參數!$B$4:$B$20,""),"")</f>
        <v>輪休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/>
      </c>
      <c r="AT16" s="180" t="str">
        <f t="shared" si="0"/>
        <v/>
      </c>
      <c r="AU16" s="180" t="str">
        <f t="shared" si="1"/>
        <v/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/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27"/>
    </row>
    <row r="17" spans="2:56" ht="30" customHeight="1">
      <c r="B17" s="81" t="s">
        <v>80</v>
      </c>
      <c r="C17" s="87">
        <f>_xlfn.XLOOKUP(_xlfn.XLOOKUP($AS$6&amp;$B17,公表[班別+時段],公表[值班],""),$AX$9:$AX$25,$AY$9:$AY$25,"")</f>
        <v>0</v>
      </c>
      <c r="D17" s="95"/>
      <c r="E17" s="95"/>
      <c r="F17" s="100"/>
      <c r="G17" s="122" t="str">
        <f>IF(BC12="","",BC12)</f>
        <v/>
      </c>
      <c r="H17" s="314"/>
      <c r="I17" s="92">
        <f>_xlfn.XLOOKUP(_xlfn.XLOOKUP($AS$6&amp;$B17,公表[班別+時段],公表[救護1],""),$AX$9:$AX$25,$AY$9:$AY$25,"")</f>
        <v>0</v>
      </c>
      <c r="J17" s="92">
        <f>_xlfn.XLOOKUP(_xlfn.XLOOKUP($AS$6&amp;$B17,公表[班別+時段],公表[救護2],""),$AX$9:$AX$25,$AY$9:$AY$25,"")</f>
        <v>0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0</v>
      </c>
      <c r="O17" s="87">
        <f>_xlfn.XLOOKUP(_xlfn.XLOOKUP($AS$6&amp;$B17,公表[班別+時段],公表[備勤2],""),$AX$9:$AX$25,$AY$9:$AY$25,"")</f>
        <v>0</v>
      </c>
      <c r="P17" s="87"/>
      <c r="Q17" s="87">
        <f>_xlfn.XLOOKUP(_xlfn.XLOOKUP($AS$6&amp;$B17,公表[班別+時段],公表[備勤3],""),$AX$9:$AX$25,$AY$9:$AY$25,"")</f>
        <v>0</v>
      </c>
      <c r="R17" s="87">
        <f>_xlfn.XLOOKUP(_xlfn.XLOOKUP($AS$6&amp;$B17,公表[班別+時段],公表[備勤4],""),$AX$9:$AX$25,$AY$9:$AY$25,"")</f>
        <v>0</v>
      </c>
      <c r="S17" s="87"/>
      <c r="T17" s="87">
        <f>_xlfn.XLOOKUP(_xlfn.XLOOKUP($AS$6&amp;$B17,公表[班別+時段],公表[備勤5],""),$AX$9:$AX$25,$AY$9:$AY$25,"")</f>
        <v>5</v>
      </c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87"/>
      <c r="AC17" s="87"/>
      <c r="AD17" s="87"/>
      <c r="AE17" s="88">
        <f>_xlfn.XLOOKUP(_xlfn.XLOOKUP($AS$6&amp;$B17,公表[班別+時段],公表[指揮官],""),$AX$9:$AX$25,$AY$9:$AY$25,"")</f>
        <v>1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27">
        <v>9</v>
      </c>
      <c r="AP17" s="127" t="str">
        <v>鍾佳諭</v>
      </c>
      <c r="AQ17" s="127" t="str" cm="1">
        <f t="array" ref="AQ17">IFERROR(_xlfn.XLOOKUP(_xlfn.XLOOKUP($AQ$3,輪休基準表!$C$6:$C$36,_xlfn.XLOOKUP(AP17,輪休基準表!$E$5:$AF$5,輪休基準表!$E$6:$AF$36,""),""),班別參數!$A$4:$A$20,班別參數!$B$4:$B$20,""),"")</f>
        <v>請休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/>
      </c>
      <c r="AT17" s="180" t="str">
        <f t="shared" si="0"/>
        <v/>
      </c>
      <c r="AU17" s="180" t="str">
        <f t="shared" si="1"/>
        <v/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27"/>
    </row>
    <row r="18" spans="2:56" ht="30" customHeight="1">
      <c r="B18" s="81" t="s">
        <v>81</v>
      </c>
      <c r="C18" s="87">
        <f>_xlfn.XLOOKUP(_xlfn.XLOOKUP($AS$6&amp;$B18,公表[班別+時段],公表[值班],""),$AX$9:$AX$25,$AY$9:$AY$25,"")</f>
        <v>0</v>
      </c>
      <c r="D18" s="100"/>
      <c r="E18" s="95"/>
      <c r="F18" s="100"/>
      <c r="G18" s="122" t="str">
        <f>IF(BC13="","",BC13)</f>
        <v/>
      </c>
      <c r="H18" s="297"/>
      <c r="I18" s="92">
        <f>_xlfn.XLOOKUP(_xlfn.XLOOKUP($AS$6&amp;$B18,公表[班別+時段],公表[救護1],""),$AX$9:$AX$25,$AY$9:$AY$25,"")</f>
        <v>0</v>
      </c>
      <c r="J18" s="92">
        <f>_xlfn.XLOOKUP(_xlfn.XLOOKUP($AS$6&amp;$B18,公表[班別+時段],公表[救護2],""),$AX$9:$AX$25,$AY$9:$AY$25,"")</f>
        <v>0</v>
      </c>
      <c r="K18" s="92"/>
      <c r="L18" s="87" t="s">
        <v>212</v>
      </c>
      <c r="M18" s="312"/>
      <c r="N18" s="87">
        <f>_xlfn.XLOOKUP(_xlfn.XLOOKUP($AS$6&amp;$B18,公表[班別+時段],公表[備勤1],""),$AX$9:$AX$25,$AY$9:$AY$25,"")</f>
        <v>0</v>
      </c>
      <c r="O18" s="87">
        <f>_xlfn.XLOOKUP(_xlfn.XLOOKUP($AS$6&amp;$B18,公表[班別+時段],公表[備勤2],""),$AX$9:$AX$25,$AY$9:$AY$25,"")</f>
        <v>0</v>
      </c>
      <c r="P18" s="87"/>
      <c r="Q18" s="87">
        <f>_xlfn.XLOOKUP(_xlfn.XLOOKUP($AS$6&amp;$B18,公表[班別+時段],公表[備勤3],""),$AX$9:$AX$25,$AY$9:$AY$25,"")</f>
        <v>0</v>
      </c>
      <c r="R18" s="87">
        <f>_xlfn.XLOOKUP(_xlfn.XLOOKUP($AS$6&amp;$B18,公表[班別+時段],公表[備勤4],""),$AX$9:$AX$25,$AY$9:$AY$25,"")</f>
        <v>0</v>
      </c>
      <c r="S18" s="87"/>
      <c r="T18" s="87">
        <f>_xlfn.XLOOKUP(_xlfn.XLOOKUP($AS$6&amp;$B18,公表[班別+時段],公表[備勤5],""),$AX$9:$AX$25,$AY$9:$AY$25,"")</f>
        <v>5</v>
      </c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87"/>
      <c r="AC18" s="87"/>
      <c r="AD18" s="87"/>
      <c r="AE18" s="88">
        <f>_xlfn.XLOOKUP(_xlfn.XLOOKUP($AS$6&amp;$B18,公表[班別+時段],公表[指揮官],""),$AX$9:$AX$25,$AY$9:$AY$25,"")</f>
        <v>1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27">
        <v>10</v>
      </c>
      <c r="AP18" s="127" t="str">
        <v>林宏澤</v>
      </c>
      <c r="AQ18" s="127" t="str" cm="1">
        <f t="array" ref="AQ18">IFERROR(_xlfn.XLOOKUP(_xlfn.XLOOKUP($AQ$3,輪休基準表!$C$6:$C$36,_xlfn.XLOOKUP(AP18,輪休基準表!$E$5:$AF$5,輪休基準表!$E$6:$AF$36,""),""),班別參數!$A$4:$A$20,班別參數!$B$4:$B$20,""),"")</f>
        <v>上班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>未排</v>
      </c>
      <c r="AT18" s="180" t="str">
        <f t="shared" si="0"/>
        <v/>
      </c>
      <c r="AU18" s="180" t="str">
        <f t="shared" si="1"/>
        <v/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27"/>
    </row>
    <row r="19" spans="2:56" ht="30" customHeight="1" thickBot="1">
      <c r="B19" s="110" t="s">
        <v>82</v>
      </c>
      <c r="C19" s="89">
        <f>_xlfn.XLOOKUP(_xlfn.XLOOKUP($AS$6&amp;$B19,公表[班別+時段],公表[值班],""),$AX$9:$AX$25,$AY$9:$AY$25,"")</f>
        <v>0</v>
      </c>
      <c r="D19" s="106"/>
      <c r="E19" s="96"/>
      <c r="F19" s="236"/>
      <c r="G19" s="123" t="str">
        <f>IF(BC13="","",BC13)</f>
        <v/>
      </c>
      <c r="H19" s="107"/>
      <c r="I19" s="216">
        <f>_xlfn.XLOOKUP(_xlfn.XLOOKUP($AS$6&amp;$B19,公表[班別+時段],公表[救護1],""),$AX$9:$AX$25,$AY$9:$AY$25,"")</f>
        <v>0</v>
      </c>
      <c r="J19" s="216">
        <f>_xlfn.XLOOKUP(_xlfn.XLOOKUP($AS$6&amp;$B19,公表[班別+時段],公表[救護2],""),$AX$9:$AX$25,$AY$9:$AY$25,"")</f>
        <v>0</v>
      </c>
      <c r="K19" s="105"/>
      <c r="L19" s="93" t="s">
        <v>212</v>
      </c>
      <c r="M19" s="312"/>
      <c r="N19" s="89">
        <f>_xlfn.XLOOKUP(_xlfn.XLOOKUP($AS$6&amp;$B19,公表[班別+時段],公表[備勤1],""),$AX$9:$AX$25,$AY$9:$AY$25,"")</f>
        <v>0</v>
      </c>
      <c r="O19" s="89">
        <f>_xlfn.XLOOKUP(_xlfn.XLOOKUP($AS$6&amp;$B19,公表[班別+時段],公表[備勤2],""),$AX$9:$AX$25,$AY$9:$AY$25,"")</f>
        <v>0</v>
      </c>
      <c r="P19" s="89"/>
      <c r="Q19" s="89">
        <f>_xlfn.XLOOKUP(_xlfn.XLOOKUP($AS$6&amp;$B19,公表[班別+時段],公表[備勤3],""),$AX$9:$AX$25,$AY$9:$AY$25,"")</f>
        <v>0</v>
      </c>
      <c r="R19" s="89">
        <f>_xlfn.XLOOKUP(_xlfn.XLOOKUP($AS$6&amp;$B19,公表[班別+時段],公表[備勤4],""),$AX$9:$AX$25,$AY$9:$AY$25,"")</f>
        <v>0</v>
      </c>
      <c r="S19" s="89"/>
      <c r="T19" s="89">
        <f>_xlfn.XLOOKUP(_xlfn.XLOOKUP($AS$6&amp;$B19,公表[班別+時段],公表[備勤5],""),$AX$9:$AX$25,$AY$9:$AY$25,"")</f>
        <v>5</v>
      </c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89"/>
      <c r="AC19" s="89"/>
      <c r="AD19" s="89"/>
      <c r="AE19" s="104">
        <f>_xlfn.XLOOKUP(_xlfn.XLOOKUP($AS$6&amp;$B19,公表[班別+時段],公表[指揮官],""),$AX$9:$AX$25,$AY$9:$AY$25,"")</f>
        <v>1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27">
        <v>11</v>
      </c>
      <c r="AP19" s="127" t="str">
        <v>簡君諺</v>
      </c>
      <c r="AQ19" s="127" t="str" cm="1">
        <f t="array" ref="AQ19">IFERROR(_xlfn.XLOOKUP(_xlfn.XLOOKUP($AQ$3,輪休基準表!$C$6:$C$36,_xlfn.XLOOKUP(AP19,輪休基準表!$E$5:$AF$5,輪休基準表!$E$6:$AF$36,""),""),班別參數!$A$4:$A$20,班別參數!$B$4:$B$20,""),"")</f>
        <v>上班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>未排</v>
      </c>
      <c r="AT19" s="180" t="str">
        <f t="shared" si="0"/>
        <v/>
      </c>
      <c r="AU19" s="180" t="str">
        <f t="shared" si="1"/>
        <v/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:AY20">IF(AX19="","",_xlfn._xlws.FILTER($AO$9:$AO$13,$AQ$9:$AQ$13="上班",""))</f>
        <v>1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27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5</v>
      </c>
      <c r="D20" s="97"/>
      <c r="E20" s="97"/>
      <c r="F20" s="97"/>
      <c r="G20" s="121" t="str">
        <f>IF(BC14="","",BC14)</f>
        <v/>
      </c>
      <c r="H20" s="55"/>
      <c r="I20" s="94">
        <f>_xlfn.XLOOKUP(_xlfn.XLOOKUP($AS$6&amp;$B20,公表[班別+時段],公表[救護1],""),$AX$9:$AX$25,$AY$9:$AY$25,"")</f>
        <v>0</v>
      </c>
      <c r="J20" s="94">
        <f>_xlfn.XLOOKUP(_xlfn.XLOOKUP($AS$6&amp;$B20,公表[班別+時段],公表[救護2],""),$AX$9:$AX$25,$AY$9:$AY$25,"")</f>
        <v>0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0</v>
      </c>
      <c r="O20" s="90">
        <f>_xlfn.XLOOKUP(_xlfn.XLOOKUP($AS$6&amp;$B20,公表[班別+時段],公表[備勤2],""),$AX$9:$AX$25,$AY$9:$AY$25,"")</f>
        <v>0</v>
      </c>
      <c r="P20" s="90"/>
      <c r="Q20" s="90">
        <f>_xlfn.XLOOKUP(_xlfn.XLOOKUP($AS$6&amp;$B20,公表[班別+時段],公表[備勤3],""),$AX$9:$AX$25,$AY$9:$AY$25,"")</f>
        <v>0</v>
      </c>
      <c r="R20" s="90">
        <f>_xlfn.XLOOKUP(_xlfn.XLOOKUP($AS$6&amp;$B20,公表[班別+時段],公表[備勤4],""),$AX$9:$AX$25,$AY$9:$AY$25,"")</f>
        <v>0</v>
      </c>
      <c r="S20" s="90"/>
      <c r="T20" s="90">
        <f>_xlfn.XLOOKUP(_xlfn.XLOOKUP($AS$6&amp;$B20,公表[班別+時段],公表[備勤5],""),$AX$9:$AX$25,$AY$9:$AY$25,"")</f>
        <v>0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90"/>
      <c r="AC20" s="90"/>
      <c r="AD20" s="90"/>
      <c r="AE20" s="91">
        <f>_xlfn.XLOOKUP(_xlfn.XLOOKUP($AS$6&amp;$B20,公表[班別+時段],公表[指揮官],""),$AX$9:$AX$25,$AY$9:$AY$25,"")</f>
        <v>1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27">
        <v>12</v>
      </c>
      <c r="AP20" s="127" t="str">
        <v>王昱勛</v>
      </c>
      <c r="AQ20" s="127" t="str" cm="1">
        <f t="array" ref="AQ20">IFERROR(_xlfn.XLOOKUP(_xlfn.XLOOKUP($AQ$3,輪休基準表!$C$6:$C$36,_xlfn.XLOOKUP(AP20,輪休基準表!$E$5:$AF$5,輪休基準表!$E$6:$AF$36,""),""),班別參數!$A$4:$A$20,班別參數!$B$4:$B$20,""),"")</f>
        <v>上班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>未排</v>
      </c>
      <c r="AT20" s="180" t="str">
        <f t="shared" si="0"/>
        <v/>
      </c>
      <c r="AU20" s="180" t="str">
        <f t="shared" si="1"/>
        <v/>
      </c>
      <c r="AV20" s="25"/>
      <c r="AW20" s="33" t="str">
        <f t="array" ref="AW20">INDEX(班別參數!$D$4:$D$20,ROW()-7,MATCH($AW$8,班別參數!$D$4:$D$20,0))</f>
        <v>帶隊官</v>
      </c>
      <c r="AX20" s="34" t="str">
        <f t="array" ref="AX20">IFERROR(INDEX(班別參數!$D$4:$S$20,MATCH(AW20,班別參數!$D$4:$D$20,0),MATCH($AS$6,班別參數!$D$4:$S$4,0)),"")</f>
        <v>L</v>
      </c>
      <c r="AY20" s="38">
        <v>5</v>
      </c>
      <c r="AZ20" s="32"/>
      <c r="BA20" s="33" t="s">
        <v>67</v>
      </c>
      <c r="BB20" s="34" t="str">
        <f t="array" ref="BB20">IFERROR(INDEX(班別參數!$D$23:$S$35,MATCH(BA20,班別參數!$D$23:$D$35,0),MATCH($AS$6,班別參數!$D$23:$S$23,0)),"")</f>
        <v>G,L</v>
      </c>
      <c r="BC20" s="41" t="str">
        <f t="shared" si="2"/>
        <v>5</v>
      </c>
      <c r="BD20" s="127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5</v>
      </c>
      <c r="D21" s="95"/>
      <c r="E21" s="95"/>
      <c r="F21" s="95"/>
      <c r="G21" s="122" t="str">
        <f>IF(BC14="","",BC14)</f>
        <v/>
      </c>
      <c r="H21" s="296" t="str">
        <f>AY4</f>
        <v>個人水域防護裝備介紹</v>
      </c>
      <c r="I21" s="92">
        <f>_xlfn.XLOOKUP(_xlfn.XLOOKUP($AS$6&amp;$B21,公表[班別+時段],公表[救護1],""),$AX$9:$AX$25,$AY$9:$AY$25,"")</f>
        <v>0</v>
      </c>
      <c r="J21" s="92">
        <f>_xlfn.XLOOKUP(_xlfn.XLOOKUP($AS$6&amp;$B21,公表[班別+時段],公表[救護2],""),$AX$9:$AX$25,$AY$9:$AY$25,"")</f>
        <v>0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0</v>
      </c>
      <c r="O21" s="87">
        <f>_xlfn.XLOOKUP(_xlfn.XLOOKUP($AS$6&amp;$B21,公表[班別+時段],公表[備勤2],""),$AX$9:$AX$25,$AY$9:$AY$25,"")</f>
        <v>0</v>
      </c>
      <c r="P21" s="87"/>
      <c r="Q21" s="87">
        <f>_xlfn.XLOOKUP(_xlfn.XLOOKUP($AS$6&amp;$B21,公表[班別+時段],公表[備勤3],""),$AX$9:$AX$25,$AY$9:$AY$25,"")</f>
        <v>0</v>
      </c>
      <c r="R21" s="87">
        <f>_xlfn.XLOOKUP(_xlfn.XLOOKUP($AS$6&amp;$B21,公表[班別+時段],公表[備勤4],""),$AX$9:$AX$25,$AY$9:$AY$25,"")</f>
        <v>0</v>
      </c>
      <c r="S21" s="87"/>
      <c r="T21" s="87">
        <f>_xlfn.XLOOKUP(_xlfn.XLOOKUP($AS$6&amp;$B21,公表[班別+時段],公表[備勤5],""),$AX$9:$AX$25,$AY$9:$AY$25,"")</f>
        <v>0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87"/>
      <c r="AC21" s="87"/>
      <c r="AD21" s="87"/>
      <c r="AE21" s="88">
        <f>_xlfn.XLOOKUP(_xlfn.XLOOKUP($AS$6&amp;$B21,公表[班別+時段],公表[指揮官],""),$AX$9:$AX$25,$AY$9:$AY$25,"")</f>
        <v>1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27">
        <v>13</v>
      </c>
      <c r="AP21" s="127" t="str">
        <v>葉宗哲</v>
      </c>
      <c r="AQ21" s="127" t="str" cm="1">
        <f t="array" ref="AQ21">IFERROR(_xlfn.XLOOKUP(_xlfn.XLOOKUP($AQ$3,輪休基準表!$C$6:$C$36,_xlfn.XLOOKUP(AP21,輪休基準表!$E$5:$AF$5,輪休基準表!$E$6:$AF$36,""),""),班別參數!$A$4:$A$20,班別參數!$B$4:$B$20,""),"")</f>
        <v>公假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/>
      </c>
      <c r="AT21" s="180" t="str">
        <f t="shared" si="0"/>
        <v/>
      </c>
      <c r="AU21" s="180" t="str">
        <f t="shared" si="1"/>
        <v/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27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0</v>
      </c>
      <c r="D22" s="95"/>
      <c r="E22" s="95"/>
      <c r="F22" s="95"/>
      <c r="G22" s="122" t="str">
        <f>IF(BC15="","",BC15)</f>
        <v/>
      </c>
      <c r="H22" s="297"/>
      <c r="I22" s="92">
        <f>_xlfn.XLOOKUP(_xlfn.XLOOKUP($AS$6&amp;$B22,公表[班別+時段],公表[救護1],""),$AX$9:$AX$25,$AY$9:$AY$25,"")</f>
        <v>0</v>
      </c>
      <c r="J22" s="92">
        <f>_xlfn.XLOOKUP(_xlfn.XLOOKUP($AS$6&amp;$B22,公表[班別+時段],公表[救護2],""),$AX$9:$AX$25,$AY$9:$AY$25,"")</f>
        <v>0</v>
      </c>
      <c r="K22" s="92"/>
      <c r="L22" s="87" t="s">
        <v>212</v>
      </c>
      <c r="M22" s="312"/>
      <c r="N22" s="87">
        <f>_xlfn.XLOOKUP(_xlfn.XLOOKUP($AS$6&amp;$B22,公表[班別+時段],公表[備勤1],""),$AX$9:$AX$25,$AY$9:$AY$25,"")</f>
        <v>0</v>
      </c>
      <c r="O22" s="87">
        <f>_xlfn.XLOOKUP(_xlfn.XLOOKUP($AS$6&amp;$B22,公表[班別+時段],公表[備勤2],""),$AX$9:$AX$25,$AY$9:$AY$25,"")</f>
        <v>0</v>
      </c>
      <c r="P22" s="87"/>
      <c r="Q22" s="87">
        <f>_xlfn.XLOOKUP(_xlfn.XLOOKUP($AS$6&amp;$B22,公表[班別+時段],公表[備勤3],""),$AX$9:$AX$25,$AY$9:$AY$25,"")</f>
        <v>0</v>
      </c>
      <c r="R22" s="87">
        <f>_xlfn.XLOOKUP(_xlfn.XLOOKUP($AS$6&amp;$B22,公表[班別+時段],公表[備勤4],""),$AX$9:$AX$25,$AY$9:$AY$25,"")</f>
        <v>0</v>
      </c>
      <c r="S22" s="87"/>
      <c r="T22" s="87">
        <f>_xlfn.XLOOKUP(_xlfn.XLOOKUP($AS$6&amp;$B22,公表[班別+時段],公表[備勤5],""),$AX$9:$AX$25,$AY$9:$AY$25,"")</f>
        <v>5</v>
      </c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87"/>
      <c r="AC22" s="87"/>
      <c r="AD22" s="87"/>
      <c r="AE22" s="88">
        <f>_xlfn.XLOOKUP(_xlfn.XLOOKUP($AS$6&amp;$B22,公表[班別+時段],公表[指揮官],""),$AX$9:$AX$25,$AY$9:$AY$25,"")</f>
        <v>1</v>
      </c>
      <c r="AF22" s="57" t="s">
        <v>213</v>
      </c>
      <c r="AG22" s="305" t="str" cm="1">
        <f t="array" ref="AG22">_xlfn.TEXTJOIN(".",1,_xlfn._xlws.FILTER($AO$9:$AO$40,$AQ$9:$AQ$40="上班",""))</f>
        <v>1.5.6.7.10.11.12.15.27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27">
        <v>14</v>
      </c>
      <c r="AP22" s="127" t="str">
        <v>王浩任</v>
      </c>
      <c r="AQ22" s="127" t="str" cm="1">
        <f t="array" ref="AQ22">IFERROR(_xlfn.XLOOKUP(_xlfn.XLOOKUP($AQ$3,輪休基準表!$C$6:$C$36,_xlfn.XLOOKUP(AP22,輪休基準表!$E$5:$AF$5,輪休基準表!$E$6:$AF$36,""),""),班別參數!$A$4:$A$20,班別參數!$B$4:$B$20,""),"")</f>
        <v>公假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/>
      </c>
      <c r="AT22" s="180" t="str">
        <f t="shared" si="0"/>
        <v/>
      </c>
      <c r="AU22" s="180" t="str">
        <f t="shared" si="1"/>
        <v/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27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0</v>
      </c>
      <c r="D23" s="106"/>
      <c r="E23" s="96"/>
      <c r="F23" s="96"/>
      <c r="G23" s="123" t="str">
        <f>IF(BC15="","",BC15)</f>
        <v/>
      </c>
      <c r="H23" s="107"/>
      <c r="I23" s="216">
        <f>_xlfn.XLOOKUP(_xlfn.XLOOKUP($AS$6&amp;$B23,公表[班別+時段],公表[救護1],""),$AX$9:$AX$25,$AY$9:$AY$25,"")</f>
        <v>0</v>
      </c>
      <c r="J23" s="216">
        <f>_xlfn.XLOOKUP(_xlfn.XLOOKUP($AS$6&amp;$B23,公表[班別+時段],公表[救護2],""),$AX$9:$AX$25,$AY$9:$AY$25,"")</f>
        <v>0</v>
      </c>
      <c r="K23" s="105"/>
      <c r="L23" s="93" t="s">
        <v>212</v>
      </c>
      <c r="M23" s="312"/>
      <c r="N23" s="89">
        <f>_xlfn.XLOOKUP(_xlfn.XLOOKUP($AS$6&amp;$B23,公表[班別+時段],公表[備勤1],""),$AX$9:$AX$25,$AY$9:$AY$25,"")</f>
        <v>0</v>
      </c>
      <c r="O23" s="89">
        <f>_xlfn.XLOOKUP(_xlfn.XLOOKUP($AS$6&amp;$B23,公表[班別+時段],公表[備勤2],""),$AX$9:$AX$25,$AY$9:$AY$25,"")</f>
        <v>0</v>
      </c>
      <c r="P23" s="89"/>
      <c r="Q23" s="89">
        <f>_xlfn.XLOOKUP(_xlfn.XLOOKUP($AS$6&amp;$B23,公表[班別+時段],公表[備勤3],""),$AX$9:$AX$25,$AY$9:$AY$25,"")</f>
        <v>0</v>
      </c>
      <c r="R23" s="89">
        <f>_xlfn.XLOOKUP(_xlfn.XLOOKUP($AS$6&amp;$B23,公表[班別+時段],公表[備勤4],""),$AX$9:$AX$25,$AY$9:$AY$25,"")</f>
        <v>0</v>
      </c>
      <c r="S23" s="89"/>
      <c r="T23" s="89">
        <f>_xlfn.XLOOKUP(_xlfn.XLOOKUP($AS$6&amp;$B23,公表[班別+時段],公表[備勤5],""),$AX$9:$AX$25,$AY$9:$AY$25,"")</f>
        <v>5</v>
      </c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89"/>
      <c r="AC23" s="89"/>
      <c r="AD23" s="89"/>
      <c r="AE23" s="104">
        <f>_xlfn.XLOOKUP(_xlfn.XLOOKUP($AS$6&amp;$B23,公表[班別+時段],公表[指揮官],""),$AX$9:$AX$25,$AY$9:$AY$25,"")</f>
        <v>1</v>
      </c>
      <c r="AF23" s="57" t="s">
        <v>6</v>
      </c>
      <c r="AG23" s="305" t="str" cm="1">
        <f t="array" ref="AG23">_xlfn.TEXTJOIN(".",1,_xlfn._xlws.FILTER($AO$9:$AO$40,$AQ$9:$AQ$40=$AF$23,""))</f>
        <v>2.4.8.17.18.19.21.23.24.25.26.28</v>
      </c>
      <c r="AH23" s="400"/>
      <c r="AI23" s="400"/>
      <c r="AJ23" s="400"/>
      <c r="AK23" s="400"/>
      <c r="AL23" s="400"/>
      <c r="AM23" s="401"/>
      <c r="AN23" s="214"/>
      <c r="AO23" s="127">
        <v>15</v>
      </c>
      <c r="AP23" s="127" t="str">
        <v>李仕詮</v>
      </c>
      <c r="AQ23" s="127" t="str" cm="1">
        <f t="array" ref="AQ23">IFERROR(_xlfn.XLOOKUP(_xlfn.XLOOKUP($AQ$3,輪休基準表!$C$6:$C$36,_xlfn.XLOOKUP(AP23,輪休基準表!$E$5:$AF$5,輪休基準表!$E$6:$AF$36,""),""),班別參數!$A$4:$A$20,班別參數!$B$4:$B$20,""),"")</f>
        <v>上班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>未排</v>
      </c>
      <c r="AT23" s="180" t="str">
        <f t="shared" si="0"/>
        <v/>
      </c>
      <c r="AU23" s="180" t="str">
        <f t="shared" si="1"/>
        <v/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27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0</v>
      </c>
      <c r="D24" s="97"/>
      <c r="E24" s="97"/>
      <c r="F24" s="97"/>
      <c r="G24" s="121" t="str">
        <f>IF(BC16="","",BC16)</f>
        <v/>
      </c>
      <c r="H24" s="55"/>
      <c r="I24" s="94">
        <f>_xlfn.XLOOKUP(_xlfn.XLOOKUP($AS$6&amp;$B24,公表[班別+時段],公表[救護1],""),$AX$9:$AX$25,$AY$9:$AY$25,"")</f>
        <v>0</v>
      </c>
      <c r="J24" s="94">
        <f>_xlfn.XLOOKUP(_xlfn.XLOOKUP($AS$6&amp;$B24,公表[班別+時段],公表[救護2],""),$AX$9:$AX$25,$AY$9:$AY$25,"")</f>
        <v>0</v>
      </c>
      <c r="K24" s="90"/>
      <c r="L24" s="90" t="s">
        <v>212</v>
      </c>
      <c r="M24" s="312"/>
      <c r="N24" s="90">
        <f>_xlfn.XLOOKUP(_xlfn.XLOOKUP($AS$6&amp;$B24,公表[班別+時段],公表[備勤1],""),$AX$9:$AX$25,$AY$9:$AY$25,"")</f>
        <v>0</v>
      </c>
      <c r="O24" s="90">
        <f>_xlfn.XLOOKUP(_xlfn.XLOOKUP($AS$6&amp;$B24,公表[班別+時段],公表[備勤2],""),$AX$9:$AX$25,$AY$9:$AY$25,"")</f>
        <v>0</v>
      </c>
      <c r="P24" s="90"/>
      <c r="Q24" s="90">
        <f>_xlfn.XLOOKUP(_xlfn.XLOOKUP($AS$6&amp;$B24,公表[班別+時段],公表[備勤3],""),$AX$9:$AX$25,$AY$9:$AY$25,"")</f>
        <v>0</v>
      </c>
      <c r="R24" s="90">
        <f>_xlfn.XLOOKUP(_xlfn.XLOOKUP($AS$6&amp;$B24,公表[班別+時段],公表[備勤4],""),$AX$9:$AX$25,$AY$9:$AY$25,"")</f>
        <v>0</v>
      </c>
      <c r="S24" s="90"/>
      <c r="T24" s="90">
        <f>_xlfn.XLOOKUP(_xlfn.XLOOKUP($AS$6&amp;$B24,公表[班別+時段],公表[備勤5],""),$AX$9:$AX$25,$AY$9:$AY$25,"")</f>
        <v>5</v>
      </c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90"/>
      <c r="AC24" s="90"/>
      <c r="AD24" s="90"/>
      <c r="AE24" s="91">
        <f>_xlfn.XLOOKUP(_xlfn.XLOOKUP($AS$6&amp;$B24,公表[班別+時段],公表[指揮官],""),$AX$9:$AX$25,$AY$9:$AY$25,"")</f>
        <v>1</v>
      </c>
      <c r="AF24" s="57" t="s">
        <v>17</v>
      </c>
      <c r="AG24" s="305" t="str" cm="1">
        <f t="array" ref="AG24">_xlfn.TEXTJOIN(".",1,_xlfn._xlws.FILTER($AO$9:$AO$40,$AQ$9:$AQ$40=$AF$24,""))</f>
        <v/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/>
      </c>
      <c r="AL24" s="400"/>
      <c r="AM24" s="401"/>
      <c r="AN24" s="214"/>
      <c r="AO24" s="127">
        <v>16</v>
      </c>
      <c r="AP24" s="127" t="str">
        <v>楊弘宇</v>
      </c>
      <c r="AQ24" s="127" t="str" cm="1">
        <f t="array" ref="AQ24">IFERROR(_xlfn.XLOOKUP(_xlfn.XLOOKUP($AQ$3,輪休基準表!$C$6:$C$36,_xlfn.XLOOKUP(AP24,輪休基準表!$E$5:$AF$5,輪休基準表!$E$6:$AF$36,""),""),班別參數!$A$4:$A$20,班別參數!$B$4:$B$20,""),"")</f>
        <v>請休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/>
      </c>
      <c r="AT24" s="180" t="str">
        <f t="shared" si="0"/>
        <v/>
      </c>
      <c r="AU24" s="180" t="str">
        <f t="shared" si="1"/>
        <v/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27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0</v>
      </c>
      <c r="D25" s="95"/>
      <c r="E25" s="95"/>
      <c r="F25" s="95"/>
      <c r="G25" s="122" t="str">
        <f>IF(BC16="","",BC16)</f>
        <v/>
      </c>
      <c r="H25" s="37"/>
      <c r="I25" s="92">
        <f>_xlfn.XLOOKUP(_xlfn.XLOOKUP($AS$6&amp;$B25,公表[班別+時段],公表[救護1],""),$AX$9:$AX$25,$AY$9:$AY$25,"")</f>
        <v>0</v>
      </c>
      <c r="J25" s="92">
        <f>_xlfn.XLOOKUP(_xlfn.XLOOKUP($AS$6&amp;$B25,公表[班別+時段],公表[救護2],""),$AX$9:$AX$25,$AY$9:$AY$25,"")</f>
        <v>0</v>
      </c>
      <c r="K25" s="87"/>
      <c r="L25" s="87" t="s">
        <v>212</v>
      </c>
      <c r="M25" s="312"/>
      <c r="N25" s="87">
        <f>_xlfn.XLOOKUP(_xlfn.XLOOKUP($AS$6&amp;$B25,公表[班別+時段],公表[備勤1],""),$AX$9:$AX$25,$AY$9:$AY$25,"")</f>
        <v>0</v>
      </c>
      <c r="O25" s="87">
        <f>_xlfn.XLOOKUP(_xlfn.XLOOKUP($AS$6&amp;$B25,公表[班別+時段],公表[備勤2],""),$AX$9:$AX$25,$AY$9:$AY$25,"")</f>
        <v>0</v>
      </c>
      <c r="P25" s="87"/>
      <c r="Q25" s="87">
        <f>_xlfn.XLOOKUP(_xlfn.XLOOKUP($AS$6&amp;$B25,公表[班別+時段],公表[備勤3],""),$AX$9:$AX$25,$AY$9:$AY$25,"")</f>
        <v>0</v>
      </c>
      <c r="R25" s="87">
        <f>_xlfn.XLOOKUP(_xlfn.XLOOKUP($AS$6&amp;$B25,公表[班別+時段],公表[備勤4],""),$AX$9:$AX$25,$AY$9:$AY$25,"")</f>
        <v>0</v>
      </c>
      <c r="S25" s="87"/>
      <c r="T25" s="87">
        <f>_xlfn.XLOOKUP(_xlfn.XLOOKUP($AS$6&amp;$B25,公表[班別+時段],公表[備勤5],""),$AX$9:$AX$25,$AY$9:$AY$25,"")</f>
        <v>5</v>
      </c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87"/>
      <c r="AC25" s="87"/>
      <c r="AD25" s="87"/>
      <c r="AE25" s="88">
        <f>_xlfn.XLOOKUP(_xlfn.XLOOKUP($AS$6&amp;$B25,公表[班別+時段],公表[指揮官],""),$AX$9:$AX$25,$AY$9:$AY$25,"")</f>
        <v>1</v>
      </c>
      <c r="AF25" s="57" t="s">
        <v>28</v>
      </c>
      <c r="AG25" s="305" t="str" cm="1">
        <f t="array" ref="AG25">_xlfn.TEXTJOIN(".",1,_xlfn._xlws.FILTER($AO$9:$AO$40,$AQ$9:$AQ$40=$AF$25,""))</f>
        <v>3.9.16</v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>13.14.20.22</v>
      </c>
      <c r="AL25" s="309"/>
      <c r="AM25" s="310"/>
      <c r="AN25" s="214"/>
      <c r="AO25" s="127">
        <v>17</v>
      </c>
      <c r="AP25" s="127" t="str">
        <v>楊仲豪</v>
      </c>
      <c r="AQ25" s="127" t="str" cm="1">
        <f t="array" ref="AQ25">IFERROR(_xlfn.XLOOKUP(_xlfn.XLOOKUP($AQ$3,輪休基準表!$C$6:$C$36,_xlfn.XLOOKUP(AP25,輪休基準表!$E$5:$AF$5,輪休基準表!$E$6:$AF$36,""),""),班別參數!$A$4:$A$20,班別參數!$B$4:$B$20,""),"")</f>
        <v>輪休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/>
      </c>
      <c r="AT25" s="180" t="str">
        <f t="shared" si="0"/>
        <v/>
      </c>
      <c r="AU25" s="180" t="str">
        <f t="shared" si="1"/>
        <v/>
      </c>
      <c r="AW25" s="33"/>
      <c r="AX25" s="45"/>
      <c r="AY25" s="25"/>
      <c r="AZ25" s="28"/>
      <c r="BA25" s="33"/>
      <c r="BB25" s="25"/>
      <c r="BD25" s="127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0</v>
      </c>
      <c r="D26" s="95"/>
      <c r="E26" s="95"/>
      <c r="F26" s="95"/>
      <c r="G26" s="122" t="str">
        <f>IF(BC17="","",BC17)</f>
        <v/>
      </c>
      <c r="H26" s="37"/>
      <c r="I26" s="92">
        <f>_xlfn.XLOOKUP(_xlfn.XLOOKUP($AS$6&amp;$B26,公表[班別+時段],公表[救護1],""),$AX$9:$AX$25,$AY$9:$AY$25,"")</f>
        <v>0</v>
      </c>
      <c r="J26" s="92">
        <f>_xlfn.XLOOKUP(_xlfn.XLOOKUP($AS$6&amp;$B26,公表[班別+時段],公表[救護2],""),$AX$9:$AX$25,$AY$9:$AY$25,"")</f>
        <v>0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0</v>
      </c>
      <c r="O26" s="87">
        <f>_xlfn.XLOOKUP(_xlfn.XLOOKUP($AS$6&amp;$B26,公表[班別+時段],公表[備勤2],""),$AX$9:$AX$25,$AY$9:$AY$25,"")</f>
        <v>0</v>
      </c>
      <c r="P26" s="87"/>
      <c r="Q26" s="87">
        <f>_xlfn.XLOOKUP(_xlfn.XLOOKUP($AS$6&amp;$B26,公表[班別+時段],公表[備勤3],""),$AX$9:$AX$25,$AY$9:$AY$25,"")</f>
        <v>0</v>
      </c>
      <c r="R26" s="87">
        <f>_xlfn.XLOOKUP(_xlfn.XLOOKUP($AS$6&amp;$B26,公表[班別+時段],公表[備勤4],""),$AX$9:$AX$25,$AY$9:$AY$25,"")</f>
        <v>0</v>
      </c>
      <c r="S26" s="87"/>
      <c r="T26" s="87">
        <f>_xlfn.XLOOKUP(_xlfn.XLOOKUP($AS$6&amp;$B26,公表[班別+時段],公表[備勤5],""),$AX$9:$AX$25,$AY$9:$AY$25,"")</f>
        <v>5</v>
      </c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87"/>
      <c r="AC26" s="87"/>
      <c r="AD26" s="87"/>
      <c r="AE26" s="88">
        <f>_xlfn.XLOOKUP(_xlfn.XLOOKUP($AS$6&amp;$B26,公表[班別+時段],公表[指揮官],""),$AX$9:$AX$25,$AY$9:$AY$25,"")</f>
        <v>1</v>
      </c>
      <c r="AF26" s="57" t="s">
        <v>289</v>
      </c>
      <c r="AG26" s="178" t="str" cm="1">
        <f t="array" ref="AG26">_xlfn.TEXTJOIN(".",1,_xlfn._xlws.FILTER($AO$9:$AO$40,$AQ$9:$AQ$40=$AF$26,""))</f>
        <v/>
      </c>
      <c r="AH26" s="168" t="s">
        <v>290</v>
      </c>
      <c r="AI26" s="179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/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27">
        <v>18</v>
      </c>
      <c r="AP26" s="127" t="str">
        <v>林志偉</v>
      </c>
      <c r="AQ26" s="127" t="str" cm="1">
        <f t="array" ref="AQ26">IFERROR(_xlfn.XLOOKUP(_xlfn.XLOOKUP($AQ$3,輪休基準表!$C$6:$C$36,_xlfn.XLOOKUP(AP26,輪休基準表!$E$5:$AF$5,輪休基準表!$E$6:$AF$36,""),""),班別參數!$A$4:$A$20,班別參數!$B$4:$B$20,""),"")</f>
        <v>輪休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/>
      </c>
      <c r="AT26" s="180" t="str">
        <f t="shared" si="0"/>
        <v/>
      </c>
      <c r="AU26" s="180" t="str">
        <f t="shared" si="1"/>
        <v/>
      </c>
      <c r="AV26" s="10"/>
      <c r="AW26" s="46"/>
      <c r="AX26" s="45"/>
      <c r="AY26" s="25"/>
      <c r="AZ26" s="28"/>
      <c r="BA26" s="33"/>
      <c r="BB26" s="25"/>
      <c r="BD26" s="127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0</v>
      </c>
      <c r="D27" s="95"/>
      <c r="E27" s="95"/>
      <c r="F27" s="95"/>
      <c r="G27" s="122" t="str">
        <f>IF(BC17="","",BC17)</f>
        <v/>
      </c>
      <c r="H27" s="37"/>
      <c r="I27" s="92">
        <f>_xlfn.XLOOKUP(_xlfn.XLOOKUP($AS$6&amp;$B27,公表[班別+時段],公表[救護1],""),$AX$9:$AX$25,$AY$9:$AY$25,"")</f>
        <v>0</v>
      </c>
      <c r="J27" s="92">
        <f>_xlfn.XLOOKUP(_xlfn.XLOOKUP($AS$6&amp;$B27,公表[班別+時段],公表[救護2],""),$AX$9:$AX$25,$AY$9:$AY$25,"")</f>
        <v>0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0</v>
      </c>
      <c r="O27" s="87">
        <f>_xlfn.XLOOKUP(_xlfn.XLOOKUP($AS$6&amp;$B27,公表[班別+時段],公表[備勤2],""),$AX$9:$AX$25,$AY$9:$AY$25,"")</f>
        <v>0</v>
      </c>
      <c r="P27" s="87"/>
      <c r="Q27" s="87">
        <f>_xlfn.XLOOKUP(_xlfn.XLOOKUP($AS$6&amp;$B27,公表[班別+時段],公表[備勤3],""),$AX$9:$AX$25,$AY$9:$AY$25,"")</f>
        <v>0</v>
      </c>
      <c r="R27" s="87">
        <f>_xlfn.XLOOKUP(_xlfn.XLOOKUP($AS$6&amp;$B27,公表[班別+時段],公表[備勤4],""),$AX$9:$AX$25,$AY$9:$AY$25,"")</f>
        <v>0</v>
      </c>
      <c r="S27" s="87"/>
      <c r="T27" s="87">
        <f>_xlfn.XLOOKUP(_xlfn.XLOOKUP($AS$6&amp;$B27,公表[班別+時段],公表[備勤5],""),$AX$9:$AX$25,$AY$9:$AY$25,"")</f>
        <v>5</v>
      </c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87"/>
      <c r="AC27" s="87"/>
      <c r="AD27" s="87"/>
      <c r="AE27" s="88">
        <f>_xlfn.XLOOKUP(_xlfn.XLOOKUP($AS$6&amp;$B27,公表[班別+時段],公表[指揮官],""),$AX$9:$AX$25,$AY$9:$AY$25,"")</f>
        <v>1</v>
      </c>
      <c r="AF27" s="317" t="s">
        <v>215</v>
      </c>
      <c r="AG27" s="319"/>
      <c r="AH27" s="321"/>
      <c r="AI27" s="321"/>
      <c r="AJ27" s="321"/>
      <c r="AK27" s="321"/>
      <c r="AL27" s="321"/>
      <c r="AM27" s="322"/>
      <c r="AN27" s="214"/>
      <c r="AO27" s="127">
        <v>19</v>
      </c>
      <c r="AP27" s="127" t="str">
        <v>劉家誠</v>
      </c>
      <c r="AQ27" s="127" t="str" cm="1">
        <f t="array" ref="AQ27">IFERROR(_xlfn.XLOOKUP(_xlfn.XLOOKUP($AQ$3,輪休基準表!$C$6:$C$36,_xlfn.XLOOKUP(AP27,輪休基準表!$E$5:$AF$5,輪休基準表!$E$6:$AF$36,""),""),班別參數!$A$4:$A$20,班別參數!$B$4:$B$20,""),"")</f>
        <v>輪休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/>
      </c>
      <c r="AT27" s="180" t="str">
        <f t="shared" si="0"/>
        <v/>
      </c>
      <c r="AU27" s="180" t="str">
        <f t="shared" si="1"/>
        <v/>
      </c>
      <c r="AV27" s="10"/>
      <c r="AW27" s="46"/>
      <c r="AX27" s="45"/>
      <c r="AY27" s="25"/>
      <c r="AZ27" s="28"/>
      <c r="BA27" s="33"/>
      <c r="BB27" s="25"/>
      <c r="BD27" s="127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0</v>
      </c>
      <c r="D28" s="95"/>
      <c r="E28" s="95"/>
      <c r="F28" s="95"/>
      <c r="G28" s="122" t="str">
        <f>IF(BC18="","",BC18)</f>
        <v/>
      </c>
      <c r="H28" s="37"/>
      <c r="I28" s="92">
        <f>_xlfn.XLOOKUP(_xlfn.XLOOKUP($AS$6&amp;$B28,公表[班別+時段],公表[救護1],""),$AX$9:$AX$25,$AY$9:$AY$25,"")</f>
        <v>0</v>
      </c>
      <c r="J28" s="92">
        <f>_xlfn.XLOOKUP(_xlfn.XLOOKUP($AS$6&amp;$B28,公表[班別+時段],公表[救護2],""),$AX$9:$AX$25,$AY$9:$AY$25,"")</f>
        <v>0</v>
      </c>
      <c r="K28" s="87"/>
      <c r="L28" s="87" t="s">
        <v>212</v>
      </c>
      <c r="M28" s="312"/>
      <c r="N28" s="87">
        <f>_xlfn.XLOOKUP(_xlfn.XLOOKUP($AS$6&amp;$B28,公表[班別+時段],公表[備勤1],""),$AX$9:$AX$25,$AY$9:$AY$25,"")</f>
        <v>0</v>
      </c>
      <c r="O28" s="87">
        <f>_xlfn.XLOOKUP(_xlfn.XLOOKUP($AS$6&amp;$B28,公表[班別+時段],公表[備勤2],""),$AX$9:$AX$25,$AY$9:$AY$25,"")</f>
        <v>0</v>
      </c>
      <c r="P28" s="87"/>
      <c r="Q28" s="87">
        <f>_xlfn.XLOOKUP(_xlfn.XLOOKUP($AS$6&amp;$B28,公表[班別+時段],公表[備勤3],""),$AX$9:$AX$25,$AY$9:$AY$25,"")</f>
        <v>0</v>
      </c>
      <c r="R28" s="87">
        <f>_xlfn.XLOOKUP(_xlfn.XLOOKUP($AS$6&amp;$B28,公表[班別+時段],公表[備勤4],""),$AX$9:$AX$25,$AY$9:$AY$25,"")</f>
        <v>0</v>
      </c>
      <c r="S28" s="87"/>
      <c r="T28" s="87">
        <f>_xlfn.XLOOKUP(_xlfn.XLOOKUP($AS$6&amp;$B28,公表[班別+時段],公表[備勤5],""),$AX$9:$AX$25,$AY$9:$AY$25,"")</f>
        <v>5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87"/>
      <c r="AC28" s="87"/>
      <c r="AD28" s="87"/>
      <c r="AE28" s="88">
        <f>_xlfn.XLOOKUP(_xlfn.XLOOKUP($AS$6&amp;$B28,公表[班別+時段],公表[指揮官],""),$AX$9:$AX$25,$AY$9:$AY$25,"")</f>
        <v>1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27">
        <v>20</v>
      </c>
      <c r="AP28" s="127" t="str">
        <v>呂奇霈</v>
      </c>
      <c r="AQ28" s="127" t="str" cm="1">
        <f t="array" ref="AQ28">IFERROR(_xlfn.XLOOKUP(_xlfn.XLOOKUP($AQ$3,輪休基準表!$C$6:$C$36,_xlfn.XLOOKUP(AP28,輪休基準表!$E$5:$AF$5,輪休基準表!$E$6:$AF$36,""),""),班別參數!$A$4:$A$20,班別參數!$B$4:$B$20,""),"")</f>
        <v>公假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27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0</v>
      </c>
      <c r="D29" s="95"/>
      <c r="E29" s="95"/>
      <c r="F29" s="95"/>
      <c r="G29" s="122" t="str">
        <f>IF(BC18="","",BC18)</f>
        <v/>
      </c>
      <c r="H29" s="37"/>
      <c r="I29" s="92">
        <f>_xlfn.XLOOKUP(_xlfn.XLOOKUP($AS$6&amp;$B29,公表[班別+時段],公表[救護1],""),$AX$9:$AX$25,$AY$9:$AY$25,"")</f>
        <v>0</v>
      </c>
      <c r="J29" s="92">
        <f>_xlfn.XLOOKUP(_xlfn.XLOOKUP($AS$6&amp;$B29,公表[班別+時段],公表[救護2],""),$AX$9:$AX$25,$AY$9:$AY$25,"")</f>
        <v>0</v>
      </c>
      <c r="K29" s="87"/>
      <c r="L29" s="87" t="s">
        <v>212</v>
      </c>
      <c r="M29" s="312"/>
      <c r="N29" s="87">
        <f>_xlfn.XLOOKUP(_xlfn.XLOOKUP($AS$6&amp;$B29,公表[班別+時段],公表[備勤1],""),$AX$9:$AX$25,$AY$9:$AY$25,"")</f>
        <v>0</v>
      </c>
      <c r="O29" s="87">
        <f>_xlfn.XLOOKUP(_xlfn.XLOOKUP($AS$6&amp;$B29,公表[班別+時段],公表[備勤2],""),$AX$9:$AX$25,$AY$9:$AY$25,"")</f>
        <v>0</v>
      </c>
      <c r="P29" s="87"/>
      <c r="Q29" s="87">
        <f>_xlfn.XLOOKUP(_xlfn.XLOOKUP($AS$6&amp;$B29,公表[班別+時段],公表[備勤3],""),$AX$9:$AX$25,$AY$9:$AY$25,"")</f>
        <v>0</v>
      </c>
      <c r="R29" s="87">
        <f>_xlfn.XLOOKUP(_xlfn.XLOOKUP($AS$6&amp;$B29,公表[班別+時段],公表[備勤4],""),$AX$9:$AX$25,$AY$9:$AY$25,"")</f>
        <v>0</v>
      </c>
      <c r="S29" s="87"/>
      <c r="T29" s="87">
        <f>_xlfn.XLOOKUP(_xlfn.XLOOKUP($AS$6&amp;$B29,公表[班別+時段],公表[備勤5],""),$AX$9:$AX$25,$AY$9:$AY$25,"")</f>
        <v>5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87"/>
      <c r="AC29" s="87"/>
      <c r="AD29" s="87"/>
      <c r="AE29" s="88">
        <f>_xlfn.XLOOKUP(_xlfn.XLOOKUP($AS$6&amp;$B29,公表[班別+時段],公表[指揮官],""),$AX$9:$AX$25,$AY$9:$AY$25,"")</f>
        <v>1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27">
        <v>21</v>
      </c>
      <c r="AP29" s="127" t="str">
        <v>張家和</v>
      </c>
      <c r="AQ29" s="127" t="str" cm="1">
        <f t="array" ref="AQ29">IFERROR(_xlfn.XLOOKUP(_xlfn.XLOOKUP($AQ$3,輪休基準表!$C$6:$C$36,_xlfn.XLOOKUP(AP29,輪休基準表!$E$5:$AF$5,輪休基準表!$E$6:$AF$36,""),""),班別參數!$A$4:$A$20,班別參數!$B$4:$B$20,""),"")</f>
        <v>輪休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/>
      </c>
      <c r="AT29" s="180" t="str">
        <f t="shared" si="0"/>
        <v/>
      </c>
      <c r="AU29" s="180" t="str">
        <f t="shared" si="1"/>
        <v/>
      </c>
      <c r="AV29" s="10"/>
      <c r="AW29" s="47"/>
      <c r="AX29" s="45"/>
      <c r="AY29" s="25"/>
      <c r="AZ29" s="28"/>
      <c r="BA29" s="33"/>
      <c r="BB29" s="25"/>
      <c r="BD29" s="127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0</v>
      </c>
      <c r="D30" s="95"/>
      <c r="E30" s="95"/>
      <c r="F30" s="95"/>
      <c r="G30" s="122" t="str">
        <f>IF(BC19="","",BC19)</f>
        <v/>
      </c>
      <c r="H30" s="37"/>
      <c r="I30" s="92">
        <f>_xlfn.XLOOKUP(_xlfn.XLOOKUP($AS$6&amp;$B30,公表[班別+時段],公表[救護1],""),$AX$9:$AX$25,$AY$9:$AY$25,"")</f>
        <v>0</v>
      </c>
      <c r="J30" s="92">
        <f>_xlfn.XLOOKUP(_xlfn.XLOOKUP($AS$6&amp;$B30,公表[班別+時段],公表[救護2],""),$AX$9:$AX$25,$AY$9:$AY$25,"")</f>
        <v>0</v>
      </c>
      <c r="K30" s="87"/>
      <c r="L30" s="87" t="s">
        <v>212</v>
      </c>
      <c r="M30" s="312"/>
      <c r="N30" s="87">
        <f>_xlfn.XLOOKUP(_xlfn.XLOOKUP($AS$6&amp;$B30,公表[班別+時段],公表[備勤1],""),$AX$9:$AX$25,$AY$9:$AY$25,"")</f>
        <v>0</v>
      </c>
      <c r="O30" s="87">
        <f>_xlfn.XLOOKUP(_xlfn.XLOOKUP($AS$6&amp;$B30,公表[班別+時段],公表[備勤2],""),$AX$9:$AX$25,$AY$9:$AY$25,"")</f>
        <v>0</v>
      </c>
      <c r="P30" s="87"/>
      <c r="Q30" s="87">
        <f>_xlfn.XLOOKUP(_xlfn.XLOOKUP($AS$6&amp;$B30,公表[班別+時段],公表[備勤3],""),$AX$9:$AX$25,$AY$9:$AY$25,"")</f>
        <v>0</v>
      </c>
      <c r="R30" s="87">
        <f>_xlfn.XLOOKUP(_xlfn.XLOOKUP($AS$6&amp;$B30,公表[班別+時段],公表[備勤4],""),$AX$9:$AX$25,$AY$9:$AY$25,"")</f>
        <v>0</v>
      </c>
      <c r="S30" s="87"/>
      <c r="T30" s="87">
        <f>_xlfn.XLOOKUP(_xlfn.XLOOKUP($AS$6&amp;$B30,公表[班別+時段],公表[備勤5],""),$AX$9:$AX$25,$AY$9:$AY$25,"")</f>
        <v>5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87"/>
      <c r="AC30" s="87"/>
      <c r="AD30" s="87"/>
      <c r="AE30" s="88">
        <f>_xlfn.XLOOKUP(_xlfn.XLOOKUP($AS$6&amp;$B30,公表[班別+時段],公表[指揮官],""),$AX$9:$AX$25,$AY$9:$AY$25,"")</f>
        <v>1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27">
        <v>22</v>
      </c>
      <c r="AP30" s="127" t="str">
        <v>陳俊瑋</v>
      </c>
      <c r="AQ30" s="127" t="str" cm="1">
        <f t="array" ref="AQ30">IFERROR(_xlfn.XLOOKUP(_xlfn.XLOOKUP($AQ$3,輪休基準表!$C$6:$C$36,_xlfn.XLOOKUP(AP30,輪休基準表!$E$5:$AF$5,輪休基準表!$E$6:$AF$36,""),""),班別參數!$A$4:$A$20,班別參數!$B$4:$B$20,""),"")</f>
        <v>公假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27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0</v>
      </c>
      <c r="D31" s="106"/>
      <c r="E31" s="96"/>
      <c r="F31" s="96"/>
      <c r="G31" s="123" t="str">
        <f>IF(BC19="","",BC19)</f>
        <v/>
      </c>
      <c r="H31" s="109"/>
      <c r="I31" s="216">
        <f>_xlfn.XLOOKUP(_xlfn.XLOOKUP($AS$6&amp;$B31,公表[班別+時段],公表[救護1],""),$AX$9:$AX$25,$AY$9:$AY$25,"")</f>
        <v>0</v>
      </c>
      <c r="J31" s="216">
        <f>_xlfn.XLOOKUP(_xlfn.XLOOKUP($AS$6&amp;$B31,公表[班別+時段],公表[救護2],""),$AX$9:$AX$25,$AY$9:$AY$25,"")</f>
        <v>0</v>
      </c>
      <c r="K31" s="108"/>
      <c r="L31" s="93" t="s">
        <v>212</v>
      </c>
      <c r="M31" s="312"/>
      <c r="N31" s="89">
        <f>_xlfn.XLOOKUP(_xlfn.XLOOKUP($AS$6&amp;$B31,公表[班別+時段],公表[備勤1],""),$AX$9:$AX$25,$AY$9:$AY$25,"")</f>
        <v>0</v>
      </c>
      <c r="O31" s="89">
        <f>_xlfn.XLOOKUP(_xlfn.XLOOKUP($AS$6&amp;$B31,公表[班別+時段],公表[備勤2],""),$AX$9:$AX$25,$AY$9:$AY$25,"")</f>
        <v>0</v>
      </c>
      <c r="P31" s="89"/>
      <c r="Q31" s="89">
        <f>_xlfn.XLOOKUP(_xlfn.XLOOKUP($AS$6&amp;$B31,公表[班別+時段],公表[備勤3],""),$AX$9:$AX$25,$AY$9:$AY$25,"")</f>
        <v>0</v>
      </c>
      <c r="R31" s="89">
        <f>_xlfn.XLOOKUP(_xlfn.XLOOKUP($AS$6&amp;$B31,公表[班別+時段],公表[備勤4],""),$AX$9:$AX$25,$AY$9:$AY$25,"")</f>
        <v>0</v>
      </c>
      <c r="S31" s="89"/>
      <c r="T31" s="89">
        <f>_xlfn.XLOOKUP(_xlfn.XLOOKUP($AS$6&amp;$B31,公表[班別+時段],公表[備勤5],""),$AX$9:$AX$25,$AY$9:$AY$25,"")</f>
        <v>5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89"/>
      <c r="AC31" s="89"/>
      <c r="AD31" s="89"/>
      <c r="AE31" s="104">
        <f>_xlfn.XLOOKUP(_xlfn.XLOOKUP($AS$6&amp;$B31,公表[班別+時段],公表[指揮官],""),$AX$9:$AX$25,$AY$9:$AY$25,"")</f>
        <v>1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27">
        <v>23</v>
      </c>
      <c r="AP31" s="127" t="str">
        <v>陳俊翰</v>
      </c>
      <c r="AQ31" s="127" t="str" cm="1">
        <f t="array" ref="AQ31">IFERROR(_xlfn.XLOOKUP(_xlfn.XLOOKUP($AQ$3,輪休基準表!$C$6:$C$36,_xlfn.XLOOKUP(AP31,輪休基準表!$E$5:$AF$5,輪休基準表!$E$6:$AF$36,""),""),班別參數!$A$4:$A$20,班別參數!$B$4:$B$20,""),"")</f>
        <v>輪休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/>
      </c>
      <c r="AT31" s="180" t="str">
        <f t="shared" si="0"/>
        <v/>
      </c>
      <c r="AU31" s="180" t="str">
        <f t="shared" si="1"/>
        <v/>
      </c>
      <c r="AW31" s="47"/>
      <c r="AX31" s="45"/>
      <c r="AY31" s="25"/>
      <c r="AZ31" s="28"/>
      <c r="BA31" s="33"/>
      <c r="BB31" s="25"/>
      <c r="BD31" s="127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0</v>
      </c>
      <c r="D32" s="97"/>
      <c r="E32" s="97"/>
      <c r="F32" s="97"/>
      <c r="G32" s="121" t="str">
        <f>IF(BC20="","",BC20)</f>
        <v>5</v>
      </c>
      <c r="H32" s="56"/>
      <c r="I32" s="94">
        <f>_xlfn.XLOOKUP(_xlfn.XLOOKUP($AS$6&amp;$B32,公表[班別+時段],公表[救護1],""),$AX$9:$AX$25,$AY$9:$AY$25,"")</f>
        <v>0</v>
      </c>
      <c r="J32" s="94">
        <f>_xlfn.XLOOKUP(_xlfn.XLOOKUP($AS$6&amp;$B32,公表[班別+時段],公表[救護2],""),$AX$9:$AX$25,$AY$9:$AY$25,"")</f>
        <v>0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0</v>
      </c>
      <c r="O32" s="90">
        <f>_xlfn.XLOOKUP(_xlfn.XLOOKUP($AS$6&amp;$B32,公表[班別+時段],公表[備勤2],""),$AX$9:$AX$25,$AY$9:$AY$25,"")</f>
        <v>0</v>
      </c>
      <c r="P32" s="90"/>
      <c r="Q32" s="90">
        <f>_xlfn.XLOOKUP(_xlfn.XLOOKUP($AS$6&amp;$B32,公表[班別+時段],公表[備勤3],""),$AX$9:$AX$25,$AY$9:$AY$25,"")</f>
        <v>0</v>
      </c>
      <c r="R32" s="90">
        <f>_xlfn.XLOOKUP(_xlfn.XLOOKUP($AS$6&amp;$B32,公表[班別+時段],公表[備勤4],""),$AX$9:$AX$25,$AY$9:$AY$25,"")</f>
        <v>0</v>
      </c>
      <c r="S32" s="90"/>
      <c r="T32" s="90">
        <f>_xlfn.XLOOKUP(_xlfn.XLOOKUP($AS$6&amp;$B32,公表[班別+時段],公表[備勤5],""),$AX$9:$AX$25,$AY$9:$AY$25,"")</f>
        <v>0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90"/>
      <c r="AC32" s="90"/>
      <c r="AD32" s="90"/>
      <c r="AE32" s="91">
        <f>_xlfn.XLOOKUP(_xlfn.XLOOKUP($AS$6&amp;$B32,公表[班別+時段],公表[指揮官],""),$AX$9:$AX$25,$AY$9:$AY$25,"")</f>
        <v>1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27">
        <v>24</v>
      </c>
      <c r="AP32" s="127" t="str">
        <v>賴俊豪</v>
      </c>
      <c r="AQ32" s="127" t="str" cm="1">
        <f t="array" ref="AQ32">IFERROR(_xlfn.XLOOKUP(_xlfn.XLOOKUP($AQ$3,輪休基準表!$C$6:$C$36,_xlfn.XLOOKUP(AP32,輪休基準表!$E$5:$AF$5,輪休基準表!$E$6:$AF$36,""),""),班別參數!$A$4:$A$20,班別參數!$B$4:$B$20,""),"")</f>
        <v>輪休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/>
      </c>
      <c r="AT32" s="180" t="str">
        <f t="shared" si="0"/>
        <v/>
      </c>
      <c r="AU32" s="180" t="str">
        <f t="shared" si="1"/>
        <v/>
      </c>
      <c r="AW32" s="47"/>
      <c r="AX32" s="45"/>
      <c r="AY32" s="25"/>
      <c r="AZ32" s="28"/>
      <c r="BA32" s="33"/>
      <c r="BB32" s="25"/>
      <c r="BD32" s="127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0</v>
      </c>
      <c r="D33" s="95"/>
      <c r="E33" s="95"/>
      <c r="F33" s="95"/>
      <c r="G33" s="122" t="str">
        <f>IF(BC20="","",BC20)</f>
        <v>5</v>
      </c>
      <c r="H33" s="48"/>
      <c r="I33" s="92">
        <f>_xlfn.XLOOKUP(_xlfn.XLOOKUP($AS$6&amp;$B33,公表[班別+時段],公表[救護1],""),$AX$9:$AX$25,$AY$9:$AY$25,"")</f>
        <v>0</v>
      </c>
      <c r="J33" s="92">
        <f>_xlfn.XLOOKUP(_xlfn.XLOOKUP($AS$6&amp;$B33,公表[班別+時段],公表[救護2],""),$AX$9:$AX$25,$AY$9:$AY$25,"")</f>
        <v>0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0</v>
      </c>
      <c r="O33" s="87">
        <f>_xlfn.XLOOKUP(_xlfn.XLOOKUP($AS$6&amp;$B33,公表[班別+時段],公表[備勤2],""),$AX$9:$AX$25,$AY$9:$AY$25,"")</f>
        <v>0</v>
      </c>
      <c r="P33" s="87"/>
      <c r="Q33" s="87">
        <f>_xlfn.XLOOKUP(_xlfn.XLOOKUP($AS$6&amp;$B33,公表[班別+時段],公表[備勤3],""),$AX$9:$AX$25,$AY$9:$AY$25,"")</f>
        <v>0</v>
      </c>
      <c r="R33" s="87">
        <f>_xlfn.XLOOKUP(_xlfn.XLOOKUP($AS$6&amp;$B33,公表[班別+時段],公表[備勤4],""),$AX$9:$AX$25,$AY$9:$AY$25,"")</f>
        <v>0</v>
      </c>
      <c r="S33" s="87"/>
      <c r="T33" s="87">
        <f>_xlfn.XLOOKUP(_xlfn.XLOOKUP($AS$6&amp;$B33,公表[班別+時段],公表[備勤5],""),$AX$9:$AX$25,$AY$9:$AY$25,"")</f>
        <v>0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87"/>
      <c r="AC33" s="87"/>
      <c r="AD33" s="87"/>
      <c r="AE33" s="88">
        <f>_xlfn.XLOOKUP(_xlfn.XLOOKUP($AS$6&amp;$B33,公表[班別+時段],公表[指揮官],""),$AX$9:$AX$25,$AY$9:$AY$25,"")</f>
        <v>1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27">
        <v>25</v>
      </c>
      <c r="AP33" s="127" t="str">
        <v>郭國偵</v>
      </c>
      <c r="AQ33" s="127" t="str" cm="1">
        <f t="array" ref="AQ33">IFERROR(_xlfn.XLOOKUP(_xlfn.XLOOKUP($AQ$3,輪休基準表!$C$6:$C$36,_xlfn.XLOOKUP(AP33,輪休基準表!$E$5:$AF$5,輪休基準表!$E$6:$AF$36,""),""),班別參數!$A$4:$A$20,班別參數!$B$4:$B$20,""),"")</f>
        <v>輪休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/>
      </c>
      <c r="AT33" s="180" t="str">
        <f t="shared" si="0"/>
        <v/>
      </c>
      <c r="AU33" s="180" t="str">
        <f t="shared" si="1"/>
        <v/>
      </c>
      <c r="AW33" s="47"/>
      <c r="AX33" s="45"/>
      <c r="AY33" s="25"/>
      <c r="AZ33" s="28"/>
      <c r="BA33" s="25"/>
      <c r="BB33" s="25"/>
      <c r="BD33" s="127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一、本日主管上班。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27">
        <v>26</v>
      </c>
      <c r="AP34" s="127" t="str">
        <v>楊紹文</v>
      </c>
      <c r="AQ34" s="127" t="str" cm="1">
        <f t="array" ref="AQ34">IFERROR(_xlfn.XLOOKUP(_xlfn.XLOOKUP($AQ$3,輪休基準表!$C$6:$C$36,_xlfn.XLOOKUP(AP34,輪休基準表!$E$5:$AF$5,輪休基準表!$E$6:$AF$36,""),""),班別參數!$A$4:$A$20,班別參數!$B$4:$B$20,""),"")</f>
        <v>輪休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/>
      </c>
      <c r="AT34" s="180" t="str">
        <f t="shared" si="0"/>
        <v/>
      </c>
      <c r="AU34" s="180" t="str">
        <f t="shared" si="1"/>
        <v/>
      </c>
      <c r="AW34" s="47"/>
      <c r="AX34" s="45"/>
      <c r="AY34" s="25"/>
      <c r="AZ34" s="28"/>
      <c r="BA34" s="25"/>
      <c r="BB34" s="25"/>
      <c r="BD34" s="127"/>
    </row>
    <row r="35" spans="2:56" ht="30" customHeight="1">
      <c r="B35" s="349"/>
      <c r="C35" s="359" t="str">
        <f>CONCATENATE("二、在隊訓練:09-12時:",H11,";14-17時:",H16,";19-21時:",H21,"。")</f>
        <v>二、在隊訓練:09-12時:救生艇拆裝組合訓練;14-17時:船外機與橡皮艇;19-21時:個人水域防護裝備介紹。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27">
        <v>27</v>
      </c>
      <c r="AP35" s="127" t="str">
        <v>林宏為</v>
      </c>
      <c r="AQ35" s="127" t="str" cm="1">
        <f t="array" ref="AQ35">IFERROR(_xlfn.XLOOKUP(_xlfn.XLOOKUP($AQ$3,輪休基準表!$C$6:$C$36,_xlfn.XLOOKUP(AP35,輪休基準表!$E$5:$AF$5,輪休基準表!$E$6:$AF$36,""),""),班別參數!$A$4:$A$20,班別參數!$B$4:$B$20,""),"")</f>
        <v>上班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>未排</v>
      </c>
      <c r="AT35" s="180" t="str">
        <f t="shared" si="0"/>
        <v/>
      </c>
      <c r="AU35" s="180" t="str">
        <f t="shared" si="1"/>
        <v/>
      </c>
      <c r="AW35" s="47"/>
      <c r="AX35" s="45"/>
      <c r="AY35" s="25"/>
      <c r="AZ35" s="28"/>
      <c r="BA35" s="25"/>
      <c r="BB35" s="25"/>
      <c r="BD35" s="127"/>
    </row>
    <row r="36" spans="2:56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27">
        <v>28</v>
      </c>
      <c r="AP36" s="127" t="str">
        <v>林宸彥</v>
      </c>
      <c r="AQ36" s="127" t="str" cm="1">
        <f t="array" ref="AQ36">IFERROR(_xlfn.XLOOKUP(_xlfn.XLOOKUP($AQ$3,輪休基準表!$C$6:$C$36,_xlfn.XLOOKUP(AP36,輪休基準表!$E$5:$AF$5,輪休基準表!$E$6:$AF$36,""),""),班別參數!$A$4:$A$20,班別參數!$B$4:$B$20,""),"")</f>
        <v>輪休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/>
      </c>
      <c r="AT36" s="180" t="str">
        <f t="shared" si="0"/>
        <v/>
      </c>
      <c r="AU36" s="180" t="str">
        <f t="shared" si="1"/>
        <v/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27"/>
      <c r="AP37" s="127"/>
      <c r="AQ37" s="127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27"/>
      <c r="BD37" s="10"/>
    </row>
    <row r="38" spans="2:56" ht="15" customHeight="1">
      <c r="AQ38" s="127"/>
      <c r="AR38" s="118"/>
      <c r="AS38" s="119"/>
      <c r="AT38" s="119"/>
    </row>
    <row r="39" spans="2:56" ht="15" customHeight="1">
      <c r="AR39" s="118"/>
      <c r="AS39" s="119"/>
      <c r="AT39" s="119"/>
    </row>
    <row r="40" spans="2:56" ht="15" customHeight="1">
      <c r="AR40" s="118"/>
      <c r="AS40" s="119"/>
      <c r="AT40" s="119"/>
    </row>
  </sheetData>
  <mergeCells count="71">
    <mergeCell ref="AG22:AK22"/>
    <mergeCell ref="AG23:AM23"/>
    <mergeCell ref="AG24:AI24"/>
    <mergeCell ref="AK24:AM24"/>
    <mergeCell ref="AF33:AG33"/>
    <mergeCell ref="AH33:AI33"/>
    <mergeCell ref="AJ33:AK33"/>
    <mergeCell ref="AF31:AG31"/>
    <mergeCell ref="AH31:AI31"/>
    <mergeCell ref="AJ31:AK31"/>
    <mergeCell ref="AF32:AG32"/>
    <mergeCell ref="AH32:AI32"/>
    <mergeCell ref="AJ32:AK32"/>
    <mergeCell ref="AF27:AF28"/>
    <mergeCell ref="AG27:AM27"/>
    <mergeCell ref="AG28:AM28"/>
    <mergeCell ref="B34:B36"/>
    <mergeCell ref="C34:AE34"/>
    <mergeCell ref="AF34:AM34"/>
    <mergeCell ref="C35:AE35"/>
    <mergeCell ref="AF35:AM35"/>
    <mergeCell ref="C36:AE36"/>
    <mergeCell ref="AF36:AM36"/>
    <mergeCell ref="AF29:AM29"/>
    <mergeCell ref="AF30:AG30"/>
    <mergeCell ref="AH30:AI30"/>
    <mergeCell ref="AJ30:AK30"/>
    <mergeCell ref="AG25:AI25"/>
    <mergeCell ref="AK25:AM25"/>
    <mergeCell ref="C8:AE8"/>
    <mergeCell ref="C9:AE9"/>
    <mergeCell ref="M10:M33"/>
    <mergeCell ref="H11:H13"/>
    <mergeCell ref="H16:H18"/>
    <mergeCell ref="H21:H22"/>
    <mergeCell ref="I6:J6"/>
    <mergeCell ref="K6:L6"/>
    <mergeCell ref="N6:P6"/>
    <mergeCell ref="Q6:S6"/>
    <mergeCell ref="T6:V6"/>
    <mergeCell ref="AF5:AM6"/>
    <mergeCell ref="AO5:AO6"/>
    <mergeCell ref="T7:V7"/>
    <mergeCell ref="AR5:AR6"/>
    <mergeCell ref="AS5:AT5"/>
    <mergeCell ref="W6:Y6"/>
    <mergeCell ref="AE6:AE7"/>
    <mergeCell ref="AS6:AT6"/>
    <mergeCell ref="AP5:AQ6"/>
    <mergeCell ref="G5:G7"/>
    <mergeCell ref="B3:AM3"/>
    <mergeCell ref="AW3:AX3"/>
    <mergeCell ref="AY3:BB3"/>
    <mergeCell ref="B4:AI4"/>
    <mergeCell ref="AJ4:AM4"/>
    <mergeCell ref="AW4:AX4"/>
    <mergeCell ref="AY4:BB4"/>
    <mergeCell ref="B5:B7"/>
    <mergeCell ref="C5:C7"/>
    <mergeCell ref="D5:D7"/>
    <mergeCell ref="E5:E7"/>
    <mergeCell ref="F5:F7"/>
    <mergeCell ref="H5:H7"/>
    <mergeCell ref="I5:L5"/>
    <mergeCell ref="M5:AE5"/>
    <mergeCell ref="AY2:BB2"/>
    <mergeCell ref="B1:AE1"/>
    <mergeCell ref="AP1:AQ1"/>
    <mergeCell ref="B2:AE2"/>
    <mergeCell ref="AG2:AM2"/>
    <mergeCell ref="AW2:AX2"/>
  </mergeCells>
  <phoneticPr fontId="9" type="noConversion"/>
  <conditionalFormatting sqref="AO9:AQ36 AO37:AP37 AQ37:AQ38">
    <cfRule type="expression" dxfId="26" priority="16">
      <formula>COUNTIF($AQ9,"上班")&gt;=1</formula>
    </cfRule>
  </conditionalFormatting>
  <conditionalFormatting sqref="AF8:AF13 AH8:AH21 AJ8:AJ21 AL8:AM21">
    <cfRule type="expression" dxfId="25" priority="11">
      <formula>OR(VLOOKUP(AF8,$AO$9:$AQ$40,3,0)="上班",VLOOKUP(AF8,$AO$9:$AQ$40,3,0)="外宿")</formula>
    </cfRule>
  </conditionalFormatting>
  <conditionalFormatting sqref="AL8">
    <cfRule type="expression" dxfId="24" priority="10">
      <formula>OR(VLOOKUP(AL8,$AO$9:$AQ$36,3,0)="上班",VLOOKUP(AL8,$AO$9:$AQ$36,3,0)="外宿")</formula>
    </cfRule>
  </conditionalFormatting>
  <conditionalFormatting sqref="AR9:AR36">
    <cfRule type="notContainsText" dxfId="23" priority="2" operator="notContains" text="已排">
      <formula>ISERROR(SEARCH("已排",AR9))</formula>
    </cfRule>
  </conditionalFormatting>
  <conditionalFormatting sqref="AS9:AS36">
    <cfRule type="notContainsText" dxfId="22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9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B9202-82CC-48C0-87D6-19532DF60B0E}">
  <sheetPr codeName="工作表34">
    <pageSetUpPr fitToPage="1"/>
  </sheetPr>
  <dimension ref="B1:BD40"/>
  <sheetViews>
    <sheetView showZeros="0" view="pageBreakPreview" zoomScale="55" zoomScaleNormal="55" zoomScaleSheetLayoutView="55" workbookViewId="0">
      <selection activeCell="I6" sqref="I6:V7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6" width="5.375" style="126" customWidth="1"/>
    <col min="7" max="8" width="8.625" style="126" customWidth="1"/>
    <col min="9" max="12" width="5.375" style="126" customWidth="1"/>
    <col min="13" max="13" width="6.625" style="126" customWidth="1"/>
    <col min="14" max="31" width="5.375" style="126" customWidth="1"/>
    <col min="32" max="32" width="7.625" style="126" customWidth="1"/>
    <col min="33" max="33" width="10.625" style="126" customWidth="1"/>
    <col min="34" max="34" width="7.625" style="126" customWidth="1"/>
    <col min="35" max="35" width="10.625" style="126" customWidth="1"/>
    <col min="36" max="36" width="7.625" style="126" customWidth="1"/>
    <col min="37" max="37" width="10.625" style="126" customWidth="1"/>
    <col min="38" max="38" width="7.625" style="126" customWidth="1"/>
    <col min="39" max="39" width="10.625" style="126" customWidth="1"/>
    <col min="40" max="40" width="4.125" style="213" customWidth="1"/>
    <col min="41" max="47" width="11.625" style="126" customWidth="1"/>
    <col min="48" max="48" width="4.125" style="126" customWidth="1"/>
    <col min="49" max="49" width="16" style="126" customWidth="1"/>
    <col min="50" max="51" width="8.25" style="126" customWidth="1"/>
    <col min="52" max="52" width="4.125" style="126" customWidth="1"/>
    <col min="53" max="53" width="16" style="126" customWidth="1"/>
    <col min="54" max="54" width="8.25" style="126" customWidth="1"/>
    <col min="55" max="55" width="10.875" style="126" customWidth="1"/>
    <col min="56" max="58" width="4.125" style="126" customWidth="1"/>
    <col min="59" max="16384" width="11.25" style="126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27"/>
      <c r="AP1" s="399"/>
      <c r="AQ1" s="399"/>
      <c r="AR1" s="127"/>
      <c r="AS1" s="127"/>
      <c r="AT1" s="127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3" t="s">
        <v>178</v>
      </c>
      <c r="AR2" s="146" t="s">
        <v>228</v>
      </c>
      <c r="AS2" s="142"/>
      <c r="AT2" s="140"/>
      <c r="AU2" s="127"/>
      <c r="AV2" s="127"/>
      <c r="AW2" s="362" t="s">
        <v>127</v>
      </c>
      <c r="AX2" s="287"/>
      <c r="AY2" s="367" t="str">
        <f>_xlfn.XLOOKUP($AR$3,訓練!$L$13:$L$19,訓練!$M$13:$M$19,"")</f>
        <v>破壞器材操作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115年5月30日星期六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30</v>
      </c>
      <c r="AR3" s="141" t="str">
        <f>RIGHT(TEXT(1911+$AO$3&amp;"/"&amp;$AP$3&amp;"/"&amp;$AQ$3,"aaaa"),1)</f>
        <v>六</v>
      </c>
      <c r="AS3" s="145"/>
      <c r="AT3" s="145"/>
      <c r="AU3" s="127"/>
      <c r="AV3" s="127"/>
      <c r="AW3" s="362" t="s">
        <v>128</v>
      </c>
      <c r="AX3" s="287"/>
      <c r="AY3" s="368" t="str">
        <f>_xlfn.XLOOKUP($AR$3,訓練!$L$13:$L$19,訓練!$N$13:$N$19,"")</f>
        <v>入室搜救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27"/>
      <c r="AU4" s="127"/>
      <c r="AV4" s="127"/>
      <c r="AW4" s="362" t="s">
        <v>129</v>
      </c>
      <c r="AX4" s="287"/>
      <c r="AY4" s="363" t="str">
        <f>_xlfn.XLOOKUP($AR$3,訓練!$L$13:$L$19,訓練!$O$13:$O$19,"")</f>
        <v>五用氣體檢知器及CO探測器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2"/>
      <c r="E5" s="340"/>
      <c r="F5" s="340"/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341"/>
      <c r="E6" s="341"/>
      <c r="F6" s="341"/>
      <c r="G6" s="312"/>
      <c r="H6" s="312"/>
      <c r="I6" s="334" t="s">
        <v>227</v>
      </c>
      <c r="J6" s="335"/>
      <c r="K6" s="334" t="s">
        <v>346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1+8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341"/>
      <c r="E7" s="341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192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27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27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27" cm="1">
        <f t="array" ref="AO9:AP36">TRANSPOSE(輪休基準表!E4:AF5)</f>
        <v>1</v>
      </c>
      <c r="AP9" s="127" t="str">
        <v>鄧力嘉</v>
      </c>
      <c r="AQ9" s="127" t="str" cm="1">
        <f t="array" ref="AQ9">IFERROR(_xlfn.XLOOKUP(_xlfn.XLOOKUP($AQ$3,輪休基準表!$C$6:$C$36,_xlfn.XLOOKUP(AP9,輪休基準表!$E$5:$AF$5,輪休基準表!$E$6:$AF$36,""),""),班別參數!$A$4:$A$20,班別參數!$B$4:$B$20,""),"")</f>
        <v>輪休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/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 t="array" ref="AX9">IFERROR(INDEX(班別參數!$D$4:$S$20,MATCH(AW9,班別參數!$D$4:$D$20,0),MATCH($AS$6,班別參數!$D$4:$S$4,0)),"")</f>
        <v>A</v>
      </c>
      <c r="AY9" s="35"/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/>
      </c>
      <c r="BD9" s="127"/>
    </row>
    <row r="10" spans="2:56" ht="30" customHeight="1">
      <c r="B10" s="81" t="s">
        <v>70</v>
      </c>
      <c r="C10" s="87">
        <f>_xlfn.XLOOKUP(_xlfn.XLOOKUP($AS$6&amp;$B10,公表[班別+時段],公表[值班],""),$AX$9:$AX$25,$AY$9:$AY$25,"")</f>
        <v>0</v>
      </c>
      <c r="D10" s="95"/>
      <c r="E10" s="95"/>
      <c r="F10" s="95"/>
      <c r="G10" s="122" t="str">
        <f>IF(BC9="","",BC9)</f>
        <v/>
      </c>
      <c r="H10" s="37"/>
      <c r="I10" s="92">
        <f>_xlfn.XLOOKUP(_xlfn.XLOOKUP($AS$6&amp;$B10,公表[班別+時段],公表[救護1],""),$AX$9:$AX$25,$AY$9:$AY$25,"")</f>
        <v>0</v>
      </c>
      <c r="J10" s="92">
        <f>_xlfn.XLOOKUP(_xlfn.XLOOKUP($AS$6&amp;$B10,公表[班別+時段],公表[救護2],""),$AX$9:$AX$25,$AY$9:$AY$25,"")</f>
        <v>0</v>
      </c>
      <c r="K10" s="87"/>
      <c r="L10" s="87" t="s">
        <v>212</v>
      </c>
      <c r="M10" s="311"/>
      <c r="N10" s="87">
        <f>_xlfn.XLOOKUP(_xlfn.XLOOKUP($AS$6&amp;$B10,公表[班別+時段],公表[備勤1],""),$AX$9:$AX$25,$AY$9:$AY$25,"")</f>
        <v>0</v>
      </c>
      <c r="O10" s="87">
        <f>_xlfn.XLOOKUP(_xlfn.XLOOKUP($AS$6&amp;$B10,公表[班別+時段],公表[備勤2],""),$AX$9:$AX$25,$AY$9:$AY$25,"")</f>
        <v>0</v>
      </c>
      <c r="P10" s="87"/>
      <c r="Q10" s="87">
        <f>_xlfn.XLOOKUP(_xlfn.XLOOKUP($AS$6&amp;$B10,公表[班別+時段],公表[備勤3],""),$AX$9:$AX$25,$AY$9:$AY$25,"")</f>
        <v>0</v>
      </c>
      <c r="R10" s="87">
        <f>_xlfn.XLOOKUP(_xlfn.XLOOKUP($AS$6&amp;$B10,公表[班別+時段],公表[備勤4],""),$AX$9:$AX$25,$AY$9:$AY$25,"")</f>
        <v>0</v>
      </c>
      <c r="S10" s="87"/>
      <c r="T10" s="87">
        <f>_xlfn.XLOOKUP(_xlfn.XLOOKUP($AS$6&amp;$B10,公表[班別+時段],公表[備勤5],""),$AX$9:$AX$25,$AY$9:$AY$25,"")</f>
        <v>0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87"/>
      <c r="AB10" s="87"/>
      <c r="AC10" s="87"/>
      <c r="AD10" s="87"/>
      <c r="AE10" s="88">
        <f>_xlfn.XLOOKUP(_xlfn.XLOOKUP($AS$6&amp;$B10,公表[班別+時段],公表[指揮官],""),$AX$9:$AX$25,$AY$9:$AY$25,"")</f>
        <v>4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27">
        <v>2</v>
      </c>
      <c r="AP10" s="127" t="str">
        <v>莊勝斌</v>
      </c>
      <c r="AQ10" s="127" t="str" cm="1">
        <f t="array" ref="AQ10">IFERROR(_xlfn.XLOOKUP(_xlfn.XLOOKUP($AQ$3,輪休基準表!$C$6:$C$36,_xlfn.XLOOKUP(AP10,輪休基準表!$E$5:$AF$5,輪休基準表!$E$6:$AF$36,""),""),班別參數!$A$4:$A$20,班別參數!$B$4:$B$20,""),"")</f>
        <v>請休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/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/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/>
      </c>
      <c r="BD10" s="127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0</v>
      </c>
      <c r="D11" s="95"/>
      <c r="E11" s="95"/>
      <c r="F11" s="95"/>
      <c r="G11" s="122" t="str">
        <f>IF(BC9="","",BC9)</f>
        <v/>
      </c>
      <c r="H11" s="296" t="str">
        <f>AY2</f>
        <v>破壞器材操作</v>
      </c>
      <c r="I11" s="92">
        <f>_xlfn.XLOOKUP(_xlfn.XLOOKUP($AS$6&amp;$B11,公表[班別+時段],公表[救護1],""),$AX$9:$AX$25,$AY$9:$AY$25,"")</f>
        <v>0</v>
      </c>
      <c r="J11" s="92">
        <f>_xlfn.XLOOKUP(_xlfn.XLOOKUP($AS$6&amp;$B11,公表[班別+時段],公表[救護2],""),$AX$9:$AX$25,$AY$9:$AY$25,"")</f>
        <v>0</v>
      </c>
      <c r="K11" s="87"/>
      <c r="L11" s="87" t="s">
        <v>212</v>
      </c>
      <c r="M11" s="312"/>
      <c r="N11" s="87">
        <f>_xlfn.XLOOKUP(_xlfn.XLOOKUP($AS$6&amp;$B11,公表[班別+時段],公表[備勤1],""),$AX$9:$AX$25,$AY$9:$AY$25,"")</f>
        <v>0</v>
      </c>
      <c r="O11" s="87">
        <f>_xlfn.XLOOKUP(_xlfn.XLOOKUP($AS$6&amp;$B11,公表[班別+時段],公表[備勤2],""),$AX$9:$AX$25,$AY$9:$AY$25,"")</f>
        <v>0</v>
      </c>
      <c r="P11" s="87"/>
      <c r="Q11" s="87">
        <f>_xlfn.XLOOKUP(_xlfn.XLOOKUP($AS$6&amp;$B11,公表[班別+時段],公表[備勤3],""),$AX$9:$AX$25,$AY$9:$AY$25,"")</f>
        <v>0</v>
      </c>
      <c r="R11" s="87">
        <f>_xlfn.XLOOKUP(_xlfn.XLOOKUP($AS$6&amp;$B11,公表[班別+時段],公表[備勤4],""),$AX$9:$AX$25,$AY$9:$AY$25,"")</f>
        <v>0</v>
      </c>
      <c r="S11" s="87"/>
      <c r="T11" s="87">
        <f>_xlfn.XLOOKUP(_xlfn.XLOOKUP($AS$6&amp;$B11,公表[班別+時段],公表[備勤5],""),$AX$9:$AX$25,$AY$9:$AY$25,"")</f>
        <v>0</v>
      </c>
      <c r="U11" s="87">
        <f>_xlfn.XLOOKUP(_xlfn.XLOOKUP($AS$6&amp;$B11,公表[班別+時段],公表[備勤6],""),$AX$9:$AX$25,$AY$9:$AY$25,"")</f>
        <v>0</v>
      </c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87"/>
      <c r="AB11" s="87"/>
      <c r="AC11" s="87"/>
      <c r="AD11" s="87"/>
      <c r="AE11" s="88">
        <f>_xlfn.XLOOKUP(_xlfn.XLOOKUP($AS$6&amp;$B11,公表[班別+時段],公表[指揮官],""),$AX$9:$AX$25,$AY$9:$AY$25,"")</f>
        <v>4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27">
        <v>3</v>
      </c>
      <c r="AP11" s="127" t="str">
        <v>孫子翔</v>
      </c>
      <c r="AQ11" s="127" t="str" cm="1">
        <f t="array" ref="AQ11">IFERROR(_xlfn.XLOOKUP(_xlfn.XLOOKUP($AQ$3,輪休基準表!$C$6:$C$36,_xlfn.XLOOKUP(AP11,輪休基準表!$E$5:$AF$5,輪休基準表!$E$6:$AF$36,""),""),班別參數!$A$4:$A$20,班別參數!$B$4:$B$20,""),"")</f>
        <v>輪休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/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/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K</v>
      </c>
      <c r="BC11" s="39" t="str">
        <f t="shared" si="2"/>
        <v>4</v>
      </c>
      <c r="BD11" s="127"/>
    </row>
    <row r="12" spans="2:56" ht="30" customHeight="1">
      <c r="B12" s="81" t="s">
        <v>75</v>
      </c>
      <c r="C12" s="87">
        <f>_xlfn.XLOOKUP(_xlfn.XLOOKUP($AS$6&amp;$B12,公表[班別+時段],公表[值班],""),$AX$9:$AX$25,$AY$9:$AY$25,"")</f>
        <v>0</v>
      </c>
      <c r="D12" s="95"/>
      <c r="E12" s="95"/>
      <c r="F12" s="95"/>
      <c r="G12" s="122" t="str">
        <f>IF(BC10="","",BC10)</f>
        <v/>
      </c>
      <c r="H12" s="314"/>
      <c r="I12" s="92">
        <f>_xlfn.XLOOKUP(_xlfn.XLOOKUP($AS$6&amp;$B12,公表[班別+時段],公表[救護1],""),$AX$9:$AX$25,$AY$9:$AY$25,"")</f>
        <v>0</v>
      </c>
      <c r="J12" s="92">
        <f>_xlfn.XLOOKUP(_xlfn.XLOOKUP($AS$6&amp;$B12,公表[班別+時段],公表[救護2],""),$AX$9:$AX$25,$AY$9:$AY$25,"")</f>
        <v>0</v>
      </c>
      <c r="K12" s="92"/>
      <c r="L12" s="87" t="s">
        <v>212</v>
      </c>
      <c r="M12" s="312"/>
      <c r="N12" s="87">
        <f>_xlfn.XLOOKUP(_xlfn.XLOOKUP($AS$6&amp;$B12,公表[班別+時段],公表[備勤1],""),$AX$9:$AX$25,$AY$9:$AY$25,"")</f>
        <v>0</v>
      </c>
      <c r="O12" s="87">
        <f>_xlfn.XLOOKUP(_xlfn.XLOOKUP($AS$6&amp;$B12,公表[班別+時段],公表[備勤2],""),$AX$9:$AX$25,$AY$9:$AY$25,"")</f>
        <v>0</v>
      </c>
      <c r="P12" s="87"/>
      <c r="Q12" s="87">
        <f>_xlfn.XLOOKUP(_xlfn.XLOOKUP($AS$6&amp;$B12,公表[班別+時段],公表[備勤3],""),$AX$9:$AX$25,$AY$9:$AY$25,"")</f>
        <v>0</v>
      </c>
      <c r="R12" s="87">
        <f>_xlfn.XLOOKUP(_xlfn.XLOOKUP($AS$6&amp;$B12,公表[班別+時段],公表[備勤4],""),$AX$9:$AX$25,$AY$9:$AY$25,"")</f>
        <v>0</v>
      </c>
      <c r="S12" s="87"/>
      <c r="T12" s="87">
        <f>_xlfn.XLOOKUP(_xlfn.XLOOKUP($AS$6&amp;$B12,公表[班別+時段],公表[備勤5],""),$AX$9:$AX$25,$AY$9:$AY$25,"")</f>
        <v>0</v>
      </c>
      <c r="U12" s="87">
        <f>_xlfn.XLOOKUP(_xlfn.XLOOKUP($AS$6&amp;$B12,公表[班別+時段],公表[備勤6],""),$AX$9:$AX$25,$AY$9:$AY$25,"")</f>
        <v>0</v>
      </c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87"/>
      <c r="AC12" s="87"/>
      <c r="AD12" s="87"/>
      <c r="AE12" s="88">
        <f>_xlfn.XLOOKUP(_xlfn.XLOOKUP($AS$6&amp;$B12,公表[班別+時段],公表[指揮官],""),$AX$9:$AX$25,$AY$9:$AY$25,"")</f>
        <v>4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27">
        <v>4</v>
      </c>
      <c r="AP12" s="127" t="str">
        <v>簡永豐</v>
      </c>
      <c r="AQ12" s="127" t="str" cm="1">
        <f t="array" ref="AQ12">IFERROR(_xlfn.XLOOKUP(_xlfn.XLOOKUP($AQ$3,輪休基準表!$C$6:$C$36,_xlfn.XLOOKUP(AP12,輪休基準表!$E$5:$AF$5,輪休基準表!$E$6:$AF$36,""),""),班別參數!$A$4:$A$20,班別參數!$B$4:$B$20,""),"")</f>
        <v>上班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>已排</v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/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27"/>
    </row>
    <row r="13" spans="2:56" ht="30" customHeight="1" thickBot="1">
      <c r="B13" s="82" t="s">
        <v>76</v>
      </c>
      <c r="C13" s="89">
        <f>_xlfn.XLOOKUP(_xlfn.XLOOKUP($AS$6&amp;$B13,公表[班別+時段],公表[值班],""),$AX$9:$AX$25,$AY$9:$AY$25,"")</f>
        <v>0</v>
      </c>
      <c r="D13" s="233"/>
      <c r="E13" s="96"/>
      <c r="F13" s="96"/>
      <c r="G13" s="123" t="str">
        <f>IF(BC10="","",BC10)</f>
        <v/>
      </c>
      <c r="H13" s="315"/>
      <c r="I13" s="216">
        <f>_xlfn.XLOOKUP(_xlfn.XLOOKUP($AS$6&amp;$B13,公表[班別+時段],公表[救護1],""),$AX$9:$AX$25,$AY$9:$AY$25,"")</f>
        <v>0</v>
      </c>
      <c r="J13" s="216">
        <f>_xlfn.XLOOKUP(_xlfn.XLOOKUP($AS$6&amp;$B13,公表[班別+時段],公表[救護2],""),$AX$9:$AX$25,$AY$9:$AY$25,"")</f>
        <v>0</v>
      </c>
      <c r="K13" s="105"/>
      <c r="L13" s="93" t="s">
        <v>212</v>
      </c>
      <c r="M13" s="312"/>
      <c r="N13" s="89">
        <f>_xlfn.XLOOKUP(_xlfn.XLOOKUP($AS$6&amp;$B13,公表[班別+時段],公表[備勤1],""),$AX$9:$AX$25,$AY$9:$AY$25,"")</f>
        <v>0</v>
      </c>
      <c r="O13" s="89">
        <f>_xlfn.XLOOKUP(_xlfn.XLOOKUP($AS$6&amp;$B13,公表[班別+時段],公表[備勤2],""),$AX$9:$AX$25,$AY$9:$AY$25,"")</f>
        <v>0</v>
      </c>
      <c r="P13" s="89"/>
      <c r="Q13" s="89">
        <f>_xlfn.XLOOKUP(_xlfn.XLOOKUP($AS$6&amp;$B13,公表[班別+時段],公表[備勤3],""),$AX$9:$AX$25,$AY$9:$AY$25,"")</f>
        <v>0</v>
      </c>
      <c r="R13" s="89">
        <f>_xlfn.XLOOKUP(_xlfn.XLOOKUP($AS$6&amp;$B13,公表[班別+時段],公表[備勤4],""),$AX$9:$AX$25,$AY$9:$AY$25,"")</f>
        <v>0</v>
      </c>
      <c r="S13" s="89"/>
      <c r="T13" s="89">
        <f>_xlfn.XLOOKUP(_xlfn.XLOOKUP($AS$6&amp;$B13,公表[班別+時段],公表[備勤5],""),$AX$9:$AX$25,$AY$9:$AY$25,"")</f>
        <v>0</v>
      </c>
      <c r="U13" s="89">
        <f>_xlfn.XLOOKUP(_xlfn.XLOOKUP($AS$6&amp;$B13,公表[班別+時段],公表[備勤6],""),$AX$9:$AX$25,$AY$9:$AY$25,"")</f>
        <v>0</v>
      </c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89"/>
      <c r="AC13" s="89"/>
      <c r="AD13" s="89"/>
      <c r="AE13" s="104">
        <f>_xlfn.XLOOKUP(_xlfn.XLOOKUP($AS$6&amp;$B13,公表[班別+時段],公表[指揮官],""),$AX$9:$AX$25,$AY$9:$AY$25,"")</f>
        <v>4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27">
        <v>5</v>
      </c>
      <c r="AP13" s="127" t="str">
        <v>張鴻志</v>
      </c>
      <c r="AQ13" s="127" t="str" cm="1">
        <f t="array" ref="AQ13">IFERROR(_xlfn.XLOOKUP(_xlfn.XLOOKUP($AQ$3,輪休基準表!$C$6:$C$36,_xlfn.XLOOKUP(AP13,輪休基準表!$E$5:$AF$5,輪休基準表!$E$6:$AF$36,""),""),班別參數!$A$4:$A$20,班別參數!$B$4:$B$20,""),"")</f>
        <v>輪休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/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/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/>
      </c>
      <c r="BD13" s="127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0</v>
      </c>
      <c r="D14" s="234"/>
      <c r="E14" s="97"/>
      <c r="F14" s="97"/>
      <c r="G14" s="121" t="str">
        <f>IF(BC11="","",BC11)</f>
        <v>4</v>
      </c>
      <c r="H14" s="55"/>
      <c r="I14" s="94">
        <f>_xlfn.XLOOKUP(_xlfn.XLOOKUP($AS$6&amp;$B14,公表[班別+時段],公表[救護1],""),$AX$9:$AX$25,$AY$9:$AY$25,"")</f>
        <v>0</v>
      </c>
      <c r="J14" s="94">
        <f>_xlfn.XLOOKUP(_xlfn.XLOOKUP($AS$6&amp;$B14,公表[班別+時段],公表[救護2],""),$AX$9:$AX$25,$AY$9:$AY$25,"")</f>
        <v>0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0</v>
      </c>
      <c r="O14" s="90">
        <f>_xlfn.XLOOKUP(_xlfn.XLOOKUP($AS$6&amp;$B14,公表[班別+時段],公表[備勤2],""),$AX$9:$AX$25,$AY$9:$AY$25,"")</f>
        <v>0</v>
      </c>
      <c r="P14" s="90"/>
      <c r="Q14" s="90">
        <f>_xlfn.XLOOKUP(_xlfn.XLOOKUP($AS$6&amp;$B14,公表[班別+時段],公表[備勤3],""),$AX$9:$AX$25,$AY$9:$AY$25,"")</f>
        <v>0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0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90"/>
      <c r="AC14" s="90"/>
      <c r="AD14" s="90"/>
      <c r="AE14" s="91">
        <f>_xlfn.XLOOKUP(_xlfn.XLOOKUP($AS$6&amp;$B14,公表[班別+時段],公表[指揮官],""),$AX$9:$AX$25,$AY$9:$AY$25,"")</f>
        <v>0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27">
        <v>6</v>
      </c>
      <c r="AP14" s="127" t="str">
        <v>吳宗耕</v>
      </c>
      <c r="AQ14" s="127" t="str" cm="1">
        <f t="array" ref="AQ14">IFERROR(_xlfn.XLOOKUP(_xlfn.XLOOKUP($AQ$3,輪休基準表!$C$6:$C$36,_xlfn.XLOOKUP(AP14,輪休基準表!$E$5:$AF$5,輪休基準表!$E$6:$AF$36,""),""),班別參數!$A$4:$A$20,班別參數!$B$4:$B$20,""),"")</f>
        <v>上班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>未排</v>
      </c>
      <c r="AT14" s="180" t="str">
        <f t="shared" si="0"/>
        <v/>
      </c>
      <c r="AU14" s="180" t="str">
        <f t="shared" si="1"/>
        <v/>
      </c>
      <c r="AV14" s="25"/>
      <c r="AW14" s="33" t="str">
        <f t="array" ref="AW14">INDEX(班別參數!$D$4:$D$20,ROW()-7,MATCH($AW$8,班別參數!$D$4:$D$20,0))</f>
        <v>18-20</v>
      </c>
      <c r="AX14" s="34" t="str">
        <f t="array" ref="AX14">IFERROR(INDEX(班別參數!$D$4:$S$20,MATCH(AW14,班別參數!$D$4:$D$20,0),MATCH($AS$6,班別參數!$D$4:$S$4,0)),"")</f>
        <v>E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B,F</v>
      </c>
      <c r="BC14" s="39" t="str">
        <f t="shared" si="2"/>
        <v/>
      </c>
      <c r="BD14" s="127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0</v>
      </c>
      <c r="D15" s="235"/>
      <c r="E15" s="106"/>
      <c r="F15" s="96"/>
      <c r="G15" s="123" t="str">
        <f>IF(BC11="","",BC11)</f>
        <v>4</v>
      </c>
      <c r="H15" s="40"/>
      <c r="I15" s="216">
        <f>_xlfn.XLOOKUP(_xlfn.XLOOKUP($AS$6&amp;$B15,公表[班別+時段],公表[救護1],""),$AX$9:$AX$25,$AY$9:$AY$25,"")</f>
        <v>0</v>
      </c>
      <c r="J15" s="216">
        <f>_xlfn.XLOOKUP(_xlfn.XLOOKUP($AS$6&amp;$B15,公表[班別+時段],公表[救護2],""),$AX$9:$AX$25,$AY$9:$AY$25,"")</f>
        <v>0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0</v>
      </c>
      <c r="O15" s="89">
        <f>_xlfn.XLOOKUP(_xlfn.XLOOKUP($AS$6&amp;$B15,公表[班別+時段],公表[備勤2],""),$AX$9:$AX$25,$AY$9:$AY$25,"")</f>
        <v>0</v>
      </c>
      <c r="P15" s="89"/>
      <c r="Q15" s="89">
        <f>_xlfn.XLOOKUP(_xlfn.XLOOKUP($AS$6&amp;$B15,公表[班別+時段],公表[備勤3],""),$AX$9:$AX$25,$AY$9:$AY$25,"")</f>
        <v>0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0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89"/>
      <c r="AC15" s="89"/>
      <c r="AD15" s="89"/>
      <c r="AE15" s="104">
        <f>_xlfn.XLOOKUP(_xlfn.XLOOKUP($AS$6&amp;$B15,公表[班別+時段],公表[指揮官],""),$AX$9:$AX$25,$AY$9:$AY$25,"")</f>
        <v>0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27">
        <v>7</v>
      </c>
      <c r="AP15" s="127" t="str">
        <v>包華先</v>
      </c>
      <c r="AQ15" s="127" t="str" cm="1">
        <f t="array" ref="AQ15">IFERROR(_xlfn.XLOOKUP(_xlfn.XLOOKUP($AQ$3,輪休基準表!$C$6:$C$36,_xlfn.XLOOKUP(AP15,輪休基準表!$E$5:$AF$5,輪休基準表!$E$6:$AF$36,""),""),班別參數!$A$4:$A$20,班別參數!$B$4:$B$20,""),"")</f>
        <v>輪休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/>
      </c>
      <c r="AT15" s="180" t="str">
        <f t="shared" si="0"/>
        <v/>
      </c>
      <c r="AU15" s="180" t="str">
        <f t="shared" si="1"/>
        <v/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/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/>
      </c>
      <c r="BD15" s="127"/>
    </row>
    <row r="16" spans="2:56" ht="30" customHeight="1">
      <c r="B16" s="83" t="s">
        <v>79</v>
      </c>
      <c r="C16" s="90">
        <f>_xlfn.XLOOKUP(_xlfn.XLOOKUP($AS$6&amp;$B16,公表[班別+時段],公表[值班],""),$AX$9:$AX$25,$AY$9:$AY$25,"")</f>
        <v>0</v>
      </c>
      <c r="D16" s="98"/>
      <c r="E16" s="99"/>
      <c r="F16" s="98"/>
      <c r="G16" s="121" t="str">
        <f>IF(BC12="","",BC12)</f>
        <v/>
      </c>
      <c r="H16" s="316" t="str">
        <f>AY3</f>
        <v>入室搜救</v>
      </c>
      <c r="I16" s="94">
        <f>_xlfn.XLOOKUP(_xlfn.XLOOKUP($AS$6&amp;$B16,公表[班別+時段],公表[救護1],""),$AX$9:$AX$25,$AY$9:$AY$25,"")</f>
        <v>0</v>
      </c>
      <c r="J16" s="94">
        <f>_xlfn.XLOOKUP(_xlfn.XLOOKUP($AS$6&amp;$B16,公表[班別+時段],公表[救護2],""),$AX$9:$AX$25,$AY$9:$AY$25,"")</f>
        <v>0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0</v>
      </c>
      <c r="O16" s="90">
        <f>_xlfn.XLOOKUP(_xlfn.XLOOKUP($AS$6&amp;$B16,公表[班別+時段],公表[備勤2],""),$AX$9:$AX$25,$AY$9:$AY$25,"")</f>
        <v>0</v>
      </c>
      <c r="P16" s="90"/>
      <c r="Q16" s="90">
        <f>_xlfn.XLOOKUP(_xlfn.XLOOKUP($AS$6&amp;$B16,公表[班別+時段],公表[備勤3],""),$AX$9:$AX$25,$AY$9:$AY$25,"")</f>
        <v>0</v>
      </c>
      <c r="R16" s="90">
        <f>_xlfn.XLOOKUP(_xlfn.XLOOKUP($AS$6&amp;$B16,公表[班別+時段],公表[備勤4],""),$AX$9:$AX$25,$AY$9:$AY$25,"")</f>
        <v>0</v>
      </c>
      <c r="S16" s="90"/>
      <c r="T16" s="90">
        <f>_xlfn.XLOOKUP(_xlfn.XLOOKUP($AS$6&amp;$B16,公表[班別+時段],公表[備勤5],""),$AX$9:$AX$25,$AY$9:$AY$25,"")</f>
        <v>0</v>
      </c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90"/>
      <c r="AC16" s="90"/>
      <c r="AD16" s="90"/>
      <c r="AE16" s="91">
        <f>_xlfn.XLOOKUP(_xlfn.XLOOKUP($AS$6&amp;$B16,公表[班別+時段],公表[指揮官],""),$AX$9:$AX$25,$AY$9:$AY$25,"")</f>
        <v>4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27">
        <v>8</v>
      </c>
      <c r="AP16" s="127" t="str">
        <v>曾彥綸</v>
      </c>
      <c r="AQ16" s="127" t="str" cm="1">
        <f t="array" ref="AQ16">IFERROR(_xlfn.XLOOKUP(_xlfn.XLOOKUP($AQ$3,輪休基準表!$C$6:$C$36,_xlfn.XLOOKUP(AP16,輪休基準表!$E$5:$AF$5,輪休基準表!$E$6:$AF$36,""),""),班別參數!$A$4:$A$20,班別參數!$B$4:$B$20,""),"")</f>
        <v>請休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/>
      </c>
      <c r="AT16" s="180" t="str">
        <f t="shared" si="0"/>
        <v/>
      </c>
      <c r="AU16" s="180" t="str">
        <f t="shared" si="1"/>
        <v/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/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27"/>
    </row>
    <row r="17" spans="2:56" ht="30" customHeight="1">
      <c r="B17" s="81" t="s">
        <v>80</v>
      </c>
      <c r="C17" s="87">
        <f>_xlfn.XLOOKUP(_xlfn.XLOOKUP($AS$6&amp;$B17,公表[班別+時段],公表[值班],""),$AX$9:$AX$25,$AY$9:$AY$25,"")</f>
        <v>0</v>
      </c>
      <c r="D17" s="95"/>
      <c r="E17" s="95"/>
      <c r="F17" s="100"/>
      <c r="G17" s="122" t="str">
        <f>IF(BC12="","",BC12)</f>
        <v/>
      </c>
      <c r="H17" s="314"/>
      <c r="I17" s="92">
        <f>_xlfn.XLOOKUP(_xlfn.XLOOKUP($AS$6&amp;$B17,公表[班別+時段],公表[救護1],""),$AX$9:$AX$25,$AY$9:$AY$25,"")</f>
        <v>0</v>
      </c>
      <c r="J17" s="92">
        <f>_xlfn.XLOOKUP(_xlfn.XLOOKUP($AS$6&amp;$B17,公表[班別+時段],公表[救護2],""),$AX$9:$AX$25,$AY$9:$AY$25,"")</f>
        <v>0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0</v>
      </c>
      <c r="O17" s="87">
        <f>_xlfn.XLOOKUP(_xlfn.XLOOKUP($AS$6&amp;$B17,公表[班別+時段],公表[備勤2],""),$AX$9:$AX$25,$AY$9:$AY$25,"")</f>
        <v>0</v>
      </c>
      <c r="P17" s="87"/>
      <c r="Q17" s="87">
        <f>_xlfn.XLOOKUP(_xlfn.XLOOKUP($AS$6&amp;$B17,公表[班別+時段],公表[備勤3],""),$AX$9:$AX$25,$AY$9:$AY$25,"")</f>
        <v>0</v>
      </c>
      <c r="R17" s="87">
        <f>_xlfn.XLOOKUP(_xlfn.XLOOKUP($AS$6&amp;$B17,公表[班別+時段],公表[備勤4],""),$AX$9:$AX$25,$AY$9:$AY$25,"")</f>
        <v>0</v>
      </c>
      <c r="S17" s="87"/>
      <c r="T17" s="87">
        <f>_xlfn.XLOOKUP(_xlfn.XLOOKUP($AS$6&amp;$B17,公表[班別+時段],公表[備勤5],""),$AX$9:$AX$25,$AY$9:$AY$25,"")</f>
        <v>0</v>
      </c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87"/>
      <c r="AC17" s="87"/>
      <c r="AD17" s="87"/>
      <c r="AE17" s="88">
        <f>_xlfn.XLOOKUP(_xlfn.XLOOKUP($AS$6&amp;$B17,公表[班別+時段],公表[指揮官],""),$AX$9:$AX$25,$AY$9:$AY$25,"")</f>
        <v>4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27">
        <v>9</v>
      </c>
      <c r="AP17" s="127" t="str">
        <v>鍾佳諭</v>
      </c>
      <c r="AQ17" s="127" t="str" cm="1">
        <f t="array" ref="AQ17">IFERROR(_xlfn.XLOOKUP(_xlfn.XLOOKUP($AQ$3,輪休基準表!$C$6:$C$36,_xlfn.XLOOKUP(AP17,輪休基準表!$E$5:$AF$5,輪休基準表!$E$6:$AF$36,""),""),班別參數!$A$4:$A$20,班別參數!$B$4:$B$20,""),"")</f>
        <v>輪休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/>
      </c>
      <c r="AT17" s="180" t="str">
        <f t="shared" si="0"/>
        <v/>
      </c>
      <c r="AU17" s="180" t="str">
        <f t="shared" si="1"/>
        <v/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27"/>
    </row>
    <row r="18" spans="2:56" ht="30" customHeight="1">
      <c r="B18" s="81" t="s">
        <v>81</v>
      </c>
      <c r="C18" s="87">
        <f>_xlfn.XLOOKUP(_xlfn.XLOOKUP($AS$6&amp;$B18,公表[班別+時段],公表[值班],""),$AX$9:$AX$25,$AY$9:$AY$25,"")</f>
        <v>0</v>
      </c>
      <c r="D18" s="100"/>
      <c r="E18" s="95"/>
      <c r="F18" s="100"/>
      <c r="G18" s="122" t="str">
        <f>IF(BC13="","",BC13)</f>
        <v/>
      </c>
      <c r="H18" s="297"/>
      <c r="I18" s="92">
        <f>_xlfn.XLOOKUP(_xlfn.XLOOKUP($AS$6&amp;$B18,公表[班別+時段],公表[救護1],""),$AX$9:$AX$25,$AY$9:$AY$25,"")</f>
        <v>0</v>
      </c>
      <c r="J18" s="92">
        <f>_xlfn.XLOOKUP(_xlfn.XLOOKUP($AS$6&amp;$B18,公表[班別+時段],公表[救護2],""),$AX$9:$AX$25,$AY$9:$AY$25,"")</f>
        <v>0</v>
      </c>
      <c r="K18" s="92"/>
      <c r="L18" s="87" t="s">
        <v>212</v>
      </c>
      <c r="M18" s="312"/>
      <c r="N18" s="87">
        <f>_xlfn.XLOOKUP(_xlfn.XLOOKUP($AS$6&amp;$B18,公表[班別+時段],公表[備勤1],""),$AX$9:$AX$25,$AY$9:$AY$25,"")</f>
        <v>0</v>
      </c>
      <c r="O18" s="87">
        <f>_xlfn.XLOOKUP(_xlfn.XLOOKUP($AS$6&amp;$B18,公表[班別+時段],公表[備勤2],""),$AX$9:$AX$25,$AY$9:$AY$25,"")</f>
        <v>0</v>
      </c>
      <c r="P18" s="87"/>
      <c r="Q18" s="87">
        <f>_xlfn.XLOOKUP(_xlfn.XLOOKUP($AS$6&amp;$B18,公表[班別+時段],公表[備勤3],""),$AX$9:$AX$25,$AY$9:$AY$25,"")</f>
        <v>0</v>
      </c>
      <c r="R18" s="87">
        <f>_xlfn.XLOOKUP(_xlfn.XLOOKUP($AS$6&amp;$B18,公表[班別+時段],公表[備勤4],""),$AX$9:$AX$25,$AY$9:$AY$25,"")</f>
        <v>0</v>
      </c>
      <c r="S18" s="87"/>
      <c r="T18" s="87">
        <f>_xlfn.XLOOKUP(_xlfn.XLOOKUP($AS$6&amp;$B18,公表[班別+時段],公表[備勤5],""),$AX$9:$AX$25,$AY$9:$AY$25,"")</f>
        <v>0</v>
      </c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87"/>
      <c r="AC18" s="87"/>
      <c r="AD18" s="87"/>
      <c r="AE18" s="88">
        <f>_xlfn.XLOOKUP(_xlfn.XLOOKUP($AS$6&amp;$B18,公表[班別+時段],公表[指揮官],""),$AX$9:$AX$25,$AY$9:$AY$25,"")</f>
        <v>4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27">
        <v>10</v>
      </c>
      <c r="AP18" s="127" t="str">
        <v>林宏澤</v>
      </c>
      <c r="AQ18" s="127" t="str" cm="1">
        <f t="array" ref="AQ18">IFERROR(_xlfn.XLOOKUP(_xlfn.XLOOKUP($AQ$3,輪休基準表!$C$6:$C$36,_xlfn.XLOOKUP(AP18,輪休基準表!$E$5:$AF$5,輪休基準表!$E$6:$AF$36,""),""),班別參數!$A$4:$A$20,班別參數!$B$4:$B$20,""),"")</f>
        <v>輪休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/>
      </c>
      <c r="AT18" s="180" t="str">
        <f t="shared" si="0"/>
        <v/>
      </c>
      <c r="AU18" s="180" t="str">
        <f t="shared" si="1"/>
        <v/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27"/>
    </row>
    <row r="19" spans="2:56" ht="30" customHeight="1" thickBot="1">
      <c r="B19" s="110" t="s">
        <v>82</v>
      </c>
      <c r="C19" s="89">
        <f>_xlfn.XLOOKUP(_xlfn.XLOOKUP($AS$6&amp;$B19,公表[班別+時段],公表[值班],""),$AX$9:$AX$25,$AY$9:$AY$25,"")</f>
        <v>0</v>
      </c>
      <c r="D19" s="106"/>
      <c r="E19" s="96"/>
      <c r="F19" s="236"/>
      <c r="G19" s="123" t="str">
        <f>IF(BC13="","",BC13)</f>
        <v/>
      </c>
      <c r="H19" s="107"/>
      <c r="I19" s="216">
        <f>_xlfn.XLOOKUP(_xlfn.XLOOKUP($AS$6&amp;$B19,公表[班別+時段],公表[救護1],""),$AX$9:$AX$25,$AY$9:$AY$25,"")</f>
        <v>0</v>
      </c>
      <c r="J19" s="216">
        <f>_xlfn.XLOOKUP(_xlfn.XLOOKUP($AS$6&amp;$B19,公表[班別+時段],公表[救護2],""),$AX$9:$AX$25,$AY$9:$AY$25,"")</f>
        <v>0</v>
      </c>
      <c r="K19" s="105"/>
      <c r="L19" s="93" t="s">
        <v>212</v>
      </c>
      <c r="M19" s="312"/>
      <c r="N19" s="89">
        <f>_xlfn.XLOOKUP(_xlfn.XLOOKUP($AS$6&amp;$B19,公表[班別+時段],公表[備勤1],""),$AX$9:$AX$25,$AY$9:$AY$25,"")</f>
        <v>0</v>
      </c>
      <c r="O19" s="89">
        <f>_xlfn.XLOOKUP(_xlfn.XLOOKUP($AS$6&amp;$B19,公表[班別+時段],公表[備勤2],""),$AX$9:$AX$25,$AY$9:$AY$25,"")</f>
        <v>0</v>
      </c>
      <c r="P19" s="89"/>
      <c r="Q19" s="89">
        <f>_xlfn.XLOOKUP(_xlfn.XLOOKUP($AS$6&amp;$B19,公表[班別+時段],公表[備勤3],""),$AX$9:$AX$25,$AY$9:$AY$25,"")</f>
        <v>0</v>
      </c>
      <c r="R19" s="89">
        <f>_xlfn.XLOOKUP(_xlfn.XLOOKUP($AS$6&amp;$B19,公表[班別+時段],公表[備勤4],""),$AX$9:$AX$25,$AY$9:$AY$25,"")</f>
        <v>0</v>
      </c>
      <c r="S19" s="89"/>
      <c r="T19" s="89">
        <f>_xlfn.XLOOKUP(_xlfn.XLOOKUP($AS$6&amp;$B19,公表[班別+時段],公表[備勤5],""),$AX$9:$AX$25,$AY$9:$AY$25,"")</f>
        <v>0</v>
      </c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89"/>
      <c r="AC19" s="89"/>
      <c r="AD19" s="89"/>
      <c r="AE19" s="104">
        <f>_xlfn.XLOOKUP(_xlfn.XLOOKUP($AS$6&amp;$B19,公表[班別+時段],公表[指揮官],""),$AX$9:$AX$25,$AY$9:$AY$25,"")</f>
        <v>4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27">
        <v>11</v>
      </c>
      <c r="AP19" s="127" t="str">
        <v>簡君諺</v>
      </c>
      <c r="AQ19" s="127" t="str" cm="1">
        <f t="array" ref="AQ19">IFERROR(_xlfn.XLOOKUP(_xlfn.XLOOKUP($AQ$3,輪休基準表!$C$6:$C$36,_xlfn.XLOOKUP(AP19,輪休基準表!$E$5:$AF$5,輪休基準表!$E$6:$AF$36,""),""),班別參數!$A$4:$A$20,班別參數!$B$4:$B$20,""),"")</f>
        <v>上班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>未排</v>
      </c>
      <c r="AT19" s="180" t="str">
        <f t="shared" si="0"/>
        <v/>
      </c>
      <c r="AU19" s="180" t="str">
        <f t="shared" si="1"/>
        <v/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">IF(AX19="","",_xlfn._xlws.FILTER($AO$9:$AO$13,$AQ$9:$AQ$13="上班",""))</f>
        <v>4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27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0</v>
      </c>
      <c r="D20" s="97"/>
      <c r="E20" s="97"/>
      <c r="F20" s="97"/>
      <c r="G20" s="121" t="str">
        <f>IF(BC14="","",BC14)</f>
        <v/>
      </c>
      <c r="H20" s="55"/>
      <c r="I20" s="94">
        <f>_xlfn.XLOOKUP(_xlfn.XLOOKUP($AS$6&amp;$B20,公表[班別+時段],公表[救護1],""),$AX$9:$AX$25,$AY$9:$AY$25,"")</f>
        <v>0</v>
      </c>
      <c r="J20" s="94">
        <f>_xlfn.XLOOKUP(_xlfn.XLOOKUP($AS$6&amp;$B20,公表[班別+時段],公表[救護2],""),$AX$9:$AX$25,$AY$9:$AY$25,"")</f>
        <v>0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0</v>
      </c>
      <c r="O20" s="90">
        <f>_xlfn.XLOOKUP(_xlfn.XLOOKUP($AS$6&amp;$B20,公表[班別+時段],公表[備勤2],""),$AX$9:$AX$25,$AY$9:$AY$25,"")</f>
        <v>0</v>
      </c>
      <c r="P20" s="90"/>
      <c r="Q20" s="90">
        <f>_xlfn.XLOOKUP(_xlfn.XLOOKUP($AS$6&amp;$B20,公表[班別+時段],公表[備勤3],""),$AX$9:$AX$25,$AY$9:$AY$25,"")</f>
        <v>0</v>
      </c>
      <c r="R20" s="90">
        <f>_xlfn.XLOOKUP(_xlfn.XLOOKUP($AS$6&amp;$B20,公表[班別+時段],公表[備勤4],""),$AX$9:$AX$25,$AY$9:$AY$25,"")</f>
        <v>0</v>
      </c>
      <c r="S20" s="90"/>
      <c r="T20" s="90">
        <f>_xlfn.XLOOKUP(_xlfn.XLOOKUP($AS$6&amp;$B20,公表[班別+時段],公表[備勤5],""),$AX$9:$AX$25,$AY$9:$AY$25,"")</f>
        <v>0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90"/>
      <c r="AC20" s="90"/>
      <c r="AD20" s="90"/>
      <c r="AE20" s="91">
        <f>_xlfn.XLOOKUP(_xlfn.XLOOKUP($AS$6&amp;$B20,公表[班別+時段],公表[指揮官],""),$AX$9:$AX$25,$AY$9:$AY$25,"")</f>
        <v>4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27">
        <v>12</v>
      </c>
      <c r="AP20" s="127" t="str">
        <v>王昱勛</v>
      </c>
      <c r="AQ20" s="127" t="str" cm="1">
        <f t="array" ref="AQ20">IFERROR(_xlfn.XLOOKUP(_xlfn.XLOOKUP($AQ$3,輪休基準表!$C$6:$C$36,_xlfn.XLOOKUP(AP20,輪休基準表!$E$5:$AF$5,輪休基準表!$E$6:$AF$36,""),""),班別參數!$A$4:$A$20,班別參數!$B$4:$B$20,""),"")</f>
        <v>輪休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/>
      </c>
      <c r="AT20" s="180" t="str">
        <f t="shared" si="0"/>
        <v/>
      </c>
      <c r="AU20" s="180" t="str">
        <f t="shared" si="1"/>
        <v/>
      </c>
      <c r="AV20" s="25"/>
      <c r="AW20" s="33" t="str">
        <f t="array" ref="AW20">INDEX(班別參數!$D$4:$D$20,ROW()-7,MATCH($AW$8,班別參數!$D$4:$D$20,0))</f>
        <v>帶隊官</v>
      </c>
      <c r="AX20" s="34">
        <f t="array" ref="AX20">IFERROR(INDEX(班別參數!$D$4:$S$20,MATCH(AW20,班別參數!$D$4:$D$20,0),MATCH($AS$6,班別參數!$D$4:$S$4,0)),"")</f>
        <v>0</v>
      </c>
      <c r="AY20" s="38"/>
      <c r="AZ20" s="32"/>
      <c r="BA20" s="33" t="s">
        <v>67</v>
      </c>
      <c r="BB20" s="34" t="str">
        <f t="array" ref="BB20">IFERROR(INDEX(班別參數!$D$23:$S$35,MATCH(BA20,班別參數!$D$23:$D$35,0),MATCH($AS$6,班別參數!$D$23:$S$23,0)),"")</f>
        <v>G,E</v>
      </c>
      <c r="BC20" s="41" t="str">
        <f t="shared" si="2"/>
        <v/>
      </c>
      <c r="BD20" s="127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0</v>
      </c>
      <c r="D21" s="95"/>
      <c r="E21" s="95"/>
      <c r="F21" s="95"/>
      <c r="G21" s="122" t="str">
        <f>IF(BC14="","",BC14)</f>
        <v/>
      </c>
      <c r="H21" s="296" t="str">
        <f>AY4</f>
        <v>五用氣體檢知器及CO探測器</v>
      </c>
      <c r="I21" s="92">
        <f>_xlfn.XLOOKUP(_xlfn.XLOOKUP($AS$6&amp;$B21,公表[班別+時段],公表[救護1],""),$AX$9:$AX$25,$AY$9:$AY$25,"")</f>
        <v>0</v>
      </c>
      <c r="J21" s="92">
        <f>_xlfn.XLOOKUP(_xlfn.XLOOKUP($AS$6&amp;$B21,公表[班別+時段],公表[救護2],""),$AX$9:$AX$25,$AY$9:$AY$25,"")</f>
        <v>0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0</v>
      </c>
      <c r="O21" s="87">
        <f>_xlfn.XLOOKUP(_xlfn.XLOOKUP($AS$6&amp;$B21,公表[班別+時段],公表[備勤2],""),$AX$9:$AX$25,$AY$9:$AY$25,"")</f>
        <v>0</v>
      </c>
      <c r="P21" s="87"/>
      <c r="Q21" s="87">
        <f>_xlfn.XLOOKUP(_xlfn.XLOOKUP($AS$6&amp;$B21,公表[班別+時段],公表[備勤3],""),$AX$9:$AX$25,$AY$9:$AY$25,"")</f>
        <v>0</v>
      </c>
      <c r="R21" s="87">
        <f>_xlfn.XLOOKUP(_xlfn.XLOOKUP($AS$6&amp;$B21,公表[班別+時段],公表[備勤4],""),$AX$9:$AX$25,$AY$9:$AY$25,"")</f>
        <v>0</v>
      </c>
      <c r="S21" s="87"/>
      <c r="T21" s="87">
        <f>_xlfn.XLOOKUP(_xlfn.XLOOKUP($AS$6&amp;$B21,公表[班別+時段],公表[備勤5],""),$AX$9:$AX$25,$AY$9:$AY$25,"")</f>
        <v>0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87"/>
      <c r="AC21" s="87"/>
      <c r="AD21" s="87"/>
      <c r="AE21" s="88">
        <f>_xlfn.XLOOKUP(_xlfn.XLOOKUP($AS$6&amp;$B21,公表[班別+時段],公表[指揮官],""),$AX$9:$AX$25,$AY$9:$AY$25,"")</f>
        <v>4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27">
        <v>13</v>
      </c>
      <c r="AP21" s="127" t="str">
        <v>葉宗哲</v>
      </c>
      <c r="AQ21" s="127" t="str" cm="1">
        <f t="array" ref="AQ21">IFERROR(_xlfn.XLOOKUP(_xlfn.XLOOKUP($AQ$3,輪休基準表!$C$6:$C$36,_xlfn.XLOOKUP(AP21,輪休基準表!$E$5:$AF$5,輪休基準表!$E$6:$AF$36,""),""),班別參數!$A$4:$A$20,班別參數!$B$4:$B$20,""),"")</f>
        <v>輪休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/>
      </c>
      <c r="AT21" s="180" t="str">
        <f t="shared" si="0"/>
        <v/>
      </c>
      <c r="AU21" s="180" t="str">
        <f t="shared" si="1"/>
        <v/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27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0</v>
      </c>
      <c r="D22" s="95"/>
      <c r="E22" s="95"/>
      <c r="F22" s="95"/>
      <c r="G22" s="122" t="str">
        <f>IF(BC15="","",BC15)</f>
        <v/>
      </c>
      <c r="H22" s="297"/>
      <c r="I22" s="92">
        <f>_xlfn.XLOOKUP(_xlfn.XLOOKUP($AS$6&amp;$B22,公表[班別+時段],公表[救護1],""),$AX$9:$AX$25,$AY$9:$AY$25,"")</f>
        <v>0</v>
      </c>
      <c r="J22" s="92">
        <f>_xlfn.XLOOKUP(_xlfn.XLOOKUP($AS$6&amp;$B22,公表[班別+時段],公表[救護2],""),$AX$9:$AX$25,$AY$9:$AY$25,"")</f>
        <v>0</v>
      </c>
      <c r="K22" s="92"/>
      <c r="L22" s="87" t="s">
        <v>212</v>
      </c>
      <c r="M22" s="312"/>
      <c r="N22" s="87">
        <f>_xlfn.XLOOKUP(_xlfn.XLOOKUP($AS$6&amp;$B22,公表[班別+時段],公表[備勤1],""),$AX$9:$AX$25,$AY$9:$AY$25,"")</f>
        <v>0</v>
      </c>
      <c r="O22" s="87">
        <f>_xlfn.XLOOKUP(_xlfn.XLOOKUP($AS$6&amp;$B22,公表[班別+時段],公表[備勤2],""),$AX$9:$AX$25,$AY$9:$AY$25,"")</f>
        <v>0</v>
      </c>
      <c r="P22" s="87"/>
      <c r="Q22" s="87">
        <f>_xlfn.XLOOKUP(_xlfn.XLOOKUP($AS$6&amp;$B22,公表[班別+時段],公表[備勤3],""),$AX$9:$AX$25,$AY$9:$AY$25,"")</f>
        <v>0</v>
      </c>
      <c r="R22" s="87">
        <f>_xlfn.XLOOKUP(_xlfn.XLOOKUP($AS$6&amp;$B22,公表[班別+時段],公表[備勤4],""),$AX$9:$AX$25,$AY$9:$AY$25,"")</f>
        <v>0</v>
      </c>
      <c r="S22" s="87"/>
      <c r="T22" s="87">
        <f>_xlfn.XLOOKUP(_xlfn.XLOOKUP($AS$6&amp;$B22,公表[班別+時段],公表[備勤5],""),$AX$9:$AX$25,$AY$9:$AY$25,"")</f>
        <v>0</v>
      </c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87"/>
      <c r="AC22" s="87"/>
      <c r="AD22" s="87"/>
      <c r="AE22" s="88">
        <f>_xlfn.XLOOKUP(_xlfn.XLOOKUP($AS$6&amp;$B22,公表[班別+時段],公表[指揮官],""),$AX$9:$AX$25,$AY$9:$AY$25,"")</f>
        <v>4</v>
      </c>
      <c r="AF22" s="57" t="s">
        <v>213</v>
      </c>
      <c r="AG22" s="305" t="str" cm="1">
        <f t="array" ref="AG22">_xlfn.TEXTJOIN(".",1,_xlfn._xlws.FILTER($AO$9:$AO$40,$AQ$9:$AQ$40="上班",""))</f>
        <v>4.6.11.19.23.24.25.26.28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27">
        <v>14</v>
      </c>
      <c r="AP22" s="127" t="str">
        <v>王浩任</v>
      </c>
      <c r="AQ22" s="127" t="str" cm="1">
        <f t="array" ref="AQ22">IFERROR(_xlfn.XLOOKUP(_xlfn.XLOOKUP($AQ$3,輪休基準表!$C$6:$C$36,_xlfn.XLOOKUP(AP22,輪休基準表!$E$5:$AF$5,輪休基準表!$E$6:$AF$36,""),""),班別參數!$A$4:$A$20,班別參數!$B$4:$B$20,""),"")</f>
        <v>輪休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/>
      </c>
      <c r="AT22" s="180" t="str">
        <f t="shared" si="0"/>
        <v/>
      </c>
      <c r="AU22" s="180" t="str">
        <f t="shared" si="1"/>
        <v/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27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0</v>
      </c>
      <c r="D23" s="106"/>
      <c r="E23" s="96"/>
      <c r="F23" s="96"/>
      <c r="G23" s="123" t="str">
        <f>IF(BC15="","",BC15)</f>
        <v/>
      </c>
      <c r="H23" s="107"/>
      <c r="I23" s="216">
        <f>_xlfn.XLOOKUP(_xlfn.XLOOKUP($AS$6&amp;$B23,公表[班別+時段],公表[救護1],""),$AX$9:$AX$25,$AY$9:$AY$25,"")</f>
        <v>0</v>
      </c>
      <c r="J23" s="216">
        <f>_xlfn.XLOOKUP(_xlfn.XLOOKUP($AS$6&amp;$B23,公表[班別+時段],公表[救護2],""),$AX$9:$AX$25,$AY$9:$AY$25,"")</f>
        <v>0</v>
      </c>
      <c r="K23" s="105"/>
      <c r="L23" s="93" t="s">
        <v>212</v>
      </c>
      <c r="M23" s="312"/>
      <c r="N23" s="89">
        <f>_xlfn.XLOOKUP(_xlfn.XLOOKUP($AS$6&amp;$B23,公表[班別+時段],公表[備勤1],""),$AX$9:$AX$25,$AY$9:$AY$25,"")</f>
        <v>0</v>
      </c>
      <c r="O23" s="89">
        <f>_xlfn.XLOOKUP(_xlfn.XLOOKUP($AS$6&amp;$B23,公表[班別+時段],公表[備勤2],""),$AX$9:$AX$25,$AY$9:$AY$25,"")</f>
        <v>0</v>
      </c>
      <c r="P23" s="89"/>
      <c r="Q23" s="89">
        <f>_xlfn.XLOOKUP(_xlfn.XLOOKUP($AS$6&amp;$B23,公表[班別+時段],公表[備勤3],""),$AX$9:$AX$25,$AY$9:$AY$25,"")</f>
        <v>0</v>
      </c>
      <c r="R23" s="89">
        <f>_xlfn.XLOOKUP(_xlfn.XLOOKUP($AS$6&amp;$B23,公表[班別+時段],公表[備勤4],""),$AX$9:$AX$25,$AY$9:$AY$25,"")</f>
        <v>0</v>
      </c>
      <c r="S23" s="89"/>
      <c r="T23" s="89">
        <f>_xlfn.XLOOKUP(_xlfn.XLOOKUP($AS$6&amp;$B23,公表[班別+時段],公表[備勤5],""),$AX$9:$AX$25,$AY$9:$AY$25,"")</f>
        <v>0</v>
      </c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89"/>
      <c r="AC23" s="89"/>
      <c r="AD23" s="89"/>
      <c r="AE23" s="104">
        <f>_xlfn.XLOOKUP(_xlfn.XLOOKUP($AS$6&amp;$B23,公表[班別+時段],公表[指揮官],""),$AX$9:$AX$25,$AY$9:$AY$25,"")</f>
        <v>4</v>
      </c>
      <c r="AF23" s="57" t="s">
        <v>6</v>
      </c>
      <c r="AG23" s="305" t="str" cm="1">
        <f t="array" ref="AG23">_xlfn.TEXTJOIN(".",1,_xlfn._xlws.FILTER($AO$9:$AO$40,$AQ$9:$AQ$40=$AF$23,""))</f>
        <v>1.3.5.7.9.10.12.13.14.15.16.18.20.21.22.27</v>
      </c>
      <c r="AH23" s="400"/>
      <c r="AI23" s="400"/>
      <c r="AJ23" s="400"/>
      <c r="AK23" s="400"/>
      <c r="AL23" s="400"/>
      <c r="AM23" s="401"/>
      <c r="AN23" s="214"/>
      <c r="AO23" s="127">
        <v>15</v>
      </c>
      <c r="AP23" s="127" t="str">
        <v>李仕詮</v>
      </c>
      <c r="AQ23" s="127" t="str" cm="1">
        <f t="array" ref="AQ23">IFERROR(_xlfn.XLOOKUP(_xlfn.XLOOKUP($AQ$3,輪休基準表!$C$6:$C$36,_xlfn.XLOOKUP(AP23,輪休基準表!$E$5:$AF$5,輪休基準表!$E$6:$AF$36,""),""),班別參數!$A$4:$A$20,班別參數!$B$4:$B$20,""),"")</f>
        <v>輪休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/>
      </c>
      <c r="AT23" s="180" t="str">
        <f t="shared" si="0"/>
        <v/>
      </c>
      <c r="AU23" s="180" t="str">
        <f t="shared" si="1"/>
        <v/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27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0</v>
      </c>
      <c r="D24" s="97"/>
      <c r="E24" s="97"/>
      <c r="F24" s="97"/>
      <c r="G24" s="121" t="str">
        <f>IF(BC16="","",BC16)</f>
        <v/>
      </c>
      <c r="H24" s="55"/>
      <c r="I24" s="94">
        <f>_xlfn.XLOOKUP(_xlfn.XLOOKUP($AS$6&amp;$B24,公表[班別+時段],公表[救護1],""),$AX$9:$AX$25,$AY$9:$AY$25,"")</f>
        <v>0</v>
      </c>
      <c r="J24" s="94">
        <f>_xlfn.XLOOKUP(_xlfn.XLOOKUP($AS$6&amp;$B24,公表[班別+時段],公表[救護2],""),$AX$9:$AX$25,$AY$9:$AY$25,"")</f>
        <v>0</v>
      </c>
      <c r="K24" s="90"/>
      <c r="L24" s="90" t="s">
        <v>212</v>
      </c>
      <c r="M24" s="312"/>
      <c r="N24" s="90">
        <f>_xlfn.XLOOKUP(_xlfn.XLOOKUP($AS$6&amp;$B24,公表[班別+時段],公表[備勤1],""),$AX$9:$AX$25,$AY$9:$AY$25,"")</f>
        <v>0</v>
      </c>
      <c r="O24" s="90">
        <f>_xlfn.XLOOKUP(_xlfn.XLOOKUP($AS$6&amp;$B24,公表[班別+時段],公表[備勤2],""),$AX$9:$AX$25,$AY$9:$AY$25,"")</f>
        <v>0</v>
      </c>
      <c r="P24" s="90"/>
      <c r="Q24" s="90">
        <f>_xlfn.XLOOKUP(_xlfn.XLOOKUP($AS$6&amp;$B24,公表[班別+時段],公表[備勤3],""),$AX$9:$AX$25,$AY$9:$AY$25,"")</f>
        <v>0</v>
      </c>
      <c r="R24" s="90">
        <f>_xlfn.XLOOKUP(_xlfn.XLOOKUP($AS$6&amp;$B24,公表[班別+時段],公表[備勤4],""),$AX$9:$AX$25,$AY$9:$AY$25,"")</f>
        <v>0</v>
      </c>
      <c r="S24" s="90"/>
      <c r="T24" s="90">
        <f>_xlfn.XLOOKUP(_xlfn.XLOOKUP($AS$6&amp;$B24,公表[班別+時段],公表[備勤5],""),$AX$9:$AX$25,$AY$9:$AY$25,"")</f>
        <v>0</v>
      </c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90"/>
      <c r="AC24" s="90"/>
      <c r="AD24" s="90"/>
      <c r="AE24" s="91">
        <f>_xlfn.XLOOKUP(_xlfn.XLOOKUP($AS$6&amp;$B24,公表[班別+時段],公表[指揮官],""),$AX$9:$AX$25,$AY$9:$AY$25,"")</f>
        <v>4</v>
      </c>
      <c r="AF24" s="57" t="s">
        <v>17</v>
      </c>
      <c r="AG24" s="305" t="str" cm="1">
        <f t="array" ref="AG24">_xlfn.TEXTJOIN(".",1,_xlfn._xlws.FILTER($AO$9:$AO$40,$AQ$9:$AQ$40=$AF$24,""))</f>
        <v/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>17</v>
      </c>
      <c r="AL24" s="400"/>
      <c r="AM24" s="401"/>
      <c r="AN24" s="214"/>
      <c r="AO24" s="127">
        <v>16</v>
      </c>
      <c r="AP24" s="127" t="str">
        <v>楊弘宇</v>
      </c>
      <c r="AQ24" s="127" t="str" cm="1">
        <f t="array" ref="AQ24">IFERROR(_xlfn.XLOOKUP(_xlfn.XLOOKUP($AQ$3,輪休基準表!$C$6:$C$36,_xlfn.XLOOKUP(AP24,輪休基準表!$E$5:$AF$5,輪休基準表!$E$6:$AF$36,""),""),班別參數!$A$4:$A$20,班別參數!$B$4:$B$20,""),"")</f>
        <v>輪休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/>
      </c>
      <c r="AT24" s="180" t="str">
        <f t="shared" si="0"/>
        <v/>
      </c>
      <c r="AU24" s="180" t="str">
        <f t="shared" si="1"/>
        <v/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27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0</v>
      </c>
      <c r="D25" s="95"/>
      <c r="E25" s="95"/>
      <c r="F25" s="95"/>
      <c r="G25" s="122" t="str">
        <f>IF(BC16="","",BC16)</f>
        <v/>
      </c>
      <c r="H25" s="37"/>
      <c r="I25" s="92">
        <f>_xlfn.XLOOKUP(_xlfn.XLOOKUP($AS$6&amp;$B25,公表[班別+時段],公表[救護1],""),$AX$9:$AX$25,$AY$9:$AY$25,"")</f>
        <v>0</v>
      </c>
      <c r="J25" s="92">
        <f>_xlfn.XLOOKUP(_xlfn.XLOOKUP($AS$6&amp;$B25,公表[班別+時段],公表[救護2],""),$AX$9:$AX$25,$AY$9:$AY$25,"")</f>
        <v>0</v>
      </c>
      <c r="K25" s="87"/>
      <c r="L25" s="87" t="s">
        <v>212</v>
      </c>
      <c r="M25" s="312"/>
      <c r="N25" s="87">
        <f>_xlfn.XLOOKUP(_xlfn.XLOOKUP($AS$6&amp;$B25,公表[班別+時段],公表[備勤1],""),$AX$9:$AX$25,$AY$9:$AY$25,"")</f>
        <v>0</v>
      </c>
      <c r="O25" s="87">
        <f>_xlfn.XLOOKUP(_xlfn.XLOOKUP($AS$6&amp;$B25,公表[班別+時段],公表[備勤2],""),$AX$9:$AX$25,$AY$9:$AY$25,"")</f>
        <v>0</v>
      </c>
      <c r="P25" s="87"/>
      <c r="Q25" s="87">
        <f>_xlfn.XLOOKUP(_xlfn.XLOOKUP($AS$6&amp;$B25,公表[班別+時段],公表[備勤3],""),$AX$9:$AX$25,$AY$9:$AY$25,"")</f>
        <v>0</v>
      </c>
      <c r="R25" s="87">
        <f>_xlfn.XLOOKUP(_xlfn.XLOOKUP($AS$6&amp;$B25,公表[班別+時段],公表[備勤4],""),$AX$9:$AX$25,$AY$9:$AY$25,"")</f>
        <v>0</v>
      </c>
      <c r="S25" s="87"/>
      <c r="T25" s="87">
        <f>_xlfn.XLOOKUP(_xlfn.XLOOKUP($AS$6&amp;$B25,公表[班別+時段],公表[備勤5],""),$AX$9:$AX$25,$AY$9:$AY$25,"")</f>
        <v>0</v>
      </c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87"/>
      <c r="AC25" s="87"/>
      <c r="AD25" s="87"/>
      <c r="AE25" s="88">
        <f>_xlfn.XLOOKUP(_xlfn.XLOOKUP($AS$6&amp;$B25,公表[班別+時段],公表[指揮官],""),$AX$9:$AX$25,$AY$9:$AY$25,"")</f>
        <v>4</v>
      </c>
      <c r="AF25" s="57" t="s">
        <v>28</v>
      </c>
      <c r="AG25" s="305" t="str" cm="1">
        <f t="array" ref="AG25">_xlfn.TEXTJOIN(".",1,_xlfn._xlws.FILTER($AO$9:$AO$40,$AQ$9:$AQ$40=$AF$25,""))</f>
        <v>2.8</v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/>
      </c>
      <c r="AL25" s="309"/>
      <c r="AM25" s="310"/>
      <c r="AN25" s="214"/>
      <c r="AO25" s="127">
        <v>17</v>
      </c>
      <c r="AP25" s="127" t="str">
        <v>楊仲豪</v>
      </c>
      <c r="AQ25" s="127" t="str" cm="1">
        <f t="array" ref="AQ25">IFERROR(_xlfn.XLOOKUP(_xlfn.XLOOKUP($AQ$3,輪休基準表!$C$6:$C$36,_xlfn.XLOOKUP(AP25,輪休基準表!$E$5:$AF$5,輪休基準表!$E$6:$AF$36,""),""),班別參數!$A$4:$A$20,班別參數!$B$4:$B$20,""),"")</f>
        <v>補休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/>
      </c>
      <c r="AT25" s="180" t="str">
        <f t="shared" si="0"/>
        <v/>
      </c>
      <c r="AU25" s="180" t="str">
        <f t="shared" si="1"/>
        <v/>
      </c>
      <c r="AW25" s="33"/>
      <c r="AX25" s="45"/>
      <c r="AY25" s="25"/>
      <c r="AZ25" s="28"/>
      <c r="BA25" s="33"/>
      <c r="BB25" s="25"/>
      <c r="BD25" s="127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0</v>
      </c>
      <c r="D26" s="95"/>
      <c r="E26" s="95"/>
      <c r="F26" s="95"/>
      <c r="G26" s="122" t="str">
        <f>IF(BC17="","",BC17)</f>
        <v/>
      </c>
      <c r="H26" s="37"/>
      <c r="I26" s="92">
        <f>_xlfn.XLOOKUP(_xlfn.XLOOKUP($AS$6&amp;$B26,公表[班別+時段],公表[救護1],""),$AX$9:$AX$25,$AY$9:$AY$25,"")</f>
        <v>0</v>
      </c>
      <c r="J26" s="92">
        <f>_xlfn.XLOOKUP(_xlfn.XLOOKUP($AS$6&amp;$B26,公表[班別+時段],公表[救護2],""),$AX$9:$AX$25,$AY$9:$AY$25,"")</f>
        <v>0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0</v>
      </c>
      <c r="O26" s="87">
        <f>_xlfn.XLOOKUP(_xlfn.XLOOKUP($AS$6&amp;$B26,公表[班別+時段],公表[備勤2],""),$AX$9:$AX$25,$AY$9:$AY$25,"")</f>
        <v>0</v>
      </c>
      <c r="P26" s="87"/>
      <c r="Q26" s="87">
        <f>_xlfn.XLOOKUP(_xlfn.XLOOKUP($AS$6&amp;$B26,公表[班別+時段],公表[備勤3],""),$AX$9:$AX$25,$AY$9:$AY$25,"")</f>
        <v>0</v>
      </c>
      <c r="R26" s="87">
        <f>_xlfn.XLOOKUP(_xlfn.XLOOKUP($AS$6&amp;$B26,公表[班別+時段],公表[備勤4],""),$AX$9:$AX$25,$AY$9:$AY$25,"")</f>
        <v>0</v>
      </c>
      <c r="S26" s="87"/>
      <c r="T26" s="87">
        <f>_xlfn.XLOOKUP(_xlfn.XLOOKUP($AS$6&amp;$B26,公表[班別+時段],公表[備勤5],""),$AX$9:$AX$25,$AY$9:$AY$25,"")</f>
        <v>0</v>
      </c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87"/>
      <c r="AC26" s="87"/>
      <c r="AD26" s="87"/>
      <c r="AE26" s="88">
        <f>_xlfn.XLOOKUP(_xlfn.XLOOKUP($AS$6&amp;$B26,公表[班別+時段],公表[指揮官],""),$AX$9:$AX$25,$AY$9:$AY$25,"")</f>
        <v>4</v>
      </c>
      <c r="AF26" s="57" t="s">
        <v>289</v>
      </c>
      <c r="AG26" s="178" t="str" cm="1">
        <f t="array" ref="AG26">_xlfn.TEXTJOIN(".",1,_xlfn._xlws.FILTER($AO$9:$AO$40,$AQ$9:$AQ$40=$AF$26,""))</f>
        <v/>
      </c>
      <c r="AH26" s="168" t="s">
        <v>290</v>
      </c>
      <c r="AI26" s="179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/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27">
        <v>18</v>
      </c>
      <c r="AP26" s="127" t="str">
        <v>林志偉</v>
      </c>
      <c r="AQ26" s="127" t="str" cm="1">
        <f t="array" ref="AQ26">IFERROR(_xlfn.XLOOKUP(_xlfn.XLOOKUP($AQ$3,輪休基準表!$C$6:$C$36,_xlfn.XLOOKUP(AP26,輪休基準表!$E$5:$AF$5,輪休基準表!$E$6:$AF$36,""),""),班別參數!$A$4:$A$20,班別參數!$B$4:$B$20,""),"")</f>
        <v>輪休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/>
      </c>
      <c r="AT26" s="180" t="str">
        <f t="shared" si="0"/>
        <v/>
      </c>
      <c r="AU26" s="180" t="str">
        <f t="shared" si="1"/>
        <v/>
      </c>
      <c r="AV26" s="10"/>
      <c r="AW26" s="46"/>
      <c r="AX26" s="45"/>
      <c r="AY26" s="25"/>
      <c r="AZ26" s="28"/>
      <c r="BA26" s="33"/>
      <c r="BB26" s="25"/>
      <c r="BD26" s="127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0</v>
      </c>
      <c r="D27" s="95"/>
      <c r="E27" s="95"/>
      <c r="F27" s="95"/>
      <c r="G27" s="122" t="str">
        <f>IF(BC17="","",BC17)</f>
        <v/>
      </c>
      <c r="H27" s="37"/>
      <c r="I27" s="92">
        <f>_xlfn.XLOOKUP(_xlfn.XLOOKUP($AS$6&amp;$B27,公表[班別+時段],公表[救護1],""),$AX$9:$AX$25,$AY$9:$AY$25,"")</f>
        <v>0</v>
      </c>
      <c r="J27" s="92">
        <f>_xlfn.XLOOKUP(_xlfn.XLOOKUP($AS$6&amp;$B27,公表[班別+時段],公表[救護2],""),$AX$9:$AX$25,$AY$9:$AY$25,"")</f>
        <v>0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0</v>
      </c>
      <c r="O27" s="87">
        <f>_xlfn.XLOOKUP(_xlfn.XLOOKUP($AS$6&amp;$B27,公表[班別+時段],公表[備勤2],""),$AX$9:$AX$25,$AY$9:$AY$25,"")</f>
        <v>0</v>
      </c>
      <c r="P27" s="87"/>
      <c r="Q27" s="87">
        <f>_xlfn.XLOOKUP(_xlfn.XLOOKUP($AS$6&amp;$B27,公表[班別+時段],公表[備勤3],""),$AX$9:$AX$25,$AY$9:$AY$25,"")</f>
        <v>0</v>
      </c>
      <c r="R27" s="87">
        <f>_xlfn.XLOOKUP(_xlfn.XLOOKUP($AS$6&amp;$B27,公表[班別+時段],公表[備勤4],""),$AX$9:$AX$25,$AY$9:$AY$25,"")</f>
        <v>0</v>
      </c>
      <c r="S27" s="87"/>
      <c r="T27" s="87">
        <f>_xlfn.XLOOKUP(_xlfn.XLOOKUP($AS$6&amp;$B27,公表[班別+時段],公表[備勤5],""),$AX$9:$AX$25,$AY$9:$AY$25,"")</f>
        <v>0</v>
      </c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87"/>
      <c r="AC27" s="87"/>
      <c r="AD27" s="87"/>
      <c r="AE27" s="88">
        <f>_xlfn.XLOOKUP(_xlfn.XLOOKUP($AS$6&amp;$B27,公表[班別+時段],公表[指揮官],""),$AX$9:$AX$25,$AY$9:$AY$25,"")</f>
        <v>4</v>
      </c>
      <c r="AF27" s="317" t="s">
        <v>215</v>
      </c>
      <c r="AG27" s="319"/>
      <c r="AH27" s="321"/>
      <c r="AI27" s="321"/>
      <c r="AJ27" s="321"/>
      <c r="AK27" s="321"/>
      <c r="AL27" s="321"/>
      <c r="AM27" s="322"/>
      <c r="AN27" s="214"/>
      <c r="AO27" s="127">
        <v>19</v>
      </c>
      <c r="AP27" s="127" t="str">
        <v>劉家誠</v>
      </c>
      <c r="AQ27" s="127" t="str" cm="1">
        <f t="array" ref="AQ27">IFERROR(_xlfn.XLOOKUP(_xlfn.XLOOKUP($AQ$3,輪休基準表!$C$6:$C$36,_xlfn.XLOOKUP(AP27,輪休基準表!$E$5:$AF$5,輪休基準表!$E$6:$AF$36,""),""),班別參數!$A$4:$A$20,班別參數!$B$4:$B$20,""),"")</f>
        <v>上班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>未排</v>
      </c>
      <c r="AT27" s="180" t="str">
        <f t="shared" si="0"/>
        <v/>
      </c>
      <c r="AU27" s="180" t="str">
        <f t="shared" si="1"/>
        <v/>
      </c>
      <c r="AV27" s="10"/>
      <c r="AW27" s="46"/>
      <c r="AX27" s="45"/>
      <c r="AY27" s="25"/>
      <c r="AZ27" s="28"/>
      <c r="BA27" s="33"/>
      <c r="BB27" s="25"/>
      <c r="BD27" s="127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0</v>
      </c>
      <c r="D28" s="95"/>
      <c r="E28" s="95"/>
      <c r="F28" s="95"/>
      <c r="G28" s="122" t="str">
        <f>IF(BC18="","",BC18)</f>
        <v/>
      </c>
      <c r="H28" s="37"/>
      <c r="I28" s="92">
        <f>_xlfn.XLOOKUP(_xlfn.XLOOKUP($AS$6&amp;$B28,公表[班別+時段],公表[救護1],""),$AX$9:$AX$25,$AY$9:$AY$25,"")</f>
        <v>0</v>
      </c>
      <c r="J28" s="92">
        <f>_xlfn.XLOOKUP(_xlfn.XLOOKUP($AS$6&amp;$B28,公表[班別+時段],公表[救護2],""),$AX$9:$AX$25,$AY$9:$AY$25,"")</f>
        <v>0</v>
      </c>
      <c r="K28" s="87"/>
      <c r="L28" s="87" t="s">
        <v>212</v>
      </c>
      <c r="M28" s="312"/>
      <c r="N28" s="87">
        <f>_xlfn.XLOOKUP(_xlfn.XLOOKUP($AS$6&amp;$B28,公表[班別+時段],公表[備勤1],""),$AX$9:$AX$25,$AY$9:$AY$25,"")</f>
        <v>0</v>
      </c>
      <c r="O28" s="87">
        <f>_xlfn.XLOOKUP(_xlfn.XLOOKUP($AS$6&amp;$B28,公表[班別+時段],公表[備勤2],""),$AX$9:$AX$25,$AY$9:$AY$25,"")</f>
        <v>0</v>
      </c>
      <c r="P28" s="87"/>
      <c r="Q28" s="87">
        <f>_xlfn.XLOOKUP(_xlfn.XLOOKUP($AS$6&amp;$B28,公表[班別+時段],公表[備勤3],""),$AX$9:$AX$25,$AY$9:$AY$25,"")</f>
        <v>0</v>
      </c>
      <c r="R28" s="87">
        <f>_xlfn.XLOOKUP(_xlfn.XLOOKUP($AS$6&amp;$B28,公表[班別+時段],公表[備勤4],""),$AX$9:$AX$25,$AY$9:$AY$25,"")</f>
        <v>0</v>
      </c>
      <c r="S28" s="87"/>
      <c r="T28" s="87">
        <f>_xlfn.XLOOKUP(_xlfn.XLOOKUP($AS$6&amp;$B28,公表[班別+時段],公表[備勤5],""),$AX$9:$AX$25,$AY$9:$AY$25,"")</f>
        <v>0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87"/>
      <c r="AC28" s="87"/>
      <c r="AD28" s="87"/>
      <c r="AE28" s="88">
        <f>_xlfn.XLOOKUP(_xlfn.XLOOKUP($AS$6&amp;$B28,公表[班別+時段],公表[指揮官],""),$AX$9:$AX$25,$AY$9:$AY$25,"")</f>
        <v>4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27">
        <v>20</v>
      </c>
      <c r="AP28" s="127" t="str">
        <v>呂奇霈</v>
      </c>
      <c r="AQ28" s="127" t="str" cm="1">
        <f t="array" ref="AQ28">IFERROR(_xlfn.XLOOKUP(_xlfn.XLOOKUP($AQ$3,輪休基準表!$C$6:$C$36,_xlfn.XLOOKUP(AP28,輪休基準表!$E$5:$AF$5,輪休基準表!$E$6:$AF$36,""),""),班別參數!$A$4:$A$20,班別參數!$B$4:$B$20,""),"")</f>
        <v>輪休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27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0</v>
      </c>
      <c r="D29" s="95"/>
      <c r="E29" s="95"/>
      <c r="F29" s="95"/>
      <c r="G29" s="122" t="str">
        <f>IF(BC18="","",BC18)</f>
        <v/>
      </c>
      <c r="H29" s="37"/>
      <c r="I29" s="92">
        <f>_xlfn.XLOOKUP(_xlfn.XLOOKUP($AS$6&amp;$B29,公表[班別+時段],公表[救護1],""),$AX$9:$AX$25,$AY$9:$AY$25,"")</f>
        <v>0</v>
      </c>
      <c r="J29" s="92">
        <f>_xlfn.XLOOKUP(_xlfn.XLOOKUP($AS$6&amp;$B29,公表[班別+時段],公表[救護2],""),$AX$9:$AX$25,$AY$9:$AY$25,"")</f>
        <v>0</v>
      </c>
      <c r="K29" s="87"/>
      <c r="L29" s="87" t="s">
        <v>212</v>
      </c>
      <c r="M29" s="312"/>
      <c r="N29" s="87">
        <f>_xlfn.XLOOKUP(_xlfn.XLOOKUP($AS$6&amp;$B29,公表[班別+時段],公表[備勤1],""),$AX$9:$AX$25,$AY$9:$AY$25,"")</f>
        <v>0</v>
      </c>
      <c r="O29" s="87">
        <f>_xlfn.XLOOKUP(_xlfn.XLOOKUP($AS$6&amp;$B29,公表[班別+時段],公表[備勤2],""),$AX$9:$AX$25,$AY$9:$AY$25,"")</f>
        <v>0</v>
      </c>
      <c r="P29" s="87"/>
      <c r="Q29" s="87">
        <f>_xlfn.XLOOKUP(_xlfn.XLOOKUP($AS$6&amp;$B29,公表[班別+時段],公表[備勤3],""),$AX$9:$AX$25,$AY$9:$AY$25,"")</f>
        <v>0</v>
      </c>
      <c r="R29" s="87">
        <f>_xlfn.XLOOKUP(_xlfn.XLOOKUP($AS$6&amp;$B29,公表[班別+時段],公表[備勤4],""),$AX$9:$AX$25,$AY$9:$AY$25,"")</f>
        <v>0</v>
      </c>
      <c r="S29" s="87"/>
      <c r="T29" s="87">
        <f>_xlfn.XLOOKUP(_xlfn.XLOOKUP($AS$6&amp;$B29,公表[班別+時段],公表[備勤5],""),$AX$9:$AX$25,$AY$9:$AY$25,"")</f>
        <v>0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87"/>
      <c r="AC29" s="87"/>
      <c r="AD29" s="87"/>
      <c r="AE29" s="88">
        <f>_xlfn.XLOOKUP(_xlfn.XLOOKUP($AS$6&amp;$B29,公表[班別+時段],公表[指揮官],""),$AX$9:$AX$25,$AY$9:$AY$25,"")</f>
        <v>4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27">
        <v>21</v>
      </c>
      <c r="AP29" s="127" t="str">
        <v>張家和</v>
      </c>
      <c r="AQ29" s="127" t="str" cm="1">
        <f t="array" ref="AQ29">IFERROR(_xlfn.XLOOKUP(_xlfn.XLOOKUP($AQ$3,輪休基準表!$C$6:$C$36,_xlfn.XLOOKUP(AP29,輪休基準表!$E$5:$AF$5,輪休基準表!$E$6:$AF$36,""),""),班別參數!$A$4:$A$20,班別參數!$B$4:$B$20,""),"")</f>
        <v>輪休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/>
      </c>
      <c r="AT29" s="180" t="str">
        <f t="shared" si="0"/>
        <v/>
      </c>
      <c r="AU29" s="180" t="str">
        <f t="shared" si="1"/>
        <v/>
      </c>
      <c r="AV29" s="10"/>
      <c r="AW29" s="47"/>
      <c r="AX29" s="45"/>
      <c r="AY29" s="25"/>
      <c r="AZ29" s="28"/>
      <c r="BA29" s="33"/>
      <c r="BB29" s="25"/>
      <c r="BD29" s="127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0</v>
      </c>
      <c r="D30" s="95"/>
      <c r="E30" s="95"/>
      <c r="F30" s="95"/>
      <c r="G30" s="122" t="str">
        <f>IF(BC19="","",BC19)</f>
        <v/>
      </c>
      <c r="H30" s="37"/>
      <c r="I30" s="92">
        <f>_xlfn.XLOOKUP(_xlfn.XLOOKUP($AS$6&amp;$B30,公表[班別+時段],公表[救護1],""),$AX$9:$AX$25,$AY$9:$AY$25,"")</f>
        <v>0</v>
      </c>
      <c r="J30" s="92">
        <f>_xlfn.XLOOKUP(_xlfn.XLOOKUP($AS$6&amp;$B30,公表[班別+時段],公表[救護2],""),$AX$9:$AX$25,$AY$9:$AY$25,"")</f>
        <v>0</v>
      </c>
      <c r="K30" s="87"/>
      <c r="L30" s="87" t="s">
        <v>212</v>
      </c>
      <c r="M30" s="312"/>
      <c r="N30" s="87">
        <f>_xlfn.XLOOKUP(_xlfn.XLOOKUP($AS$6&amp;$B30,公表[班別+時段],公表[備勤1],""),$AX$9:$AX$25,$AY$9:$AY$25,"")</f>
        <v>0</v>
      </c>
      <c r="O30" s="87">
        <f>_xlfn.XLOOKUP(_xlfn.XLOOKUP($AS$6&amp;$B30,公表[班別+時段],公表[備勤2],""),$AX$9:$AX$25,$AY$9:$AY$25,"")</f>
        <v>0</v>
      </c>
      <c r="P30" s="87"/>
      <c r="Q30" s="87">
        <f>_xlfn.XLOOKUP(_xlfn.XLOOKUP($AS$6&amp;$B30,公表[班別+時段],公表[備勤3],""),$AX$9:$AX$25,$AY$9:$AY$25,"")</f>
        <v>0</v>
      </c>
      <c r="R30" s="87">
        <f>_xlfn.XLOOKUP(_xlfn.XLOOKUP($AS$6&amp;$B30,公表[班別+時段],公表[備勤4],""),$AX$9:$AX$25,$AY$9:$AY$25,"")</f>
        <v>0</v>
      </c>
      <c r="S30" s="87"/>
      <c r="T30" s="87">
        <f>_xlfn.XLOOKUP(_xlfn.XLOOKUP($AS$6&amp;$B30,公表[班別+時段],公表[備勤5],""),$AX$9:$AX$25,$AY$9:$AY$25,"")</f>
        <v>0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87"/>
      <c r="AC30" s="87"/>
      <c r="AD30" s="87"/>
      <c r="AE30" s="88">
        <f>_xlfn.XLOOKUP(_xlfn.XLOOKUP($AS$6&amp;$B30,公表[班別+時段],公表[指揮官],""),$AX$9:$AX$25,$AY$9:$AY$25,"")</f>
        <v>4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27">
        <v>22</v>
      </c>
      <c r="AP30" s="127" t="str">
        <v>陳俊瑋</v>
      </c>
      <c r="AQ30" s="127" t="str" cm="1">
        <f t="array" ref="AQ30">IFERROR(_xlfn.XLOOKUP(_xlfn.XLOOKUP($AQ$3,輪休基準表!$C$6:$C$36,_xlfn.XLOOKUP(AP30,輪休基準表!$E$5:$AF$5,輪休基準表!$E$6:$AF$36,""),""),班別參數!$A$4:$A$20,班別參數!$B$4:$B$20,""),"")</f>
        <v>輪休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27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0</v>
      </c>
      <c r="D31" s="106"/>
      <c r="E31" s="96"/>
      <c r="F31" s="96"/>
      <c r="G31" s="123" t="str">
        <f>IF(BC19="","",BC19)</f>
        <v/>
      </c>
      <c r="H31" s="109"/>
      <c r="I31" s="216">
        <f>_xlfn.XLOOKUP(_xlfn.XLOOKUP($AS$6&amp;$B31,公表[班別+時段],公表[救護1],""),$AX$9:$AX$25,$AY$9:$AY$25,"")</f>
        <v>0</v>
      </c>
      <c r="J31" s="216">
        <f>_xlfn.XLOOKUP(_xlfn.XLOOKUP($AS$6&amp;$B31,公表[班別+時段],公表[救護2],""),$AX$9:$AX$25,$AY$9:$AY$25,"")</f>
        <v>0</v>
      </c>
      <c r="K31" s="108"/>
      <c r="L31" s="93" t="s">
        <v>212</v>
      </c>
      <c r="M31" s="312"/>
      <c r="N31" s="89">
        <f>_xlfn.XLOOKUP(_xlfn.XLOOKUP($AS$6&amp;$B31,公表[班別+時段],公表[備勤1],""),$AX$9:$AX$25,$AY$9:$AY$25,"")</f>
        <v>0</v>
      </c>
      <c r="O31" s="89">
        <f>_xlfn.XLOOKUP(_xlfn.XLOOKUP($AS$6&amp;$B31,公表[班別+時段],公表[備勤2],""),$AX$9:$AX$25,$AY$9:$AY$25,"")</f>
        <v>0</v>
      </c>
      <c r="P31" s="89"/>
      <c r="Q31" s="89">
        <f>_xlfn.XLOOKUP(_xlfn.XLOOKUP($AS$6&amp;$B31,公表[班別+時段],公表[備勤3],""),$AX$9:$AX$25,$AY$9:$AY$25,"")</f>
        <v>0</v>
      </c>
      <c r="R31" s="89">
        <f>_xlfn.XLOOKUP(_xlfn.XLOOKUP($AS$6&amp;$B31,公表[班別+時段],公表[備勤4],""),$AX$9:$AX$25,$AY$9:$AY$25,"")</f>
        <v>0</v>
      </c>
      <c r="S31" s="89"/>
      <c r="T31" s="89">
        <f>_xlfn.XLOOKUP(_xlfn.XLOOKUP($AS$6&amp;$B31,公表[班別+時段],公表[備勤5],""),$AX$9:$AX$25,$AY$9:$AY$25,"")</f>
        <v>0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89"/>
      <c r="AC31" s="89"/>
      <c r="AD31" s="89"/>
      <c r="AE31" s="104">
        <f>_xlfn.XLOOKUP(_xlfn.XLOOKUP($AS$6&amp;$B31,公表[班別+時段],公表[指揮官],""),$AX$9:$AX$25,$AY$9:$AY$25,"")</f>
        <v>4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27">
        <v>23</v>
      </c>
      <c r="AP31" s="127" t="str">
        <v>陳俊翰</v>
      </c>
      <c r="AQ31" s="127" t="str" cm="1">
        <f t="array" ref="AQ31">IFERROR(_xlfn.XLOOKUP(_xlfn.XLOOKUP($AQ$3,輪休基準表!$C$6:$C$36,_xlfn.XLOOKUP(AP31,輪休基準表!$E$5:$AF$5,輪休基準表!$E$6:$AF$36,""),""),班別參數!$A$4:$A$20,班別參數!$B$4:$B$20,""),"")</f>
        <v>上班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>未排</v>
      </c>
      <c r="AT31" s="180" t="str">
        <f t="shared" si="0"/>
        <v/>
      </c>
      <c r="AU31" s="180" t="str">
        <f t="shared" si="1"/>
        <v/>
      </c>
      <c r="AW31" s="47"/>
      <c r="AX31" s="45"/>
      <c r="AY31" s="25"/>
      <c r="AZ31" s="28"/>
      <c r="BA31" s="33"/>
      <c r="BB31" s="25"/>
      <c r="BD31" s="127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0</v>
      </c>
      <c r="D32" s="97"/>
      <c r="E32" s="97"/>
      <c r="F32" s="97"/>
      <c r="G32" s="121" t="str">
        <f>IF(BC20="","",BC20)</f>
        <v/>
      </c>
      <c r="H32" s="56"/>
      <c r="I32" s="94">
        <f>_xlfn.XLOOKUP(_xlfn.XLOOKUP($AS$6&amp;$B32,公表[班別+時段],公表[救護1],""),$AX$9:$AX$25,$AY$9:$AY$25,"")</f>
        <v>0</v>
      </c>
      <c r="J32" s="94">
        <f>_xlfn.XLOOKUP(_xlfn.XLOOKUP($AS$6&amp;$B32,公表[班別+時段],公表[救護2],""),$AX$9:$AX$25,$AY$9:$AY$25,"")</f>
        <v>0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0</v>
      </c>
      <c r="O32" s="90">
        <f>_xlfn.XLOOKUP(_xlfn.XLOOKUP($AS$6&amp;$B32,公表[班別+時段],公表[備勤2],""),$AX$9:$AX$25,$AY$9:$AY$25,"")</f>
        <v>0</v>
      </c>
      <c r="P32" s="90"/>
      <c r="Q32" s="90">
        <f>_xlfn.XLOOKUP(_xlfn.XLOOKUP($AS$6&amp;$B32,公表[班別+時段],公表[備勤3],""),$AX$9:$AX$25,$AY$9:$AY$25,"")</f>
        <v>0</v>
      </c>
      <c r="R32" s="90">
        <f>_xlfn.XLOOKUP(_xlfn.XLOOKUP($AS$6&amp;$B32,公表[班別+時段],公表[備勤4],""),$AX$9:$AX$25,$AY$9:$AY$25,"")</f>
        <v>0</v>
      </c>
      <c r="S32" s="90"/>
      <c r="T32" s="90">
        <f>_xlfn.XLOOKUP(_xlfn.XLOOKUP($AS$6&amp;$B32,公表[班別+時段],公表[備勤5],""),$AX$9:$AX$25,$AY$9:$AY$25,"")</f>
        <v>0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90"/>
      <c r="AC32" s="90"/>
      <c r="AD32" s="90"/>
      <c r="AE32" s="91">
        <f>_xlfn.XLOOKUP(_xlfn.XLOOKUP($AS$6&amp;$B32,公表[班別+時段],公表[指揮官],""),$AX$9:$AX$25,$AY$9:$AY$25,"")</f>
        <v>4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27">
        <v>24</v>
      </c>
      <c r="AP32" s="127" t="str">
        <v>賴俊豪</v>
      </c>
      <c r="AQ32" s="127" t="str" cm="1">
        <f t="array" ref="AQ32">IFERROR(_xlfn.XLOOKUP(_xlfn.XLOOKUP($AQ$3,輪休基準表!$C$6:$C$36,_xlfn.XLOOKUP(AP32,輪休基準表!$E$5:$AF$5,輪休基準表!$E$6:$AF$36,""),""),班別參數!$A$4:$A$20,班別參數!$B$4:$B$20,""),"")</f>
        <v>上班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>未排</v>
      </c>
      <c r="AT32" s="180" t="str">
        <f t="shared" si="0"/>
        <v/>
      </c>
      <c r="AU32" s="180" t="str">
        <f t="shared" si="1"/>
        <v/>
      </c>
      <c r="AW32" s="47"/>
      <c r="AX32" s="45"/>
      <c r="AY32" s="25"/>
      <c r="AZ32" s="28"/>
      <c r="BA32" s="33"/>
      <c r="BB32" s="25"/>
      <c r="BD32" s="127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0</v>
      </c>
      <c r="D33" s="95"/>
      <c r="E33" s="95"/>
      <c r="F33" s="95"/>
      <c r="G33" s="122" t="str">
        <f>IF(BC20="","",BC20)</f>
        <v/>
      </c>
      <c r="H33" s="48"/>
      <c r="I33" s="92">
        <f>_xlfn.XLOOKUP(_xlfn.XLOOKUP($AS$6&amp;$B33,公表[班別+時段],公表[救護1],""),$AX$9:$AX$25,$AY$9:$AY$25,"")</f>
        <v>0</v>
      </c>
      <c r="J33" s="92">
        <f>_xlfn.XLOOKUP(_xlfn.XLOOKUP($AS$6&amp;$B33,公表[班別+時段],公表[救護2],""),$AX$9:$AX$25,$AY$9:$AY$25,"")</f>
        <v>0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0</v>
      </c>
      <c r="O33" s="87">
        <f>_xlfn.XLOOKUP(_xlfn.XLOOKUP($AS$6&amp;$B33,公表[班別+時段],公表[備勤2],""),$AX$9:$AX$25,$AY$9:$AY$25,"")</f>
        <v>0</v>
      </c>
      <c r="P33" s="87"/>
      <c r="Q33" s="87">
        <f>_xlfn.XLOOKUP(_xlfn.XLOOKUP($AS$6&amp;$B33,公表[班別+時段],公表[備勤3],""),$AX$9:$AX$25,$AY$9:$AY$25,"")</f>
        <v>0</v>
      </c>
      <c r="R33" s="87">
        <f>_xlfn.XLOOKUP(_xlfn.XLOOKUP($AS$6&amp;$B33,公表[班別+時段],公表[備勤4],""),$AX$9:$AX$25,$AY$9:$AY$25,"")</f>
        <v>0</v>
      </c>
      <c r="S33" s="87"/>
      <c r="T33" s="87">
        <f>_xlfn.XLOOKUP(_xlfn.XLOOKUP($AS$6&amp;$B33,公表[班別+時段],公表[備勤5],""),$AX$9:$AX$25,$AY$9:$AY$25,"")</f>
        <v>0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87"/>
      <c r="AC33" s="87"/>
      <c r="AD33" s="87"/>
      <c r="AE33" s="88">
        <f>_xlfn.XLOOKUP(_xlfn.XLOOKUP($AS$6&amp;$B33,公表[班別+時段],公表[指揮官],""),$AX$9:$AX$25,$AY$9:$AY$25,"")</f>
        <v>4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27">
        <v>25</v>
      </c>
      <c r="AP33" s="127" t="str">
        <v>郭國偵</v>
      </c>
      <c r="AQ33" s="127" t="str" cm="1">
        <f t="array" ref="AQ33">IFERROR(_xlfn.XLOOKUP(_xlfn.XLOOKUP($AQ$3,輪休基準表!$C$6:$C$36,_xlfn.XLOOKUP(AP33,輪休基準表!$E$5:$AF$5,輪休基準表!$E$6:$AF$36,""),""),班別參數!$A$4:$A$20,班別參數!$B$4:$B$20,""),"")</f>
        <v>上班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>未排</v>
      </c>
      <c r="AT33" s="180" t="str">
        <f t="shared" si="0"/>
        <v/>
      </c>
      <c r="AU33" s="180" t="str">
        <f t="shared" si="1"/>
        <v/>
      </c>
      <c r="AW33" s="47"/>
      <c r="AX33" s="45"/>
      <c r="AY33" s="25"/>
      <c r="AZ33" s="28"/>
      <c r="BA33" s="25"/>
      <c r="BB33" s="25"/>
      <c r="BD33" s="127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一、本日主管輪休，職務由小隊長簡永豐代理。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27">
        <v>26</v>
      </c>
      <c r="AP34" s="127" t="str">
        <v>楊紹文</v>
      </c>
      <c r="AQ34" s="127" t="str" cm="1">
        <f t="array" ref="AQ34">IFERROR(_xlfn.XLOOKUP(_xlfn.XLOOKUP($AQ$3,輪休基準表!$C$6:$C$36,_xlfn.XLOOKUP(AP34,輪休基準表!$E$5:$AF$5,輪休基準表!$E$6:$AF$36,""),""),班別參數!$A$4:$A$20,班別參數!$B$4:$B$20,""),"")</f>
        <v>上班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>未排</v>
      </c>
      <c r="AT34" s="180" t="str">
        <f t="shared" si="0"/>
        <v/>
      </c>
      <c r="AU34" s="180" t="str">
        <f t="shared" si="1"/>
        <v/>
      </c>
      <c r="AW34" s="47"/>
      <c r="AX34" s="45"/>
      <c r="AY34" s="25"/>
      <c r="AZ34" s="28"/>
      <c r="BA34" s="25"/>
      <c r="BB34" s="25"/>
      <c r="BD34" s="127"/>
    </row>
    <row r="35" spans="2:56" ht="30" customHeight="1">
      <c r="B35" s="349"/>
      <c r="C35" s="359" t="str">
        <f>CONCATENATE("二、在隊訓練:09-12時:",H11,";14-17時:",H16,";19-21時:",H21,"。")</f>
        <v>二、在隊訓練:09-12時:破壞器材操作;14-17時:入室搜救;19-21時:五用氣體檢知器及CO探測器。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27">
        <v>27</v>
      </c>
      <c r="AP35" s="127" t="str">
        <v>林宏為</v>
      </c>
      <c r="AQ35" s="127" t="str" cm="1">
        <f t="array" ref="AQ35">IFERROR(_xlfn.XLOOKUP(_xlfn.XLOOKUP($AQ$3,輪休基準表!$C$6:$C$36,_xlfn.XLOOKUP(AP35,輪休基準表!$E$5:$AF$5,輪休基準表!$E$6:$AF$36,""),""),班別參數!$A$4:$A$20,班別參數!$B$4:$B$20,""),"")</f>
        <v>輪休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/>
      </c>
      <c r="AT35" s="180" t="str">
        <f t="shared" si="0"/>
        <v/>
      </c>
      <c r="AU35" s="180" t="str">
        <f t="shared" si="1"/>
        <v/>
      </c>
      <c r="AW35" s="47"/>
      <c r="AX35" s="45"/>
      <c r="AY35" s="25"/>
      <c r="AZ35" s="28"/>
      <c r="BA35" s="25"/>
      <c r="BB35" s="25"/>
      <c r="BD35" s="127"/>
    </row>
    <row r="36" spans="2:56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27">
        <v>28</v>
      </c>
      <c r="AP36" s="127" t="str">
        <v>林宸彥</v>
      </c>
      <c r="AQ36" s="127" t="str" cm="1">
        <f t="array" ref="AQ36">IFERROR(_xlfn.XLOOKUP(_xlfn.XLOOKUP($AQ$3,輪休基準表!$C$6:$C$36,_xlfn.XLOOKUP(AP36,輪休基準表!$E$5:$AF$5,輪休基準表!$E$6:$AF$36,""),""),班別參數!$A$4:$A$20,班別參數!$B$4:$B$20,""),"")</f>
        <v>上班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>未排</v>
      </c>
      <c r="AT36" s="180" t="str">
        <f t="shared" si="0"/>
        <v/>
      </c>
      <c r="AU36" s="180" t="str">
        <f t="shared" si="1"/>
        <v/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27"/>
      <c r="AP37" s="127"/>
      <c r="AQ37" s="127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27"/>
      <c r="BD37" s="10"/>
    </row>
    <row r="38" spans="2:56" ht="15" customHeight="1">
      <c r="AQ38" s="127"/>
      <c r="AR38" s="118"/>
      <c r="AS38" s="119"/>
      <c r="AT38" s="119"/>
    </row>
    <row r="39" spans="2:56" ht="15" customHeight="1">
      <c r="AR39" s="118"/>
      <c r="AS39" s="119"/>
      <c r="AT39" s="119"/>
    </row>
    <row r="40" spans="2:56" ht="15" customHeight="1">
      <c r="AR40" s="118"/>
      <c r="AS40" s="119"/>
      <c r="AT40" s="119"/>
    </row>
  </sheetData>
  <mergeCells count="71">
    <mergeCell ref="AG22:AK22"/>
    <mergeCell ref="AG23:AM23"/>
    <mergeCell ref="AG24:AI24"/>
    <mergeCell ref="AK24:AM24"/>
    <mergeCell ref="AF33:AG33"/>
    <mergeCell ref="AH33:AI33"/>
    <mergeCell ref="AJ33:AK33"/>
    <mergeCell ref="AF31:AG31"/>
    <mergeCell ref="AH31:AI31"/>
    <mergeCell ref="AJ31:AK31"/>
    <mergeCell ref="AF32:AG32"/>
    <mergeCell ref="AH32:AI32"/>
    <mergeCell ref="AJ32:AK32"/>
    <mergeCell ref="AF27:AF28"/>
    <mergeCell ref="AG27:AM27"/>
    <mergeCell ref="AG28:AM28"/>
    <mergeCell ref="B34:B36"/>
    <mergeCell ref="C34:AE34"/>
    <mergeCell ref="AF34:AM34"/>
    <mergeCell ref="C35:AE35"/>
    <mergeCell ref="AF35:AM35"/>
    <mergeCell ref="C36:AE36"/>
    <mergeCell ref="AF36:AM36"/>
    <mergeCell ref="AF29:AM29"/>
    <mergeCell ref="AF30:AG30"/>
    <mergeCell ref="AH30:AI30"/>
    <mergeCell ref="AJ30:AK30"/>
    <mergeCell ref="AG25:AI25"/>
    <mergeCell ref="AK25:AM25"/>
    <mergeCell ref="C8:AE8"/>
    <mergeCell ref="C9:AE9"/>
    <mergeCell ref="M10:M33"/>
    <mergeCell ref="H11:H13"/>
    <mergeCell ref="H16:H18"/>
    <mergeCell ref="H21:H22"/>
    <mergeCell ref="I6:J6"/>
    <mergeCell ref="K6:L6"/>
    <mergeCell ref="N6:P6"/>
    <mergeCell ref="Q6:S6"/>
    <mergeCell ref="T6:V6"/>
    <mergeCell ref="AF5:AM6"/>
    <mergeCell ref="AO5:AO6"/>
    <mergeCell ref="T7:V7"/>
    <mergeCell ref="AR5:AR6"/>
    <mergeCell ref="AS5:AT5"/>
    <mergeCell ref="W6:Y6"/>
    <mergeCell ref="AE6:AE7"/>
    <mergeCell ref="AS6:AT6"/>
    <mergeCell ref="AP5:AQ6"/>
    <mergeCell ref="G5:G7"/>
    <mergeCell ref="B3:AM3"/>
    <mergeCell ref="AW3:AX3"/>
    <mergeCell ref="AY3:BB3"/>
    <mergeCell ref="B4:AI4"/>
    <mergeCell ref="AJ4:AM4"/>
    <mergeCell ref="AW4:AX4"/>
    <mergeCell ref="AY4:BB4"/>
    <mergeCell ref="B5:B7"/>
    <mergeCell ref="C5:C7"/>
    <mergeCell ref="D5:D7"/>
    <mergeCell ref="E5:E7"/>
    <mergeCell ref="F5:F7"/>
    <mergeCell ref="H5:H7"/>
    <mergeCell ref="I5:L5"/>
    <mergeCell ref="M5:AE5"/>
    <mergeCell ref="AY2:BB2"/>
    <mergeCell ref="B1:AE1"/>
    <mergeCell ref="AP1:AQ1"/>
    <mergeCell ref="B2:AE2"/>
    <mergeCell ref="AG2:AM2"/>
    <mergeCell ref="AW2:AX2"/>
  </mergeCells>
  <phoneticPr fontId="9" type="noConversion"/>
  <conditionalFormatting sqref="AO9:AQ36 AO37:AP37 AQ37:AQ38">
    <cfRule type="expression" dxfId="21" priority="16">
      <formula>COUNTIF($AQ9,"上班")&gt;=1</formula>
    </cfRule>
  </conditionalFormatting>
  <conditionalFormatting sqref="AF8:AF13 AH8:AH21 AJ8:AJ21 AL8:AM21">
    <cfRule type="expression" dxfId="20" priority="11">
      <formula>OR(VLOOKUP(AF8,$AO$9:$AQ$40,3,0)="上班",VLOOKUP(AF8,$AO$9:$AQ$40,3,0)="外宿")</formula>
    </cfRule>
  </conditionalFormatting>
  <conditionalFormatting sqref="AL8">
    <cfRule type="expression" dxfId="19" priority="10">
      <formula>OR(VLOOKUP(AL8,$AO$9:$AQ$36,3,0)="上班",VLOOKUP(AL8,$AO$9:$AQ$36,3,0)="外宿")</formula>
    </cfRule>
  </conditionalFormatting>
  <conditionalFormatting sqref="AR9:AR36">
    <cfRule type="notContainsText" dxfId="18" priority="2" operator="notContains" text="已排">
      <formula>ISERROR(SEARCH("已排",AR9))</formula>
    </cfRule>
  </conditionalFormatting>
  <conditionalFormatting sqref="AS9:AS36">
    <cfRule type="notContainsText" dxfId="17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23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557E9-A7E4-4C29-B1C9-EB1E3DBF673F}">
  <sheetPr codeName="工作表35">
    <pageSetUpPr fitToPage="1"/>
  </sheetPr>
  <dimension ref="B1:BD40"/>
  <sheetViews>
    <sheetView showZeros="0" view="pageBreakPreview" zoomScale="55" zoomScaleNormal="55" zoomScaleSheetLayoutView="55" workbookViewId="0">
      <selection activeCell="I6" sqref="I6:V7"/>
    </sheetView>
  </sheetViews>
  <sheetFormatPr defaultColWidth="11.25" defaultRowHeight="15" customHeight="1"/>
  <cols>
    <col min="1" max="1" width="4.125" style="126" customWidth="1"/>
    <col min="2" max="2" width="8.625" style="126" customWidth="1"/>
    <col min="3" max="6" width="5.375" style="126" customWidth="1"/>
    <col min="7" max="8" width="8.625" style="126" customWidth="1"/>
    <col min="9" max="12" width="5.375" style="126" customWidth="1"/>
    <col min="13" max="13" width="6.625" style="126" customWidth="1"/>
    <col min="14" max="31" width="5.375" style="126" customWidth="1"/>
    <col min="32" max="32" width="7.625" style="126" customWidth="1"/>
    <col min="33" max="33" width="10.625" style="126" customWidth="1"/>
    <col min="34" max="34" width="7.625" style="126" customWidth="1"/>
    <col min="35" max="35" width="10.625" style="126" customWidth="1"/>
    <col min="36" max="36" width="7.625" style="126" customWidth="1"/>
    <col min="37" max="37" width="10.625" style="126" customWidth="1"/>
    <col min="38" max="38" width="7.625" style="126" customWidth="1"/>
    <col min="39" max="39" width="10.625" style="126" customWidth="1"/>
    <col min="40" max="40" width="4.125" style="213" customWidth="1"/>
    <col min="41" max="47" width="11.625" style="126" customWidth="1"/>
    <col min="48" max="48" width="4.125" style="126" customWidth="1"/>
    <col min="49" max="49" width="16" style="126" customWidth="1"/>
    <col min="50" max="51" width="8.25" style="126" customWidth="1"/>
    <col min="52" max="52" width="4.125" style="126" customWidth="1"/>
    <col min="53" max="53" width="16" style="126" customWidth="1"/>
    <col min="54" max="54" width="8.25" style="126" customWidth="1"/>
    <col min="55" max="55" width="10.875" style="126" customWidth="1"/>
    <col min="56" max="58" width="4.125" style="126" customWidth="1"/>
    <col min="59" max="16384" width="11.25" style="126"/>
  </cols>
  <sheetData>
    <row r="1" spans="2:56" ht="9.75" customHeight="1" thickBot="1"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N1" s="215"/>
      <c r="AO1" s="127"/>
      <c r="AP1" s="399"/>
      <c r="AQ1" s="399"/>
      <c r="AR1" s="127"/>
      <c r="AS1" s="127"/>
      <c r="AT1" s="127"/>
    </row>
    <row r="2" spans="2:56" ht="30" customHeight="1" thickBot="1">
      <c r="B2" s="366" t="s">
        <v>184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  <c r="X2" s="287"/>
      <c r="Y2" s="287"/>
      <c r="Z2" s="287"/>
      <c r="AA2" s="287"/>
      <c r="AB2" s="287"/>
      <c r="AC2" s="287"/>
      <c r="AD2" s="287"/>
      <c r="AE2" s="287"/>
      <c r="AF2" s="12"/>
      <c r="AG2" s="366"/>
      <c r="AH2" s="287"/>
      <c r="AI2" s="287"/>
      <c r="AJ2" s="287"/>
      <c r="AK2" s="287"/>
      <c r="AL2" s="287"/>
      <c r="AM2" s="287"/>
      <c r="AN2" s="215"/>
      <c r="AO2" s="13" t="s">
        <v>0</v>
      </c>
      <c r="AP2" s="13" t="s">
        <v>1</v>
      </c>
      <c r="AQ2" s="13" t="s">
        <v>178</v>
      </c>
      <c r="AR2" s="146" t="s">
        <v>228</v>
      </c>
      <c r="AS2" s="142"/>
      <c r="AT2" s="140"/>
      <c r="AU2" s="127"/>
      <c r="AV2" s="127"/>
      <c r="AW2" s="362" t="s">
        <v>127</v>
      </c>
      <c r="AX2" s="287"/>
      <c r="AY2" s="367" t="str">
        <f>_xlfn.XLOOKUP($AR$3,訓練!$L$13:$L$19,訓練!$M$13:$M$19,"")</f>
        <v>車輛駕訓</v>
      </c>
      <c r="AZ2" s="364"/>
      <c r="BA2" s="364"/>
      <c r="BB2" s="365"/>
    </row>
    <row r="3" spans="2:56" ht="39.950000000000003" customHeight="1" thickBot="1">
      <c r="B3" s="369" t="str">
        <f>CONCATENATE("桃園市政府消防局第三救災救護大隊新坡分隊（",$AP$5,"人）勤務分配表 ",$AO$3,"年",$AP$3,"月",$AQ$3,"日","星期",$AR$3)</f>
        <v>桃園市政府消防局第三救災救護大隊新坡分隊（28人）勤務分配表 115年5月31日星期日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1"/>
      <c r="AN3" s="27"/>
      <c r="AO3" s="14">
        <f>班別參數!D2</f>
        <v>115</v>
      </c>
      <c r="AP3" s="15">
        <f>班別參數!E2</f>
        <v>5</v>
      </c>
      <c r="AQ3" s="143">
        <v>31</v>
      </c>
      <c r="AR3" s="141" t="str">
        <f>RIGHT(TEXT(1911+$AO$3&amp;"/"&amp;$AP$3&amp;"/"&amp;$AQ$3,"aaaa"),1)</f>
        <v>日</v>
      </c>
      <c r="AS3" s="147"/>
      <c r="AT3" s="148"/>
      <c r="AU3" s="127"/>
      <c r="AV3" s="127"/>
      <c r="AW3" s="362" t="s">
        <v>128</v>
      </c>
      <c r="AX3" s="287"/>
      <c r="AY3" s="368" t="str">
        <f>_xlfn.XLOOKUP($AR$3,訓練!$L$13:$L$19,訓練!$N$13:$N$19,"")</f>
        <v>環境整理</v>
      </c>
      <c r="AZ3" s="364"/>
      <c r="BA3" s="364"/>
      <c r="BB3" s="365"/>
    </row>
    <row r="4" spans="2:56" ht="39.950000000000003" customHeight="1" thickBot="1">
      <c r="B4" s="372"/>
      <c r="C4" s="373"/>
      <c r="D4" s="373"/>
      <c r="E4" s="373"/>
      <c r="F4" s="373"/>
      <c r="G4" s="373"/>
      <c r="H4" s="373"/>
      <c r="I4" s="373"/>
      <c r="J4" s="373"/>
      <c r="K4" s="373"/>
      <c r="L4" s="373"/>
      <c r="M4" s="373"/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4"/>
      <c r="AJ4" s="377" t="s">
        <v>185</v>
      </c>
      <c r="AK4" s="373"/>
      <c r="AL4" s="373"/>
      <c r="AM4" s="378"/>
      <c r="AN4" s="16"/>
      <c r="AO4" s="17"/>
      <c r="AP4" s="17"/>
      <c r="AQ4" s="17"/>
      <c r="AT4" s="127"/>
      <c r="AU4" s="127"/>
      <c r="AV4" s="127"/>
      <c r="AW4" s="362" t="s">
        <v>129</v>
      </c>
      <c r="AX4" s="287"/>
      <c r="AY4" s="363" t="str">
        <f>_xlfn.XLOOKUP($AR$3,訓練!$L$13:$L$19,訓練!$O$13:$O$19,"")</f>
        <v>器材車、化學(處理)車</v>
      </c>
      <c r="AZ4" s="364"/>
      <c r="BA4" s="364"/>
      <c r="BB4" s="365"/>
    </row>
    <row r="5" spans="2:56" ht="24.75" customHeight="1">
      <c r="B5" s="390" t="s">
        <v>224</v>
      </c>
      <c r="C5" s="392" t="s">
        <v>7</v>
      </c>
      <c r="D5" s="392"/>
      <c r="E5" s="340"/>
      <c r="F5" s="340"/>
      <c r="G5" s="340" t="s">
        <v>73</v>
      </c>
      <c r="H5" s="398" t="s">
        <v>186</v>
      </c>
      <c r="I5" s="331" t="s">
        <v>187</v>
      </c>
      <c r="J5" s="332"/>
      <c r="K5" s="332"/>
      <c r="L5" s="333"/>
      <c r="M5" s="331" t="s">
        <v>188</v>
      </c>
      <c r="N5" s="332"/>
      <c r="O5" s="332"/>
      <c r="P5" s="332"/>
      <c r="Q5" s="332"/>
      <c r="R5" s="332"/>
      <c r="S5" s="332"/>
      <c r="T5" s="332"/>
      <c r="U5" s="332"/>
      <c r="V5" s="332"/>
      <c r="W5" s="332"/>
      <c r="X5" s="332"/>
      <c r="Y5" s="332"/>
      <c r="Z5" s="395"/>
      <c r="AA5" s="395"/>
      <c r="AB5" s="395"/>
      <c r="AC5" s="332"/>
      <c r="AD5" s="332"/>
      <c r="AE5" s="332"/>
      <c r="AF5" s="379" t="s">
        <v>189</v>
      </c>
      <c r="AG5" s="380"/>
      <c r="AH5" s="380"/>
      <c r="AI5" s="380"/>
      <c r="AJ5" s="380"/>
      <c r="AK5" s="380"/>
      <c r="AL5" s="380"/>
      <c r="AM5" s="381"/>
      <c r="AN5" s="16"/>
      <c r="AO5" s="385" t="s">
        <v>190</v>
      </c>
      <c r="AP5" s="386">
        <v>28</v>
      </c>
      <c r="AQ5" s="387"/>
      <c r="AR5" s="385" t="s">
        <v>191</v>
      </c>
      <c r="AS5" s="389" t="s">
        <v>126</v>
      </c>
      <c r="AT5" s="387"/>
      <c r="AU5" s="13"/>
      <c r="AV5" s="13"/>
      <c r="AW5" s="19"/>
      <c r="AX5" s="20"/>
      <c r="AY5" s="21"/>
      <c r="AZ5" s="21"/>
      <c r="BA5" s="21"/>
      <c r="BB5" s="21"/>
      <c r="BC5" s="21"/>
    </row>
    <row r="6" spans="2:56" ht="42" customHeight="1" thickBot="1">
      <c r="B6" s="391"/>
      <c r="C6" s="341"/>
      <c r="D6" s="341"/>
      <c r="E6" s="341"/>
      <c r="F6" s="341"/>
      <c r="G6" s="312"/>
      <c r="H6" s="312"/>
      <c r="I6" s="334" t="s">
        <v>227</v>
      </c>
      <c r="J6" s="335"/>
      <c r="K6" s="334" t="s">
        <v>346</v>
      </c>
      <c r="L6" s="336"/>
      <c r="M6" s="86" t="s">
        <v>193</v>
      </c>
      <c r="N6" s="342" t="s">
        <v>194</v>
      </c>
      <c r="O6" s="324"/>
      <c r="P6" s="327"/>
      <c r="Q6" s="342" t="s">
        <v>195</v>
      </c>
      <c r="R6" s="324"/>
      <c r="S6" s="327"/>
      <c r="T6" s="343" t="s">
        <v>196</v>
      </c>
      <c r="U6" s="344"/>
      <c r="V6" s="345"/>
      <c r="W6" s="342" t="s">
        <v>197</v>
      </c>
      <c r="X6" s="324"/>
      <c r="Y6" s="324"/>
      <c r="Z6" s="113"/>
      <c r="AA6" s="114"/>
      <c r="AB6" s="114"/>
      <c r="AC6" s="115"/>
      <c r="AD6" s="23"/>
      <c r="AE6" s="396" t="s">
        <v>56</v>
      </c>
      <c r="AF6" s="382"/>
      <c r="AG6" s="383"/>
      <c r="AH6" s="383"/>
      <c r="AI6" s="383"/>
      <c r="AJ6" s="383"/>
      <c r="AK6" s="383"/>
      <c r="AL6" s="383"/>
      <c r="AM6" s="384"/>
      <c r="AN6" s="16"/>
      <c r="AO6" s="287"/>
      <c r="AP6" s="388"/>
      <c r="AQ6" s="376"/>
      <c r="AR6" s="287"/>
      <c r="AS6" s="375" t="str">
        <f>_xlfn.XLOOKUP($AQ$3,輪休基準表!$C$6:$C$36,輪休基準表!$AH$6:$AH$36,"")</f>
        <v>2+7</v>
      </c>
      <c r="AT6" s="376"/>
      <c r="AU6" s="13"/>
      <c r="AV6" s="13"/>
      <c r="AW6" s="19"/>
      <c r="AX6" s="20"/>
      <c r="BA6" s="25"/>
      <c r="BB6" s="25"/>
    </row>
    <row r="7" spans="2:56" ht="42" customHeight="1" thickBot="1">
      <c r="B7" s="391"/>
      <c r="C7" s="341"/>
      <c r="D7" s="341"/>
      <c r="E7" s="341"/>
      <c r="F7" s="341"/>
      <c r="G7" s="312"/>
      <c r="H7" s="312"/>
      <c r="I7" s="50" t="s">
        <v>198</v>
      </c>
      <c r="J7" s="50" t="s">
        <v>199</v>
      </c>
      <c r="K7" s="50" t="s">
        <v>198</v>
      </c>
      <c r="L7" s="50" t="s">
        <v>199</v>
      </c>
      <c r="M7" s="85" t="s">
        <v>200</v>
      </c>
      <c r="N7" s="50" t="s">
        <v>198</v>
      </c>
      <c r="O7" s="50" t="s">
        <v>201</v>
      </c>
      <c r="P7" s="50" t="s">
        <v>202</v>
      </c>
      <c r="Q7" s="50" t="s">
        <v>198</v>
      </c>
      <c r="R7" s="50" t="s">
        <v>201</v>
      </c>
      <c r="S7" s="111" t="s">
        <v>202</v>
      </c>
      <c r="T7" s="337" t="s">
        <v>192</v>
      </c>
      <c r="U7" s="338"/>
      <c r="V7" s="339"/>
      <c r="W7" s="112"/>
      <c r="X7" s="51"/>
      <c r="Y7" s="51"/>
      <c r="Z7" s="116"/>
      <c r="AA7" s="117"/>
      <c r="AB7" s="117"/>
      <c r="AC7" s="52"/>
      <c r="AD7" s="52"/>
      <c r="AE7" s="397"/>
      <c r="AF7" s="57" t="s">
        <v>203</v>
      </c>
      <c r="AG7" s="31" t="s">
        <v>225</v>
      </c>
      <c r="AH7" s="31" t="s">
        <v>203</v>
      </c>
      <c r="AI7" s="31" t="s">
        <v>225</v>
      </c>
      <c r="AJ7" s="31" t="s">
        <v>203</v>
      </c>
      <c r="AK7" s="31" t="s">
        <v>225</v>
      </c>
      <c r="AL7" s="31" t="s">
        <v>203</v>
      </c>
      <c r="AM7" s="58" t="s">
        <v>225</v>
      </c>
      <c r="AN7" s="27"/>
      <c r="AO7" s="18"/>
      <c r="AV7" s="29" t="str">
        <f t="array" ref="AV7">IFERROR(INDEX(班別參數!$B$66:$G$75,MATCH(#REF!,班別參數!$B$66:$B$75,0),MATCH(#REF!,班別參數!$B$66:$G$66,0)),"")</f>
        <v/>
      </c>
      <c r="AW7" s="25"/>
      <c r="AY7" s="30"/>
      <c r="AZ7" s="28"/>
      <c r="BA7" s="25"/>
      <c r="BB7" s="25"/>
      <c r="BD7" s="127"/>
    </row>
    <row r="8" spans="2:56" ht="30" customHeight="1" thickBot="1">
      <c r="B8" s="53" t="s">
        <v>229</v>
      </c>
      <c r="C8" s="298" t="s">
        <v>204</v>
      </c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300"/>
      <c r="U8" s="300"/>
      <c r="V8" s="300"/>
      <c r="W8" s="299"/>
      <c r="X8" s="299"/>
      <c r="Y8" s="299"/>
      <c r="Z8" s="299"/>
      <c r="AA8" s="299"/>
      <c r="AB8" s="299"/>
      <c r="AC8" s="299"/>
      <c r="AD8" s="299"/>
      <c r="AE8" s="301"/>
      <c r="AF8" s="57" cm="1">
        <f t="array" ref="AF8:AG12">_xlfn._xlws.FILTER(輪休基準表!AK6:$AL$36,輪休基準表!$AM$6:$AM$36="幹部","")</f>
        <v>1</v>
      </c>
      <c r="AG8" s="31" t="str">
        <v>鄧力嘉</v>
      </c>
      <c r="AH8" s="31" cm="1">
        <f t="array" ref="AH8:AI18">_xlfn._xlws.FILTER(輪休基準表!AK6:$AL$36,輪休基準表!$AM$6:$AM$36="A班","")</f>
        <v>6</v>
      </c>
      <c r="AI8" s="31" t="str">
        <v>吳宗耕</v>
      </c>
      <c r="AJ8" s="31" cm="1">
        <f t="array" ref="AJ8:AK19">_xlfn._xlws.FILTER(輪休基準表!AK6:$AL$36,輪休基準表!$AM$6:$AM$36="B班","")</f>
        <v>17</v>
      </c>
      <c r="AK8" s="31" t="str">
        <v>楊仲豪</v>
      </c>
      <c r="AL8" s="31" t="str" cm="1">
        <f t="array" ref="AL8">_xlfn._xlws.FILTER(輪休基準表!AK6:$AL$36,輪休基準表!$AM$6:$AM$36="實習生","")</f>
        <v/>
      </c>
      <c r="AM8" s="31"/>
      <c r="AO8" s="13" t="s">
        <v>205</v>
      </c>
      <c r="AP8" s="13" t="s">
        <v>206</v>
      </c>
      <c r="AQ8" s="13" t="s">
        <v>301</v>
      </c>
      <c r="AR8" s="13" t="s">
        <v>302</v>
      </c>
      <c r="AS8" s="13" t="s">
        <v>292</v>
      </c>
      <c r="AT8" s="13" t="s">
        <v>207</v>
      </c>
      <c r="AU8" s="13" t="s">
        <v>208</v>
      </c>
      <c r="AV8" s="13"/>
      <c r="AW8" s="13" t="s">
        <v>7</v>
      </c>
      <c r="AX8" s="13" t="s">
        <v>191</v>
      </c>
      <c r="AY8" s="13" t="s">
        <v>205</v>
      </c>
      <c r="AZ8" s="13"/>
      <c r="BA8" s="13" t="s">
        <v>63</v>
      </c>
      <c r="BB8" s="13" t="s">
        <v>209</v>
      </c>
      <c r="BC8" s="13" t="s">
        <v>205</v>
      </c>
      <c r="BD8" s="127"/>
    </row>
    <row r="9" spans="2:56" ht="30" customHeight="1">
      <c r="B9" s="54" t="s">
        <v>210</v>
      </c>
      <c r="C9" s="302" t="s">
        <v>211</v>
      </c>
      <c r="D9" s="302"/>
      <c r="E9" s="302"/>
      <c r="F9" s="302"/>
      <c r="G9" s="302"/>
      <c r="H9" s="302"/>
      <c r="I9" s="302"/>
      <c r="J9" s="302"/>
      <c r="K9" s="302"/>
      <c r="L9" s="302"/>
      <c r="M9" s="303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302"/>
      <c r="AA9" s="302"/>
      <c r="AB9" s="302"/>
      <c r="AC9" s="302"/>
      <c r="AD9" s="302"/>
      <c r="AE9" s="304"/>
      <c r="AF9" s="57">
        <v>2</v>
      </c>
      <c r="AG9" s="31" t="str">
        <v>莊勝斌</v>
      </c>
      <c r="AH9" s="31">
        <v>7</v>
      </c>
      <c r="AI9" s="31" t="str">
        <v>包華先</v>
      </c>
      <c r="AJ9" s="31">
        <v>18</v>
      </c>
      <c r="AK9" s="4" t="str">
        <v>林志偉</v>
      </c>
      <c r="AL9" s="101"/>
      <c r="AM9" s="102"/>
      <c r="AO9" s="127" cm="1">
        <f t="array" ref="AO9:AP36">TRANSPOSE(輪休基準表!E4:AF5)</f>
        <v>1</v>
      </c>
      <c r="AP9" s="127" t="str">
        <v>鄧力嘉</v>
      </c>
      <c r="AQ9" s="127" t="str" cm="1">
        <f t="array" ref="AQ9">IFERROR(_xlfn.XLOOKUP(_xlfn.XLOOKUP($AQ$3,輪休基準表!$C$6:$C$36,_xlfn.XLOOKUP(AP9,輪休基準表!$E$5:$AF$5,輪休基準表!$E$6:$AF$36,""),""),班別參數!$A$4:$A$20,班別參數!$B$4:$B$20,""),"")</f>
        <v>月補</v>
      </c>
      <c r="AR9" s="120" t="str" cm="1">
        <f t="array" ref="AR9">_xlfn.LET(
    _xlpm.番號, COUNTIF($AY$9:$AY$24, $AO9),
    _xlpm.已排, _xlpm.番號 &gt; 0,
    _xlpm.上班, (AQ9="上班"),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9" s="170" t="str" cm="1">
        <f t="array" ref="AS9">IF(AQ9="上班",
    IF(SUMPRODUCT(--ISNUMBER(SEARCH(","&amp;AO9&amp;",", ","&amp;$G$10:$G$33&amp;",")))&gt;=2, "已排",
        IF(SUMPRODUCT(--ISNUMBER(SEARCH(","&amp;AO9&amp;",", ","&amp;$G$10:$G$33&amp;",")))=1, "缺1小時", "未排")
    ),
    IF(SUMPRODUCT(--ISNUMBER(SEARCH(","&amp;AO9&amp;",", ","&amp;$G$10:$G$33&amp;",")))&gt;0, "沒上班", "")
)</f>
        <v/>
      </c>
      <c r="AT9" s="180" t="str">
        <f>IF(COUNTIF($I$10:$J$33,AO9)=0,"",COUNTIF($I$10:$J$33,AO9))</f>
        <v/>
      </c>
      <c r="AU9" s="180" t="str">
        <f>IF(COUNTIF($N$10:$O$33,AO9)=0,"",COUNTIF($N$10:$O$33,AO9))</f>
        <v/>
      </c>
      <c r="AV9" s="25"/>
      <c r="AW9" s="33" t="str">
        <f t="array" ref="AW9">INDEX(班別參數!$D$4:$D$20,ROW()-7,MATCH($AW$8,班別參數!$D$4:$D$20,0))</f>
        <v>08-10</v>
      </c>
      <c r="AX9" s="34" t="str">
        <f t="array" ref="AX9">IFERROR(INDEX(班別參數!$D$4:$S$20,MATCH(AW9,班別參數!$D$4:$D$20,0),MATCH($AS$6,班別參數!$D$4:$S$4,0)),"")</f>
        <v>A</v>
      </c>
      <c r="AY9" s="35"/>
      <c r="AZ9" s="13"/>
      <c r="BA9" s="33" t="s">
        <v>18</v>
      </c>
      <c r="BB9" s="34" t="str">
        <f t="array" ref="BB9">IFERROR(INDEX(班別參數!$D$23:$S$35,MATCH(BA9,班別參數!$D$23:$D$35,0),MATCH($AS$6,班別參數!$D$23:$S$23,0)),"")</f>
        <v>H,K</v>
      </c>
      <c r="BC9" s="36" t="str">
        <f>IFERROR(_xlfn.LET(
    _xlpm.對照, BB9,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>3</v>
      </c>
      <c r="BD9" s="127"/>
    </row>
    <row r="10" spans="2:56" ht="30" customHeight="1">
      <c r="B10" s="81" t="s">
        <v>70</v>
      </c>
      <c r="C10" s="87">
        <f>_xlfn.XLOOKUP(_xlfn.XLOOKUP($AS$6&amp;$B10,公表[班別+時段],公表[值班],""),$AX$9:$AX$25,$AY$9:$AY$25,"")</f>
        <v>0</v>
      </c>
      <c r="D10" s="95"/>
      <c r="E10" s="95"/>
      <c r="F10" s="95"/>
      <c r="G10" s="122" t="str">
        <f>IF(BC9="","",BC9)</f>
        <v>3</v>
      </c>
      <c r="H10" s="37"/>
      <c r="I10" s="92">
        <f>_xlfn.XLOOKUP(_xlfn.XLOOKUP($AS$6&amp;$B10,公表[班別+時段],公表[救護1],""),$AX$9:$AX$25,$AY$9:$AY$25,"")</f>
        <v>0</v>
      </c>
      <c r="J10" s="92">
        <f>_xlfn.XLOOKUP(_xlfn.XLOOKUP($AS$6&amp;$B10,公表[班別+時段],公表[救護2],""),$AX$9:$AX$25,$AY$9:$AY$25,"")</f>
        <v>0</v>
      </c>
      <c r="K10" s="87"/>
      <c r="L10" s="87" t="s">
        <v>212</v>
      </c>
      <c r="M10" s="311"/>
      <c r="N10" s="87">
        <f>_xlfn.XLOOKUP(_xlfn.XLOOKUP($AS$6&amp;$B10,公表[班別+時段],公表[備勤1],""),$AX$9:$AX$25,$AY$9:$AY$25,"")</f>
        <v>0</v>
      </c>
      <c r="O10" s="87">
        <f>_xlfn.XLOOKUP(_xlfn.XLOOKUP($AS$6&amp;$B10,公表[班別+時段],公表[備勤2],""),$AX$9:$AX$25,$AY$9:$AY$25,"")</f>
        <v>0</v>
      </c>
      <c r="P10" s="87"/>
      <c r="Q10" s="87">
        <f>_xlfn.XLOOKUP(_xlfn.XLOOKUP($AS$6&amp;$B10,公表[班別+時段],公表[備勤3],""),$AX$9:$AX$25,$AY$9:$AY$25,"")</f>
        <v>0</v>
      </c>
      <c r="R10" s="87">
        <f>_xlfn.XLOOKUP(_xlfn.XLOOKUP($AS$6&amp;$B10,公表[班別+時段],公表[備勤4],""),$AX$9:$AX$25,$AY$9:$AY$25,"")</f>
        <v>0</v>
      </c>
      <c r="S10" s="87"/>
      <c r="T10" s="87">
        <f>_xlfn.XLOOKUP(_xlfn.XLOOKUP($AS$6&amp;$B10,公表[班別+時段],公表[備勤5],""),$AX$9:$AX$25,$AY$9:$AY$25,"")</f>
        <v>0</v>
      </c>
      <c r="U10" s="87">
        <f>_xlfn.XLOOKUP(_xlfn.XLOOKUP($AS$6&amp;$B10,公表[班別+時段],公表[備勤6],""),$AX$9:$AX$25,$AY$9:$AY$25,"")</f>
        <v>0</v>
      </c>
      <c r="V10" s="87"/>
      <c r="W10" s="87">
        <f>_xlfn.XLOOKUP(_xlfn.XLOOKUP($AS$6&amp;$B10,公表[班別+時段],公表[備勤7],""),$AX$9:$AX$25,$AY$9:$AY$25,"")</f>
        <v>0</v>
      </c>
      <c r="X10" s="87">
        <f>_xlfn.XLOOKUP(_xlfn.XLOOKUP($AS$6&amp;$B10,公表[班別+時段],公表[備勤8],""),$AX$9:$AX$25,$AY$9:$AY$25,"")</f>
        <v>0</v>
      </c>
      <c r="Y10" s="87"/>
      <c r="Z10" s="87"/>
      <c r="AA10" s="87"/>
      <c r="AB10" s="87"/>
      <c r="AC10" s="87"/>
      <c r="AD10" s="87"/>
      <c r="AE10" s="88">
        <f>_xlfn.XLOOKUP(_xlfn.XLOOKUP($AS$6&amp;$B10,公表[班別+時段],公表[指揮官],""),$AX$9:$AX$25,$AY$9:$AY$25,"")</f>
        <v>5</v>
      </c>
      <c r="AF10" s="57">
        <v>3</v>
      </c>
      <c r="AG10" s="31" t="str">
        <v>孫子翔</v>
      </c>
      <c r="AH10" s="31">
        <v>8</v>
      </c>
      <c r="AI10" s="31" t="str">
        <v>曾彥綸</v>
      </c>
      <c r="AJ10" s="31">
        <v>19</v>
      </c>
      <c r="AK10" s="31" t="str">
        <v>劉家誠</v>
      </c>
      <c r="AL10" s="101"/>
      <c r="AM10" s="102"/>
      <c r="AN10" s="214"/>
      <c r="AO10" s="127">
        <v>2</v>
      </c>
      <c r="AP10" s="127" t="str">
        <v>莊勝斌</v>
      </c>
      <c r="AQ10" s="127" t="str" cm="1">
        <f t="array" ref="AQ10">IFERROR(_xlfn.XLOOKUP(_xlfn.XLOOKUP($AQ$3,輪休基準表!$C$6:$C$36,_xlfn.XLOOKUP(AP10,輪休基準表!$E$5:$AF$5,輪休基準表!$E$6:$AF$36,""),""),班別參數!$A$4:$A$20,班別參數!$B$4:$B$20,""),"")</f>
        <v>輪休</v>
      </c>
      <c r="AR10" s="120" t="str" cm="1">
        <f t="array" ref="AR10">_xlfn.LET(
    _xlpm.番號, COUNTIF($AY$9:$AY$24, $AO10),
    _xlpm.已排, _xlpm.番號 &gt; 0,
    _xlpm.上班, (AQ10="上班"),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0" s="170" t="str" cm="1">
        <f t="array" ref="AS10">IF(AQ10="上班",
    IF(SUMPRODUCT(--ISNUMBER(SEARCH(","&amp;AO10&amp;",", ","&amp;$G$10:$G$33&amp;",")))&gt;=2, "已排",
        IF(SUMPRODUCT(--ISNUMBER(SEARCH(","&amp;AO10&amp;",", ","&amp;$G$10:$G$33&amp;",")))=1, "缺1小時", "未排")
    ),
    IF(SUMPRODUCT(--ISNUMBER(SEARCH(","&amp;AO10&amp;",", ","&amp;$G$10:$G$33&amp;",")))&gt;0, "沒上班", "")
)</f>
        <v/>
      </c>
      <c r="AT10" s="180" t="str">
        <f t="shared" ref="AT10:AT36" si="0">IF(COUNTIF($I$10:$J$33,AO10)=0,"",COUNTIF($I$10:$J$33,AO10))</f>
        <v/>
      </c>
      <c r="AU10" s="180" t="str">
        <f t="shared" ref="AU10:AU36" si="1">IF(COUNTIF($N$10:$O$33,AO10)=0,"",COUNTIF($N$10:$O$33,AO10))</f>
        <v/>
      </c>
      <c r="AV10" s="25"/>
      <c r="AW10" s="33" t="str">
        <f t="array" ref="AW10">INDEX(班別參數!$D$4:$D$20,ROW()-7,MATCH($AW$8,班別參數!$D$4:$D$20,0))</f>
        <v>10-12</v>
      </c>
      <c r="AX10" s="34" t="str">
        <f t="array" ref="AX10">IFERROR(INDEX(班別參數!$D$4:$S$20,MATCH(AW10,班別參數!$D$4:$D$20,0),MATCH($AS$6,班別參數!$D$4:$S$4,0)),"")</f>
        <v>B</v>
      </c>
      <c r="AY10" s="38"/>
      <c r="AZ10" s="13"/>
      <c r="BA10" s="33" t="s">
        <v>22</v>
      </c>
      <c r="BB10" s="34" t="str">
        <f t="array" ref="BB10">IFERROR(INDEX(班別參數!$D$23:$S$35,MATCH(BA10,班別參數!$D$23:$D$35,0),MATCH($AS$6,班別參數!$D$23:$S$23,0)),"")</f>
        <v>D</v>
      </c>
      <c r="BC10" s="39" t="str">
        <f t="shared" ref="BC10:BC20" si="2">IFERROR(_xlfn.LET(
    _xlpm.對照, BB10,
    _xlpm.拆分1, IF(LEN(_xlpm.對照)=3, LEFT(_xlpm.對照,1), _xlpm.對照),
    _xlpm.拆分2, IF(LEN(_xlpm.對照)=3, RIGHT(_xlpm.對照,1), ""),
    _xlpm.查詢1, _xlfn.XLOOKUP(_xlpm.拆分1, $AX$9:$AX$24, $AY$9:$AY$24, ""),
    _xlpm.查詢2, _xlfn.XLOOKUP(_xlpm.拆分2, $AX$9:$AX$24, $AY$9:$AY$24, ""),
    _xlfn.TEXTJOIN(",", TRUE, IF(_xlpm.查詢1=0, "", _xlpm.查詢1), IF(_xlpm.查詢2=0, "", _xlpm.查詢2))
),"")</f>
        <v/>
      </c>
      <c r="BD10" s="127"/>
    </row>
    <row r="11" spans="2:56" ht="30" customHeight="1">
      <c r="B11" s="81" t="s">
        <v>74</v>
      </c>
      <c r="C11" s="87">
        <f>_xlfn.XLOOKUP(_xlfn.XLOOKUP($AS$6&amp;$B11,公表[班別+時段],公表[值班],""),$AX$9:$AX$25,$AY$9:$AY$25,"")</f>
        <v>0</v>
      </c>
      <c r="D11" s="95"/>
      <c r="E11" s="95"/>
      <c r="F11" s="95"/>
      <c r="G11" s="122" t="str">
        <f>IF(BC9="","",BC9)</f>
        <v>3</v>
      </c>
      <c r="H11" s="296" t="str">
        <f>AY2</f>
        <v>車輛駕訓</v>
      </c>
      <c r="I11" s="92">
        <f>_xlfn.XLOOKUP(_xlfn.XLOOKUP($AS$6&amp;$B11,公表[班別+時段],公表[救護1],""),$AX$9:$AX$25,$AY$9:$AY$25,"")</f>
        <v>0</v>
      </c>
      <c r="J11" s="92">
        <f>_xlfn.XLOOKUP(_xlfn.XLOOKUP($AS$6&amp;$B11,公表[班別+時段],公表[救護2],""),$AX$9:$AX$25,$AY$9:$AY$25,"")</f>
        <v>0</v>
      </c>
      <c r="K11" s="87"/>
      <c r="L11" s="87" t="s">
        <v>212</v>
      </c>
      <c r="M11" s="312"/>
      <c r="N11" s="87">
        <f>_xlfn.XLOOKUP(_xlfn.XLOOKUP($AS$6&amp;$B11,公表[班別+時段],公表[備勤1],""),$AX$9:$AX$25,$AY$9:$AY$25,"")</f>
        <v>0</v>
      </c>
      <c r="O11" s="87">
        <f>_xlfn.XLOOKUP(_xlfn.XLOOKUP($AS$6&amp;$B11,公表[班別+時段],公表[備勤2],""),$AX$9:$AX$25,$AY$9:$AY$25,"")</f>
        <v>0</v>
      </c>
      <c r="P11" s="87"/>
      <c r="Q11" s="87">
        <f>_xlfn.XLOOKUP(_xlfn.XLOOKUP($AS$6&amp;$B11,公表[班別+時段],公表[備勤3],""),$AX$9:$AX$25,$AY$9:$AY$25,"")</f>
        <v>0</v>
      </c>
      <c r="R11" s="87">
        <f>_xlfn.XLOOKUP(_xlfn.XLOOKUP($AS$6&amp;$B11,公表[班別+時段],公表[備勤4],""),$AX$9:$AX$25,$AY$9:$AY$25,"")</f>
        <v>0</v>
      </c>
      <c r="S11" s="87"/>
      <c r="T11" s="87">
        <f>_xlfn.XLOOKUP(_xlfn.XLOOKUP($AS$6&amp;$B11,公表[班別+時段],公表[備勤5],""),$AX$9:$AX$25,$AY$9:$AY$25,"")</f>
        <v>0</v>
      </c>
      <c r="U11" s="87">
        <f>_xlfn.XLOOKUP(_xlfn.XLOOKUP($AS$6&amp;$B11,公表[班別+時段],公表[備勤6],""),$AX$9:$AX$25,$AY$9:$AY$25,"")</f>
        <v>0</v>
      </c>
      <c r="V11" s="87"/>
      <c r="W11" s="87">
        <f>_xlfn.XLOOKUP(_xlfn.XLOOKUP($AS$6&amp;$B11,公表[班別+時段],公表[備勤7],""),$AX$9:$AX$25,$AY$9:$AY$25,"")</f>
        <v>0</v>
      </c>
      <c r="X11" s="87">
        <f>_xlfn.XLOOKUP(_xlfn.XLOOKUP($AS$6&amp;$B11,公表[班別+時段],公表[備勤8],""),$AX$9:$AX$25,$AY$9:$AY$25,"")</f>
        <v>0</v>
      </c>
      <c r="Y11" s="87"/>
      <c r="Z11" s="87"/>
      <c r="AA11" s="87"/>
      <c r="AB11" s="87"/>
      <c r="AC11" s="87"/>
      <c r="AD11" s="87"/>
      <c r="AE11" s="88">
        <f>_xlfn.XLOOKUP(_xlfn.XLOOKUP($AS$6&amp;$B11,公表[班別+時段],公表[指揮官],""),$AX$9:$AX$25,$AY$9:$AY$25,"")</f>
        <v>5</v>
      </c>
      <c r="AF11" s="57">
        <v>4</v>
      </c>
      <c r="AG11" s="31" t="str">
        <v>簡永豐</v>
      </c>
      <c r="AH11" s="31">
        <v>9</v>
      </c>
      <c r="AI11" s="31" t="str">
        <v>鍾佳諭</v>
      </c>
      <c r="AJ11" s="31">
        <v>20</v>
      </c>
      <c r="AK11" s="31" t="str">
        <v>呂奇霈</v>
      </c>
      <c r="AL11" s="101"/>
      <c r="AM11" s="102"/>
      <c r="AN11" s="214"/>
      <c r="AO11" s="127">
        <v>3</v>
      </c>
      <c r="AP11" s="127" t="str">
        <v>孫子翔</v>
      </c>
      <c r="AQ11" s="127" t="str" cm="1">
        <f t="array" ref="AQ11">IFERROR(_xlfn.XLOOKUP(_xlfn.XLOOKUP($AQ$3,輪休基準表!$C$6:$C$36,_xlfn.XLOOKUP(AP11,輪休基準表!$E$5:$AF$5,輪休基準表!$E$6:$AF$36,""),""),班別參數!$A$4:$A$20,班別參數!$B$4:$B$20,""),"")</f>
        <v>上班</v>
      </c>
      <c r="AR11" s="120" t="str" cm="1">
        <f t="array" ref="AR11">_xlfn.LET(
    _xlpm.番號, COUNTIF($AY$9:$AY$24, $AO11),
    _xlpm.已排, _xlpm.番號 &gt; 0,
    _xlpm.上班, (AQ11="上班"),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1" s="170" t="str" cm="1">
        <f t="array" ref="AS11">IF(AQ11="上班",
    IF(SUMPRODUCT(--ISNUMBER(SEARCH(","&amp;AO11&amp;",", ","&amp;$G$10:$G$33&amp;",")))&gt;=2, "已排",
        IF(SUMPRODUCT(--ISNUMBER(SEARCH(","&amp;AO11&amp;",", ","&amp;$G$10:$G$33&amp;",")))=1, "缺1小時", "未排")
    ),
    IF(SUMPRODUCT(--ISNUMBER(SEARCH(","&amp;AO11&amp;",", ","&amp;$G$10:$G$33&amp;",")))&gt;0, "沒上班", "")
)</f>
        <v>已排</v>
      </c>
      <c r="AT11" s="180" t="str">
        <f t="shared" si="0"/>
        <v/>
      </c>
      <c r="AU11" s="180" t="str">
        <f t="shared" si="1"/>
        <v/>
      </c>
      <c r="AV11" s="25"/>
      <c r="AW11" s="33" t="str">
        <f t="array" ref="AW11">INDEX(班別參數!$D$4:$D$20,ROW()-7,MATCH($AW$8,班別參數!$D$4:$D$20,0))</f>
        <v>12-14</v>
      </c>
      <c r="AX11" s="34" t="str">
        <f t="array" ref="AX11">IFERROR(INDEX(班別參數!$D$4:$S$20,MATCH(AW11,班別參數!$D$4:$D$20,0),MATCH($AS$6,班別參數!$D$4:$S$4,0)),"")</f>
        <v>G</v>
      </c>
      <c r="AY11" s="38"/>
      <c r="AZ11" s="13"/>
      <c r="BA11" s="33" t="s">
        <v>25</v>
      </c>
      <c r="BB11" s="34" t="str">
        <f t="array" ref="BB11">IFERROR(INDEX(班別參數!$D$23:$S$35,MATCH(BA11,班別參數!$D$23:$D$35,0),MATCH($AS$6,班別參數!$D$23:$S$23,0)),"")</f>
        <v>F</v>
      </c>
      <c r="BC11" s="39" t="str">
        <f t="shared" si="2"/>
        <v/>
      </c>
      <c r="BD11" s="127"/>
    </row>
    <row r="12" spans="2:56" ht="30" customHeight="1">
      <c r="B12" s="81" t="s">
        <v>75</v>
      </c>
      <c r="C12" s="87">
        <f>_xlfn.XLOOKUP(_xlfn.XLOOKUP($AS$6&amp;$B12,公表[班別+時段],公表[值班],""),$AX$9:$AX$25,$AY$9:$AY$25,"")</f>
        <v>0</v>
      </c>
      <c r="D12" s="95"/>
      <c r="E12" s="95"/>
      <c r="F12" s="95"/>
      <c r="G12" s="122" t="str">
        <f>IF(BC10="","",BC10)</f>
        <v/>
      </c>
      <c r="H12" s="314"/>
      <c r="I12" s="92">
        <f>_xlfn.XLOOKUP(_xlfn.XLOOKUP($AS$6&amp;$B12,公表[班別+時段],公表[救護1],""),$AX$9:$AX$25,$AY$9:$AY$25,"")</f>
        <v>0</v>
      </c>
      <c r="J12" s="92">
        <f>_xlfn.XLOOKUP(_xlfn.XLOOKUP($AS$6&amp;$B12,公表[班別+時段],公表[救護2],""),$AX$9:$AX$25,$AY$9:$AY$25,"")</f>
        <v>0</v>
      </c>
      <c r="K12" s="92"/>
      <c r="L12" s="87" t="s">
        <v>212</v>
      </c>
      <c r="M12" s="312"/>
      <c r="N12" s="87">
        <f>_xlfn.XLOOKUP(_xlfn.XLOOKUP($AS$6&amp;$B12,公表[班別+時段],公表[備勤1],""),$AX$9:$AX$25,$AY$9:$AY$25,"")</f>
        <v>0</v>
      </c>
      <c r="O12" s="87">
        <f>_xlfn.XLOOKUP(_xlfn.XLOOKUP($AS$6&amp;$B12,公表[班別+時段],公表[備勤2],""),$AX$9:$AX$25,$AY$9:$AY$25,"")</f>
        <v>0</v>
      </c>
      <c r="P12" s="87"/>
      <c r="Q12" s="87">
        <f>_xlfn.XLOOKUP(_xlfn.XLOOKUP($AS$6&amp;$B12,公表[班別+時段],公表[備勤3],""),$AX$9:$AX$25,$AY$9:$AY$25,"")</f>
        <v>0</v>
      </c>
      <c r="R12" s="87">
        <f>_xlfn.XLOOKUP(_xlfn.XLOOKUP($AS$6&amp;$B12,公表[班別+時段],公表[備勤4],""),$AX$9:$AX$25,$AY$9:$AY$25,"")</f>
        <v>0</v>
      </c>
      <c r="S12" s="87"/>
      <c r="T12" s="87">
        <f>_xlfn.XLOOKUP(_xlfn.XLOOKUP($AS$6&amp;$B12,公表[班別+時段],公表[備勤5],""),$AX$9:$AX$25,$AY$9:$AY$25,"")</f>
        <v>5</v>
      </c>
      <c r="U12" s="87">
        <f>_xlfn.XLOOKUP(_xlfn.XLOOKUP($AS$6&amp;$B12,公表[班別+時段],公表[備勤6],""),$AX$9:$AX$25,$AY$9:$AY$25,"")</f>
        <v>0</v>
      </c>
      <c r="V12" s="87"/>
      <c r="W12" s="87">
        <f>_xlfn.XLOOKUP(_xlfn.XLOOKUP($AS$6&amp;$B12,公表[班別+時段],公表[備勤7],""),$AX$9:$AX$25,$AY$9:$AY$25,"")</f>
        <v>0</v>
      </c>
      <c r="X12" s="87">
        <f>_xlfn.XLOOKUP(_xlfn.XLOOKUP($AS$6&amp;$B12,公表[班別+時段],公表[備勤8],""),$AX$9:$AX$25,$AY$9:$AY$25,"")</f>
        <v>0</v>
      </c>
      <c r="Y12" s="87"/>
      <c r="Z12" s="87"/>
      <c r="AA12" s="87"/>
      <c r="AB12" s="87"/>
      <c r="AC12" s="87"/>
      <c r="AD12" s="87"/>
      <c r="AE12" s="88">
        <f>_xlfn.XLOOKUP(_xlfn.XLOOKUP($AS$6&amp;$B12,公表[班別+時段],公表[指揮官],""),$AX$9:$AX$25,$AY$9:$AY$25,"")</f>
        <v>3</v>
      </c>
      <c r="AF12" s="57">
        <v>5</v>
      </c>
      <c r="AG12" s="31" t="str">
        <v>張鴻志</v>
      </c>
      <c r="AH12" s="31">
        <v>10</v>
      </c>
      <c r="AI12" s="31" t="str">
        <v>林宏澤</v>
      </c>
      <c r="AJ12" s="31">
        <v>21</v>
      </c>
      <c r="AK12" s="31" t="str">
        <v>張家和</v>
      </c>
      <c r="AL12" s="101"/>
      <c r="AM12" s="102"/>
      <c r="AN12" s="214"/>
      <c r="AO12" s="127">
        <v>4</v>
      </c>
      <c r="AP12" s="127" t="str">
        <v>簡永豐</v>
      </c>
      <c r="AQ12" s="127" t="str" cm="1">
        <f t="array" ref="AQ12">IFERROR(_xlfn.XLOOKUP(_xlfn.XLOOKUP($AQ$3,輪休基準表!$C$6:$C$36,_xlfn.XLOOKUP(AP12,輪休基準表!$E$5:$AF$5,輪休基準表!$E$6:$AF$36,""),""),班別參數!$A$4:$A$20,班別參數!$B$4:$B$20,""),"")</f>
        <v>輪休</v>
      </c>
      <c r="AR12" s="120" t="str" cm="1">
        <f t="array" ref="AR12">_xlfn.LET(
    _xlpm.番號, COUNTIF($AY$9:$AY$24, $AO12),
    _xlpm.已排, _xlpm.番號 &gt; 0,
    _xlpm.上班, (AQ12="上班"),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2" s="170" t="str" cm="1">
        <f t="array" ref="AS12">IF(AQ12="上班",
    IF(SUMPRODUCT(--ISNUMBER(SEARCH(","&amp;AO12&amp;",", ","&amp;$G$10:$G$33&amp;",")))&gt;=2, "已排",
        IF(SUMPRODUCT(--ISNUMBER(SEARCH(","&amp;AO12&amp;",", ","&amp;$G$10:$G$33&amp;",")))=1, "缺1小時", "未排")
    ),
    IF(SUMPRODUCT(--ISNUMBER(SEARCH(","&amp;AO12&amp;",", ","&amp;$G$10:$G$33&amp;",")))&gt;0, "沒上班", "")
)</f>
        <v/>
      </c>
      <c r="AT12" s="180" t="str">
        <f t="shared" si="0"/>
        <v/>
      </c>
      <c r="AU12" s="180" t="str">
        <f t="shared" si="1"/>
        <v/>
      </c>
      <c r="AV12" s="25"/>
      <c r="AW12" s="33" t="str">
        <f t="array" ref="AW12">INDEX(班別參數!$D$4:$D$20,ROW()-7,MATCH($AW$8,班別參數!$D$4:$D$20,0))</f>
        <v>14-16</v>
      </c>
      <c r="AX12" s="34" t="str">
        <f t="array" ref="AX12">IFERROR(INDEX(班別參數!$D$4:$S$20,MATCH(AW12,班別參數!$D$4:$D$20,0),MATCH($AS$6,班別參數!$D$4:$S$4,0)),"")</f>
        <v>C</v>
      </c>
      <c r="AY12" s="38"/>
      <c r="AZ12" s="13"/>
      <c r="BA12" s="33" t="s">
        <v>29</v>
      </c>
      <c r="BB12" s="34" t="str">
        <f t="array" ref="BB12">IFERROR(INDEX(班別參數!$D$23:$S$35,MATCH(BA12,班別參數!$D$23:$D$35,0),MATCH($AS$6,班別參數!$D$23:$S$23,0)),"")</f>
        <v/>
      </c>
      <c r="BC12" s="39" t="str">
        <f t="shared" si="2"/>
        <v/>
      </c>
      <c r="BD12" s="127"/>
    </row>
    <row r="13" spans="2:56" ht="30" customHeight="1" thickBot="1">
      <c r="B13" s="82" t="s">
        <v>76</v>
      </c>
      <c r="C13" s="89">
        <f>_xlfn.XLOOKUP(_xlfn.XLOOKUP($AS$6&amp;$B13,公表[班別+時段],公表[值班],""),$AX$9:$AX$25,$AY$9:$AY$25,"")</f>
        <v>0</v>
      </c>
      <c r="D13" s="233"/>
      <c r="E13" s="96"/>
      <c r="F13" s="96"/>
      <c r="G13" s="123" t="str">
        <f>IF(BC10="","",BC10)</f>
        <v/>
      </c>
      <c r="H13" s="315"/>
      <c r="I13" s="216">
        <f>_xlfn.XLOOKUP(_xlfn.XLOOKUP($AS$6&amp;$B13,公表[班別+時段],公表[救護1],""),$AX$9:$AX$25,$AY$9:$AY$25,"")</f>
        <v>0</v>
      </c>
      <c r="J13" s="216">
        <f>_xlfn.XLOOKUP(_xlfn.XLOOKUP($AS$6&amp;$B13,公表[班別+時段],公表[救護2],""),$AX$9:$AX$25,$AY$9:$AY$25,"")</f>
        <v>0</v>
      </c>
      <c r="K13" s="105"/>
      <c r="L13" s="93" t="s">
        <v>212</v>
      </c>
      <c r="M13" s="312"/>
      <c r="N13" s="89">
        <f>_xlfn.XLOOKUP(_xlfn.XLOOKUP($AS$6&amp;$B13,公表[班別+時段],公表[備勤1],""),$AX$9:$AX$25,$AY$9:$AY$25,"")</f>
        <v>0</v>
      </c>
      <c r="O13" s="89">
        <f>_xlfn.XLOOKUP(_xlfn.XLOOKUP($AS$6&amp;$B13,公表[班別+時段],公表[備勤2],""),$AX$9:$AX$25,$AY$9:$AY$25,"")</f>
        <v>0</v>
      </c>
      <c r="P13" s="89"/>
      <c r="Q13" s="89">
        <f>_xlfn.XLOOKUP(_xlfn.XLOOKUP($AS$6&amp;$B13,公表[班別+時段],公表[備勤3],""),$AX$9:$AX$25,$AY$9:$AY$25,"")</f>
        <v>0</v>
      </c>
      <c r="R13" s="89">
        <f>_xlfn.XLOOKUP(_xlfn.XLOOKUP($AS$6&amp;$B13,公表[班別+時段],公表[備勤4],""),$AX$9:$AX$25,$AY$9:$AY$25,"")</f>
        <v>0</v>
      </c>
      <c r="S13" s="89"/>
      <c r="T13" s="89">
        <f>_xlfn.XLOOKUP(_xlfn.XLOOKUP($AS$6&amp;$B13,公表[班別+時段],公表[備勤5],""),$AX$9:$AX$25,$AY$9:$AY$25,"")</f>
        <v>5</v>
      </c>
      <c r="U13" s="89">
        <f>_xlfn.XLOOKUP(_xlfn.XLOOKUP($AS$6&amp;$B13,公表[班別+時段],公表[備勤6],""),$AX$9:$AX$25,$AY$9:$AY$25,"")</f>
        <v>0</v>
      </c>
      <c r="V13" s="89"/>
      <c r="W13" s="89">
        <f>_xlfn.XLOOKUP(_xlfn.XLOOKUP($AS$6&amp;$B13,公表[班別+時段],公表[備勤7],""),$AX$9:$AX$25,$AY$9:$AY$25,"")</f>
        <v>0</v>
      </c>
      <c r="X13" s="89">
        <f>_xlfn.XLOOKUP(_xlfn.XLOOKUP($AS$6&amp;$B13,公表[班別+時段],公表[備勤8],""),$AX$9:$AX$25,$AY$9:$AY$25,"")</f>
        <v>0</v>
      </c>
      <c r="Y13" s="89"/>
      <c r="Z13" s="89"/>
      <c r="AA13" s="89"/>
      <c r="AB13" s="89"/>
      <c r="AC13" s="89"/>
      <c r="AD13" s="89"/>
      <c r="AE13" s="104">
        <f>_xlfn.XLOOKUP(_xlfn.XLOOKUP($AS$6&amp;$B13,公表[班別+時段],公表[指揮官],""),$AX$9:$AX$25,$AY$9:$AY$25,"")</f>
        <v>3</v>
      </c>
      <c r="AF13" s="103"/>
      <c r="AG13" s="101"/>
      <c r="AH13" s="31">
        <v>11</v>
      </c>
      <c r="AI13" s="31" t="str">
        <v>簡君諺</v>
      </c>
      <c r="AJ13" s="31">
        <v>22</v>
      </c>
      <c r="AK13" s="31" t="str">
        <v>陳俊瑋</v>
      </c>
      <c r="AL13" s="101"/>
      <c r="AM13" s="102"/>
      <c r="AN13" s="214"/>
      <c r="AO13" s="127">
        <v>5</v>
      </c>
      <c r="AP13" s="127" t="str">
        <v>張鴻志</v>
      </c>
      <c r="AQ13" s="127" t="str" cm="1">
        <f t="array" ref="AQ13">IFERROR(_xlfn.XLOOKUP(_xlfn.XLOOKUP($AQ$3,輪休基準表!$C$6:$C$36,_xlfn.XLOOKUP(AP13,輪休基準表!$E$5:$AF$5,輪休基準表!$E$6:$AF$36,""),""),班別參數!$A$4:$A$20,班別參數!$B$4:$B$20,""),"")</f>
        <v>上班</v>
      </c>
      <c r="AR13" s="120" t="str" cm="1">
        <f t="array" ref="AR13">_xlfn.LET(
    _xlpm.番號, COUNTIF($AY$9:$AY$24, $AO13),
    _xlpm.已排, _xlpm.番號 &gt; 0,
    _xlpm.上班, (AQ13="上班"),
    _xlfn.IFS(
        _xlpm.番號 &gt; 1, "重複",
        AND(_xlpm.上班, NOT(_xlpm.已排)), "未排",
        AND(NOT(_xlpm.上班),_xlpm.已排), "沒上班",
        _xlpm.已排, "已排",
        TRUE, ""
    )
)</f>
        <v>已排</v>
      </c>
      <c r="AS13" s="170" t="str" cm="1">
        <f t="array" ref="AS13">IF(AQ13="上班",
    IF(SUMPRODUCT(--ISNUMBER(SEARCH(","&amp;AO13&amp;",", ","&amp;$G$10:$G$33&amp;",")))&gt;=2, "已排",
        IF(SUMPRODUCT(--ISNUMBER(SEARCH(","&amp;AO13&amp;",", ","&amp;$G$10:$G$33&amp;",")))=1, "缺1小時", "未排")
    ),
    IF(SUMPRODUCT(--ISNUMBER(SEARCH(","&amp;AO13&amp;",", ","&amp;$G$10:$G$33&amp;",")))&gt;0, "沒上班", "")
)</f>
        <v>已排</v>
      </c>
      <c r="AT13" s="180" t="str">
        <f t="shared" si="0"/>
        <v/>
      </c>
      <c r="AU13" s="180" t="str">
        <f t="shared" si="1"/>
        <v/>
      </c>
      <c r="AV13" s="25"/>
      <c r="AW13" s="33" t="str">
        <f t="array" ref="AW13">INDEX(班別參數!$D$4:$D$20,ROW()-7,MATCH($AW$8,班別參數!$D$4:$D$20,0))</f>
        <v>16-18</v>
      </c>
      <c r="AX13" s="34" t="str">
        <f t="array" ref="AX13">IFERROR(INDEX(班別參數!$D$4:$S$20,MATCH(AW13,班別參數!$D$4:$D$20,0),MATCH($AS$6,班別參數!$D$4:$S$4,0)),"")</f>
        <v>D</v>
      </c>
      <c r="AY13" s="38"/>
      <c r="AZ13" s="13"/>
      <c r="BA13" s="33" t="s">
        <v>33</v>
      </c>
      <c r="BB13" s="34" t="str">
        <f t="array" ref="BB13">IFERROR(INDEX(班別參數!$D$23:$S$35,MATCH(BA13,班別參數!$D$23:$D$35,0),MATCH($AS$6,班別參數!$D$23:$S$23,0)),"")</f>
        <v>A</v>
      </c>
      <c r="BC13" s="39" t="str">
        <f t="shared" si="2"/>
        <v/>
      </c>
      <c r="BD13" s="127"/>
    </row>
    <row r="14" spans="2:56" ht="30" customHeight="1">
      <c r="B14" s="83" t="s">
        <v>77</v>
      </c>
      <c r="C14" s="90">
        <f>_xlfn.XLOOKUP(_xlfn.XLOOKUP($AS$6&amp;$B14,公表[班別+時段],公表[值班],""),$AX$9:$AX$25,$AY$9:$AY$25,"")</f>
        <v>0</v>
      </c>
      <c r="D14" s="234"/>
      <c r="E14" s="97"/>
      <c r="F14" s="97"/>
      <c r="G14" s="121" t="str">
        <f>IF(BC11="","",BC11)</f>
        <v/>
      </c>
      <c r="H14" s="55"/>
      <c r="I14" s="94">
        <f>_xlfn.XLOOKUP(_xlfn.XLOOKUP($AS$6&amp;$B14,公表[班別+時段],公表[救護1],""),$AX$9:$AX$25,$AY$9:$AY$25,"")</f>
        <v>0</v>
      </c>
      <c r="J14" s="94">
        <f>_xlfn.XLOOKUP(_xlfn.XLOOKUP($AS$6&amp;$B14,公表[班別+時段],公表[救護2],""),$AX$9:$AX$25,$AY$9:$AY$25,"")</f>
        <v>0</v>
      </c>
      <c r="K14" s="94"/>
      <c r="L14" s="90" t="s">
        <v>212</v>
      </c>
      <c r="M14" s="312"/>
      <c r="N14" s="90">
        <f>_xlfn.XLOOKUP(_xlfn.XLOOKUP($AS$6&amp;$B14,公表[班別+時段],公表[備勤1],""),$AX$9:$AX$25,$AY$9:$AY$25,"")</f>
        <v>0</v>
      </c>
      <c r="O14" s="90">
        <f>_xlfn.XLOOKUP(_xlfn.XLOOKUP($AS$6&amp;$B14,公表[班別+時段],公表[備勤2],""),$AX$9:$AX$25,$AY$9:$AY$25,"")</f>
        <v>0</v>
      </c>
      <c r="P14" s="90"/>
      <c r="Q14" s="90">
        <f>_xlfn.XLOOKUP(_xlfn.XLOOKUP($AS$6&amp;$B14,公表[班別+時段],公表[備勤3],""),$AX$9:$AX$25,$AY$9:$AY$25,"")</f>
        <v>0</v>
      </c>
      <c r="R14" s="90">
        <f>_xlfn.XLOOKUP(_xlfn.XLOOKUP($AS$6&amp;$B14,公表[班別+時段],公表[備勤4],""),$AX$9:$AX$25,$AY$9:$AY$25,"")</f>
        <v>0</v>
      </c>
      <c r="S14" s="90"/>
      <c r="T14" s="90">
        <f>_xlfn.XLOOKUP(_xlfn.XLOOKUP($AS$6&amp;$B14,公表[班別+時段],公表[備勤5],""),$AX$9:$AX$25,$AY$9:$AY$25,"")</f>
        <v>5</v>
      </c>
      <c r="U14" s="90">
        <f>_xlfn.XLOOKUP(_xlfn.XLOOKUP($AS$6&amp;$B14,公表[班別+時段],公表[備勤6],""),$AX$9:$AX$25,$AY$9:$AY$25,"")</f>
        <v>0</v>
      </c>
      <c r="V14" s="90"/>
      <c r="W14" s="90">
        <f>_xlfn.XLOOKUP(_xlfn.XLOOKUP($AS$6&amp;$B14,公表[班別+時段],公表[備勤7],""),$AX$9:$AX$25,$AY$9:$AY$25,"")</f>
        <v>0</v>
      </c>
      <c r="X14" s="90">
        <f>_xlfn.XLOOKUP(_xlfn.XLOOKUP($AS$6&amp;$B14,公表[班別+時段],公表[備勤8],""),$AX$9:$AX$25,$AY$9:$AY$25,"")</f>
        <v>0</v>
      </c>
      <c r="Y14" s="90"/>
      <c r="Z14" s="90"/>
      <c r="AA14" s="90"/>
      <c r="AB14" s="90"/>
      <c r="AC14" s="90"/>
      <c r="AD14" s="90"/>
      <c r="AE14" s="91">
        <f>_xlfn.XLOOKUP(_xlfn.XLOOKUP($AS$6&amp;$B14,公表[班別+時段],公表[指揮官],""),$AX$9:$AX$25,$AY$9:$AY$25,"")</f>
        <v>3</v>
      </c>
      <c r="AF14" s="103"/>
      <c r="AG14" s="101"/>
      <c r="AH14" s="31">
        <v>12</v>
      </c>
      <c r="AI14" s="31" t="str">
        <v>王昱勛</v>
      </c>
      <c r="AJ14" s="31">
        <v>23</v>
      </c>
      <c r="AK14" s="31" t="str">
        <v>陳俊翰</v>
      </c>
      <c r="AL14" s="101"/>
      <c r="AM14" s="102"/>
      <c r="AN14" s="214"/>
      <c r="AO14" s="127">
        <v>6</v>
      </c>
      <c r="AP14" s="127" t="str">
        <v>吳宗耕</v>
      </c>
      <c r="AQ14" s="127" t="str" cm="1">
        <f t="array" ref="AQ14">IFERROR(_xlfn.XLOOKUP(_xlfn.XLOOKUP($AQ$3,輪休基準表!$C$6:$C$36,_xlfn.XLOOKUP(AP14,輪休基準表!$E$5:$AF$5,輪休基準表!$E$6:$AF$36,""),""),班別參數!$A$4:$A$20,班別參數!$B$4:$B$20,""),"")</f>
        <v>輪休</v>
      </c>
      <c r="AR14" s="120" t="str" cm="1">
        <f t="array" ref="AR14">_xlfn.LET(
    _xlpm.番號, COUNTIF($AY$9:$AY$24, $AO14),
    _xlpm.已排, _xlpm.番號 &gt; 0,
    _xlpm.上班, (AQ14="上班"),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4" s="170" t="str" cm="1">
        <f t="array" ref="AS14">IF(AQ14="上班",
    IF(SUMPRODUCT(--ISNUMBER(SEARCH(","&amp;AO14&amp;",", ","&amp;$G$10:$G$33&amp;",")))&gt;=2, "已排",
        IF(SUMPRODUCT(--ISNUMBER(SEARCH(","&amp;AO14&amp;",", ","&amp;$G$10:$G$33&amp;",")))=1, "缺1小時", "未排")
    ),
    IF(SUMPRODUCT(--ISNUMBER(SEARCH(","&amp;AO14&amp;",", ","&amp;$G$10:$G$33&amp;",")))&gt;0, "沒上班", "")
)</f>
        <v/>
      </c>
      <c r="AT14" s="180" t="str">
        <f t="shared" si="0"/>
        <v/>
      </c>
      <c r="AU14" s="180" t="str">
        <f t="shared" si="1"/>
        <v/>
      </c>
      <c r="AV14" s="25"/>
      <c r="AW14" s="33" t="str">
        <f t="array" ref="AW14">INDEX(班別參數!$D$4:$D$20,ROW()-7,MATCH($AW$8,班別參數!$D$4:$D$20,0))</f>
        <v>18-20</v>
      </c>
      <c r="AX14" s="34">
        <f t="array" ref="AX14">IFERROR(INDEX(班別參數!$D$4:$S$20,MATCH(AW14,班別參數!$D$4:$D$20,0),MATCH($AS$6,班別參數!$D$4:$S$4,0)),"")</f>
        <v>0</v>
      </c>
      <c r="AY14" s="38"/>
      <c r="AZ14" s="13"/>
      <c r="BA14" s="33" t="s">
        <v>37</v>
      </c>
      <c r="BB14" s="34" t="str">
        <f t="array" ref="BB14">IFERROR(INDEX(班別參數!$D$23:$S$35,MATCH(BA14,班別參數!$D$23:$D$35,0),MATCH($AS$6,班別參數!$D$23:$S$23,0)),"")</f>
        <v>B</v>
      </c>
      <c r="BC14" s="39" t="str">
        <f t="shared" si="2"/>
        <v/>
      </c>
      <c r="BD14" s="127"/>
    </row>
    <row r="15" spans="2:56" ht="30" customHeight="1" thickBot="1">
      <c r="B15" s="82" t="s">
        <v>78</v>
      </c>
      <c r="C15" s="89">
        <f>_xlfn.XLOOKUP(_xlfn.XLOOKUP($AS$6&amp;$B15,公表[班別+時段],公表[值班],""),$AX$9:$AX$25,$AY$9:$AY$25,"")</f>
        <v>0</v>
      </c>
      <c r="D15" s="235"/>
      <c r="E15" s="106"/>
      <c r="F15" s="96"/>
      <c r="G15" s="123" t="str">
        <f>IF(BC11="","",BC11)</f>
        <v/>
      </c>
      <c r="H15" s="40"/>
      <c r="I15" s="216">
        <f>_xlfn.XLOOKUP(_xlfn.XLOOKUP($AS$6&amp;$B15,公表[班別+時段],公表[救護1],""),$AX$9:$AX$25,$AY$9:$AY$25,"")</f>
        <v>0</v>
      </c>
      <c r="J15" s="216">
        <f>_xlfn.XLOOKUP(_xlfn.XLOOKUP($AS$6&amp;$B15,公表[班別+時段],公表[救護2],""),$AX$9:$AX$25,$AY$9:$AY$25,"")</f>
        <v>0</v>
      </c>
      <c r="K15" s="105"/>
      <c r="L15" s="93" t="s">
        <v>212</v>
      </c>
      <c r="M15" s="312"/>
      <c r="N15" s="89">
        <f>_xlfn.XLOOKUP(_xlfn.XLOOKUP($AS$6&amp;$B15,公表[班別+時段],公表[備勤1],""),$AX$9:$AX$25,$AY$9:$AY$25,"")</f>
        <v>0</v>
      </c>
      <c r="O15" s="89">
        <f>_xlfn.XLOOKUP(_xlfn.XLOOKUP($AS$6&amp;$B15,公表[班別+時段],公表[備勤2],""),$AX$9:$AX$25,$AY$9:$AY$25,"")</f>
        <v>0</v>
      </c>
      <c r="P15" s="89"/>
      <c r="Q15" s="89">
        <f>_xlfn.XLOOKUP(_xlfn.XLOOKUP($AS$6&amp;$B15,公表[班別+時段],公表[備勤3],""),$AX$9:$AX$25,$AY$9:$AY$25,"")</f>
        <v>0</v>
      </c>
      <c r="R15" s="89">
        <f>_xlfn.XLOOKUP(_xlfn.XLOOKUP($AS$6&amp;$B15,公表[班別+時段],公表[備勤4],""),$AX$9:$AX$25,$AY$9:$AY$25,"")</f>
        <v>0</v>
      </c>
      <c r="S15" s="89"/>
      <c r="T15" s="89">
        <f>_xlfn.XLOOKUP(_xlfn.XLOOKUP($AS$6&amp;$B15,公表[班別+時段],公表[備勤5],""),$AX$9:$AX$25,$AY$9:$AY$25,"")</f>
        <v>5</v>
      </c>
      <c r="U15" s="89">
        <f>_xlfn.XLOOKUP(_xlfn.XLOOKUP($AS$6&amp;$B15,公表[班別+時段],公表[備勤6],""),$AX$9:$AX$25,$AY$9:$AY$25,"")</f>
        <v>0</v>
      </c>
      <c r="V15" s="89"/>
      <c r="W15" s="89">
        <f>_xlfn.XLOOKUP(_xlfn.XLOOKUP($AS$6&amp;$B15,公表[班別+時段],公表[備勤7],""),$AX$9:$AX$25,$AY$9:$AY$25,"")</f>
        <v>0</v>
      </c>
      <c r="X15" s="89">
        <f>_xlfn.XLOOKUP(_xlfn.XLOOKUP($AS$6&amp;$B15,公表[班別+時段],公表[備勤8],""),$AX$9:$AX$25,$AY$9:$AY$25,"")</f>
        <v>0</v>
      </c>
      <c r="Y15" s="89"/>
      <c r="Z15" s="89"/>
      <c r="AA15" s="89"/>
      <c r="AB15" s="89"/>
      <c r="AC15" s="89"/>
      <c r="AD15" s="89"/>
      <c r="AE15" s="104">
        <f>_xlfn.XLOOKUP(_xlfn.XLOOKUP($AS$6&amp;$B15,公表[班別+時段],公表[指揮官],""),$AX$9:$AX$25,$AY$9:$AY$25,"")</f>
        <v>3</v>
      </c>
      <c r="AF15" s="103"/>
      <c r="AG15" s="101"/>
      <c r="AH15" s="31">
        <v>13</v>
      </c>
      <c r="AI15" s="31" t="str">
        <v>葉宗哲</v>
      </c>
      <c r="AJ15" s="31">
        <v>24</v>
      </c>
      <c r="AK15" s="31" t="str">
        <v>賴俊豪</v>
      </c>
      <c r="AL15" s="101"/>
      <c r="AM15" s="102"/>
      <c r="AN15" s="214"/>
      <c r="AO15" s="127">
        <v>7</v>
      </c>
      <c r="AP15" s="127" t="str">
        <v>包華先</v>
      </c>
      <c r="AQ15" s="127" t="str" cm="1">
        <f t="array" ref="AQ15">IFERROR(_xlfn.XLOOKUP(_xlfn.XLOOKUP($AQ$3,輪休基準表!$C$6:$C$36,_xlfn.XLOOKUP(AP15,輪休基準表!$E$5:$AF$5,輪休基準表!$E$6:$AF$36,""),""),班別參數!$A$4:$A$20,班別參數!$B$4:$B$20,""),"")</f>
        <v>上班</v>
      </c>
      <c r="AR15" s="120" t="str" cm="1">
        <f t="array" ref="AR15">_xlfn.LET(
    _xlpm.番號, COUNTIF($AY$9:$AY$24, $AO15),
    _xlpm.已排, _xlpm.番號 &gt; 0,
    _xlpm.上班, (AQ15="上班"),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5" s="170" t="str" cm="1">
        <f t="array" ref="AS15">IF(AQ15="上班",
    IF(SUMPRODUCT(--ISNUMBER(SEARCH(","&amp;AO15&amp;",", ","&amp;$G$10:$G$33&amp;",")))&gt;=2, "已排",
        IF(SUMPRODUCT(--ISNUMBER(SEARCH(","&amp;AO15&amp;",", ","&amp;$G$10:$G$33&amp;",")))=1, "缺1小時", "未排")
    ),
    IF(SUMPRODUCT(--ISNUMBER(SEARCH(","&amp;AO15&amp;",", ","&amp;$G$10:$G$33&amp;",")))&gt;0, "沒上班", "")
)</f>
        <v>未排</v>
      </c>
      <c r="AT15" s="180" t="str">
        <f t="shared" si="0"/>
        <v/>
      </c>
      <c r="AU15" s="180" t="str">
        <f t="shared" si="1"/>
        <v/>
      </c>
      <c r="AV15" s="25"/>
      <c r="AW15" s="33" t="str">
        <f t="array" ref="AW15">INDEX(班別參數!$D$4:$D$20,ROW()-7,MATCH($AW$8,班別參數!$D$4:$D$20,0))</f>
        <v>20-22</v>
      </c>
      <c r="AX15" s="34" t="str">
        <f t="array" ref="AX15">IFERROR(INDEX(班別參數!$D$4:$S$20,MATCH(AW15,班別參數!$D$4:$D$20,0),MATCH($AS$6,班別參數!$D$4:$S$4,0)),"")</f>
        <v>F</v>
      </c>
      <c r="AY15" s="38"/>
      <c r="AZ15" s="13"/>
      <c r="BA15" s="33" t="s">
        <v>41</v>
      </c>
      <c r="BB15" s="34" t="str">
        <f t="array" ref="BB15">IFERROR(INDEX(班別參數!$D$23:$S$35,MATCH(BA15,班別參數!$D$23:$D$35,0),MATCH($AS$6,班別參數!$D$23:$S$23,0)),"")</f>
        <v>C</v>
      </c>
      <c r="BC15" s="39" t="str">
        <f t="shared" si="2"/>
        <v/>
      </c>
      <c r="BD15" s="127"/>
    </row>
    <row r="16" spans="2:56" ht="30" customHeight="1">
      <c r="B16" s="83" t="s">
        <v>79</v>
      </c>
      <c r="C16" s="90">
        <f>_xlfn.XLOOKUP(_xlfn.XLOOKUP($AS$6&amp;$B16,公表[班別+時段],公表[值班],""),$AX$9:$AX$25,$AY$9:$AY$25,"")</f>
        <v>0</v>
      </c>
      <c r="D16" s="98"/>
      <c r="E16" s="99"/>
      <c r="F16" s="98"/>
      <c r="G16" s="121" t="str">
        <f>IF(BC12="","",BC12)</f>
        <v/>
      </c>
      <c r="H16" s="316" t="str">
        <f>AY3</f>
        <v>環境整理</v>
      </c>
      <c r="I16" s="94">
        <f>_xlfn.XLOOKUP(_xlfn.XLOOKUP($AS$6&amp;$B16,公表[班別+時段],公表[救護1],""),$AX$9:$AX$25,$AY$9:$AY$25,"")</f>
        <v>0</v>
      </c>
      <c r="J16" s="94">
        <f>_xlfn.XLOOKUP(_xlfn.XLOOKUP($AS$6&amp;$B16,公表[班別+時段],公表[救護2],""),$AX$9:$AX$25,$AY$9:$AY$25,"")</f>
        <v>0</v>
      </c>
      <c r="K16" s="94"/>
      <c r="L16" s="90" t="s">
        <v>212</v>
      </c>
      <c r="M16" s="312"/>
      <c r="N16" s="90">
        <f>_xlfn.XLOOKUP(_xlfn.XLOOKUP($AS$6&amp;$B16,公表[班別+時段],公表[備勤1],""),$AX$9:$AX$25,$AY$9:$AY$25,"")</f>
        <v>0</v>
      </c>
      <c r="O16" s="90">
        <f>_xlfn.XLOOKUP(_xlfn.XLOOKUP($AS$6&amp;$B16,公表[班別+時段],公表[備勤2],""),$AX$9:$AX$25,$AY$9:$AY$25,"")</f>
        <v>0</v>
      </c>
      <c r="P16" s="90"/>
      <c r="Q16" s="90">
        <f>_xlfn.XLOOKUP(_xlfn.XLOOKUP($AS$6&amp;$B16,公表[班別+時段],公表[備勤3],""),$AX$9:$AX$25,$AY$9:$AY$25,"")</f>
        <v>0</v>
      </c>
      <c r="R16" s="90">
        <f>_xlfn.XLOOKUP(_xlfn.XLOOKUP($AS$6&amp;$B16,公表[班別+時段],公表[備勤4],""),$AX$9:$AX$25,$AY$9:$AY$25,"")</f>
        <v>0</v>
      </c>
      <c r="S16" s="90"/>
      <c r="T16" s="90">
        <f>_xlfn.XLOOKUP(_xlfn.XLOOKUP($AS$6&amp;$B16,公表[班別+時段],公表[備勤5],""),$AX$9:$AX$25,$AY$9:$AY$25,"")</f>
        <v>5</v>
      </c>
      <c r="U16" s="90">
        <f>_xlfn.XLOOKUP(_xlfn.XLOOKUP($AS$6&amp;$B16,公表[班別+時段],公表[備勤6],""),$AX$9:$AX$25,$AY$9:$AY$25,"")</f>
        <v>0</v>
      </c>
      <c r="V16" s="90"/>
      <c r="W16" s="90">
        <f>_xlfn.XLOOKUP(_xlfn.XLOOKUP($AS$6&amp;$B16,公表[班別+時段],公表[備勤7],""),$AX$9:$AX$25,$AY$9:$AY$25,"")</f>
        <v>0</v>
      </c>
      <c r="X16" s="90">
        <f>_xlfn.XLOOKUP(_xlfn.XLOOKUP($AS$6&amp;$B16,公表[班別+時段],公表[備勤8],""),$AX$9:$AX$25,$AY$9:$AY$25,"")</f>
        <v>0</v>
      </c>
      <c r="Y16" s="90"/>
      <c r="Z16" s="90"/>
      <c r="AA16" s="90"/>
      <c r="AB16" s="90"/>
      <c r="AC16" s="90"/>
      <c r="AD16" s="90"/>
      <c r="AE16" s="91">
        <f>_xlfn.XLOOKUP(_xlfn.XLOOKUP($AS$6&amp;$B16,公表[班別+時段],公表[指揮官],""),$AX$9:$AX$25,$AY$9:$AY$25,"")</f>
        <v>3</v>
      </c>
      <c r="AF16" s="103"/>
      <c r="AG16" s="101"/>
      <c r="AH16" s="31">
        <v>14</v>
      </c>
      <c r="AI16" s="31" t="str">
        <v>王浩任</v>
      </c>
      <c r="AJ16" s="31">
        <v>25</v>
      </c>
      <c r="AK16" s="31" t="str">
        <v>郭國偵</v>
      </c>
      <c r="AL16" s="101"/>
      <c r="AM16" s="102"/>
      <c r="AN16" s="214"/>
      <c r="AO16" s="127">
        <v>8</v>
      </c>
      <c r="AP16" s="127" t="str">
        <v>曾彥綸</v>
      </c>
      <c r="AQ16" s="127" t="str" cm="1">
        <f t="array" ref="AQ16">IFERROR(_xlfn.XLOOKUP(_xlfn.XLOOKUP($AQ$3,輪休基準表!$C$6:$C$36,_xlfn.XLOOKUP(AP16,輪休基準表!$E$5:$AF$5,輪休基準表!$E$6:$AF$36,""),""),班別參數!$A$4:$A$20,班別參數!$B$4:$B$20,""),"")</f>
        <v>輪休</v>
      </c>
      <c r="AR16" s="120" t="str" cm="1">
        <f t="array" ref="AR16">_xlfn.LET(
    _xlpm.番號, COUNTIF($AY$9:$AY$24, $AO16),
    _xlpm.已排, _xlpm.番號 &gt; 0,
    _xlpm.上班, (AQ16="上班"),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6" s="170" t="str" cm="1">
        <f t="array" ref="AS16">IF(AQ16="上班",
    IF(SUMPRODUCT(--ISNUMBER(SEARCH(","&amp;AO16&amp;",", ","&amp;$G$10:$G$33&amp;",")))&gt;=2, "已排",
        IF(SUMPRODUCT(--ISNUMBER(SEARCH(","&amp;AO16&amp;",", ","&amp;$G$10:$G$33&amp;",")))=1, "缺1小時", "未排")
    ),
    IF(SUMPRODUCT(--ISNUMBER(SEARCH(","&amp;AO16&amp;",", ","&amp;$G$10:$G$33&amp;",")))&gt;0, "沒上班", "")
)</f>
        <v/>
      </c>
      <c r="AT16" s="180" t="str">
        <f t="shared" si="0"/>
        <v/>
      </c>
      <c r="AU16" s="180" t="str">
        <f t="shared" si="1"/>
        <v/>
      </c>
      <c r="AV16" s="25"/>
      <c r="AW16" s="33" t="str">
        <f t="array" ref="AW16">INDEX(班別參數!$D$4:$D$20,ROW()-7,MATCH($AW$8,班別參數!$D$4:$D$20,0))</f>
        <v>22-08</v>
      </c>
      <c r="AX16" s="34" t="str">
        <f t="array" ref="AX16">IFERROR(INDEX(班別參數!$D$4:$S$20,MATCH(AW16,班別參數!$D$4:$D$20,0),MATCH($AS$6,班別參數!$D$4:$S$4,0)),"")</f>
        <v>H</v>
      </c>
      <c r="AY16" s="38"/>
      <c r="AZ16" s="13"/>
      <c r="BA16" s="33" t="s">
        <v>64</v>
      </c>
      <c r="BB16" s="34" t="str">
        <f t="array" ref="BB16">IFERROR(INDEX(班別參數!$D$23:$S$35,MATCH(BA16,班別參數!$D$23:$D$35,0),MATCH($AS$6,班別參數!$D$23:$S$23,0)),"")</f>
        <v/>
      </c>
      <c r="BC16" s="39" t="str">
        <f t="shared" si="2"/>
        <v/>
      </c>
      <c r="BD16" s="127"/>
    </row>
    <row r="17" spans="2:56" ht="30" customHeight="1">
      <c r="B17" s="81" t="s">
        <v>80</v>
      </c>
      <c r="C17" s="87">
        <f>_xlfn.XLOOKUP(_xlfn.XLOOKUP($AS$6&amp;$B17,公表[班別+時段],公表[值班],""),$AX$9:$AX$25,$AY$9:$AY$25,"")</f>
        <v>0</v>
      </c>
      <c r="D17" s="95"/>
      <c r="E17" s="95"/>
      <c r="F17" s="100"/>
      <c r="G17" s="122" t="str">
        <f>IF(BC12="","",BC12)</f>
        <v/>
      </c>
      <c r="H17" s="314"/>
      <c r="I17" s="92">
        <f>_xlfn.XLOOKUP(_xlfn.XLOOKUP($AS$6&amp;$B17,公表[班別+時段],公表[救護1],""),$AX$9:$AX$25,$AY$9:$AY$25,"")</f>
        <v>0</v>
      </c>
      <c r="J17" s="92">
        <f>_xlfn.XLOOKUP(_xlfn.XLOOKUP($AS$6&amp;$B17,公表[班別+時段],公表[救護2],""),$AX$9:$AX$25,$AY$9:$AY$25,"")</f>
        <v>0</v>
      </c>
      <c r="K17" s="92"/>
      <c r="L17" s="87" t="s">
        <v>212</v>
      </c>
      <c r="M17" s="312"/>
      <c r="N17" s="87">
        <f>_xlfn.XLOOKUP(_xlfn.XLOOKUP($AS$6&amp;$B17,公表[班別+時段],公表[備勤1],""),$AX$9:$AX$25,$AY$9:$AY$25,"")</f>
        <v>0</v>
      </c>
      <c r="O17" s="87">
        <f>_xlfn.XLOOKUP(_xlfn.XLOOKUP($AS$6&amp;$B17,公表[班別+時段],公表[備勤2],""),$AX$9:$AX$25,$AY$9:$AY$25,"")</f>
        <v>0</v>
      </c>
      <c r="P17" s="87"/>
      <c r="Q17" s="87">
        <f>_xlfn.XLOOKUP(_xlfn.XLOOKUP($AS$6&amp;$B17,公表[班別+時段],公表[備勤3],""),$AX$9:$AX$25,$AY$9:$AY$25,"")</f>
        <v>0</v>
      </c>
      <c r="R17" s="87">
        <f>_xlfn.XLOOKUP(_xlfn.XLOOKUP($AS$6&amp;$B17,公表[班別+時段],公表[備勤4],""),$AX$9:$AX$25,$AY$9:$AY$25,"")</f>
        <v>0</v>
      </c>
      <c r="S17" s="87"/>
      <c r="T17" s="87">
        <f>_xlfn.XLOOKUP(_xlfn.XLOOKUP($AS$6&amp;$B17,公表[班別+時段],公表[備勤5],""),$AX$9:$AX$25,$AY$9:$AY$25,"")</f>
        <v>5</v>
      </c>
      <c r="U17" s="87">
        <f>_xlfn.XLOOKUP(_xlfn.XLOOKUP($AS$6&amp;$B17,公表[班別+時段],公表[備勤6],""),$AX$9:$AX$25,$AY$9:$AY$25,"")</f>
        <v>0</v>
      </c>
      <c r="V17" s="87"/>
      <c r="W17" s="87">
        <f>_xlfn.XLOOKUP(_xlfn.XLOOKUP($AS$6&amp;$B17,公表[班別+時段],公表[備勤7],""),$AX$9:$AX$25,$AY$9:$AY$25,"")</f>
        <v>0</v>
      </c>
      <c r="X17" s="87">
        <f>_xlfn.XLOOKUP(_xlfn.XLOOKUP($AS$6&amp;$B17,公表[班別+時段],公表[備勤8],""),$AX$9:$AX$25,$AY$9:$AY$25,"")</f>
        <v>0</v>
      </c>
      <c r="Y17" s="87"/>
      <c r="Z17" s="87"/>
      <c r="AA17" s="87"/>
      <c r="AB17" s="87"/>
      <c r="AC17" s="87"/>
      <c r="AD17" s="87"/>
      <c r="AE17" s="88">
        <f>_xlfn.XLOOKUP(_xlfn.XLOOKUP($AS$6&amp;$B17,公表[班別+時段],公表[指揮官],""),$AX$9:$AX$25,$AY$9:$AY$25,"")</f>
        <v>3</v>
      </c>
      <c r="AF17" s="103"/>
      <c r="AG17" s="101"/>
      <c r="AH17" s="31">
        <v>15</v>
      </c>
      <c r="AI17" s="31" t="str">
        <v>李仕詮</v>
      </c>
      <c r="AJ17" s="31">
        <v>26</v>
      </c>
      <c r="AK17" s="31" t="str">
        <v>楊紹文</v>
      </c>
      <c r="AL17" s="101"/>
      <c r="AM17" s="102"/>
      <c r="AN17" s="214"/>
      <c r="AO17" s="127">
        <v>9</v>
      </c>
      <c r="AP17" s="127" t="str">
        <v>鍾佳諭</v>
      </c>
      <c r="AQ17" s="127" t="str" cm="1">
        <f t="array" ref="AQ17">IFERROR(_xlfn.XLOOKUP(_xlfn.XLOOKUP($AQ$3,輪休基準表!$C$6:$C$36,_xlfn.XLOOKUP(AP17,輪休基準表!$E$5:$AF$5,輪休基準表!$E$6:$AF$36,""),""),班別參數!$A$4:$A$20,班別參數!$B$4:$B$20,""),"")</f>
        <v>上班</v>
      </c>
      <c r="AR17" s="120" t="str" cm="1">
        <f t="array" ref="AR17">_xlfn.LET(
    _xlpm.番號, COUNTIF($AY$9:$AY$24, $AO17),
    _xlpm.已排, _xlpm.番號 &gt; 0,
    _xlpm.上班, (AQ17="上班"),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17" s="170" t="str" cm="1">
        <f t="array" ref="AS17">IF(AQ17="上班",
    IF(SUMPRODUCT(--ISNUMBER(SEARCH(","&amp;AO17&amp;",", ","&amp;$G$10:$G$33&amp;",")))&gt;=2, "已排",
        IF(SUMPRODUCT(--ISNUMBER(SEARCH(","&amp;AO17&amp;",", ","&amp;$G$10:$G$33&amp;",")))=1, "缺1小時", "未排")
    ),
    IF(SUMPRODUCT(--ISNUMBER(SEARCH(","&amp;AO17&amp;",", ","&amp;$G$10:$G$33&amp;",")))&gt;0, "沒上班", "")
)</f>
        <v>未排</v>
      </c>
      <c r="AT17" s="180" t="str">
        <f t="shared" si="0"/>
        <v/>
      </c>
      <c r="AU17" s="180" t="str">
        <f t="shared" si="1"/>
        <v/>
      </c>
      <c r="AV17" s="25"/>
      <c r="AW17" s="33" t="str">
        <f t="array" ref="AW17">INDEX(班別參數!$D$4:$D$20,ROW()-7,MATCH($AW$8,班別參數!$D$4:$D$20,0))</f>
        <v>無班1</v>
      </c>
      <c r="AX17" s="34">
        <f t="array" ref="AX17">IFERROR(INDEX(班別參數!$D$4:$S$20,MATCH(AW17,班別參數!$D$4:$D$20,0),MATCH($AS$6,班別參數!$D$4:$S$4,0)),"")</f>
        <v>0</v>
      </c>
      <c r="AY17" s="38"/>
      <c r="AZ17" s="13"/>
      <c r="BA17" s="33" t="s">
        <v>356</v>
      </c>
      <c r="BB17" s="34" t="str">
        <f t="array" ref="BB17">IFERROR(INDEX(班別參數!$D$23:$S$35,MATCH(BA17,班別參數!$D$23:$D$35,0),MATCH($AS$6,班別參數!$D$23:$S$23,0)),"")</f>
        <v/>
      </c>
      <c r="BC17" s="39" t="str">
        <f t="shared" si="2"/>
        <v/>
      </c>
      <c r="BD17" s="127"/>
    </row>
    <row r="18" spans="2:56" ht="30" customHeight="1">
      <c r="B18" s="81" t="s">
        <v>81</v>
      </c>
      <c r="C18" s="87">
        <f>_xlfn.XLOOKUP(_xlfn.XLOOKUP($AS$6&amp;$B18,公表[班別+時段],公表[值班],""),$AX$9:$AX$25,$AY$9:$AY$25,"")</f>
        <v>0</v>
      </c>
      <c r="D18" s="100"/>
      <c r="E18" s="95"/>
      <c r="F18" s="100"/>
      <c r="G18" s="122" t="str">
        <f>IF(BC13="","",BC13)</f>
        <v/>
      </c>
      <c r="H18" s="297"/>
      <c r="I18" s="92">
        <f>_xlfn.XLOOKUP(_xlfn.XLOOKUP($AS$6&amp;$B18,公表[班別+時段],公表[救護1],""),$AX$9:$AX$25,$AY$9:$AY$25,"")</f>
        <v>0</v>
      </c>
      <c r="J18" s="92">
        <f>_xlfn.XLOOKUP(_xlfn.XLOOKUP($AS$6&amp;$B18,公表[班別+時段],公表[救護2],""),$AX$9:$AX$25,$AY$9:$AY$25,"")</f>
        <v>0</v>
      </c>
      <c r="K18" s="92"/>
      <c r="L18" s="87" t="s">
        <v>212</v>
      </c>
      <c r="M18" s="312"/>
      <c r="N18" s="87">
        <f>_xlfn.XLOOKUP(_xlfn.XLOOKUP($AS$6&amp;$B18,公表[班別+時段],公表[備勤1],""),$AX$9:$AX$25,$AY$9:$AY$25,"")</f>
        <v>0</v>
      </c>
      <c r="O18" s="87">
        <f>_xlfn.XLOOKUP(_xlfn.XLOOKUP($AS$6&amp;$B18,公表[班別+時段],公表[備勤2],""),$AX$9:$AX$25,$AY$9:$AY$25,"")</f>
        <v>0</v>
      </c>
      <c r="P18" s="87"/>
      <c r="Q18" s="87">
        <f>_xlfn.XLOOKUP(_xlfn.XLOOKUP($AS$6&amp;$B18,公表[班別+時段],公表[備勤3],""),$AX$9:$AX$25,$AY$9:$AY$25,"")</f>
        <v>0</v>
      </c>
      <c r="R18" s="87">
        <f>_xlfn.XLOOKUP(_xlfn.XLOOKUP($AS$6&amp;$B18,公表[班別+時段],公表[備勤4],""),$AX$9:$AX$25,$AY$9:$AY$25,"")</f>
        <v>0</v>
      </c>
      <c r="S18" s="87"/>
      <c r="T18" s="87">
        <f>_xlfn.XLOOKUP(_xlfn.XLOOKUP($AS$6&amp;$B18,公表[班別+時段],公表[備勤5],""),$AX$9:$AX$25,$AY$9:$AY$25,"")</f>
        <v>5</v>
      </c>
      <c r="U18" s="87">
        <f>_xlfn.XLOOKUP(_xlfn.XLOOKUP($AS$6&amp;$B18,公表[班別+時段],公表[備勤6],""),$AX$9:$AX$25,$AY$9:$AY$25,"")</f>
        <v>0</v>
      </c>
      <c r="V18" s="87"/>
      <c r="W18" s="87">
        <f>_xlfn.XLOOKUP(_xlfn.XLOOKUP($AS$6&amp;$B18,公表[班別+時段],公表[備勤7],""),$AX$9:$AX$25,$AY$9:$AY$25,"")</f>
        <v>0</v>
      </c>
      <c r="X18" s="87">
        <f>_xlfn.XLOOKUP(_xlfn.XLOOKUP($AS$6&amp;$B18,公表[班別+時段],公表[備勤8],""),$AX$9:$AX$25,$AY$9:$AY$25,"")</f>
        <v>0</v>
      </c>
      <c r="Y18" s="87"/>
      <c r="Z18" s="87"/>
      <c r="AA18" s="87"/>
      <c r="AB18" s="87"/>
      <c r="AC18" s="87"/>
      <c r="AD18" s="87"/>
      <c r="AE18" s="88">
        <f>_xlfn.XLOOKUP(_xlfn.XLOOKUP($AS$6&amp;$B18,公表[班別+時段],公表[指揮官],""),$AX$9:$AX$25,$AY$9:$AY$25,"")</f>
        <v>3</v>
      </c>
      <c r="AF18" s="103"/>
      <c r="AG18" s="101"/>
      <c r="AH18" s="31">
        <v>16</v>
      </c>
      <c r="AI18" s="31" t="str">
        <v>楊弘宇</v>
      </c>
      <c r="AJ18" s="31">
        <v>27</v>
      </c>
      <c r="AK18" s="31" t="str">
        <v>林宏為</v>
      </c>
      <c r="AL18" s="101"/>
      <c r="AM18" s="102"/>
      <c r="AN18" s="214"/>
      <c r="AO18" s="127">
        <v>10</v>
      </c>
      <c r="AP18" s="127" t="str">
        <v>林宏澤</v>
      </c>
      <c r="AQ18" s="127" t="str" cm="1">
        <f t="array" ref="AQ18">IFERROR(_xlfn.XLOOKUP(_xlfn.XLOOKUP($AQ$3,輪休基準表!$C$6:$C$36,_xlfn.XLOOKUP(AP18,輪休基準表!$E$5:$AF$5,輪休基準表!$E$6:$AF$36,""),""),班別參數!$A$4:$A$20,班別參數!$B$4:$B$20,""),"")</f>
        <v>請休</v>
      </c>
      <c r="AR18" s="120" t="str" cm="1">
        <f t="array" ref="AR18">_xlfn.LET(
    _xlpm.番號, COUNTIF($AY$9:$AY$24, $AO18),
    _xlpm.已排, _xlpm.番號 &gt; 0,
    _xlpm.上班, (AQ18="上班"),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8" s="170" t="str" cm="1">
        <f t="array" ref="AS18">IF(AQ18="上班",
    IF(SUMPRODUCT(--ISNUMBER(SEARCH(","&amp;AO18&amp;",", ","&amp;$G$10:$G$33&amp;",")))&gt;=2, "已排",
        IF(SUMPRODUCT(--ISNUMBER(SEARCH(","&amp;AO18&amp;",", ","&amp;$G$10:$G$33&amp;",")))=1, "缺1小時", "未排")
    ),
    IF(SUMPRODUCT(--ISNUMBER(SEARCH(","&amp;AO18&amp;",", ","&amp;$G$10:$G$33&amp;",")))&gt;0, "沒上班", "")
)</f>
        <v/>
      </c>
      <c r="AT18" s="180" t="str">
        <f t="shared" si="0"/>
        <v/>
      </c>
      <c r="AU18" s="180" t="str">
        <f t="shared" si="1"/>
        <v/>
      </c>
      <c r="AV18" s="25"/>
      <c r="AW18" s="33" t="str">
        <f t="array" ref="AW18">INDEX(班別參數!$D$4:$D$20,ROW()-7,MATCH($AW$8,班別參數!$D$4:$D$20,0))</f>
        <v>無班2</v>
      </c>
      <c r="AX18" s="34">
        <f t="array" ref="AX18">IFERROR(INDEX(班別參數!$D$4:$S$20,MATCH(AW18,班別參數!$D$4:$D$20,0),MATCH($AS$6,班別參數!$D$4:$S$4,0)),"")</f>
        <v>0</v>
      </c>
      <c r="AY18" s="38"/>
      <c r="AZ18" s="13"/>
      <c r="BA18" s="33" t="s">
        <v>65</v>
      </c>
      <c r="BB18" s="34" t="str">
        <f t="array" ref="BB18">IFERROR(INDEX(班別參數!$D$23:$S$35,MATCH(BA18,班別參數!$D$23:$D$35,0),MATCH($AS$6,班別參數!$D$23:$S$23,0)),"")</f>
        <v/>
      </c>
      <c r="BC18" s="39" t="str">
        <f t="shared" si="2"/>
        <v/>
      </c>
      <c r="BD18" s="127"/>
    </row>
    <row r="19" spans="2:56" ht="30" customHeight="1" thickBot="1">
      <c r="B19" s="110" t="s">
        <v>82</v>
      </c>
      <c r="C19" s="89">
        <f>_xlfn.XLOOKUP(_xlfn.XLOOKUP($AS$6&amp;$B19,公表[班別+時段],公表[值班],""),$AX$9:$AX$25,$AY$9:$AY$25,"")</f>
        <v>0</v>
      </c>
      <c r="D19" s="106"/>
      <c r="E19" s="96"/>
      <c r="F19" s="236"/>
      <c r="G19" s="123" t="str">
        <f>IF(BC13="","",BC13)</f>
        <v/>
      </c>
      <c r="H19" s="107"/>
      <c r="I19" s="216">
        <f>_xlfn.XLOOKUP(_xlfn.XLOOKUP($AS$6&amp;$B19,公表[班別+時段],公表[救護1],""),$AX$9:$AX$25,$AY$9:$AY$25,"")</f>
        <v>0</v>
      </c>
      <c r="J19" s="216">
        <f>_xlfn.XLOOKUP(_xlfn.XLOOKUP($AS$6&amp;$B19,公表[班別+時段],公表[救護2],""),$AX$9:$AX$25,$AY$9:$AY$25,"")</f>
        <v>0</v>
      </c>
      <c r="K19" s="105"/>
      <c r="L19" s="93" t="s">
        <v>212</v>
      </c>
      <c r="M19" s="312"/>
      <c r="N19" s="89">
        <f>_xlfn.XLOOKUP(_xlfn.XLOOKUP($AS$6&amp;$B19,公表[班別+時段],公表[備勤1],""),$AX$9:$AX$25,$AY$9:$AY$25,"")</f>
        <v>0</v>
      </c>
      <c r="O19" s="89">
        <f>_xlfn.XLOOKUP(_xlfn.XLOOKUP($AS$6&amp;$B19,公表[班別+時段],公表[備勤2],""),$AX$9:$AX$25,$AY$9:$AY$25,"")</f>
        <v>0</v>
      </c>
      <c r="P19" s="89"/>
      <c r="Q19" s="89">
        <f>_xlfn.XLOOKUP(_xlfn.XLOOKUP($AS$6&amp;$B19,公表[班別+時段],公表[備勤3],""),$AX$9:$AX$25,$AY$9:$AY$25,"")</f>
        <v>0</v>
      </c>
      <c r="R19" s="89">
        <f>_xlfn.XLOOKUP(_xlfn.XLOOKUP($AS$6&amp;$B19,公表[班別+時段],公表[備勤4],""),$AX$9:$AX$25,$AY$9:$AY$25,"")</f>
        <v>0</v>
      </c>
      <c r="S19" s="89"/>
      <c r="T19" s="89">
        <f>_xlfn.XLOOKUP(_xlfn.XLOOKUP($AS$6&amp;$B19,公表[班別+時段],公表[備勤5],""),$AX$9:$AX$25,$AY$9:$AY$25,"")</f>
        <v>5</v>
      </c>
      <c r="U19" s="89">
        <f>_xlfn.XLOOKUP(_xlfn.XLOOKUP($AS$6&amp;$B19,公表[班別+時段],公表[備勤6],""),$AX$9:$AX$25,$AY$9:$AY$25,"")</f>
        <v>0</v>
      </c>
      <c r="V19" s="89"/>
      <c r="W19" s="89">
        <f>_xlfn.XLOOKUP(_xlfn.XLOOKUP($AS$6&amp;$B19,公表[班別+時段],公表[備勤7],""),$AX$9:$AX$25,$AY$9:$AY$25,"")</f>
        <v>0</v>
      </c>
      <c r="X19" s="89">
        <f>_xlfn.XLOOKUP(_xlfn.XLOOKUP($AS$6&amp;$B19,公表[班別+時段],公表[備勤8],""),$AX$9:$AX$25,$AY$9:$AY$25,"")</f>
        <v>0</v>
      </c>
      <c r="Y19" s="89"/>
      <c r="Z19" s="89"/>
      <c r="AA19" s="89"/>
      <c r="AB19" s="89"/>
      <c r="AC19" s="89"/>
      <c r="AD19" s="89"/>
      <c r="AE19" s="104">
        <f>_xlfn.XLOOKUP(_xlfn.XLOOKUP($AS$6&amp;$B19,公表[班別+時段],公表[指揮官],""),$AX$9:$AX$25,$AY$9:$AY$25,"")</f>
        <v>3</v>
      </c>
      <c r="AF19" s="103"/>
      <c r="AG19" s="101"/>
      <c r="AH19" s="101"/>
      <c r="AI19" s="101"/>
      <c r="AJ19" s="31">
        <v>28</v>
      </c>
      <c r="AK19" s="31" t="str">
        <v>林宸彥</v>
      </c>
      <c r="AL19" s="101"/>
      <c r="AM19" s="102"/>
      <c r="AN19" s="214"/>
      <c r="AO19" s="127">
        <v>11</v>
      </c>
      <c r="AP19" s="127" t="str">
        <v>簡君諺</v>
      </c>
      <c r="AQ19" s="127" t="str" cm="1">
        <f t="array" ref="AQ19">IFERROR(_xlfn.XLOOKUP(_xlfn.XLOOKUP($AQ$3,輪休基準表!$C$6:$C$36,_xlfn.XLOOKUP(AP19,輪休基準表!$E$5:$AF$5,輪休基準表!$E$6:$AF$36,""),""),班別參數!$A$4:$A$20,班別參數!$B$4:$B$20,""),"")</f>
        <v>輪休</v>
      </c>
      <c r="AR19" s="120" t="str" cm="1">
        <f t="array" ref="AR19">_xlfn.LET(
    _xlpm.番號, COUNTIF($AY$9:$AY$24, $AO19),
    _xlpm.已排, _xlpm.番號 &gt; 0,
    _xlpm.上班, (AQ19="上班"),
    _xlfn.IFS(
        _xlpm.番號 &gt; 1, "重複",
        AND(_xlpm.上班, NOT(_xlpm.已排)), "未排",
        AND(NOT(_xlpm.上班),_xlpm.已排), "沒上班",
        _xlpm.已排, "已排",
        TRUE, ""
    )
)</f>
        <v/>
      </c>
      <c r="AS19" s="170" t="str" cm="1">
        <f t="array" ref="AS19">IF(AQ19="上班",
    IF(SUMPRODUCT(--ISNUMBER(SEARCH(","&amp;AO19&amp;",", ","&amp;$G$10:$G$33&amp;",")))&gt;=2, "已排",
        IF(SUMPRODUCT(--ISNUMBER(SEARCH(","&amp;AO19&amp;",", ","&amp;$G$10:$G$33&amp;",")))=1, "缺1小時", "未排")
    ),
    IF(SUMPRODUCT(--ISNUMBER(SEARCH(","&amp;AO19&amp;",", ","&amp;$G$10:$G$33&amp;",")))&gt;0, "沒上班", "")
)</f>
        <v/>
      </c>
      <c r="AT19" s="180" t="str">
        <f t="shared" si="0"/>
        <v/>
      </c>
      <c r="AU19" s="180" t="str">
        <f t="shared" si="1"/>
        <v/>
      </c>
      <c r="AV19" s="25"/>
      <c r="AW19" s="33" t="str">
        <f t="array" ref="AW19">INDEX(班別參數!$D$4:$D$20,ROW()-7,MATCH($AW$8,班別參數!$D$4:$D$20,0))</f>
        <v>指揮官</v>
      </c>
      <c r="AX19" s="34" t="str">
        <f t="array" ref="AX19">IFERROR(INDEX(班別參數!$D$4:$S$20,MATCH(AW19,班別參數!$D$4:$D$20,0),MATCH($AS$6,班別參數!$D$4:$S$4,0)),"")</f>
        <v>K</v>
      </c>
      <c r="AY19" s="38" cm="1">
        <f t="array" ref="AY19:AY20">IF(AX19="","",_xlfn._xlws.FILTER($AO$9:$AO$13,$AQ$9:$AQ$13="上班",""))</f>
        <v>3</v>
      </c>
      <c r="AZ19" s="13"/>
      <c r="BA19" s="33" t="s">
        <v>66</v>
      </c>
      <c r="BB19" s="34" t="str">
        <f t="array" ref="BB19">IFERROR(INDEX(班別參數!$D$23:$S$35,MATCH(BA19,班別參數!$D$23:$D$35,0),MATCH($AS$6,班別參數!$D$23:$S$23,0)),"")</f>
        <v/>
      </c>
      <c r="BC19" s="39" t="str">
        <f t="shared" si="2"/>
        <v/>
      </c>
      <c r="BD19" s="127"/>
    </row>
    <row r="20" spans="2:56" ht="30" customHeight="1" thickBot="1">
      <c r="B20" s="83" t="s">
        <v>83</v>
      </c>
      <c r="C20" s="90">
        <f>_xlfn.XLOOKUP(_xlfn.XLOOKUP($AS$6&amp;$B20,公表[班別+時段],公表[值班],""),$AX$9:$AX$25,$AY$9:$AY$25,"")</f>
        <v>5</v>
      </c>
      <c r="D20" s="97"/>
      <c r="E20" s="97"/>
      <c r="F20" s="97"/>
      <c r="G20" s="121" t="str">
        <f>IF(BC14="","",BC14)</f>
        <v/>
      </c>
      <c r="H20" s="55"/>
      <c r="I20" s="94">
        <f>_xlfn.XLOOKUP(_xlfn.XLOOKUP($AS$6&amp;$B20,公表[班別+時段],公表[救護1],""),$AX$9:$AX$25,$AY$9:$AY$25,"")</f>
        <v>0</v>
      </c>
      <c r="J20" s="94">
        <f>_xlfn.XLOOKUP(_xlfn.XLOOKUP($AS$6&amp;$B20,公表[班別+時段],公表[救護2],""),$AX$9:$AX$25,$AY$9:$AY$25,"")</f>
        <v>0</v>
      </c>
      <c r="K20" s="94"/>
      <c r="L20" s="90" t="s">
        <v>212</v>
      </c>
      <c r="M20" s="312"/>
      <c r="N20" s="90">
        <f>_xlfn.XLOOKUP(_xlfn.XLOOKUP($AS$6&amp;$B20,公表[班別+時段],公表[備勤1],""),$AX$9:$AX$25,$AY$9:$AY$25,"")</f>
        <v>0</v>
      </c>
      <c r="O20" s="90">
        <f>_xlfn.XLOOKUP(_xlfn.XLOOKUP($AS$6&amp;$B20,公表[班別+時段],公表[備勤2],""),$AX$9:$AX$25,$AY$9:$AY$25,"")</f>
        <v>0</v>
      </c>
      <c r="P20" s="90"/>
      <c r="Q20" s="90">
        <f>_xlfn.XLOOKUP(_xlfn.XLOOKUP($AS$6&amp;$B20,公表[班別+時段],公表[備勤3],""),$AX$9:$AX$25,$AY$9:$AY$25,"")</f>
        <v>0</v>
      </c>
      <c r="R20" s="90">
        <f>_xlfn.XLOOKUP(_xlfn.XLOOKUP($AS$6&amp;$B20,公表[班別+時段],公表[備勤4],""),$AX$9:$AX$25,$AY$9:$AY$25,"")</f>
        <v>0</v>
      </c>
      <c r="S20" s="90"/>
      <c r="T20" s="90">
        <f>_xlfn.XLOOKUP(_xlfn.XLOOKUP($AS$6&amp;$B20,公表[班別+時段],公表[備勤5],""),$AX$9:$AX$25,$AY$9:$AY$25,"")</f>
        <v>0</v>
      </c>
      <c r="U20" s="90">
        <f>_xlfn.XLOOKUP(_xlfn.XLOOKUP($AS$6&amp;$B20,公表[班別+時段],公表[備勤6],""),$AX$9:$AX$25,$AY$9:$AY$25,"")</f>
        <v>0</v>
      </c>
      <c r="V20" s="90"/>
      <c r="W20" s="90">
        <f>_xlfn.XLOOKUP(_xlfn.XLOOKUP($AS$6&amp;$B20,公表[班別+時段],公表[備勤7],""),$AX$9:$AX$25,$AY$9:$AY$25,"")</f>
        <v>0</v>
      </c>
      <c r="X20" s="90">
        <f>_xlfn.XLOOKUP(_xlfn.XLOOKUP($AS$6&amp;$B20,公表[班別+時段],公表[備勤8],""),$AX$9:$AX$25,$AY$9:$AY$25,"")</f>
        <v>0</v>
      </c>
      <c r="Y20" s="90"/>
      <c r="Z20" s="90"/>
      <c r="AA20" s="90"/>
      <c r="AB20" s="90"/>
      <c r="AC20" s="90"/>
      <c r="AD20" s="90"/>
      <c r="AE20" s="91">
        <f>_xlfn.XLOOKUP(_xlfn.XLOOKUP($AS$6&amp;$B20,公表[班別+時段],公表[指揮官],""),$AX$9:$AX$25,$AY$9:$AY$25,"")</f>
        <v>3</v>
      </c>
      <c r="AF20" s="103"/>
      <c r="AG20" s="101"/>
      <c r="AH20" s="101"/>
      <c r="AI20" s="101"/>
      <c r="AJ20" s="101"/>
      <c r="AK20" s="101"/>
      <c r="AL20" s="101"/>
      <c r="AM20" s="102"/>
      <c r="AN20" s="214"/>
      <c r="AO20" s="127">
        <v>12</v>
      </c>
      <c r="AP20" s="127" t="str">
        <v>王昱勛</v>
      </c>
      <c r="AQ20" s="127" t="str" cm="1">
        <f t="array" ref="AQ20">IFERROR(_xlfn.XLOOKUP(_xlfn.XLOOKUP($AQ$3,輪休基準表!$C$6:$C$36,_xlfn.XLOOKUP(AP20,輪休基準表!$E$5:$AF$5,輪休基準表!$E$6:$AF$36,""),""),班別參數!$A$4:$A$20,班別參數!$B$4:$B$20,""),"")</f>
        <v>請休</v>
      </c>
      <c r="AR20" s="120" t="str" cm="1">
        <f t="array" ref="AR20">_xlfn.LET(
    _xlpm.番號, COUNTIF($AY$9:$AY$24, $AO20),
    _xlpm.已排, _xlpm.番號 &gt; 0,
    _xlpm.上班, (AQ20="上班"),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0" s="170" t="str" cm="1">
        <f t="array" ref="AS20">IF(AQ20="上班",
    IF(SUMPRODUCT(--ISNUMBER(SEARCH(","&amp;AO20&amp;",", ","&amp;$G$10:$G$33&amp;",")))&gt;=2, "已排",
        IF(SUMPRODUCT(--ISNUMBER(SEARCH(","&amp;AO20&amp;",", ","&amp;$G$10:$G$33&amp;",")))=1, "缺1小時", "未排")
    ),
    IF(SUMPRODUCT(--ISNUMBER(SEARCH(","&amp;AO20&amp;",", ","&amp;$G$10:$G$33&amp;",")))&gt;0, "沒上班", "")
)</f>
        <v/>
      </c>
      <c r="AT20" s="180" t="str">
        <f t="shared" si="0"/>
        <v/>
      </c>
      <c r="AU20" s="180" t="str">
        <f t="shared" si="1"/>
        <v/>
      </c>
      <c r="AV20" s="25"/>
      <c r="AW20" s="33" t="str">
        <f t="array" ref="AW20">INDEX(班別參數!$D$4:$D$20,ROW()-7,MATCH($AW$8,班別參數!$D$4:$D$20,0))</f>
        <v>帶隊官</v>
      </c>
      <c r="AX20" s="34" t="str">
        <f t="array" ref="AX20">IFERROR(INDEX(班別參數!$D$4:$S$20,MATCH(AW20,班別參數!$D$4:$D$20,0),MATCH($AS$6,班別參數!$D$4:$S$4,0)),"")</f>
        <v>L</v>
      </c>
      <c r="AY20" s="38">
        <v>5</v>
      </c>
      <c r="AZ20" s="32"/>
      <c r="BA20" s="33" t="s">
        <v>67</v>
      </c>
      <c r="BB20" s="34" t="str">
        <f t="array" ref="BB20">IFERROR(INDEX(班別參數!$D$23:$S$35,MATCH(BA20,班別參數!$D$23:$D$35,0),MATCH($AS$6,班別參數!$D$23:$S$23,0)),"")</f>
        <v>G,L</v>
      </c>
      <c r="BC20" s="41" t="str">
        <f t="shared" si="2"/>
        <v>5</v>
      </c>
      <c r="BD20" s="127"/>
    </row>
    <row r="21" spans="2:56" ht="30" customHeight="1" thickBot="1">
      <c r="B21" s="81" t="s">
        <v>84</v>
      </c>
      <c r="C21" s="87">
        <f>_xlfn.XLOOKUP(_xlfn.XLOOKUP($AS$6&amp;$B21,公表[班別+時段],公表[值班],""),$AX$9:$AX$25,$AY$9:$AY$25,"")</f>
        <v>5</v>
      </c>
      <c r="D21" s="95"/>
      <c r="E21" s="95"/>
      <c r="F21" s="95"/>
      <c r="G21" s="122" t="str">
        <f>IF(BC14="","",BC14)</f>
        <v/>
      </c>
      <c r="H21" s="296" t="str">
        <f>AY4</f>
        <v>器材車、化學(處理)車</v>
      </c>
      <c r="I21" s="92">
        <f>_xlfn.XLOOKUP(_xlfn.XLOOKUP($AS$6&amp;$B21,公表[班別+時段],公表[救護1],""),$AX$9:$AX$25,$AY$9:$AY$25,"")</f>
        <v>0</v>
      </c>
      <c r="J21" s="92">
        <f>_xlfn.XLOOKUP(_xlfn.XLOOKUP($AS$6&amp;$B21,公表[班別+時段],公表[救護2],""),$AX$9:$AX$25,$AY$9:$AY$25,"")</f>
        <v>0</v>
      </c>
      <c r="K21" s="92"/>
      <c r="L21" s="87" t="s">
        <v>212</v>
      </c>
      <c r="M21" s="312"/>
      <c r="N21" s="87">
        <f>_xlfn.XLOOKUP(_xlfn.XLOOKUP($AS$6&amp;$B21,公表[班別+時段],公表[備勤1],""),$AX$9:$AX$25,$AY$9:$AY$25,"")</f>
        <v>0</v>
      </c>
      <c r="O21" s="87">
        <f>_xlfn.XLOOKUP(_xlfn.XLOOKUP($AS$6&amp;$B21,公表[班別+時段],公表[備勤2],""),$AX$9:$AX$25,$AY$9:$AY$25,"")</f>
        <v>0</v>
      </c>
      <c r="P21" s="87"/>
      <c r="Q21" s="87">
        <f>_xlfn.XLOOKUP(_xlfn.XLOOKUP($AS$6&amp;$B21,公表[班別+時段],公表[備勤3],""),$AX$9:$AX$25,$AY$9:$AY$25,"")</f>
        <v>0</v>
      </c>
      <c r="R21" s="87">
        <f>_xlfn.XLOOKUP(_xlfn.XLOOKUP($AS$6&amp;$B21,公表[班別+時段],公表[備勤4],""),$AX$9:$AX$25,$AY$9:$AY$25,"")</f>
        <v>0</v>
      </c>
      <c r="S21" s="87"/>
      <c r="T21" s="87">
        <f>_xlfn.XLOOKUP(_xlfn.XLOOKUP($AS$6&amp;$B21,公表[班別+時段],公表[備勤5],""),$AX$9:$AX$25,$AY$9:$AY$25,"")</f>
        <v>0</v>
      </c>
      <c r="U21" s="87">
        <f>_xlfn.XLOOKUP(_xlfn.XLOOKUP($AS$6&amp;$B21,公表[班別+時段],公表[備勤6],""),$AX$9:$AX$25,$AY$9:$AY$25,"")</f>
        <v>0</v>
      </c>
      <c r="V21" s="87"/>
      <c r="W21" s="87">
        <f>_xlfn.XLOOKUP(_xlfn.XLOOKUP($AS$6&amp;$B21,公表[班別+時段],公表[備勤7],""),$AX$9:$AX$25,$AY$9:$AY$25,"")</f>
        <v>0</v>
      </c>
      <c r="X21" s="87">
        <f>_xlfn.XLOOKUP(_xlfn.XLOOKUP($AS$6&amp;$B21,公表[班別+時段],公表[備勤8],""),$AX$9:$AX$25,$AY$9:$AY$25,"")</f>
        <v>0</v>
      </c>
      <c r="Y21" s="87"/>
      <c r="Z21" s="87"/>
      <c r="AA21" s="87"/>
      <c r="AB21" s="87"/>
      <c r="AC21" s="87"/>
      <c r="AD21" s="87"/>
      <c r="AE21" s="88">
        <f>_xlfn.XLOOKUP(_xlfn.XLOOKUP($AS$6&amp;$B21,公表[班別+時段],公表[指揮官],""),$AX$9:$AX$25,$AY$9:$AY$25,"")</f>
        <v>3</v>
      </c>
      <c r="AF21" s="103"/>
      <c r="AG21" s="101"/>
      <c r="AH21" s="101"/>
      <c r="AI21" s="101"/>
      <c r="AJ21" s="101"/>
      <c r="AK21" s="101"/>
      <c r="AL21" s="101"/>
      <c r="AM21" s="102"/>
      <c r="AN21" s="214"/>
      <c r="AO21" s="127">
        <v>13</v>
      </c>
      <c r="AP21" s="127" t="str">
        <v>葉宗哲</v>
      </c>
      <c r="AQ21" s="127" t="str" cm="1">
        <f t="array" ref="AQ21">IFERROR(_xlfn.XLOOKUP(_xlfn.XLOOKUP($AQ$3,輪休基準表!$C$6:$C$36,_xlfn.XLOOKUP(AP21,輪休基準表!$E$5:$AF$5,輪休基準表!$E$6:$AF$36,""),""),班別參數!$A$4:$A$20,班別參數!$B$4:$B$20,""),"")</f>
        <v>輪休</v>
      </c>
      <c r="AR21" s="120" t="str" cm="1">
        <f t="array" ref="AR21">_xlfn.LET(
    _xlpm.番號, COUNTIF($AY$9:$AY$24, $AO21),
    _xlpm.已排, _xlpm.番號 &gt; 0,
    _xlpm.上班, (AQ21="上班"),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1" s="170" t="str" cm="1">
        <f t="array" ref="AS21">IF(AQ21="上班",
    IF(SUMPRODUCT(--ISNUMBER(SEARCH(","&amp;AO21&amp;",", ","&amp;$G$10:$G$33&amp;",")))&gt;=2, "已排",
        IF(SUMPRODUCT(--ISNUMBER(SEARCH(","&amp;AO21&amp;",", ","&amp;$G$10:$G$33&amp;",")))=1, "缺1小時", "未排")
    ),
    IF(SUMPRODUCT(--ISNUMBER(SEARCH(","&amp;AO21&amp;",", ","&amp;$G$10:$G$33&amp;",")))&gt;0, "沒上班", "")
)</f>
        <v/>
      </c>
      <c r="AT21" s="180" t="str">
        <f t="shared" si="0"/>
        <v/>
      </c>
      <c r="AU21" s="180" t="str">
        <f t="shared" si="1"/>
        <v/>
      </c>
      <c r="AW21" s="33" t="str">
        <f t="array" ref="AW21">INDEX(班別參數!$D$4:$D$20,ROW()-7,MATCH($AW$8,班別參數!$D$4:$D$20,0))</f>
        <v>帶隊官2</v>
      </c>
      <c r="AX21" s="34">
        <f t="array" ref="AX21">IFERROR(INDEX(班別參數!$D$4:$S$20,MATCH(AW21,班別參數!$D$4:$D$20,0),MATCH($AS$6,班別參數!$D$4:$S$4,0)),"")</f>
        <v>0</v>
      </c>
      <c r="AY21" s="42"/>
      <c r="AZ21" s="10"/>
      <c r="BA21" s="33"/>
      <c r="BB21" s="10"/>
      <c r="BD21" s="127"/>
    </row>
    <row r="22" spans="2:56" ht="30" customHeight="1">
      <c r="B22" s="81" t="s">
        <v>85</v>
      </c>
      <c r="C22" s="87">
        <f>_xlfn.XLOOKUP(_xlfn.XLOOKUP($AS$6&amp;$B22,公表[班別+時段],公表[值班],""),$AX$9:$AX$25,$AY$9:$AY$25,"")</f>
        <v>0</v>
      </c>
      <c r="D22" s="95"/>
      <c r="E22" s="95"/>
      <c r="F22" s="95"/>
      <c r="G22" s="122" t="str">
        <f>IF(BC15="","",BC15)</f>
        <v/>
      </c>
      <c r="H22" s="297"/>
      <c r="I22" s="92">
        <f>_xlfn.XLOOKUP(_xlfn.XLOOKUP($AS$6&amp;$B22,公表[班別+時段],公表[救護1],""),$AX$9:$AX$25,$AY$9:$AY$25,"")</f>
        <v>0</v>
      </c>
      <c r="J22" s="92">
        <f>_xlfn.XLOOKUP(_xlfn.XLOOKUP($AS$6&amp;$B22,公表[班別+時段],公表[救護2],""),$AX$9:$AX$25,$AY$9:$AY$25,"")</f>
        <v>0</v>
      </c>
      <c r="K22" s="92"/>
      <c r="L22" s="87" t="s">
        <v>212</v>
      </c>
      <c r="M22" s="312"/>
      <c r="N22" s="87">
        <f>_xlfn.XLOOKUP(_xlfn.XLOOKUP($AS$6&amp;$B22,公表[班別+時段],公表[備勤1],""),$AX$9:$AX$25,$AY$9:$AY$25,"")</f>
        <v>0</v>
      </c>
      <c r="O22" s="87">
        <f>_xlfn.XLOOKUP(_xlfn.XLOOKUP($AS$6&amp;$B22,公表[班別+時段],公表[備勤2],""),$AX$9:$AX$25,$AY$9:$AY$25,"")</f>
        <v>0</v>
      </c>
      <c r="P22" s="87"/>
      <c r="Q22" s="87">
        <f>_xlfn.XLOOKUP(_xlfn.XLOOKUP($AS$6&amp;$B22,公表[班別+時段],公表[備勤3],""),$AX$9:$AX$25,$AY$9:$AY$25,"")</f>
        <v>0</v>
      </c>
      <c r="R22" s="87">
        <f>_xlfn.XLOOKUP(_xlfn.XLOOKUP($AS$6&amp;$B22,公表[班別+時段],公表[備勤4],""),$AX$9:$AX$25,$AY$9:$AY$25,"")</f>
        <v>0</v>
      </c>
      <c r="S22" s="87"/>
      <c r="T22" s="87">
        <f>_xlfn.XLOOKUP(_xlfn.XLOOKUP($AS$6&amp;$B22,公表[班別+時段],公表[備勤5],""),$AX$9:$AX$25,$AY$9:$AY$25,"")</f>
        <v>5</v>
      </c>
      <c r="U22" s="87">
        <f>_xlfn.XLOOKUP(_xlfn.XLOOKUP($AS$6&amp;$B22,公表[班別+時段],公表[備勤6],""),$AX$9:$AX$25,$AY$9:$AY$25,"")</f>
        <v>0</v>
      </c>
      <c r="V22" s="87"/>
      <c r="W22" s="87">
        <f>_xlfn.XLOOKUP(_xlfn.XLOOKUP($AS$6&amp;$B22,公表[班別+時段],公表[備勤7],""),$AX$9:$AX$25,$AY$9:$AY$25,"")</f>
        <v>0</v>
      </c>
      <c r="X22" s="87">
        <f>_xlfn.XLOOKUP(_xlfn.XLOOKUP($AS$6&amp;$B22,公表[班別+時段],公表[備勤8],""),$AX$9:$AX$25,$AY$9:$AY$25,"")</f>
        <v>0</v>
      </c>
      <c r="Y22" s="87"/>
      <c r="Z22" s="87"/>
      <c r="AA22" s="87"/>
      <c r="AB22" s="87"/>
      <c r="AC22" s="87"/>
      <c r="AD22" s="87"/>
      <c r="AE22" s="88">
        <f>_xlfn.XLOOKUP(_xlfn.XLOOKUP($AS$6&amp;$B22,公表[班別+時段],公表[指揮官],""),$AX$9:$AX$25,$AY$9:$AY$25,"")</f>
        <v>3</v>
      </c>
      <c r="AF22" s="57" t="s">
        <v>213</v>
      </c>
      <c r="AG22" s="305" t="str" cm="1">
        <f t="array" ref="AG22">_xlfn.TEXTJOIN(".",1,_xlfn._xlws.FILTER($AO$9:$AO$40,$AQ$9:$AQ$40="上班",""))</f>
        <v>3.5.7.9.15.16.18.21.27</v>
      </c>
      <c r="AH22" s="400"/>
      <c r="AI22" s="400"/>
      <c r="AJ22" s="400"/>
      <c r="AK22" s="307"/>
      <c r="AL22" s="31" t="s">
        <v>214</v>
      </c>
      <c r="AM22" s="58" t="str">
        <f>CONCATENATE(COUNTIF($AQ$9:$AQ$36,"上班"),"人")</f>
        <v>9人</v>
      </c>
      <c r="AN22" s="214"/>
      <c r="AO22" s="127">
        <v>14</v>
      </c>
      <c r="AP22" s="127" t="str">
        <v>王浩任</v>
      </c>
      <c r="AQ22" s="127" t="str" cm="1">
        <f t="array" ref="AQ22">IFERROR(_xlfn.XLOOKUP(_xlfn.XLOOKUP($AQ$3,輪休基準表!$C$6:$C$36,_xlfn.XLOOKUP(AP22,輪休基準表!$E$5:$AF$5,輪休基準表!$E$6:$AF$36,""),""),班別參數!$A$4:$A$20,班別參數!$B$4:$B$20,""),"")</f>
        <v>輪休</v>
      </c>
      <c r="AR22" s="120" t="str" cm="1">
        <f t="array" ref="AR22">_xlfn.LET(
    _xlpm.番號, COUNTIF($AY$9:$AY$24, $AO22),
    _xlpm.已排, _xlpm.番號 &gt; 0,
    _xlpm.上班, (AQ22="上班"),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2" s="170" t="str" cm="1">
        <f t="array" ref="AS22">IF(AQ22="上班",
    IF(SUMPRODUCT(--ISNUMBER(SEARCH(","&amp;AO22&amp;",", ","&amp;$G$10:$G$33&amp;",")))&gt;=2, "已排",
        IF(SUMPRODUCT(--ISNUMBER(SEARCH(","&amp;AO22&amp;",", ","&amp;$G$10:$G$33&amp;",")))=1, "缺1小時", "未排")
    ),
    IF(SUMPRODUCT(--ISNUMBER(SEARCH(","&amp;AO22&amp;",", ","&amp;$G$10:$G$33&amp;",")))&gt;0, "沒上班", "")
)</f>
        <v/>
      </c>
      <c r="AT22" s="180" t="str">
        <f t="shared" si="0"/>
        <v/>
      </c>
      <c r="AU22" s="180" t="str">
        <f t="shared" si="1"/>
        <v/>
      </c>
      <c r="AW22" s="33">
        <f t="array" ref="AW22">INDEX(班別參數!$D$4:$D$20,ROW()-7,MATCH($AW$8,班別參數!$D$4:$D$20,0))</f>
        <v>0</v>
      </c>
      <c r="AX22" s="34" t="str">
        <f t="array" ref="AX22">IFERROR(INDEX(班別參數!$D$4:$S$20,MATCH(AW22,班別參數!$D$4:$D$20,0),MATCH($AW$5,班別參數!$D$4:$S$4,0)),"")</f>
        <v/>
      </c>
      <c r="AY22" s="24"/>
      <c r="BA22" s="33"/>
      <c r="BD22" s="127"/>
    </row>
    <row r="23" spans="2:56" ht="30" customHeight="1" thickBot="1">
      <c r="B23" s="110" t="s">
        <v>86</v>
      </c>
      <c r="C23" s="89">
        <f>_xlfn.XLOOKUP(_xlfn.XLOOKUP($AS$6&amp;$B23,公表[班別+時段],公表[值班],""),$AX$9:$AX$25,$AY$9:$AY$25,"")</f>
        <v>0</v>
      </c>
      <c r="D23" s="106"/>
      <c r="E23" s="96"/>
      <c r="F23" s="96"/>
      <c r="G23" s="123" t="str">
        <f>IF(BC15="","",BC15)</f>
        <v/>
      </c>
      <c r="H23" s="107"/>
      <c r="I23" s="216">
        <f>_xlfn.XLOOKUP(_xlfn.XLOOKUP($AS$6&amp;$B23,公表[班別+時段],公表[救護1],""),$AX$9:$AX$25,$AY$9:$AY$25,"")</f>
        <v>0</v>
      </c>
      <c r="J23" s="216">
        <f>_xlfn.XLOOKUP(_xlfn.XLOOKUP($AS$6&amp;$B23,公表[班別+時段],公表[救護2],""),$AX$9:$AX$25,$AY$9:$AY$25,"")</f>
        <v>0</v>
      </c>
      <c r="K23" s="105"/>
      <c r="L23" s="93" t="s">
        <v>212</v>
      </c>
      <c r="M23" s="312"/>
      <c r="N23" s="89">
        <f>_xlfn.XLOOKUP(_xlfn.XLOOKUP($AS$6&amp;$B23,公表[班別+時段],公表[備勤1],""),$AX$9:$AX$25,$AY$9:$AY$25,"")</f>
        <v>0</v>
      </c>
      <c r="O23" s="89">
        <f>_xlfn.XLOOKUP(_xlfn.XLOOKUP($AS$6&amp;$B23,公表[班別+時段],公表[備勤2],""),$AX$9:$AX$25,$AY$9:$AY$25,"")</f>
        <v>0</v>
      </c>
      <c r="P23" s="89"/>
      <c r="Q23" s="89">
        <f>_xlfn.XLOOKUP(_xlfn.XLOOKUP($AS$6&amp;$B23,公表[班別+時段],公表[備勤3],""),$AX$9:$AX$25,$AY$9:$AY$25,"")</f>
        <v>0</v>
      </c>
      <c r="R23" s="89">
        <f>_xlfn.XLOOKUP(_xlfn.XLOOKUP($AS$6&amp;$B23,公表[班別+時段],公表[備勤4],""),$AX$9:$AX$25,$AY$9:$AY$25,"")</f>
        <v>0</v>
      </c>
      <c r="S23" s="89"/>
      <c r="T23" s="89">
        <f>_xlfn.XLOOKUP(_xlfn.XLOOKUP($AS$6&amp;$B23,公表[班別+時段],公表[備勤5],""),$AX$9:$AX$25,$AY$9:$AY$25,"")</f>
        <v>5</v>
      </c>
      <c r="U23" s="89">
        <f>_xlfn.XLOOKUP(_xlfn.XLOOKUP($AS$6&amp;$B23,公表[班別+時段],公表[備勤6],""),$AX$9:$AX$25,$AY$9:$AY$25,"")</f>
        <v>0</v>
      </c>
      <c r="V23" s="89"/>
      <c r="W23" s="89">
        <f>_xlfn.XLOOKUP(_xlfn.XLOOKUP($AS$6&amp;$B23,公表[班別+時段],公表[備勤7],""),$AX$9:$AX$25,$AY$9:$AY$25,"")</f>
        <v>0</v>
      </c>
      <c r="X23" s="89">
        <f>_xlfn.XLOOKUP(_xlfn.XLOOKUP($AS$6&amp;$B23,公表[班別+時段],公表[備勤8],""),$AX$9:$AX$25,$AY$9:$AY$25,"")</f>
        <v>0</v>
      </c>
      <c r="Y23" s="89"/>
      <c r="Z23" s="89"/>
      <c r="AA23" s="89"/>
      <c r="AB23" s="89"/>
      <c r="AC23" s="89"/>
      <c r="AD23" s="89"/>
      <c r="AE23" s="104">
        <f>_xlfn.XLOOKUP(_xlfn.XLOOKUP($AS$6&amp;$B23,公表[班別+時段],公表[指揮官],""),$AX$9:$AX$25,$AY$9:$AY$25,"")</f>
        <v>3</v>
      </c>
      <c r="AF23" s="57" t="s">
        <v>6</v>
      </c>
      <c r="AG23" s="305" t="str" cm="1">
        <f t="array" ref="AG23">_xlfn.TEXTJOIN(".",1,_xlfn._xlws.FILTER($AO$9:$AO$40,$AQ$9:$AQ$40=$AF$23,""))</f>
        <v>2.4.6.8.11.13.14.17.19.20.22.23.24.25.26.28</v>
      </c>
      <c r="AH23" s="400"/>
      <c r="AI23" s="400"/>
      <c r="AJ23" s="400"/>
      <c r="AK23" s="400"/>
      <c r="AL23" s="400"/>
      <c r="AM23" s="401"/>
      <c r="AN23" s="214"/>
      <c r="AO23" s="127">
        <v>15</v>
      </c>
      <c r="AP23" s="127" t="str">
        <v>李仕詮</v>
      </c>
      <c r="AQ23" s="127" t="str" cm="1">
        <f t="array" ref="AQ23">IFERROR(_xlfn.XLOOKUP(_xlfn.XLOOKUP($AQ$3,輪休基準表!$C$6:$C$36,_xlfn.XLOOKUP(AP23,輪休基準表!$E$5:$AF$5,輪休基準表!$E$6:$AF$36,""),""),班別參數!$A$4:$A$20,班別參數!$B$4:$B$20,""),"")</f>
        <v>上班</v>
      </c>
      <c r="AR23" s="120" t="str" cm="1">
        <f t="array" ref="AR23">_xlfn.LET(
    _xlpm.番號, COUNTIF($AY$9:$AY$24, $AO23),
    _xlpm.已排, _xlpm.番號 &gt; 0,
    _xlpm.上班, (AQ23="上班"),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3" s="170" t="str" cm="1">
        <f t="array" ref="AS23">IF(AQ23="上班",
    IF(SUMPRODUCT(--ISNUMBER(SEARCH(","&amp;AO23&amp;",", ","&amp;$G$10:$G$33&amp;",")))&gt;=2, "已排",
        IF(SUMPRODUCT(--ISNUMBER(SEARCH(","&amp;AO23&amp;",", ","&amp;$G$10:$G$33&amp;",")))=1, "缺1小時", "未排")
    ),
    IF(SUMPRODUCT(--ISNUMBER(SEARCH(","&amp;AO23&amp;",", ","&amp;$G$10:$G$33&amp;",")))&gt;0, "沒上班", "")
)</f>
        <v>未排</v>
      </c>
      <c r="AT23" s="180" t="str">
        <f t="shared" si="0"/>
        <v/>
      </c>
      <c r="AU23" s="180" t="str">
        <f t="shared" si="1"/>
        <v/>
      </c>
      <c r="AW23" s="33">
        <f t="array" ref="AW23">INDEX(班別參數!$D$4:$D$20,ROW()-7,MATCH($AW$8,班別參數!$D$4:$D$20,0))</f>
        <v>0</v>
      </c>
      <c r="AX23" s="43" t="str">
        <f t="array" ref="AX23">IFERROR(INDEX(班別參數!$D$4:$S$20,MATCH(AW23,班別參數!$D$4:$D$20,0),MATCH($AW$5,班別參數!$D$4:$S$4,0)),"")</f>
        <v/>
      </c>
      <c r="AY23" s="24"/>
      <c r="BA23" s="33"/>
      <c r="BB23" s="25"/>
      <c r="BD23" s="127"/>
    </row>
    <row r="24" spans="2:56" ht="30" customHeight="1">
      <c r="B24" s="84" t="s">
        <v>87</v>
      </c>
      <c r="C24" s="90">
        <f>_xlfn.XLOOKUP(_xlfn.XLOOKUP($AS$6&amp;$B24,公表[班別+時段],公表[值班],""),$AX$9:$AX$25,$AY$9:$AY$25,"")</f>
        <v>0</v>
      </c>
      <c r="D24" s="97"/>
      <c r="E24" s="97"/>
      <c r="F24" s="97"/>
      <c r="G24" s="121" t="str">
        <f>IF(BC16="","",BC16)</f>
        <v/>
      </c>
      <c r="H24" s="55"/>
      <c r="I24" s="94">
        <f>_xlfn.XLOOKUP(_xlfn.XLOOKUP($AS$6&amp;$B24,公表[班別+時段],公表[救護1],""),$AX$9:$AX$25,$AY$9:$AY$25,"")</f>
        <v>0</v>
      </c>
      <c r="J24" s="94">
        <f>_xlfn.XLOOKUP(_xlfn.XLOOKUP($AS$6&amp;$B24,公表[班別+時段],公表[救護2],""),$AX$9:$AX$25,$AY$9:$AY$25,"")</f>
        <v>0</v>
      </c>
      <c r="K24" s="90"/>
      <c r="L24" s="90" t="s">
        <v>212</v>
      </c>
      <c r="M24" s="312"/>
      <c r="N24" s="90">
        <f>_xlfn.XLOOKUP(_xlfn.XLOOKUP($AS$6&amp;$B24,公表[班別+時段],公表[備勤1],""),$AX$9:$AX$25,$AY$9:$AY$25,"")</f>
        <v>0</v>
      </c>
      <c r="O24" s="90">
        <f>_xlfn.XLOOKUP(_xlfn.XLOOKUP($AS$6&amp;$B24,公表[班別+時段],公表[備勤2],""),$AX$9:$AX$25,$AY$9:$AY$25,"")</f>
        <v>0</v>
      </c>
      <c r="P24" s="90"/>
      <c r="Q24" s="90">
        <f>_xlfn.XLOOKUP(_xlfn.XLOOKUP($AS$6&amp;$B24,公表[班別+時段],公表[備勤3],""),$AX$9:$AX$25,$AY$9:$AY$25,"")</f>
        <v>0</v>
      </c>
      <c r="R24" s="90">
        <f>_xlfn.XLOOKUP(_xlfn.XLOOKUP($AS$6&amp;$B24,公表[班別+時段],公表[備勤4],""),$AX$9:$AX$25,$AY$9:$AY$25,"")</f>
        <v>0</v>
      </c>
      <c r="S24" s="90"/>
      <c r="T24" s="90">
        <f>_xlfn.XLOOKUP(_xlfn.XLOOKUP($AS$6&amp;$B24,公表[班別+時段],公表[備勤5],""),$AX$9:$AX$25,$AY$9:$AY$25,"")</f>
        <v>5</v>
      </c>
      <c r="U24" s="90">
        <f>_xlfn.XLOOKUP(_xlfn.XLOOKUP($AS$6&amp;$B24,公表[班別+時段],公表[備勤6],""),$AX$9:$AX$25,$AY$9:$AY$25,"")</f>
        <v>0</v>
      </c>
      <c r="V24" s="90"/>
      <c r="W24" s="90">
        <f>_xlfn.XLOOKUP(_xlfn.XLOOKUP($AS$6&amp;$B24,公表[班別+時段],公表[備勤7],""),$AX$9:$AX$25,$AY$9:$AY$25,"")</f>
        <v>0</v>
      </c>
      <c r="X24" s="90">
        <f>_xlfn.XLOOKUP(_xlfn.XLOOKUP($AS$6&amp;$B24,公表[班別+時段],公表[備勤8],""),$AX$9:$AX$25,$AY$9:$AY$25,"")</f>
        <v>0</v>
      </c>
      <c r="Y24" s="90"/>
      <c r="Z24" s="90"/>
      <c r="AA24" s="90"/>
      <c r="AB24" s="90"/>
      <c r="AC24" s="90"/>
      <c r="AD24" s="90"/>
      <c r="AE24" s="91">
        <f>_xlfn.XLOOKUP(_xlfn.XLOOKUP($AS$6&amp;$B24,公表[班別+時段],公表[指揮官],""),$AX$9:$AX$25,$AY$9:$AY$25,"")</f>
        <v>3</v>
      </c>
      <c r="AF24" s="57" t="s">
        <v>17</v>
      </c>
      <c r="AG24" s="305" t="str" cm="1">
        <f t="array" ref="AG24">_xlfn.TEXTJOIN(".",1,_xlfn._xlws.FILTER($AO$9:$AO$40,$AQ$9:$AQ$40=$AF$24,""))</f>
        <v>1</v>
      </c>
      <c r="AH24" s="400"/>
      <c r="AI24" s="307"/>
      <c r="AJ24" s="31" t="s">
        <v>21</v>
      </c>
      <c r="AK24" s="305" t="str" cm="1">
        <f t="array" ref="AK24">_xlfn.TEXTJOIN(".",1,_xlfn._xlws.FILTER($AO$9:$AO$40,$AQ$9:$AQ$40=$AJ$24,""))</f>
        <v/>
      </c>
      <c r="AL24" s="400"/>
      <c r="AM24" s="401"/>
      <c r="AN24" s="214"/>
      <c r="AO24" s="127">
        <v>16</v>
      </c>
      <c r="AP24" s="127" t="str">
        <v>楊弘宇</v>
      </c>
      <c r="AQ24" s="127" t="str" cm="1">
        <f t="array" ref="AQ24">IFERROR(_xlfn.XLOOKUP(_xlfn.XLOOKUP($AQ$3,輪休基準表!$C$6:$C$36,_xlfn.XLOOKUP(AP24,輪休基準表!$E$5:$AF$5,輪休基準表!$E$6:$AF$36,""),""),班別參數!$A$4:$A$20,班別參數!$B$4:$B$20,""),"")</f>
        <v>上班</v>
      </c>
      <c r="AR24" s="120" t="str" cm="1">
        <f t="array" ref="AR24">_xlfn.LET(
    _xlpm.番號, COUNTIF($AY$9:$AY$24, $AO24),
    _xlpm.已排, _xlpm.番號 &gt; 0,
    _xlpm.上班, (AQ24="上班"),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4" s="170" t="str" cm="1">
        <f t="array" ref="AS24">IF(AQ24="上班",
    IF(SUMPRODUCT(--ISNUMBER(SEARCH(","&amp;AO24&amp;",", ","&amp;$G$10:$G$33&amp;",")))&gt;=2, "已排",
        IF(SUMPRODUCT(--ISNUMBER(SEARCH(","&amp;AO24&amp;",", ","&amp;$G$10:$G$33&amp;",")))=1, "缺1小時", "未排")
    ),
    IF(SUMPRODUCT(--ISNUMBER(SEARCH(","&amp;AO24&amp;",", ","&amp;$G$10:$G$33&amp;",")))&gt;0, "沒上班", "")
)</f>
        <v>未排</v>
      </c>
      <c r="AT24" s="180" t="str">
        <f t="shared" si="0"/>
        <v/>
      </c>
      <c r="AU24" s="180" t="str">
        <f t="shared" si="1"/>
        <v/>
      </c>
      <c r="AW24" s="33">
        <f t="array" ref="AW24">INDEX(班別參數!$D$4:$D$20,ROW()-7,MATCH($AW$8,班別參數!$D$4:$D$20,0))</f>
        <v>0</v>
      </c>
      <c r="AX24" s="43" t="str">
        <f t="array" ref="AX24">IFERROR(INDEX(班別參數!$D$4:$S$20,MATCH(AW24,班別參數!$D$4:$D$20,0),MATCH($AW$5,班別參數!$D$4:$S$4,0)),"")</f>
        <v/>
      </c>
      <c r="AY24" s="24"/>
      <c r="AZ24" s="28"/>
      <c r="BA24" s="33"/>
      <c r="BB24" s="25"/>
      <c r="BD24" s="127"/>
    </row>
    <row r="25" spans="2:56" ht="30" customHeight="1">
      <c r="B25" s="81" t="s">
        <v>88</v>
      </c>
      <c r="C25" s="87">
        <f>_xlfn.XLOOKUP(_xlfn.XLOOKUP($AS$6&amp;$B25,公表[班別+時段],公表[值班],""),$AX$9:$AX$25,$AY$9:$AY$25,"")</f>
        <v>0</v>
      </c>
      <c r="D25" s="95"/>
      <c r="E25" s="95"/>
      <c r="F25" s="95"/>
      <c r="G25" s="122" t="str">
        <f>IF(BC16="","",BC16)</f>
        <v/>
      </c>
      <c r="H25" s="37"/>
      <c r="I25" s="92">
        <f>_xlfn.XLOOKUP(_xlfn.XLOOKUP($AS$6&amp;$B25,公表[班別+時段],公表[救護1],""),$AX$9:$AX$25,$AY$9:$AY$25,"")</f>
        <v>0</v>
      </c>
      <c r="J25" s="92">
        <f>_xlfn.XLOOKUP(_xlfn.XLOOKUP($AS$6&amp;$B25,公表[班別+時段],公表[救護2],""),$AX$9:$AX$25,$AY$9:$AY$25,"")</f>
        <v>0</v>
      </c>
      <c r="K25" s="87"/>
      <c r="L25" s="87" t="s">
        <v>212</v>
      </c>
      <c r="M25" s="312"/>
      <c r="N25" s="87">
        <f>_xlfn.XLOOKUP(_xlfn.XLOOKUP($AS$6&amp;$B25,公表[班別+時段],公表[備勤1],""),$AX$9:$AX$25,$AY$9:$AY$25,"")</f>
        <v>0</v>
      </c>
      <c r="O25" s="87">
        <f>_xlfn.XLOOKUP(_xlfn.XLOOKUP($AS$6&amp;$B25,公表[班別+時段],公表[備勤2],""),$AX$9:$AX$25,$AY$9:$AY$25,"")</f>
        <v>0</v>
      </c>
      <c r="P25" s="87"/>
      <c r="Q25" s="87">
        <f>_xlfn.XLOOKUP(_xlfn.XLOOKUP($AS$6&amp;$B25,公表[班別+時段],公表[備勤3],""),$AX$9:$AX$25,$AY$9:$AY$25,"")</f>
        <v>0</v>
      </c>
      <c r="R25" s="87">
        <f>_xlfn.XLOOKUP(_xlfn.XLOOKUP($AS$6&amp;$B25,公表[班別+時段],公表[備勤4],""),$AX$9:$AX$25,$AY$9:$AY$25,"")</f>
        <v>0</v>
      </c>
      <c r="S25" s="87"/>
      <c r="T25" s="87">
        <f>_xlfn.XLOOKUP(_xlfn.XLOOKUP($AS$6&amp;$B25,公表[班別+時段],公表[備勤5],""),$AX$9:$AX$25,$AY$9:$AY$25,"")</f>
        <v>5</v>
      </c>
      <c r="U25" s="87">
        <f>_xlfn.XLOOKUP(_xlfn.XLOOKUP($AS$6&amp;$B25,公表[班別+時段],公表[備勤6],""),$AX$9:$AX$25,$AY$9:$AY$25,"")</f>
        <v>0</v>
      </c>
      <c r="V25" s="87"/>
      <c r="W25" s="87">
        <f>_xlfn.XLOOKUP(_xlfn.XLOOKUP($AS$6&amp;$B25,公表[班別+時段],公表[備勤7],""),$AX$9:$AX$25,$AY$9:$AY$25,"")</f>
        <v>0</v>
      </c>
      <c r="X25" s="87">
        <f>_xlfn.XLOOKUP(_xlfn.XLOOKUP($AS$6&amp;$B25,公表[班別+時段],公表[備勤8],""),$AX$9:$AX$25,$AY$9:$AY$25,"")</f>
        <v>0</v>
      </c>
      <c r="Y25" s="87"/>
      <c r="Z25" s="87"/>
      <c r="AA25" s="87"/>
      <c r="AB25" s="87"/>
      <c r="AC25" s="87"/>
      <c r="AD25" s="87"/>
      <c r="AE25" s="88">
        <f>_xlfn.XLOOKUP(_xlfn.XLOOKUP($AS$6&amp;$B25,公表[班別+時段],公表[指揮官],""),$AX$9:$AX$25,$AY$9:$AY$25,"")</f>
        <v>3</v>
      </c>
      <c r="AF25" s="57" t="s">
        <v>28</v>
      </c>
      <c r="AG25" s="305" t="str" cm="1">
        <f t="array" ref="AG25">_xlfn.TEXTJOIN(".",1,_xlfn._xlws.FILTER($AO$9:$AO$40,$AQ$9:$AQ$40=$AF$25,""))</f>
        <v>10.12</v>
      </c>
      <c r="AH25" s="306"/>
      <c r="AI25" s="307"/>
      <c r="AJ25" s="50" t="s">
        <v>44</v>
      </c>
      <c r="AK25" s="308" t="str" cm="1">
        <f t="array" ref="AK25">_xlfn.TEXTJOIN(".",1,_xlfn._xlws.FILTER($AO$9:$AO$40,$AQ$9:$AQ$40=$AJ$25,""))</f>
        <v/>
      </c>
      <c r="AL25" s="309"/>
      <c r="AM25" s="310"/>
      <c r="AN25" s="214"/>
      <c r="AO25" s="127">
        <v>17</v>
      </c>
      <c r="AP25" s="127" t="str">
        <v>楊仲豪</v>
      </c>
      <c r="AQ25" s="127" t="str" cm="1">
        <f t="array" ref="AQ25">IFERROR(_xlfn.XLOOKUP(_xlfn.XLOOKUP($AQ$3,輪休基準表!$C$6:$C$36,_xlfn.XLOOKUP(AP25,輪休基準表!$E$5:$AF$5,輪休基準表!$E$6:$AF$36,""),""),班別參數!$A$4:$A$20,班別參數!$B$4:$B$20,""),"")</f>
        <v>輪休</v>
      </c>
      <c r="AR25" s="120" t="str" cm="1">
        <f t="array" ref="AR25">_xlfn.LET(
    _xlpm.番號, COUNTIF($AY$9:$AY$24, $AO25),
    _xlpm.已排, _xlpm.番號 &gt; 0,
    _xlpm.上班, (AQ25="上班"),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5" s="170" t="str" cm="1">
        <f t="array" ref="AS25">IF(AQ25="上班",
    IF(SUMPRODUCT(--ISNUMBER(SEARCH(","&amp;AO25&amp;",", ","&amp;$G$10:$G$33&amp;",")))&gt;=2, "已排",
        IF(SUMPRODUCT(--ISNUMBER(SEARCH(","&amp;AO25&amp;",", ","&amp;$G$10:$G$33&amp;",")))=1, "缺1小時", "未排")
    ),
    IF(SUMPRODUCT(--ISNUMBER(SEARCH(","&amp;AO25&amp;",", ","&amp;$G$10:$G$33&amp;",")))&gt;0, "沒上班", "")
)</f>
        <v/>
      </c>
      <c r="AT25" s="180" t="str">
        <f t="shared" si="0"/>
        <v/>
      </c>
      <c r="AU25" s="180" t="str">
        <f t="shared" si="1"/>
        <v/>
      </c>
      <c r="AW25" s="33"/>
      <c r="AX25" s="45"/>
      <c r="AY25" s="25"/>
      <c r="AZ25" s="28"/>
      <c r="BA25" s="33"/>
      <c r="BB25" s="25"/>
      <c r="BD25" s="127"/>
    </row>
    <row r="26" spans="2:56" ht="30" customHeight="1">
      <c r="B26" s="81" t="s">
        <v>89</v>
      </c>
      <c r="C26" s="87">
        <f>_xlfn.XLOOKUP(_xlfn.XLOOKUP($AS$6&amp;$B26,公表[班別+時段],公表[值班],""),$AX$9:$AX$25,$AY$9:$AY$25,"")</f>
        <v>0</v>
      </c>
      <c r="D26" s="95"/>
      <c r="E26" s="95"/>
      <c r="F26" s="95"/>
      <c r="G26" s="122" t="str">
        <f>IF(BC17="","",BC17)</f>
        <v/>
      </c>
      <c r="H26" s="37"/>
      <c r="I26" s="92">
        <f>_xlfn.XLOOKUP(_xlfn.XLOOKUP($AS$6&amp;$B26,公表[班別+時段],公表[救護1],""),$AX$9:$AX$25,$AY$9:$AY$25,"")</f>
        <v>0</v>
      </c>
      <c r="J26" s="92">
        <f>_xlfn.XLOOKUP(_xlfn.XLOOKUP($AS$6&amp;$B26,公表[班別+時段],公表[救護2],""),$AX$9:$AX$25,$AY$9:$AY$25,"")</f>
        <v>0</v>
      </c>
      <c r="K26" s="87"/>
      <c r="L26" s="87" t="s">
        <v>212</v>
      </c>
      <c r="M26" s="312"/>
      <c r="N26" s="87">
        <f>_xlfn.XLOOKUP(_xlfn.XLOOKUP($AS$6&amp;$B26,公表[班別+時段],公表[備勤1],""),$AX$9:$AX$25,$AY$9:$AY$25,"")</f>
        <v>0</v>
      </c>
      <c r="O26" s="87">
        <f>_xlfn.XLOOKUP(_xlfn.XLOOKUP($AS$6&amp;$B26,公表[班別+時段],公表[備勤2],""),$AX$9:$AX$25,$AY$9:$AY$25,"")</f>
        <v>0</v>
      </c>
      <c r="P26" s="87"/>
      <c r="Q26" s="87">
        <f>_xlfn.XLOOKUP(_xlfn.XLOOKUP($AS$6&amp;$B26,公表[班別+時段],公表[備勤3],""),$AX$9:$AX$25,$AY$9:$AY$25,"")</f>
        <v>0</v>
      </c>
      <c r="R26" s="87">
        <f>_xlfn.XLOOKUP(_xlfn.XLOOKUP($AS$6&amp;$B26,公表[班別+時段],公表[備勤4],""),$AX$9:$AX$25,$AY$9:$AY$25,"")</f>
        <v>0</v>
      </c>
      <c r="S26" s="87"/>
      <c r="T26" s="87">
        <f>_xlfn.XLOOKUP(_xlfn.XLOOKUP($AS$6&amp;$B26,公表[班別+時段],公表[備勤5],""),$AX$9:$AX$25,$AY$9:$AY$25,"")</f>
        <v>5</v>
      </c>
      <c r="U26" s="87">
        <f>_xlfn.XLOOKUP(_xlfn.XLOOKUP($AS$6&amp;$B26,公表[班別+時段],公表[備勤6],""),$AX$9:$AX$25,$AY$9:$AY$25,"")</f>
        <v>0</v>
      </c>
      <c r="V26" s="87"/>
      <c r="W26" s="87">
        <f>_xlfn.XLOOKUP(_xlfn.XLOOKUP($AS$6&amp;$B26,公表[班別+時段],公表[備勤7],""),$AX$9:$AX$25,$AY$9:$AY$25,"")</f>
        <v>0</v>
      </c>
      <c r="X26" s="87">
        <f>_xlfn.XLOOKUP(_xlfn.XLOOKUP($AS$6&amp;$B26,公表[班別+時段],公表[備勤8],""),$AX$9:$AX$25,$AY$9:$AY$25,"")</f>
        <v>0</v>
      </c>
      <c r="Y26" s="87"/>
      <c r="Z26" s="87"/>
      <c r="AA26" s="87"/>
      <c r="AB26" s="87"/>
      <c r="AC26" s="87"/>
      <c r="AD26" s="87"/>
      <c r="AE26" s="88">
        <f>_xlfn.XLOOKUP(_xlfn.XLOOKUP($AS$6&amp;$B26,公表[班別+時段],公表[指揮官],""),$AX$9:$AX$25,$AY$9:$AY$25,"")</f>
        <v>3</v>
      </c>
      <c r="AF26" s="57" t="s">
        <v>289</v>
      </c>
      <c r="AG26" s="178" t="str" cm="1">
        <f t="array" ref="AG26">_xlfn.TEXTJOIN(".",1,_xlfn._xlws.FILTER($AO$9:$AO$40,$AQ$9:$AQ$40=$AF$26,""))</f>
        <v/>
      </c>
      <c r="AH26" s="168" t="s">
        <v>290</v>
      </c>
      <c r="AI26" s="179" t="str" cm="1">
        <f t="array" ref="AI26">_xlfn.TEXTJOIN(".",1,_xlfn._xlws.FILTER($AO$9:$AO$40,$AQ$9:$AQ$40=$AH$26,""))</f>
        <v/>
      </c>
      <c r="AJ26" s="169" t="s">
        <v>287</v>
      </c>
      <c r="AK26" s="171" t="str" cm="1">
        <f t="array" ref="AK26">_xlfn.TEXTJOIN(".",1,_xlfn._xlws.FILTER($AO$9:$AO$40,$AQ$9:$AQ$40=$AJ$26,""))</f>
        <v/>
      </c>
      <c r="AL26" s="169" t="s">
        <v>291</v>
      </c>
      <c r="AM26" s="172" t="str" cm="1">
        <f t="array" ref="AM26">_xlfn.TEXTJOIN(".",1,_xlfn._xlws.FILTER($AO$9:$AO$40,$AQ$9:$AQ$40=$AL$26,""))</f>
        <v/>
      </c>
      <c r="AN26" s="214"/>
      <c r="AO26" s="127">
        <v>18</v>
      </c>
      <c r="AP26" s="127" t="str">
        <v>林志偉</v>
      </c>
      <c r="AQ26" s="127" t="str" cm="1">
        <f t="array" ref="AQ26">IFERROR(_xlfn.XLOOKUP(_xlfn.XLOOKUP($AQ$3,輪休基準表!$C$6:$C$36,_xlfn.XLOOKUP(AP26,輪休基準表!$E$5:$AF$5,輪休基準表!$E$6:$AF$36,""),""),班別參數!$A$4:$A$20,班別參數!$B$4:$B$20,""),"")</f>
        <v>上班</v>
      </c>
      <c r="AR26" s="120" t="str" cm="1">
        <f t="array" ref="AR26">_xlfn.LET(
    _xlpm.番號, COUNTIF($AY$9:$AY$24, $AO26),
    _xlpm.已排, _xlpm.番號 &gt; 0,
    _xlpm.上班, (AQ26="上班"),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6" s="170" t="str" cm="1">
        <f t="array" ref="AS26">IF(AQ26="上班",
    IF(SUMPRODUCT(--ISNUMBER(SEARCH(","&amp;AO26&amp;",", ","&amp;$G$10:$G$33&amp;",")))&gt;=2, "已排",
        IF(SUMPRODUCT(--ISNUMBER(SEARCH(","&amp;AO26&amp;",", ","&amp;$G$10:$G$33&amp;",")))=1, "缺1小時", "未排")
    ),
    IF(SUMPRODUCT(--ISNUMBER(SEARCH(","&amp;AO26&amp;",", ","&amp;$G$10:$G$33&amp;",")))&gt;0, "沒上班", "")
)</f>
        <v>未排</v>
      </c>
      <c r="AT26" s="180" t="str">
        <f t="shared" si="0"/>
        <v/>
      </c>
      <c r="AU26" s="180" t="str">
        <f t="shared" si="1"/>
        <v/>
      </c>
      <c r="AV26" s="10"/>
      <c r="AW26" s="46"/>
      <c r="AX26" s="45"/>
      <c r="AY26" s="25"/>
      <c r="AZ26" s="28"/>
      <c r="BA26" s="33"/>
      <c r="BB26" s="25"/>
      <c r="BD26" s="127"/>
    </row>
    <row r="27" spans="2:56" ht="30" customHeight="1">
      <c r="B27" s="81" t="s">
        <v>90</v>
      </c>
      <c r="C27" s="87">
        <f>_xlfn.XLOOKUP(_xlfn.XLOOKUP($AS$6&amp;$B27,公表[班別+時段],公表[值班],""),$AX$9:$AX$25,$AY$9:$AY$25,"")</f>
        <v>0</v>
      </c>
      <c r="D27" s="95"/>
      <c r="E27" s="95"/>
      <c r="F27" s="95"/>
      <c r="G27" s="122" t="str">
        <f>IF(BC17="","",BC17)</f>
        <v/>
      </c>
      <c r="H27" s="37"/>
      <c r="I27" s="92">
        <f>_xlfn.XLOOKUP(_xlfn.XLOOKUP($AS$6&amp;$B27,公表[班別+時段],公表[救護1],""),$AX$9:$AX$25,$AY$9:$AY$25,"")</f>
        <v>0</v>
      </c>
      <c r="J27" s="92">
        <f>_xlfn.XLOOKUP(_xlfn.XLOOKUP($AS$6&amp;$B27,公表[班別+時段],公表[救護2],""),$AX$9:$AX$25,$AY$9:$AY$25,"")</f>
        <v>0</v>
      </c>
      <c r="K27" s="87"/>
      <c r="L27" s="87" t="s">
        <v>212</v>
      </c>
      <c r="M27" s="312"/>
      <c r="N27" s="87">
        <f>_xlfn.XLOOKUP(_xlfn.XLOOKUP($AS$6&amp;$B27,公表[班別+時段],公表[備勤1],""),$AX$9:$AX$25,$AY$9:$AY$25,"")</f>
        <v>0</v>
      </c>
      <c r="O27" s="87">
        <f>_xlfn.XLOOKUP(_xlfn.XLOOKUP($AS$6&amp;$B27,公表[班別+時段],公表[備勤2],""),$AX$9:$AX$25,$AY$9:$AY$25,"")</f>
        <v>0</v>
      </c>
      <c r="P27" s="87"/>
      <c r="Q27" s="87">
        <f>_xlfn.XLOOKUP(_xlfn.XLOOKUP($AS$6&amp;$B27,公表[班別+時段],公表[備勤3],""),$AX$9:$AX$25,$AY$9:$AY$25,"")</f>
        <v>0</v>
      </c>
      <c r="R27" s="87">
        <f>_xlfn.XLOOKUP(_xlfn.XLOOKUP($AS$6&amp;$B27,公表[班別+時段],公表[備勤4],""),$AX$9:$AX$25,$AY$9:$AY$25,"")</f>
        <v>0</v>
      </c>
      <c r="S27" s="87"/>
      <c r="T27" s="87">
        <f>_xlfn.XLOOKUP(_xlfn.XLOOKUP($AS$6&amp;$B27,公表[班別+時段],公表[備勤5],""),$AX$9:$AX$25,$AY$9:$AY$25,"")</f>
        <v>5</v>
      </c>
      <c r="U27" s="87">
        <f>_xlfn.XLOOKUP(_xlfn.XLOOKUP($AS$6&amp;$B27,公表[班別+時段],公表[備勤6],""),$AX$9:$AX$25,$AY$9:$AY$25,"")</f>
        <v>0</v>
      </c>
      <c r="V27" s="87"/>
      <c r="W27" s="87">
        <f>_xlfn.XLOOKUP(_xlfn.XLOOKUP($AS$6&amp;$B27,公表[班別+時段],公表[備勤7],""),$AX$9:$AX$25,$AY$9:$AY$25,"")</f>
        <v>0</v>
      </c>
      <c r="X27" s="87">
        <f>_xlfn.XLOOKUP(_xlfn.XLOOKUP($AS$6&amp;$B27,公表[班別+時段],公表[備勤8],""),$AX$9:$AX$25,$AY$9:$AY$25,"")</f>
        <v>0</v>
      </c>
      <c r="Y27" s="87"/>
      <c r="Z27" s="87"/>
      <c r="AA27" s="87"/>
      <c r="AB27" s="87"/>
      <c r="AC27" s="87"/>
      <c r="AD27" s="87"/>
      <c r="AE27" s="88">
        <f>_xlfn.XLOOKUP(_xlfn.XLOOKUP($AS$6&amp;$B27,公表[班別+時段],公表[指揮官],""),$AX$9:$AX$25,$AY$9:$AY$25,"")</f>
        <v>3</v>
      </c>
      <c r="AF27" s="317" t="s">
        <v>215</v>
      </c>
      <c r="AG27" s="319"/>
      <c r="AH27" s="321"/>
      <c r="AI27" s="321"/>
      <c r="AJ27" s="321"/>
      <c r="AK27" s="321"/>
      <c r="AL27" s="321"/>
      <c r="AM27" s="322"/>
      <c r="AN27" s="214"/>
      <c r="AO27" s="127">
        <v>19</v>
      </c>
      <c r="AP27" s="127" t="str">
        <v>劉家誠</v>
      </c>
      <c r="AQ27" s="127" t="str" cm="1">
        <f t="array" ref="AQ27">IFERROR(_xlfn.XLOOKUP(_xlfn.XLOOKUP($AQ$3,輪休基準表!$C$6:$C$36,_xlfn.XLOOKUP(AP27,輪休基準表!$E$5:$AF$5,輪休基準表!$E$6:$AF$36,""),""),班別參數!$A$4:$A$20,班別參數!$B$4:$B$20,""),"")</f>
        <v>輪休</v>
      </c>
      <c r="AR27" s="120" t="str" cm="1">
        <f t="array" ref="AR27">_xlfn.LET(
    _xlpm.番號, COUNTIF($AY$9:$AY$24, $AO27),
    _xlpm.已排, _xlpm.番號 &gt; 0,
    _xlpm.上班, (AQ27="上班"),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7" s="170" t="str" cm="1">
        <f t="array" ref="AS27">IF(AQ27="上班",
    IF(SUMPRODUCT(--ISNUMBER(SEARCH(","&amp;AO27&amp;",", ","&amp;$G$10:$G$33&amp;",")))&gt;=2, "已排",
        IF(SUMPRODUCT(--ISNUMBER(SEARCH(","&amp;AO27&amp;",", ","&amp;$G$10:$G$33&amp;",")))=1, "缺1小時", "未排")
    ),
    IF(SUMPRODUCT(--ISNUMBER(SEARCH(","&amp;AO27&amp;",", ","&amp;$G$10:$G$33&amp;",")))&gt;0, "沒上班", "")
)</f>
        <v/>
      </c>
      <c r="AT27" s="180" t="str">
        <f t="shared" si="0"/>
        <v/>
      </c>
      <c r="AU27" s="180" t="str">
        <f t="shared" si="1"/>
        <v/>
      </c>
      <c r="AV27" s="10"/>
      <c r="AW27" s="46"/>
      <c r="AX27" s="45"/>
      <c r="AY27" s="25"/>
      <c r="AZ27" s="28"/>
      <c r="BA27" s="33"/>
      <c r="BB27" s="25"/>
      <c r="BD27" s="127"/>
    </row>
    <row r="28" spans="2:56" ht="30" customHeight="1">
      <c r="B28" s="81" t="s">
        <v>91</v>
      </c>
      <c r="C28" s="87">
        <f>_xlfn.XLOOKUP(_xlfn.XLOOKUP($AS$6&amp;$B28,公表[班別+時段],公表[值班],""),$AX$9:$AX$25,$AY$9:$AY$25,"")</f>
        <v>0</v>
      </c>
      <c r="D28" s="95"/>
      <c r="E28" s="95"/>
      <c r="F28" s="95"/>
      <c r="G28" s="122" t="str">
        <f>IF(BC18="","",BC18)</f>
        <v/>
      </c>
      <c r="H28" s="37"/>
      <c r="I28" s="92">
        <f>_xlfn.XLOOKUP(_xlfn.XLOOKUP($AS$6&amp;$B28,公表[班別+時段],公表[救護1],""),$AX$9:$AX$25,$AY$9:$AY$25,"")</f>
        <v>0</v>
      </c>
      <c r="J28" s="92">
        <f>_xlfn.XLOOKUP(_xlfn.XLOOKUP($AS$6&amp;$B28,公表[班別+時段],公表[救護2],""),$AX$9:$AX$25,$AY$9:$AY$25,"")</f>
        <v>0</v>
      </c>
      <c r="K28" s="87"/>
      <c r="L28" s="87" t="s">
        <v>212</v>
      </c>
      <c r="M28" s="312"/>
      <c r="N28" s="87">
        <f>_xlfn.XLOOKUP(_xlfn.XLOOKUP($AS$6&amp;$B28,公表[班別+時段],公表[備勤1],""),$AX$9:$AX$25,$AY$9:$AY$25,"")</f>
        <v>0</v>
      </c>
      <c r="O28" s="87">
        <f>_xlfn.XLOOKUP(_xlfn.XLOOKUP($AS$6&amp;$B28,公表[班別+時段],公表[備勤2],""),$AX$9:$AX$25,$AY$9:$AY$25,"")</f>
        <v>0</v>
      </c>
      <c r="P28" s="87"/>
      <c r="Q28" s="87">
        <f>_xlfn.XLOOKUP(_xlfn.XLOOKUP($AS$6&amp;$B28,公表[班別+時段],公表[備勤3],""),$AX$9:$AX$25,$AY$9:$AY$25,"")</f>
        <v>0</v>
      </c>
      <c r="R28" s="87">
        <f>_xlfn.XLOOKUP(_xlfn.XLOOKUP($AS$6&amp;$B28,公表[班別+時段],公表[備勤4],""),$AX$9:$AX$25,$AY$9:$AY$25,"")</f>
        <v>0</v>
      </c>
      <c r="S28" s="87"/>
      <c r="T28" s="87">
        <f>_xlfn.XLOOKUP(_xlfn.XLOOKUP($AS$6&amp;$B28,公表[班別+時段],公表[備勤5],""),$AX$9:$AX$25,$AY$9:$AY$25,"")</f>
        <v>5</v>
      </c>
      <c r="U28" s="87">
        <f>_xlfn.XLOOKUP(_xlfn.XLOOKUP($AS$6&amp;$B28,公表[班別+時段],公表[備勤6],""),$AX$9:$AX$25,$AY$9:$AY$25,"")</f>
        <v>0</v>
      </c>
      <c r="V28" s="87"/>
      <c r="W28" s="87">
        <f>_xlfn.XLOOKUP(_xlfn.XLOOKUP($AS$6&amp;$B28,公表[班別+時段],公表[備勤7],""),$AX$9:$AX$25,$AY$9:$AY$25,"")</f>
        <v>0</v>
      </c>
      <c r="X28" s="87">
        <f>_xlfn.XLOOKUP(_xlfn.XLOOKUP($AS$6&amp;$B28,公表[班別+時段],公表[備勤8],""),$AX$9:$AX$25,$AY$9:$AY$25,"")</f>
        <v>0</v>
      </c>
      <c r="Y28" s="87"/>
      <c r="Z28" s="87"/>
      <c r="AA28" s="87"/>
      <c r="AB28" s="87"/>
      <c r="AC28" s="87"/>
      <c r="AD28" s="87"/>
      <c r="AE28" s="88">
        <f>_xlfn.XLOOKUP(_xlfn.XLOOKUP($AS$6&amp;$B28,公表[班別+時段],公表[指揮官],""),$AX$9:$AX$25,$AY$9:$AY$25,"")</f>
        <v>3</v>
      </c>
      <c r="AF28" s="318"/>
      <c r="AG28" s="319"/>
      <c r="AH28" s="321"/>
      <c r="AI28" s="321"/>
      <c r="AJ28" s="321"/>
      <c r="AK28" s="321"/>
      <c r="AL28" s="321"/>
      <c r="AM28" s="322"/>
      <c r="AN28" s="214"/>
      <c r="AO28" s="127">
        <v>20</v>
      </c>
      <c r="AP28" s="127" t="str">
        <v>呂奇霈</v>
      </c>
      <c r="AQ28" s="127" t="str" cm="1">
        <f t="array" ref="AQ28">IFERROR(_xlfn.XLOOKUP(_xlfn.XLOOKUP($AQ$3,輪休基準表!$C$6:$C$36,_xlfn.XLOOKUP(AP28,輪休基準表!$E$5:$AF$5,輪休基準表!$E$6:$AF$36,""),""),班別參數!$A$4:$A$20,班別參數!$B$4:$B$20,""),"")</f>
        <v>輪休</v>
      </c>
      <c r="AR28" s="120" t="str" cm="1">
        <f t="array" ref="AR28">_xlfn.LET(
    _xlpm.番號, COUNTIF($AY$9:$AY$24, $AO28),
    _xlpm.已排, _xlpm.番號 &gt; 0,
    _xlpm.上班, (AQ28="上班"),
    _xlfn.IFS(
        _xlpm.番號 &gt; 1, "重複",
        AND(_xlpm.上班, NOT(_xlpm.已排)), "未排",
        AND(NOT(_xlpm.上班),_xlpm.已排), "沒上班",
        _xlpm.已排, "已排",
        TRUE, ""
    )
)</f>
        <v/>
      </c>
      <c r="AS28" s="170" t="str" cm="1">
        <f t="array" ref="AS28">IF(AQ28="上班",
    IF(SUMPRODUCT(--ISNUMBER(SEARCH(","&amp;AO28&amp;",", ","&amp;$G$10:$G$33&amp;",")))&gt;=2, "已排",
        IF(SUMPRODUCT(--ISNUMBER(SEARCH(","&amp;AO28&amp;",", ","&amp;$G$10:$G$33&amp;",")))=1, "缺1小時", "未排")
    ),
    IF(SUMPRODUCT(--ISNUMBER(SEARCH(","&amp;AO28&amp;",", ","&amp;$G$10:$G$33&amp;",")))&gt;0, "沒上班", "")
)</f>
        <v/>
      </c>
      <c r="AT28" s="180" t="str">
        <f t="shared" si="0"/>
        <v/>
      </c>
      <c r="AU28" s="180" t="str">
        <f t="shared" si="1"/>
        <v/>
      </c>
      <c r="AV28" s="10"/>
      <c r="AW28" s="47"/>
      <c r="AX28" s="45"/>
      <c r="AY28" s="25"/>
      <c r="AZ28" s="28"/>
      <c r="BA28" s="33"/>
      <c r="BB28" s="25"/>
      <c r="BD28" s="127"/>
    </row>
    <row r="29" spans="2:56" ht="30" customHeight="1">
      <c r="B29" s="81" t="s">
        <v>92</v>
      </c>
      <c r="C29" s="87">
        <f>_xlfn.XLOOKUP(_xlfn.XLOOKUP($AS$6&amp;$B29,公表[班別+時段],公表[值班],""),$AX$9:$AX$25,$AY$9:$AY$25,"")</f>
        <v>0</v>
      </c>
      <c r="D29" s="95"/>
      <c r="E29" s="95"/>
      <c r="F29" s="95"/>
      <c r="G29" s="122" t="str">
        <f>IF(BC18="","",BC18)</f>
        <v/>
      </c>
      <c r="H29" s="37"/>
      <c r="I29" s="92">
        <f>_xlfn.XLOOKUP(_xlfn.XLOOKUP($AS$6&amp;$B29,公表[班別+時段],公表[救護1],""),$AX$9:$AX$25,$AY$9:$AY$25,"")</f>
        <v>0</v>
      </c>
      <c r="J29" s="92">
        <f>_xlfn.XLOOKUP(_xlfn.XLOOKUP($AS$6&amp;$B29,公表[班別+時段],公表[救護2],""),$AX$9:$AX$25,$AY$9:$AY$25,"")</f>
        <v>0</v>
      </c>
      <c r="K29" s="87"/>
      <c r="L29" s="87" t="s">
        <v>212</v>
      </c>
      <c r="M29" s="312"/>
      <c r="N29" s="87">
        <f>_xlfn.XLOOKUP(_xlfn.XLOOKUP($AS$6&amp;$B29,公表[班別+時段],公表[備勤1],""),$AX$9:$AX$25,$AY$9:$AY$25,"")</f>
        <v>0</v>
      </c>
      <c r="O29" s="87">
        <f>_xlfn.XLOOKUP(_xlfn.XLOOKUP($AS$6&amp;$B29,公表[班別+時段],公表[備勤2],""),$AX$9:$AX$25,$AY$9:$AY$25,"")</f>
        <v>0</v>
      </c>
      <c r="P29" s="87"/>
      <c r="Q29" s="87">
        <f>_xlfn.XLOOKUP(_xlfn.XLOOKUP($AS$6&amp;$B29,公表[班別+時段],公表[備勤3],""),$AX$9:$AX$25,$AY$9:$AY$25,"")</f>
        <v>0</v>
      </c>
      <c r="R29" s="87">
        <f>_xlfn.XLOOKUP(_xlfn.XLOOKUP($AS$6&amp;$B29,公表[班別+時段],公表[備勤4],""),$AX$9:$AX$25,$AY$9:$AY$25,"")</f>
        <v>0</v>
      </c>
      <c r="S29" s="87"/>
      <c r="T29" s="87">
        <f>_xlfn.XLOOKUP(_xlfn.XLOOKUP($AS$6&amp;$B29,公表[班別+時段],公表[備勤5],""),$AX$9:$AX$25,$AY$9:$AY$25,"")</f>
        <v>5</v>
      </c>
      <c r="U29" s="87">
        <f>_xlfn.XLOOKUP(_xlfn.XLOOKUP($AS$6&amp;$B29,公表[班別+時段],公表[備勤6],""),$AX$9:$AX$25,$AY$9:$AY$25,"")</f>
        <v>0</v>
      </c>
      <c r="V29" s="87"/>
      <c r="W29" s="87">
        <f>_xlfn.XLOOKUP(_xlfn.XLOOKUP($AS$6&amp;$B29,公表[班別+時段],公表[備勤7],""),$AX$9:$AX$25,$AY$9:$AY$25,"")</f>
        <v>0</v>
      </c>
      <c r="X29" s="87">
        <f>_xlfn.XLOOKUP(_xlfn.XLOOKUP($AS$6&amp;$B29,公表[班別+時段],公表[備勤8],""),$AX$9:$AX$25,$AY$9:$AY$25,"")</f>
        <v>0</v>
      </c>
      <c r="Y29" s="87"/>
      <c r="Z29" s="87"/>
      <c r="AA29" s="87"/>
      <c r="AB29" s="87"/>
      <c r="AC29" s="87"/>
      <c r="AD29" s="87"/>
      <c r="AE29" s="88">
        <f>_xlfn.XLOOKUP(_xlfn.XLOOKUP($AS$6&amp;$B29,公表[班別+時段],公表[指揮官],""),$AX$9:$AX$25,$AY$9:$AY$25,"")</f>
        <v>3</v>
      </c>
      <c r="AF29" s="323" t="s">
        <v>216</v>
      </c>
      <c r="AG29" s="324"/>
      <c r="AH29" s="324"/>
      <c r="AI29" s="324"/>
      <c r="AJ29" s="324"/>
      <c r="AK29" s="324"/>
      <c r="AL29" s="324"/>
      <c r="AM29" s="325"/>
      <c r="AN29" s="214"/>
      <c r="AO29" s="127">
        <v>21</v>
      </c>
      <c r="AP29" s="127" t="str">
        <v>張家和</v>
      </c>
      <c r="AQ29" s="127" t="str" cm="1">
        <f t="array" ref="AQ29">IFERROR(_xlfn.XLOOKUP(_xlfn.XLOOKUP($AQ$3,輪休基準表!$C$6:$C$36,_xlfn.XLOOKUP(AP29,輪休基準表!$E$5:$AF$5,輪休基準表!$E$6:$AF$36,""),""),班別參數!$A$4:$A$20,班別參數!$B$4:$B$20,""),"")</f>
        <v>上班</v>
      </c>
      <c r="AR29" s="120" t="str" cm="1">
        <f t="array" ref="AR29">_xlfn.LET(
    _xlpm.番號, COUNTIF($AY$9:$AY$24, $AO29),
    _xlpm.已排, _xlpm.番號 &gt; 0,
    _xlpm.上班, (AQ29="上班"),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29" s="170" t="str" cm="1">
        <f t="array" ref="AS29">IF(AQ29="上班",
    IF(SUMPRODUCT(--ISNUMBER(SEARCH(","&amp;AO29&amp;",", ","&amp;$G$10:$G$33&amp;",")))&gt;=2, "已排",
        IF(SUMPRODUCT(--ISNUMBER(SEARCH(","&amp;AO29&amp;",", ","&amp;$G$10:$G$33&amp;",")))=1, "缺1小時", "未排")
    ),
    IF(SUMPRODUCT(--ISNUMBER(SEARCH(","&amp;AO29&amp;",", ","&amp;$G$10:$G$33&amp;",")))&gt;0, "沒上班", "")
)</f>
        <v>未排</v>
      </c>
      <c r="AT29" s="180" t="str">
        <f t="shared" si="0"/>
        <v/>
      </c>
      <c r="AU29" s="180" t="str">
        <f t="shared" si="1"/>
        <v/>
      </c>
      <c r="AV29" s="10"/>
      <c r="AW29" s="47"/>
      <c r="AX29" s="45"/>
      <c r="AY29" s="25"/>
      <c r="AZ29" s="28"/>
      <c r="BA29" s="33"/>
      <c r="BB29" s="25"/>
      <c r="BD29" s="127"/>
    </row>
    <row r="30" spans="2:56" ht="30" customHeight="1">
      <c r="B30" s="81" t="s">
        <v>93</v>
      </c>
      <c r="C30" s="87">
        <f>_xlfn.XLOOKUP(_xlfn.XLOOKUP($AS$6&amp;$B30,公表[班別+時段],公表[值班],""),$AX$9:$AX$25,$AY$9:$AY$25,"")</f>
        <v>0</v>
      </c>
      <c r="D30" s="95"/>
      <c r="E30" s="95"/>
      <c r="F30" s="95"/>
      <c r="G30" s="122" t="str">
        <f>IF(BC19="","",BC19)</f>
        <v/>
      </c>
      <c r="H30" s="37"/>
      <c r="I30" s="92">
        <f>_xlfn.XLOOKUP(_xlfn.XLOOKUP($AS$6&amp;$B30,公表[班別+時段],公表[救護1],""),$AX$9:$AX$25,$AY$9:$AY$25,"")</f>
        <v>0</v>
      </c>
      <c r="J30" s="92">
        <f>_xlfn.XLOOKUP(_xlfn.XLOOKUP($AS$6&amp;$B30,公表[班別+時段],公表[救護2],""),$AX$9:$AX$25,$AY$9:$AY$25,"")</f>
        <v>0</v>
      </c>
      <c r="K30" s="87"/>
      <c r="L30" s="87" t="s">
        <v>212</v>
      </c>
      <c r="M30" s="312"/>
      <c r="N30" s="87">
        <f>_xlfn.XLOOKUP(_xlfn.XLOOKUP($AS$6&amp;$B30,公表[班別+時段],公表[備勤1],""),$AX$9:$AX$25,$AY$9:$AY$25,"")</f>
        <v>0</v>
      </c>
      <c r="O30" s="87">
        <f>_xlfn.XLOOKUP(_xlfn.XLOOKUP($AS$6&amp;$B30,公表[班別+時段],公表[備勤2],""),$AX$9:$AX$25,$AY$9:$AY$25,"")</f>
        <v>0</v>
      </c>
      <c r="P30" s="87"/>
      <c r="Q30" s="87">
        <f>_xlfn.XLOOKUP(_xlfn.XLOOKUP($AS$6&amp;$B30,公表[班別+時段],公表[備勤3],""),$AX$9:$AX$25,$AY$9:$AY$25,"")</f>
        <v>0</v>
      </c>
      <c r="R30" s="87">
        <f>_xlfn.XLOOKUP(_xlfn.XLOOKUP($AS$6&amp;$B30,公表[班別+時段],公表[備勤4],""),$AX$9:$AX$25,$AY$9:$AY$25,"")</f>
        <v>0</v>
      </c>
      <c r="S30" s="87"/>
      <c r="T30" s="87">
        <f>_xlfn.XLOOKUP(_xlfn.XLOOKUP($AS$6&amp;$B30,公表[班別+時段],公表[備勤5],""),$AX$9:$AX$25,$AY$9:$AY$25,"")</f>
        <v>5</v>
      </c>
      <c r="U30" s="87">
        <f>_xlfn.XLOOKUP(_xlfn.XLOOKUP($AS$6&amp;$B30,公表[班別+時段],公表[備勤6],""),$AX$9:$AX$25,$AY$9:$AY$25,"")</f>
        <v>0</v>
      </c>
      <c r="V30" s="87"/>
      <c r="W30" s="87">
        <f>_xlfn.XLOOKUP(_xlfn.XLOOKUP($AS$6&amp;$B30,公表[班別+時段],公表[備勤7],""),$AX$9:$AX$25,$AY$9:$AY$25,"")</f>
        <v>0</v>
      </c>
      <c r="X30" s="87">
        <f>_xlfn.XLOOKUP(_xlfn.XLOOKUP($AS$6&amp;$B30,公表[班別+時段],公表[備勤8],""),$AX$9:$AX$25,$AY$9:$AY$25,"")</f>
        <v>0</v>
      </c>
      <c r="Y30" s="87"/>
      <c r="Z30" s="87"/>
      <c r="AA30" s="87"/>
      <c r="AB30" s="87"/>
      <c r="AC30" s="87"/>
      <c r="AD30" s="87"/>
      <c r="AE30" s="88">
        <f>_xlfn.XLOOKUP(_xlfn.XLOOKUP($AS$6&amp;$B30,公表[班別+時段],公表[指揮官],""),$AX$9:$AX$25,$AY$9:$AY$25,"")</f>
        <v>3</v>
      </c>
      <c r="AF30" s="323" t="s">
        <v>217</v>
      </c>
      <c r="AG30" s="327"/>
      <c r="AH30" s="326" t="s">
        <v>218</v>
      </c>
      <c r="AI30" s="327"/>
      <c r="AJ30" s="326" t="s">
        <v>219</v>
      </c>
      <c r="AK30" s="327"/>
      <c r="AL30" s="26" t="s">
        <v>220</v>
      </c>
      <c r="AM30" s="124" t="s">
        <v>221</v>
      </c>
      <c r="AN30" s="214"/>
      <c r="AO30" s="127">
        <v>22</v>
      </c>
      <c r="AP30" s="127" t="str">
        <v>陳俊瑋</v>
      </c>
      <c r="AQ30" s="127" t="str" cm="1">
        <f t="array" ref="AQ30">IFERROR(_xlfn.XLOOKUP(_xlfn.XLOOKUP($AQ$3,輪休基準表!$C$6:$C$36,_xlfn.XLOOKUP(AP30,輪休基準表!$E$5:$AF$5,輪休基準表!$E$6:$AF$36,""),""),班別參數!$A$4:$A$20,班別參數!$B$4:$B$20,""),"")</f>
        <v>輪休</v>
      </c>
      <c r="AR30" s="120" t="str" cm="1">
        <f t="array" ref="AR30">_xlfn.LET(
    _xlpm.番號, COUNTIF($AY$9:$AY$24, $AO30),
    _xlpm.已排, _xlpm.番號 &gt; 0,
    _xlpm.上班, (AQ30="上班"),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0" s="170" t="str" cm="1">
        <f t="array" ref="AS30">IF(AQ30="上班",
    IF(SUMPRODUCT(--ISNUMBER(SEARCH(","&amp;AO30&amp;",", ","&amp;$G$10:$G$33&amp;",")))&gt;=2, "已排",
        IF(SUMPRODUCT(--ISNUMBER(SEARCH(","&amp;AO30&amp;",", ","&amp;$G$10:$G$33&amp;",")))=1, "缺1小時", "未排")
    ),
    IF(SUMPRODUCT(--ISNUMBER(SEARCH(","&amp;AO30&amp;",", ","&amp;$G$10:$G$33&amp;",")))&gt;0, "沒上班", "")
)</f>
        <v/>
      </c>
      <c r="AT30" s="180" t="str">
        <f t="shared" si="0"/>
        <v/>
      </c>
      <c r="AU30" s="180" t="str">
        <f t="shared" si="1"/>
        <v/>
      </c>
      <c r="AV30" s="10"/>
      <c r="AW30" s="47"/>
      <c r="AX30" s="45"/>
      <c r="AY30" s="25"/>
      <c r="AZ30" s="28"/>
      <c r="BA30" s="33"/>
      <c r="BB30" s="25"/>
      <c r="BD30" s="127"/>
    </row>
    <row r="31" spans="2:56" ht="30" customHeight="1" thickBot="1">
      <c r="B31" s="110" t="s">
        <v>94</v>
      </c>
      <c r="C31" s="89">
        <f>_xlfn.XLOOKUP(_xlfn.XLOOKUP($AS$6&amp;$B31,公表[班別+時段],公表[值班],""),$AX$9:$AX$25,$AY$9:$AY$25,"")</f>
        <v>0</v>
      </c>
      <c r="D31" s="106"/>
      <c r="E31" s="96"/>
      <c r="F31" s="96"/>
      <c r="G31" s="123" t="str">
        <f>IF(BC19="","",BC19)</f>
        <v/>
      </c>
      <c r="H31" s="109"/>
      <c r="I31" s="216">
        <f>_xlfn.XLOOKUP(_xlfn.XLOOKUP($AS$6&amp;$B31,公表[班別+時段],公表[救護1],""),$AX$9:$AX$25,$AY$9:$AY$25,"")</f>
        <v>0</v>
      </c>
      <c r="J31" s="216">
        <f>_xlfn.XLOOKUP(_xlfn.XLOOKUP($AS$6&amp;$B31,公表[班別+時段],公表[救護2],""),$AX$9:$AX$25,$AY$9:$AY$25,"")</f>
        <v>0</v>
      </c>
      <c r="K31" s="108"/>
      <c r="L31" s="93" t="s">
        <v>212</v>
      </c>
      <c r="M31" s="312"/>
      <c r="N31" s="89">
        <f>_xlfn.XLOOKUP(_xlfn.XLOOKUP($AS$6&amp;$B31,公表[班別+時段],公表[備勤1],""),$AX$9:$AX$25,$AY$9:$AY$25,"")</f>
        <v>0</v>
      </c>
      <c r="O31" s="89">
        <f>_xlfn.XLOOKUP(_xlfn.XLOOKUP($AS$6&amp;$B31,公表[班別+時段],公表[備勤2],""),$AX$9:$AX$25,$AY$9:$AY$25,"")</f>
        <v>0</v>
      </c>
      <c r="P31" s="89"/>
      <c r="Q31" s="89">
        <f>_xlfn.XLOOKUP(_xlfn.XLOOKUP($AS$6&amp;$B31,公表[班別+時段],公表[備勤3],""),$AX$9:$AX$25,$AY$9:$AY$25,"")</f>
        <v>0</v>
      </c>
      <c r="R31" s="89">
        <f>_xlfn.XLOOKUP(_xlfn.XLOOKUP($AS$6&amp;$B31,公表[班別+時段],公表[備勤4],""),$AX$9:$AX$25,$AY$9:$AY$25,"")</f>
        <v>0</v>
      </c>
      <c r="S31" s="89"/>
      <c r="T31" s="89">
        <f>_xlfn.XLOOKUP(_xlfn.XLOOKUP($AS$6&amp;$B31,公表[班別+時段],公表[備勤5],""),$AX$9:$AX$25,$AY$9:$AY$25,"")</f>
        <v>5</v>
      </c>
      <c r="U31" s="89">
        <f>_xlfn.XLOOKUP(_xlfn.XLOOKUP($AS$6&amp;$B31,公表[班別+時段],公表[備勤6],""),$AX$9:$AX$25,$AY$9:$AY$25,"")</f>
        <v>0</v>
      </c>
      <c r="V31" s="89"/>
      <c r="W31" s="89">
        <f>_xlfn.XLOOKUP(_xlfn.XLOOKUP($AS$6&amp;$B31,公表[班別+時段],公表[備勤7],""),$AX$9:$AX$25,$AY$9:$AY$25,"")</f>
        <v>0</v>
      </c>
      <c r="X31" s="89">
        <f>_xlfn.XLOOKUP(_xlfn.XLOOKUP($AS$6&amp;$B31,公表[班別+時段],公表[備勤8],""),$AX$9:$AX$25,$AY$9:$AY$25,"")</f>
        <v>0</v>
      </c>
      <c r="Y31" s="89"/>
      <c r="Z31" s="89"/>
      <c r="AA31" s="89"/>
      <c r="AB31" s="89"/>
      <c r="AC31" s="89"/>
      <c r="AD31" s="89"/>
      <c r="AE31" s="104">
        <f>_xlfn.XLOOKUP(_xlfn.XLOOKUP($AS$6&amp;$B31,公表[班別+時段],公表[指揮官],""),$AX$9:$AX$25,$AY$9:$AY$25,"")</f>
        <v>3</v>
      </c>
      <c r="AF31" s="330"/>
      <c r="AG31" s="327"/>
      <c r="AH31" s="346"/>
      <c r="AI31" s="327"/>
      <c r="AJ31" s="346"/>
      <c r="AK31" s="327"/>
      <c r="AL31" s="22"/>
      <c r="AM31" s="59"/>
      <c r="AN31" s="214"/>
      <c r="AO31" s="127">
        <v>23</v>
      </c>
      <c r="AP31" s="127" t="str">
        <v>陳俊翰</v>
      </c>
      <c r="AQ31" s="127" t="str" cm="1">
        <f t="array" ref="AQ31">IFERROR(_xlfn.XLOOKUP(_xlfn.XLOOKUP($AQ$3,輪休基準表!$C$6:$C$36,_xlfn.XLOOKUP(AP31,輪休基準表!$E$5:$AF$5,輪休基準表!$E$6:$AF$36,""),""),班別參數!$A$4:$A$20,班別參數!$B$4:$B$20,""),"")</f>
        <v>輪休</v>
      </c>
      <c r="AR31" s="120" t="str" cm="1">
        <f t="array" ref="AR31">_xlfn.LET(
    _xlpm.番號, COUNTIF($AY$9:$AY$24, $AO31),
    _xlpm.已排, _xlpm.番號 &gt; 0,
    _xlpm.上班, (AQ31="上班"),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1" s="170" t="str" cm="1">
        <f t="array" ref="AS31">IF(AQ31="上班",
    IF(SUMPRODUCT(--ISNUMBER(SEARCH(","&amp;AO31&amp;",", ","&amp;$G$10:$G$33&amp;",")))&gt;=2, "已排",
        IF(SUMPRODUCT(--ISNUMBER(SEARCH(","&amp;AO31&amp;",", ","&amp;$G$10:$G$33&amp;",")))=1, "缺1小時", "未排")
    ),
    IF(SUMPRODUCT(--ISNUMBER(SEARCH(","&amp;AO31&amp;",", ","&amp;$G$10:$G$33&amp;",")))&gt;0, "沒上班", "")
)</f>
        <v/>
      </c>
      <c r="AT31" s="180" t="str">
        <f t="shared" si="0"/>
        <v/>
      </c>
      <c r="AU31" s="180" t="str">
        <f t="shared" si="1"/>
        <v/>
      </c>
      <c r="AW31" s="47"/>
      <c r="AX31" s="45"/>
      <c r="AY31" s="25"/>
      <c r="AZ31" s="28"/>
      <c r="BA31" s="33"/>
      <c r="BB31" s="25"/>
      <c r="BD31" s="127"/>
    </row>
    <row r="32" spans="2:56" ht="30" customHeight="1">
      <c r="B32" s="84" t="s">
        <v>95</v>
      </c>
      <c r="C32" s="90">
        <f>_xlfn.XLOOKUP(_xlfn.XLOOKUP($AS$6&amp;$B32,公表[班別+時段],公表[值班],""),$AX$9:$AX$25,$AY$9:$AY$25,"")</f>
        <v>0</v>
      </c>
      <c r="D32" s="97"/>
      <c r="E32" s="97"/>
      <c r="F32" s="97"/>
      <c r="G32" s="121" t="str">
        <f>IF(BC20="","",BC20)</f>
        <v>5</v>
      </c>
      <c r="H32" s="56"/>
      <c r="I32" s="94">
        <f>_xlfn.XLOOKUP(_xlfn.XLOOKUP($AS$6&amp;$B32,公表[班別+時段],公表[救護1],""),$AX$9:$AX$25,$AY$9:$AY$25,"")</f>
        <v>0</v>
      </c>
      <c r="J32" s="94">
        <f>_xlfn.XLOOKUP(_xlfn.XLOOKUP($AS$6&amp;$B32,公表[班別+時段],公表[救護2],""),$AX$9:$AX$25,$AY$9:$AY$25,"")</f>
        <v>0</v>
      </c>
      <c r="K32" s="90"/>
      <c r="L32" s="90" t="s">
        <v>212</v>
      </c>
      <c r="M32" s="312"/>
      <c r="N32" s="90">
        <f>_xlfn.XLOOKUP(_xlfn.XLOOKUP($AS$6&amp;$B32,公表[班別+時段],公表[備勤1],""),$AX$9:$AX$25,$AY$9:$AY$25,"")</f>
        <v>0</v>
      </c>
      <c r="O32" s="90">
        <f>_xlfn.XLOOKUP(_xlfn.XLOOKUP($AS$6&amp;$B32,公表[班別+時段],公表[備勤2],""),$AX$9:$AX$25,$AY$9:$AY$25,"")</f>
        <v>0</v>
      </c>
      <c r="P32" s="90"/>
      <c r="Q32" s="90">
        <f>_xlfn.XLOOKUP(_xlfn.XLOOKUP($AS$6&amp;$B32,公表[班別+時段],公表[備勤3],""),$AX$9:$AX$25,$AY$9:$AY$25,"")</f>
        <v>0</v>
      </c>
      <c r="R32" s="90">
        <f>_xlfn.XLOOKUP(_xlfn.XLOOKUP($AS$6&amp;$B32,公表[班別+時段],公表[備勤4],""),$AX$9:$AX$25,$AY$9:$AY$25,"")</f>
        <v>0</v>
      </c>
      <c r="S32" s="90"/>
      <c r="T32" s="90">
        <f>_xlfn.XLOOKUP(_xlfn.XLOOKUP($AS$6&amp;$B32,公表[班別+時段],公表[備勤5],""),$AX$9:$AX$25,$AY$9:$AY$25,"")</f>
        <v>0</v>
      </c>
      <c r="U32" s="90">
        <f>_xlfn.XLOOKUP(_xlfn.XLOOKUP($AS$6&amp;$B32,公表[班別+時段],公表[備勤6],""),$AX$9:$AX$25,$AY$9:$AY$25,"")</f>
        <v>0</v>
      </c>
      <c r="V32" s="90"/>
      <c r="W32" s="90">
        <f>_xlfn.XLOOKUP(_xlfn.XLOOKUP($AS$6&amp;$B32,公表[班別+時段],公表[備勤7],""),$AX$9:$AX$25,$AY$9:$AY$25,"")</f>
        <v>0</v>
      </c>
      <c r="X32" s="90">
        <f>_xlfn.XLOOKUP(_xlfn.XLOOKUP($AS$6&amp;$B32,公表[班別+時段],公表[備勤8],""),$AX$9:$AX$25,$AY$9:$AY$25,"")</f>
        <v>0</v>
      </c>
      <c r="Y32" s="90"/>
      <c r="Z32" s="90"/>
      <c r="AA32" s="90"/>
      <c r="AB32" s="90"/>
      <c r="AC32" s="90"/>
      <c r="AD32" s="90"/>
      <c r="AE32" s="91">
        <f>_xlfn.XLOOKUP(_xlfn.XLOOKUP($AS$6&amp;$B32,公表[班別+時段],公表[指揮官],""),$AX$9:$AX$25,$AY$9:$AY$25,"")</f>
        <v>3</v>
      </c>
      <c r="AF32" s="347"/>
      <c r="AG32" s="327"/>
      <c r="AH32" s="329"/>
      <c r="AI32" s="327"/>
      <c r="AJ32" s="329"/>
      <c r="AK32" s="327"/>
      <c r="AL32" s="22"/>
      <c r="AM32" s="60"/>
      <c r="AN32" s="214"/>
      <c r="AO32" s="127">
        <v>24</v>
      </c>
      <c r="AP32" s="127" t="str">
        <v>賴俊豪</v>
      </c>
      <c r="AQ32" s="127" t="str" cm="1">
        <f t="array" ref="AQ32">IFERROR(_xlfn.XLOOKUP(_xlfn.XLOOKUP($AQ$3,輪休基準表!$C$6:$C$36,_xlfn.XLOOKUP(AP32,輪休基準表!$E$5:$AF$5,輪休基準表!$E$6:$AF$36,""),""),班別參數!$A$4:$A$20,班別參數!$B$4:$B$20,""),"")</f>
        <v>輪休</v>
      </c>
      <c r="AR32" s="120" t="str" cm="1">
        <f t="array" ref="AR32">_xlfn.LET(
    _xlpm.番號, COUNTIF($AY$9:$AY$24, $AO32),
    _xlpm.已排, _xlpm.番號 &gt; 0,
    _xlpm.上班, (AQ32="上班"),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2" s="170" t="str" cm="1">
        <f t="array" ref="AS32">IF(AQ32="上班",
    IF(SUMPRODUCT(--ISNUMBER(SEARCH(","&amp;AO32&amp;",", ","&amp;$G$10:$G$33&amp;",")))&gt;=2, "已排",
        IF(SUMPRODUCT(--ISNUMBER(SEARCH(","&amp;AO32&amp;",", ","&amp;$G$10:$G$33&amp;",")))=1, "缺1小時", "未排")
    ),
    IF(SUMPRODUCT(--ISNUMBER(SEARCH(","&amp;AO32&amp;",", ","&amp;$G$10:$G$33&amp;",")))&gt;0, "沒上班", "")
)</f>
        <v/>
      </c>
      <c r="AT32" s="180" t="str">
        <f t="shared" si="0"/>
        <v/>
      </c>
      <c r="AU32" s="180" t="str">
        <f t="shared" si="1"/>
        <v/>
      </c>
      <c r="AW32" s="47"/>
      <c r="AX32" s="45"/>
      <c r="AY32" s="25"/>
      <c r="AZ32" s="28"/>
      <c r="BA32" s="33"/>
      <c r="BB32" s="25"/>
      <c r="BD32" s="127"/>
    </row>
    <row r="33" spans="2:56" ht="30" customHeight="1">
      <c r="B33" s="81" t="s">
        <v>96</v>
      </c>
      <c r="C33" s="87">
        <f>_xlfn.XLOOKUP(_xlfn.XLOOKUP($AS$6&amp;$B33,公表[班別+時段],公表[值班],""),$AX$9:$AX$25,$AY$9:$AY$25,"")</f>
        <v>0</v>
      </c>
      <c r="D33" s="95"/>
      <c r="E33" s="95"/>
      <c r="F33" s="95"/>
      <c r="G33" s="122" t="str">
        <f>IF(BC20="","",BC20)</f>
        <v>5</v>
      </c>
      <c r="H33" s="48"/>
      <c r="I33" s="92">
        <f>_xlfn.XLOOKUP(_xlfn.XLOOKUP($AS$6&amp;$B33,公表[班別+時段],公表[救護1],""),$AX$9:$AX$25,$AY$9:$AY$25,"")</f>
        <v>0</v>
      </c>
      <c r="J33" s="92">
        <f>_xlfn.XLOOKUP(_xlfn.XLOOKUP($AS$6&amp;$B33,公表[班別+時段],公表[救護2],""),$AX$9:$AX$25,$AY$9:$AY$25,"")</f>
        <v>0</v>
      </c>
      <c r="K33" s="87"/>
      <c r="L33" s="87" t="s">
        <v>212</v>
      </c>
      <c r="M33" s="313"/>
      <c r="N33" s="87">
        <f>_xlfn.XLOOKUP(_xlfn.XLOOKUP($AS$6&amp;$B33,公表[班別+時段],公表[備勤1],""),$AX$9:$AX$25,$AY$9:$AY$25,"")</f>
        <v>0</v>
      </c>
      <c r="O33" s="87">
        <f>_xlfn.XLOOKUP(_xlfn.XLOOKUP($AS$6&amp;$B33,公表[班別+時段],公表[備勤2],""),$AX$9:$AX$25,$AY$9:$AY$25,"")</f>
        <v>0</v>
      </c>
      <c r="P33" s="87"/>
      <c r="Q33" s="87">
        <f>_xlfn.XLOOKUP(_xlfn.XLOOKUP($AS$6&amp;$B33,公表[班別+時段],公表[備勤3],""),$AX$9:$AX$25,$AY$9:$AY$25,"")</f>
        <v>0</v>
      </c>
      <c r="R33" s="87">
        <f>_xlfn.XLOOKUP(_xlfn.XLOOKUP($AS$6&amp;$B33,公表[班別+時段],公表[備勤4],""),$AX$9:$AX$25,$AY$9:$AY$25,"")</f>
        <v>0</v>
      </c>
      <c r="S33" s="87"/>
      <c r="T33" s="87">
        <f>_xlfn.XLOOKUP(_xlfn.XLOOKUP($AS$6&amp;$B33,公表[班別+時段],公表[備勤5],""),$AX$9:$AX$25,$AY$9:$AY$25,"")</f>
        <v>0</v>
      </c>
      <c r="U33" s="87">
        <f>_xlfn.XLOOKUP(_xlfn.XLOOKUP($AS$6&amp;$B33,公表[班別+時段],公表[備勤6],""),$AX$9:$AX$25,$AY$9:$AY$25,"")</f>
        <v>0</v>
      </c>
      <c r="V33" s="87"/>
      <c r="W33" s="87">
        <f>_xlfn.XLOOKUP(_xlfn.XLOOKUP($AS$6&amp;$B33,公表[班別+時段],公表[備勤7],""),$AX$9:$AX$25,$AY$9:$AY$25,"")</f>
        <v>0</v>
      </c>
      <c r="X33" s="87">
        <f>_xlfn.XLOOKUP(_xlfn.XLOOKUP($AS$6&amp;$B33,公表[班別+時段],公表[備勤8],""),$AX$9:$AX$25,$AY$9:$AY$25,"")</f>
        <v>0</v>
      </c>
      <c r="Y33" s="87"/>
      <c r="Z33" s="87"/>
      <c r="AA33" s="87"/>
      <c r="AB33" s="87"/>
      <c r="AC33" s="87"/>
      <c r="AD33" s="87"/>
      <c r="AE33" s="88">
        <f>_xlfn.XLOOKUP(_xlfn.XLOOKUP($AS$6&amp;$B33,公表[班別+時段],公表[指揮官],""),$AX$9:$AX$25,$AY$9:$AY$25,"")</f>
        <v>3</v>
      </c>
      <c r="AF33" s="328"/>
      <c r="AG33" s="327"/>
      <c r="AH33" s="329"/>
      <c r="AI33" s="327"/>
      <c r="AJ33" s="329"/>
      <c r="AK33" s="327"/>
      <c r="AL33" s="22"/>
      <c r="AM33" s="61"/>
      <c r="AN33" s="214"/>
      <c r="AO33" s="127">
        <v>25</v>
      </c>
      <c r="AP33" s="127" t="str">
        <v>郭國偵</v>
      </c>
      <c r="AQ33" s="127" t="str" cm="1">
        <f t="array" ref="AQ33">IFERROR(_xlfn.XLOOKUP(_xlfn.XLOOKUP($AQ$3,輪休基準表!$C$6:$C$36,_xlfn.XLOOKUP(AP33,輪休基準表!$E$5:$AF$5,輪休基準表!$E$6:$AF$36,""),""),班別參數!$A$4:$A$20,班別參數!$B$4:$B$20,""),"")</f>
        <v>輪休</v>
      </c>
      <c r="AR33" s="120" t="str" cm="1">
        <f t="array" ref="AR33">_xlfn.LET(
    _xlpm.番號, COUNTIF($AY$9:$AY$24, $AO33),
    _xlpm.已排, _xlpm.番號 &gt; 0,
    _xlpm.上班, (AQ33="上班"),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3" s="170" t="str" cm="1">
        <f t="array" ref="AS33">IF(AQ33="上班",
    IF(SUMPRODUCT(--ISNUMBER(SEARCH(","&amp;AO33&amp;",", ","&amp;$G$10:$G$33&amp;",")))&gt;=2, "已排",
        IF(SUMPRODUCT(--ISNUMBER(SEARCH(","&amp;AO33&amp;",", ","&amp;$G$10:$G$33&amp;",")))=1, "缺1小時", "未排")
    ),
    IF(SUMPRODUCT(--ISNUMBER(SEARCH(","&amp;AO33&amp;",", ","&amp;$G$10:$G$33&amp;",")))&gt;0, "沒上班", "")
)</f>
        <v/>
      </c>
      <c r="AT33" s="180" t="str">
        <f t="shared" si="0"/>
        <v/>
      </c>
      <c r="AU33" s="180" t="str">
        <f t="shared" si="1"/>
        <v/>
      </c>
      <c r="AW33" s="47"/>
      <c r="AX33" s="45"/>
      <c r="AY33" s="25"/>
      <c r="AZ33" s="28"/>
      <c r="BA33" s="25"/>
      <c r="BB33" s="25"/>
      <c r="BD33" s="127"/>
    </row>
    <row r="34" spans="2:56" ht="30" customHeight="1">
      <c r="B34" s="348" t="s">
        <v>215</v>
      </c>
      <c r="C34" s="351" t="str" cm="1">
        <f t="array" ref="C34">_xlfn.IFS(
  $AQ$9="上班", "一、本日主管上班。",
  $AQ$10="上班", "一、本日主管"&amp;$AQ$9&amp;"，職務由小隊長"&amp;$AP$10&amp;"代理。",
  $AQ$11="上班", "一、本日主管"&amp;$AQ$9&amp;"，職務由小隊長"&amp;$AP$11&amp;"代理。",
  $AQ$12="上班", "一、本日主管"&amp;$AQ$9&amp;"，職務由小隊長"&amp;$AP$12&amp;"代理。",
  $AQ$13="上班", "一、本日主管"&amp;$AQ$9&amp;"，職務由小隊長"&amp;$AP$13&amp;"代理。",
  TRUE, "一、本日主管"&amp;$AQ$9&amp;"，目前無人代理。"
)</f>
        <v>一、本日主管月補，職務由小隊長孫子翔代理。</v>
      </c>
      <c r="D34" s="352"/>
      <c r="E34" s="352"/>
      <c r="F34" s="352"/>
      <c r="G34" s="352"/>
      <c r="H34" s="352"/>
      <c r="I34" s="352"/>
      <c r="J34" s="352"/>
      <c r="K34" s="352"/>
      <c r="L34" s="352"/>
      <c r="M34" s="352"/>
      <c r="N34" s="352"/>
      <c r="O34" s="352"/>
      <c r="P34" s="352"/>
      <c r="Q34" s="352"/>
      <c r="R34" s="352"/>
      <c r="S34" s="352"/>
      <c r="T34" s="352"/>
      <c r="U34" s="352"/>
      <c r="V34" s="352"/>
      <c r="W34" s="352"/>
      <c r="X34" s="352"/>
      <c r="Y34" s="352"/>
      <c r="Z34" s="352"/>
      <c r="AA34" s="352"/>
      <c r="AB34" s="352"/>
      <c r="AC34" s="352"/>
      <c r="AD34" s="352"/>
      <c r="AE34" s="352"/>
      <c r="AF34" s="355"/>
      <c r="AG34" s="324"/>
      <c r="AH34" s="324"/>
      <c r="AI34" s="324"/>
      <c r="AJ34" s="324"/>
      <c r="AK34" s="324"/>
      <c r="AL34" s="324"/>
      <c r="AM34" s="325"/>
      <c r="AO34" s="127">
        <v>26</v>
      </c>
      <c r="AP34" s="127" t="str">
        <v>楊紹文</v>
      </c>
      <c r="AQ34" s="127" t="str" cm="1">
        <f t="array" ref="AQ34">IFERROR(_xlfn.XLOOKUP(_xlfn.XLOOKUP($AQ$3,輪休基準表!$C$6:$C$36,_xlfn.XLOOKUP(AP34,輪休基準表!$E$5:$AF$5,輪休基準表!$E$6:$AF$36,""),""),班別參數!$A$4:$A$20,班別參數!$B$4:$B$20,""),"")</f>
        <v>輪休</v>
      </c>
      <c r="AR34" s="120" t="str" cm="1">
        <f t="array" ref="AR34">_xlfn.LET(
    _xlpm.番號, COUNTIF($AY$9:$AY$24, $AO34),
    _xlpm.已排, _xlpm.番號 &gt; 0,
    _xlpm.上班, (AQ34="上班"),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4" s="170" t="str" cm="1">
        <f t="array" ref="AS34">IF(AQ34="上班",
    IF(SUMPRODUCT(--ISNUMBER(SEARCH(","&amp;AO34&amp;",", ","&amp;$G$10:$G$33&amp;",")))&gt;=2, "已排",
        IF(SUMPRODUCT(--ISNUMBER(SEARCH(","&amp;AO34&amp;",", ","&amp;$G$10:$G$33&amp;",")))=1, "缺1小時", "未排")
    ),
    IF(SUMPRODUCT(--ISNUMBER(SEARCH(","&amp;AO34&amp;",", ","&amp;$G$10:$G$33&amp;",")))&gt;0, "沒上班", "")
)</f>
        <v/>
      </c>
      <c r="AT34" s="180" t="str">
        <f t="shared" si="0"/>
        <v/>
      </c>
      <c r="AU34" s="180" t="str">
        <f t="shared" si="1"/>
        <v/>
      </c>
      <c r="AW34" s="47"/>
      <c r="AX34" s="45"/>
      <c r="AY34" s="25"/>
      <c r="AZ34" s="28"/>
      <c r="BA34" s="25"/>
      <c r="BB34" s="25"/>
      <c r="BD34" s="127"/>
    </row>
    <row r="35" spans="2:56" ht="30" customHeight="1">
      <c r="B35" s="349"/>
      <c r="C35" s="359" t="str">
        <f>CONCATENATE("二、在隊訓練:09-12時:",H11,";14-17時:",H16,";19-21時:",H21,"。")</f>
        <v>二、在隊訓練:09-12時:車輛駕訓;14-17時:環境整理;19-21時:器材車、化學(處理)車。</v>
      </c>
      <c r="D35" s="352"/>
      <c r="E35" s="352"/>
      <c r="F35" s="352"/>
      <c r="G35" s="352"/>
      <c r="H35" s="352"/>
      <c r="I35" s="352"/>
      <c r="J35" s="352"/>
      <c r="K35" s="352"/>
      <c r="L35" s="352"/>
      <c r="M35" s="352"/>
      <c r="N35" s="352"/>
      <c r="O35" s="352"/>
      <c r="P35" s="352"/>
      <c r="Q35" s="352"/>
      <c r="R35" s="352"/>
      <c r="S35" s="352"/>
      <c r="T35" s="352"/>
      <c r="U35" s="352"/>
      <c r="V35" s="352"/>
      <c r="W35" s="352"/>
      <c r="X35" s="352"/>
      <c r="Y35" s="352"/>
      <c r="Z35" s="352"/>
      <c r="AA35" s="352"/>
      <c r="AB35" s="352"/>
      <c r="AC35" s="352"/>
      <c r="AD35" s="352"/>
      <c r="AE35" s="352"/>
      <c r="AF35" s="356"/>
      <c r="AG35" s="324"/>
      <c r="AH35" s="324"/>
      <c r="AI35" s="324"/>
      <c r="AJ35" s="324"/>
      <c r="AK35" s="324"/>
      <c r="AL35" s="324"/>
      <c r="AM35" s="325"/>
      <c r="AN35" s="44"/>
      <c r="AO35" s="127">
        <v>27</v>
      </c>
      <c r="AP35" s="127" t="str">
        <v>林宏為</v>
      </c>
      <c r="AQ35" s="127" t="str" cm="1">
        <f t="array" ref="AQ35">IFERROR(_xlfn.XLOOKUP(_xlfn.XLOOKUP($AQ$3,輪休基準表!$C$6:$C$36,_xlfn.XLOOKUP(AP35,輪休基準表!$E$5:$AF$5,輪休基準表!$E$6:$AF$36,""),""),班別參數!$A$4:$A$20,班別參數!$B$4:$B$20,""),"")</f>
        <v>上班</v>
      </c>
      <c r="AR35" s="120" t="str" cm="1">
        <f t="array" ref="AR35">_xlfn.LET(
    _xlpm.番號, COUNTIF($AY$9:$AY$24, $AO35),
    _xlpm.已排, _xlpm.番號 &gt; 0,
    _xlpm.上班, (AQ35="上班"),
    _xlfn.IFS(
        _xlpm.番號 &gt; 1, "重複",
        AND(_xlpm.上班, NOT(_xlpm.已排)), "未排",
        AND(NOT(_xlpm.上班),_xlpm.已排), "沒上班",
        _xlpm.已排, "已排",
        TRUE, ""
    )
)</f>
        <v>未排</v>
      </c>
      <c r="AS35" s="170" t="str" cm="1">
        <f t="array" ref="AS35">IF(AQ35="上班",
    IF(SUMPRODUCT(--ISNUMBER(SEARCH(","&amp;AO35&amp;",", ","&amp;$G$10:$G$33&amp;",")))&gt;=2, "已排",
        IF(SUMPRODUCT(--ISNUMBER(SEARCH(","&amp;AO35&amp;",", ","&amp;$G$10:$G$33&amp;",")))=1, "缺1小時", "未排")
    ),
    IF(SUMPRODUCT(--ISNUMBER(SEARCH(","&amp;AO35&amp;",", ","&amp;$G$10:$G$33&amp;",")))&gt;0, "沒上班", "")
)</f>
        <v>未排</v>
      </c>
      <c r="AT35" s="180" t="str">
        <f t="shared" si="0"/>
        <v/>
      </c>
      <c r="AU35" s="180" t="str">
        <f t="shared" si="1"/>
        <v/>
      </c>
      <c r="AW35" s="47"/>
      <c r="AX35" s="45"/>
      <c r="AY35" s="25"/>
      <c r="AZ35" s="28"/>
      <c r="BA35" s="25"/>
      <c r="BB35" s="25"/>
      <c r="BD35" s="127"/>
    </row>
    <row r="36" spans="2:56" ht="30" customHeight="1" thickBot="1">
      <c r="B36" s="350"/>
      <c r="C36" s="360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57"/>
      <c r="AG36" s="338"/>
      <c r="AH36" s="338"/>
      <c r="AI36" s="338"/>
      <c r="AJ36" s="338"/>
      <c r="AK36" s="338"/>
      <c r="AL36" s="338"/>
      <c r="AM36" s="358"/>
      <c r="AO36" s="127">
        <v>28</v>
      </c>
      <c r="AP36" s="127" t="str">
        <v>林宸彥</v>
      </c>
      <c r="AQ36" s="127" t="str" cm="1">
        <f t="array" ref="AQ36">IFERROR(_xlfn.XLOOKUP(_xlfn.XLOOKUP($AQ$3,輪休基準表!$C$6:$C$36,_xlfn.XLOOKUP(AP36,輪休基準表!$E$5:$AF$5,輪休基準表!$E$6:$AF$36,""),""),班別參數!$A$4:$A$20,班別參數!$B$4:$B$20,""),"")</f>
        <v>輪休</v>
      </c>
      <c r="AR36" s="120" t="str" cm="1">
        <f t="array" ref="AR36">_xlfn.LET(
    _xlpm.番號, COUNTIF($AY$9:$AY$24, $AO36),
    _xlpm.已排, _xlpm.番號 &gt; 0,
    _xlpm.上班, (AQ36="上班"),
    _xlfn.IFS(
        _xlpm.番號 &gt; 1, "重複",
        AND(_xlpm.上班, NOT(_xlpm.已排)), "未排",
        AND(NOT(_xlpm.上班),_xlpm.已排), "沒上班",
        _xlpm.已排, "已排",
        TRUE, ""
    )
)</f>
        <v/>
      </c>
      <c r="AS36" s="170" t="str" cm="1">
        <f t="array" ref="AS36">IF(AQ36="上班",
    IF(SUMPRODUCT(--ISNUMBER(SEARCH(","&amp;AO36&amp;",", ","&amp;$G$10:$G$33&amp;",")))&gt;=2, "已排",
        IF(SUMPRODUCT(--ISNUMBER(SEARCH(","&amp;AO36&amp;",", ","&amp;$G$10:$G$33&amp;",")))=1, "缺1小時", "未排")
    ),
    IF(SUMPRODUCT(--ISNUMBER(SEARCH(","&amp;AO36&amp;",", ","&amp;$G$10:$G$33&amp;",")))&gt;0, "沒上班", "")
)</f>
        <v/>
      </c>
      <c r="AT36" s="180" t="str">
        <f t="shared" si="0"/>
        <v/>
      </c>
      <c r="AU36" s="180" t="str">
        <f t="shared" si="1"/>
        <v/>
      </c>
      <c r="BD36" s="10"/>
    </row>
    <row r="37" spans="2:56" ht="27.75" customHeight="1">
      <c r="B37" s="25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7"/>
      <c r="AG37" s="17"/>
      <c r="AH37" s="17"/>
      <c r="AI37" s="17"/>
      <c r="AJ37" s="17"/>
      <c r="AK37" s="17"/>
      <c r="AL37" s="17"/>
      <c r="AM37" s="17"/>
      <c r="AO37" s="127"/>
      <c r="AP37" s="127"/>
      <c r="AQ37" s="127" t="str" cm="1">
        <f t="array" ref="AQ37">IFERROR(_xlfn.XLOOKUP(_xlfn.XLOOKUP($AQ$3,輪休基準表!$C$6:$C$36,_xlfn.XLOOKUP(AP37,輪休基準表!$E$5:$AF$5,輪休基準表!$E$6:$AF$36,""),""),班別參數!$A$4:$A$20,班別參數!$B$4:$B$20,""),"")</f>
        <v/>
      </c>
      <c r="AR37" s="118" t="str">
        <f>IFERROR(IF(VLOOKUP($AO37,$AY$9:$AY$24,1,0)&lt;&gt;"0","已排",""),"")</f>
        <v/>
      </c>
      <c r="AS37" s="119" t="str">
        <f>IF(COUNTIF($AY$9:$AY$23,$AO37)&gt;1,"重複","")</f>
        <v/>
      </c>
      <c r="AT37" s="119" t="str">
        <f>IF(AND(AQ37&lt;&gt;"上班",AR37="已排"),"沒上班","")</f>
        <v/>
      </c>
      <c r="AU37" s="127"/>
      <c r="BD37" s="10"/>
    </row>
    <row r="38" spans="2:56" ht="15" customHeight="1">
      <c r="AQ38" s="127"/>
      <c r="AR38" s="118"/>
      <c r="AS38" s="119"/>
      <c r="AT38" s="119"/>
    </row>
    <row r="39" spans="2:56" ht="15" customHeight="1">
      <c r="AR39" s="118"/>
      <c r="AS39" s="119"/>
      <c r="AT39" s="119"/>
    </row>
    <row r="40" spans="2:56" ht="15" customHeight="1">
      <c r="AR40" s="118"/>
      <c r="AS40" s="119"/>
      <c r="AT40" s="119"/>
    </row>
  </sheetData>
  <mergeCells count="71">
    <mergeCell ref="AG22:AK22"/>
    <mergeCell ref="AG23:AM23"/>
    <mergeCell ref="AG24:AI24"/>
    <mergeCell ref="AK24:AM24"/>
    <mergeCell ref="AF33:AG33"/>
    <mergeCell ref="AH33:AI33"/>
    <mergeCell ref="AJ33:AK33"/>
    <mergeCell ref="AF31:AG31"/>
    <mergeCell ref="AH31:AI31"/>
    <mergeCell ref="AJ31:AK31"/>
    <mergeCell ref="AF32:AG32"/>
    <mergeCell ref="AH32:AI32"/>
    <mergeCell ref="AJ32:AK32"/>
    <mergeCell ref="AF27:AF28"/>
    <mergeCell ref="AG27:AM27"/>
    <mergeCell ref="AG28:AM28"/>
    <mergeCell ref="B34:B36"/>
    <mergeCell ref="C34:AE34"/>
    <mergeCell ref="AF34:AM34"/>
    <mergeCell ref="C35:AE35"/>
    <mergeCell ref="AF35:AM35"/>
    <mergeCell ref="C36:AE36"/>
    <mergeCell ref="AF36:AM36"/>
    <mergeCell ref="AF29:AM29"/>
    <mergeCell ref="AF30:AG30"/>
    <mergeCell ref="AH30:AI30"/>
    <mergeCell ref="AJ30:AK30"/>
    <mergeCell ref="AG25:AI25"/>
    <mergeCell ref="AK25:AM25"/>
    <mergeCell ref="C8:AE8"/>
    <mergeCell ref="C9:AE9"/>
    <mergeCell ref="M10:M33"/>
    <mergeCell ref="H11:H13"/>
    <mergeCell ref="H16:H18"/>
    <mergeCell ref="H21:H22"/>
    <mergeCell ref="I6:J6"/>
    <mergeCell ref="K6:L6"/>
    <mergeCell ref="N6:P6"/>
    <mergeCell ref="Q6:S6"/>
    <mergeCell ref="T6:V6"/>
    <mergeCell ref="AF5:AM6"/>
    <mergeCell ref="AO5:AO6"/>
    <mergeCell ref="T7:V7"/>
    <mergeCell ref="AR5:AR6"/>
    <mergeCell ref="AS5:AT5"/>
    <mergeCell ref="W6:Y6"/>
    <mergeCell ref="AE6:AE7"/>
    <mergeCell ref="AS6:AT6"/>
    <mergeCell ref="AP5:AQ6"/>
    <mergeCell ref="G5:G7"/>
    <mergeCell ref="B3:AM3"/>
    <mergeCell ref="AW3:AX3"/>
    <mergeCell ref="AY3:BB3"/>
    <mergeCell ref="B4:AI4"/>
    <mergeCell ref="AJ4:AM4"/>
    <mergeCell ref="AW4:AX4"/>
    <mergeCell ref="AY4:BB4"/>
    <mergeCell ref="B5:B7"/>
    <mergeCell ref="C5:C7"/>
    <mergeCell ref="D5:D7"/>
    <mergeCell ref="E5:E7"/>
    <mergeCell ref="F5:F7"/>
    <mergeCell ref="H5:H7"/>
    <mergeCell ref="I5:L5"/>
    <mergeCell ref="M5:AE5"/>
    <mergeCell ref="AY2:BB2"/>
    <mergeCell ref="B1:AE1"/>
    <mergeCell ref="AP1:AQ1"/>
    <mergeCell ref="B2:AE2"/>
    <mergeCell ref="AG2:AM2"/>
    <mergeCell ref="AW2:AX2"/>
  </mergeCells>
  <phoneticPr fontId="9" type="noConversion"/>
  <conditionalFormatting sqref="AO9:AQ36 AO37:AP37 AQ37:AQ38">
    <cfRule type="expression" dxfId="16" priority="16">
      <formula>COUNTIF($AQ9,"上班")&gt;=1</formula>
    </cfRule>
  </conditionalFormatting>
  <conditionalFormatting sqref="AF8:AF13 AH8:AH21 AJ8:AJ21 AL8:AM21">
    <cfRule type="expression" dxfId="15" priority="11">
      <formula>OR(VLOOKUP(AF8,$AO$9:$AQ$40,3,0)="上班",VLOOKUP(AF8,$AO$9:$AQ$40,3,0)="外宿")</formula>
    </cfRule>
  </conditionalFormatting>
  <conditionalFormatting sqref="AL8">
    <cfRule type="expression" dxfId="14" priority="10">
      <formula>OR(VLOOKUP(AL8,$AO$9:$AQ$36,3,0)="上班",VLOOKUP(AL8,$AO$9:$AQ$36,3,0)="外宿")</formula>
    </cfRule>
  </conditionalFormatting>
  <conditionalFormatting sqref="AR9:AR36">
    <cfRule type="notContainsText" dxfId="13" priority="2" operator="notContains" text="已排">
      <formula>ISERROR(SEARCH("已排",AR9))</formula>
    </cfRule>
  </conditionalFormatting>
  <conditionalFormatting sqref="AS9:AS36">
    <cfRule type="notContainsText" dxfId="12" priority="1" operator="notContains" text="已排">
      <formula>ISERROR(SEARCH("已排",AS9))</formula>
    </cfRule>
  </conditionalFormatting>
  <printOptions horizontalCentered="1" verticalCentered="1"/>
  <pageMargins left="0.19685039370078741" right="0.19685039370078741" top="0.11811023622047245" bottom="0.11811023622047245" header="0" footer="0"/>
  <pageSetup paperSize="9" scale="52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7" r:id="rId4" name="btn_CheckAll">
              <controlPr defaultSize="0" print="0" autoFill="0" autoPict="0" macro="[0]!執行檢查_重複與漏排">
                <anchor moveWithCells="1">
                  <from>
                    <xdr:col>48</xdr:col>
                    <xdr:colOff>0</xdr:colOff>
                    <xdr:row>5</xdr:row>
                    <xdr:rowOff>0</xdr:rowOff>
                  </from>
                  <to>
                    <xdr:col>50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4"/>
  <dimension ref="D1:AS1000"/>
  <sheetViews>
    <sheetView topLeftCell="A4" workbookViewId="0">
      <selection activeCell="N26" sqref="N26"/>
    </sheetView>
  </sheetViews>
  <sheetFormatPr defaultColWidth="11.25" defaultRowHeight="15" customHeight="1"/>
  <cols>
    <col min="1" max="3" width="6.75" customWidth="1"/>
    <col min="4" max="4" width="21.25" customWidth="1"/>
    <col min="5" max="6" width="6.75" customWidth="1"/>
    <col min="7" max="7" width="21.25" customWidth="1"/>
    <col min="8" max="9" width="6.75" customWidth="1"/>
    <col min="10" max="10" width="22.5" customWidth="1"/>
    <col min="11" max="12" width="6.75" customWidth="1"/>
    <col min="13" max="13" width="21.25" customWidth="1"/>
    <col min="14" max="14" width="15.25" customWidth="1"/>
    <col min="15" max="15" width="24.625" customWidth="1"/>
    <col min="16" max="45" width="6.75" customWidth="1"/>
  </cols>
  <sheetData>
    <row r="1" spans="4:15" ht="16.5" customHeight="1"/>
    <row r="2" spans="4:15" ht="16.5" customHeight="1">
      <c r="D2" s="128"/>
      <c r="E2" s="128"/>
      <c r="F2" s="128"/>
      <c r="G2" s="128"/>
      <c r="H2" s="128"/>
      <c r="I2" s="128"/>
      <c r="J2" s="128"/>
    </row>
    <row r="3" spans="4:15" ht="16.5" customHeight="1">
      <c r="D3" s="128"/>
      <c r="E3" s="128"/>
      <c r="F3" s="128"/>
      <c r="G3" s="128"/>
      <c r="H3" s="128"/>
      <c r="I3" s="128"/>
      <c r="J3" s="128"/>
    </row>
    <row r="4" spans="4:15" ht="16.5" customHeight="1">
      <c r="D4" s="128"/>
      <c r="E4" s="128"/>
      <c r="F4" s="128"/>
      <c r="G4" s="128"/>
      <c r="H4" s="128"/>
      <c r="I4" s="128"/>
      <c r="J4" s="128"/>
    </row>
    <row r="5" spans="4:15" ht="16.5" customHeight="1">
      <c r="D5" s="128" t="s">
        <v>127</v>
      </c>
      <c r="E5" s="128"/>
      <c r="F5" s="128"/>
      <c r="G5" s="128" t="s">
        <v>128</v>
      </c>
      <c r="H5" s="128"/>
      <c r="I5" s="128"/>
      <c r="J5" s="128" t="s">
        <v>129</v>
      </c>
    </row>
    <row r="6" spans="4:15" ht="16.5" customHeight="1">
      <c r="D6" s="128" t="s">
        <v>130</v>
      </c>
      <c r="E6" s="128"/>
      <c r="F6" s="128"/>
      <c r="G6" s="128" t="s">
        <v>130</v>
      </c>
      <c r="H6" s="128"/>
      <c r="I6" s="128"/>
      <c r="J6" s="128" t="s">
        <v>131</v>
      </c>
    </row>
    <row r="7" spans="4:15" ht="16.5" customHeight="1">
      <c r="D7" s="128" t="s">
        <v>132</v>
      </c>
      <c r="E7" s="128"/>
      <c r="F7" s="128"/>
      <c r="G7" s="128" t="s">
        <v>132</v>
      </c>
      <c r="H7" s="128"/>
      <c r="I7" s="128"/>
      <c r="J7" s="128" t="s">
        <v>133</v>
      </c>
    </row>
    <row r="8" spans="4:15" ht="16.5" customHeight="1">
      <c r="D8" s="128" t="s">
        <v>134</v>
      </c>
      <c r="E8" s="128"/>
      <c r="F8" s="128"/>
      <c r="G8" s="128" t="s">
        <v>134</v>
      </c>
      <c r="H8" s="128"/>
      <c r="I8" s="128"/>
      <c r="J8" s="128" t="s">
        <v>135</v>
      </c>
    </row>
    <row r="9" spans="4:15" ht="16.5" customHeight="1">
      <c r="D9" s="128" t="s">
        <v>136</v>
      </c>
      <c r="E9" s="128"/>
      <c r="F9" s="128"/>
      <c r="G9" s="128" t="s">
        <v>136</v>
      </c>
      <c r="H9" s="128"/>
      <c r="I9" s="128"/>
      <c r="J9" s="128" t="s">
        <v>137</v>
      </c>
    </row>
    <row r="10" spans="4:15" ht="16.5" customHeight="1">
      <c r="D10" s="128" t="s">
        <v>138</v>
      </c>
      <c r="E10" s="128"/>
      <c r="F10" s="128"/>
      <c r="G10" s="128" t="s">
        <v>138</v>
      </c>
      <c r="H10" s="128"/>
      <c r="I10" s="128"/>
      <c r="J10" s="128" t="s">
        <v>139</v>
      </c>
    </row>
    <row r="11" spans="4:15" ht="16.5" customHeight="1">
      <c r="D11" s="128" t="s">
        <v>140</v>
      </c>
      <c r="E11" s="128"/>
      <c r="F11" s="128"/>
      <c r="G11" s="128" t="s">
        <v>140</v>
      </c>
      <c r="H11" s="128"/>
      <c r="I11" s="128"/>
      <c r="J11" s="128" t="s">
        <v>141</v>
      </c>
    </row>
    <row r="12" spans="4:15" ht="16.5" customHeight="1">
      <c r="D12" s="128" t="s">
        <v>142</v>
      </c>
      <c r="E12" s="128"/>
      <c r="F12" s="128"/>
      <c r="G12" s="128" t="s">
        <v>142</v>
      </c>
      <c r="H12" s="128"/>
      <c r="I12" s="128"/>
      <c r="J12" s="128" t="s">
        <v>143</v>
      </c>
      <c r="L12" s="149"/>
      <c r="M12" s="150" t="s">
        <v>144</v>
      </c>
      <c r="N12" s="150" t="s">
        <v>145</v>
      </c>
      <c r="O12" s="151" t="s">
        <v>146</v>
      </c>
    </row>
    <row r="13" spans="4:15" ht="16.5" customHeight="1">
      <c r="D13" s="128" t="s">
        <v>147</v>
      </c>
      <c r="E13" s="128"/>
      <c r="F13" s="128"/>
      <c r="G13" s="128" t="s">
        <v>147</v>
      </c>
      <c r="H13" s="128"/>
      <c r="I13" s="128"/>
      <c r="J13" s="128" t="s">
        <v>148</v>
      </c>
      <c r="L13" s="152" t="s">
        <v>149</v>
      </c>
      <c r="M13" s="153" t="s">
        <v>150</v>
      </c>
      <c r="N13" s="154" t="s">
        <v>151</v>
      </c>
      <c r="O13" s="155" t="s">
        <v>148</v>
      </c>
    </row>
    <row r="14" spans="4:15" ht="16.5" customHeight="1">
      <c r="D14" s="128" t="s">
        <v>152</v>
      </c>
      <c r="E14" s="128"/>
      <c r="F14" s="128"/>
      <c r="G14" s="128" t="s">
        <v>152</v>
      </c>
      <c r="H14" s="128"/>
      <c r="I14" s="128"/>
      <c r="J14" s="128" t="s">
        <v>153</v>
      </c>
      <c r="L14" s="152" t="s">
        <v>154</v>
      </c>
      <c r="M14" s="156" t="s">
        <v>155</v>
      </c>
      <c r="N14" s="157" t="s">
        <v>156</v>
      </c>
      <c r="O14" s="158" t="s">
        <v>153</v>
      </c>
    </row>
    <row r="15" spans="4:15" ht="16.5" customHeight="1">
      <c r="D15" s="128" t="s">
        <v>157</v>
      </c>
      <c r="E15" s="128"/>
      <c r="F15" s="128"/>
      <c r="G15" s="128" t="s">
        <v>157</v>
      </c>
      <c r="H15" s="128"/>
      <c r="I15" s="128"/>
      <c r="J15" s="128" t="s">
        <v>158</v>
      </c>
      <c r="L15" s="152" t="s">
        <v>159</v>
      </c>
      <c r="M15" s="153" t="s">
        <v>160</v>
      </c>
      <c r="N15" s="154" t="s">
        <v>161</v>
      </c>
      <c r="O15" s="155" t="s">
        <v>158</v>
      </c>
    </row>
    <row r="16" spans="4:15" ht="16.5" customHeight="1">
      <c r="D16" s="128" t="s">
        <v>162</v>
      </c>
      <c r="E16" s="128"/>
      <c r="F16" s="128"/>
      <c r="G16" s="128" t="s">
        <v>162</v>
      </c>
      <c r="H16" s="128"/>
      <c r="I16" s="128"/>
      <c r="J16" s="128" t="s">
        <v>158</v>
      </c>
      <c r="L16" s="152" t="s">
        <v>163</v>
      </c>
      <c r="M16" s="156" t="s">
        <v>164</v>
      </c>
      <c r="N16" s="157" t="s">
        <v>165</v>
      </c>
      <c r="O16" s="158" t="s">
        <v>158</v>
      </c>
    </row>
    <row r="17" spans="4:45" ht="16.5" customHeight="1">
      <c r="D17" s="128" t="s">
        <v>166</v>
      </c>
      <c r="E17" s="128"/>
      <c r="F17" s="128"/>
      <c r="G17" s="128" t="s">
        <v>166</v>
      </c>
      <c r="H17" s="128"/>
      <c r="I17" s="128"/>
      <c r="J17" s="128" t="s">
        <v>167</v>
      </c>
      <c r="L17" s="152" t="s">
        <v>168</v>
      </c>
      <c r="M17" s="153" t="s">
        <v>169</v>
      </c>
      <c r="N17" s="154" t="s">
        <v>170</v>
      </c>
      <c r="O17" s="155" t="s">
        <v>167</v>
      </c>
    </row>
    <row r="18" spans="4:45" ht="16.5" customHeight="1">
      <c r="D18" s="128" t="s">
        <v>171</v>
      </c>
      <c r="E18" s="128"/>
      <c r="F18" s="128"/>
      <c r="G18" s="128" t="s">
        <v>171</v>
      </c>
      <c r="H18" s="128"/>
      <c r="I18" s="128"/>
      <c r="J18" s="128" t="s">
        <v>172</v>
      </c>
      <c r="L18" s="152" t="s">
        <v>173</v>
      </c>
      <c r="M18" s="156" t="s">
        <v>174</v>
      </c>
      <c r="N18" s="157" t="s">
        <v>175</v>
      </c>
      <c r="O18" s="158" t="s">
        <v>172</v>
      </c>
    </row>
    <row r="19" spans="4:45" ht="16.5" customHeight="1">
      <c r="D19" s="128" t="s">
        <v>176</v>
      </c>
      <c r="E19" s="128"/>
      <c r="F19" s="128"/>
      <c r="G19" s="128" t="s">
        <v>176</v>
      </c>
      <c r="H19" s="128"/>
      <c r="I19" s="128"/>
      <c r="J19" s="128" t="s">
        <v>177</v>
      </c>
      <c r="L19" s="159" t="s">
        <v>178</v>
      </c>
      <c r="M19" s="160" t="s">
        <v>179</v>
      </c>
      <c r="N19" s="161" t="s">
        <v>180</v>
      </c>
      <c r="O19" s="162" t="s">
        <v>177</v>
      </c>
    </row>
    <row r="20" spans="4:45" ht="16.5" customHeight="1">
      <c r="D20" s="128" t="s">
        <v>181</v>
      </c>
      <c r="E20" s="128"/>
      <c r="F20" s="128"/>
      <c r="G20" s="128" t="s">
        <v>181</v>
      </c>
      <c r="H20" s="128"/>
      <c r="I20" s="128"/>
      <c r="J20" s="128"/>
    </row>
    <row r="21" spans="4:45" ht="16.5" customHeight="1">
      <c r="D21" s="128" t="s">
        <v>182</v>
      </c>
      <c r="E21" s="128"/>
      <c r="F21" s="128"/>
      <c r="G21" s="128" t="s">
        <v>182</v>
      </c>
      <c r="H21" s="128"/>
      <c r="I21" s="128"/>
      <c r="J21" s="128"/>
    </row>
    <row r="22" spans="4:45" ht="27" customHeight="1">
      <c r="D22" s="128" t="s">
        <v>150</v>
      </c>
      <c r="E22" s="128"/>
      <c r="F22" s="128"/>
      <c r="G22" s="128" t="s">
        <v>183</v>
      </c>
      <c r="H22" s="128"/>
      <c r="I22" s="128"/>
      <c r="J22" s="128"/>
    </row>
    <row r="23" spans="4:45" ht="16.5" customHeight="1">
      <c r="D23" s="128" t="s">
        <v>155</v>
      </c>
      <c r="E23" s="128"/>
      <c r="F23" s="128"/>
      <c r="G23" s="128" t="s">
        <v>151</v>
      </c>
      <c r="H23" s="128"/>
      <c r="I23" s="128"/>
      <c r="J23" s="128"/>
    </row>
    <row r="24" spans="4:45" ht="16.5" customHeight="1">
      <c r="D24" s="128" t="s">
        <v>160</v>
      </c>
      <c r="E24" s="128"/>
      <c r="F24" s="128"/>
      <c r="G24" s="128" t="s">
        <v>156</v>
      </c>
      <c r="H24" s="128"/>
      <c r="I24" s="128"/>
      <c r="J24" s="128"/>
    </row>
    <row r="25" spans="4:45" ht="16.5" customHeight="1">
      <c r="D25" s="128" t="s">
        <v>164</v>
      </c>
      <c r="E25" s="128"/>
      <c r="F25" s="128"/>
      <c r="G25" s="128" t="s">
        <v>161</v>
      </c>
      <c r="H25" s="128"/>
      <c r="I25" s="128"/>
      <c r="J25" s="128"/>
    </row>
    <row r="26" spans="4:45" ht="16.5" customHeight="1">
      <c r="D26" s="128" t="s">
        <v>169</v>
      </c>
      <c r="E26" s="128"/>
      <c r="F26" s="128"/>
      <c r="G26" s="128" t="s">
        <v>165</v>
      </c>
      <c r="H26" s="128"/>
      <c r="I26" s="128"/>
      <c r="J26" s="128"/>
    </row>
    <row r="27" spans="4:45" ht="16.5" customHeight="1">
      <c r="D27" s="128" t="s">
        <v>174</v>
      </c>
      <c r="E27" s="128"/>
      <c r="F27" s="128"/>
      <c r="G27" s="128" t="s">
        <v>170</v>
      </c>
      <c r="H27" s="128"/>
      <c r="I27" s="128"/>
      <c r="J27" s="128"/>
    </row>
    <row r="28" spans="4:45" ht="16.5" customHeight="1">
      <c r="D28" s="128" t="s">
        <v>179</v>
      </c>
      <c r="E28" s="128"/>
      <c r="F28" s="128"/>
      <c r="G28" s="128" t="s">
        <v>175</v>
      </c>
      <c r="H28" s="128"/>
      <c r="I28" s="128"/>
      <c r="J28" s="128"/>
    </row>
    <row r="29" spans="4:45" ht="16.5" customHeight="1">
      <c r="D29" s="128"/>
      <c r="E29" s="128"/>
      <c r="F29" s="128"/>
      <c r="G29" s="128" t="s">
        <v>180</v>
      </c>
      <c r="H29" s="128"/>
      <c r="I29" s="128"/>
      <c r="J29" s="128"/>
      <c r="AS29" s="8" t="e">
        <v>#REF!</v>
      </c>
    </row>
    <row r="30" spans="4:45" ht="16.5" customHeight="1"/>
    <row r="31" spans="4:45" ht="16.5" customHeight="1"/>
    <row r="32" spans="4:45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  <row r="536" ht="16.5" customHeight="1"/>
    <row r="537" ht="16.5" customHeight="1"/>
    <row r="538" ht="16.5" customHeight="1"/>
    <row r="539" ht="16.5" customHeight="1"/>
    <row r="540" ht="16.5" customHeight="1"/>
    <row r="541" ht="16.5" customHeight="1"/>
    <row r="542" ht="16.5" customHeight="1"/>
    <row r="543" ht="16.5" customHeight="1"/>
    <row r="544" ht="16.5" customHeight="1"/>
    <row r="545" ht="16.5" customHeight="1"/>
    <row r="546" ht="16.5" customHeight="1"/>
    <row r="547" ht="16.5" customHeight="1"/>
    <row r="548" ht="16.5" customHeight="1"/>
    <row r="549" ht="16.5" customHeight="1"/>
    <row r="550" ht="16.5" customHeight="1"/>
    <row r="551" ht="16.5" customHeight="1"/>
    <row r="552" ht="16.5" customHeight="1"/>
    <row r="553" ht="16.5" customHeight="1"/>
    <row r="554" ht="16.5" customHeight="1"/>
    <row r="555" ht="16.5" customHeight="1"/>
    <row r="556" ht="16.5" customHeight="1"/>
    <row r="557" ht="16.5" customHeight="1"/>
    <row r="558" ht="16.5" customHeight="1"/>
    <row r="559" ht="16.5" customHeight="1"/>
    <row r="560" ht="16.5" customHeight="1"/>
    <row r="561" ht="16.5" customHeight="1"/>
    <row r="562" ht="16.5" customHeight="1"/>
    <row r="563" ht="16.5" customHeight="1"/>
    <row r="564" ht="16.5" customHeight="1"/>
    <row r="565" ht="16.5" customHeight="1"/>
    <row r="566" ht="16.5" customHeight="1"/>
    <row r="567" ht="16.5" customHeight="1"/>
    <row r="568" ht="16.5" customHeight="1"/>
    <row r="569" ht="16.5" customHeight="1"/>
    <row r="570" ht="16.5" customHeight="1"/>
    <row r="571" ht="16.5" customHeight="1"/>
    <row r="572" ht="16.5" customHeight="1"/>
    <row r="573" ht="16.5" customHeight="1"/>
    <row r="574" ht="16.5" customHeight="1"/>
    <row r="575" ht="16.5" customHeight="1"/>
    <row r="576" ht="16.5" customHeight="1"/>
    <row r="577" ht="16.5" customHeight="1"/>
    <row r="578" ht="16.5" customHeight="1"/>
    <row r="579" ht="16.5" customHeight="1"/>
    <row r="580" ht="16.5" customHeight="1"/>
    <row r="581" ht="16.5" customHeight="1"/>
    <row r="582" ht="16.5" customHeight="1"/>
    <row r="583" ht="16.5" customHeight="1"/>
    <row r="584" ht="16.5" customHeight="1"/>
    <row r="585" ht="16.5" customHeight="1"/>
    <row r="586" ht="16.5" customHeight="1"/>
    <row r="587" ht="16.5" customHeight="1"/>
    <row r="588" ht="16.5" customHeight="1"/>
    <row r="589" ht="16.5" customHeight="1"/>
    <row r="590" ht="16.5" customHeight="1"/>
    <row r="591" ht="16.5" customHeight="1"/>
    <row r="592" ht="16.5" customHeight="1"/>
    <row r="593" ht="16.5" customHeight="1"/>
    <row r="594" ht="16.5" customHeight="1"/>
    <row r="595" ht="16.5" customHeight="1"/>
    <row r="596" ht="16.5" customHeight="1"/>
    <row r="597" ht="16.5" customHeight="1"/>
    <row r="598" ht="16.5" customHeight="1"/>
    <row r="599" ht="16.5" customHeight="1"/>
    <row r="600" ht="16.5" customHeight="1"/>
    <row r="601" ht="16.5" customHeight="1"/>
    <row r="602" ht="16.5" customHeight="1"/>
    <row r="603" ht="16.5" customHeight="1"/>
    <row r="604" ht="16.5" customHeight="1"/>
    <row r="605" ht="16.5" customHeight="1"/>
    <row r="606" ht="16.5" customHeight="1"/>
    <row r="607" ht="16.5" customHeight="1"/>
    <row r="608" ht="16.5" customHeight="1"/>
    <row r="609" ht="16.5" customHeight="1"/>
    <row r="610" ht="16.5" customHeight="1"/>
    <row r="611" ht="16.5" customHeight="1"/>
    <row r="612" ht="16.5" customHeight="1"/>
    <row r="613" ht="16.5" customHeight="1"/>
    <row r="614" ht="16.5" customHeight="1"/>
    <row r="615" ht="16.5" customHeight="1"/>
    <row r="616" ht="16.5" customHeight="1"/>
    <row r="617" ht="16.5" customHeight="1"/>
    <row r="618" ht="16.5" customHeight="1"/>
    <row r="619" ht="16.5" customHeight="1"/>
    <row r="620" ht="16.5" customHeight="1"/>
    <row r="621" ht="16.5" customHeight="1"/>
    <row r="622" ht="16.5" customHeight="1"/>
    <row r="623" ht="16.5" customHeight="1"/>
    <row r="624" ht="16.5" customHeight="1"/>
    <row r="625" ht="16.5" customHeight="1"/>
    <row r="626" ht="16.5" customHeight="1"/>
    <row r="627" ht="16.5" customHeight="1"/>
    <row r="628" ht="16.5" customHeight="1"/>
    <row r="629" ht="16.5" customHeight="1"/>
    <row r="630" ht="16.5" customHeight="1"/>
    <row r="631" ht="16.5" customHeight="1"/>
    <row r="632" ht="16.5" customHeight="1"/>
    <row r="633" ht="16.5" customHeight="1"/>
    <row r="634" ht="16.5" customHeight="1"/>
    <row r="635" ht="16.5" customHeight="1"/>
    <row r="636" ht="16.5" customHeight="1"/>
    <row r="637" ht="16.5" customHeight="1"/>
    <row r="638" ht="16.5" customHeight="1"/>
    <row r="639" ht="16.5" customHeight="1"/>
    <row r="640" ht="16.5" customHeight="1"/>
    <row r="641" ht="16.5" customHeight="1"/>
    <row r="642" ht="16.5" customHeight="1"/>
    <row r="643" ht="16.5" customHeight="1"/>
    <row r="644" ht="16.5" customHeight="1"/>
    <row r="645" ht="16.5" customHeight="1"/>
    <row r="646" ht="16.5" customHeight="1"/>
    <row r="647" ht="16.5" customHeight="1"/>
    <row r="648" ht="16.5" customHeight="1"/>
    <row r="649" ht="16.5" customHeight="1"/>
    <row r="650" ht="16.5" customHeight="1"/>
    <row r="651" ht="16.5" customHeight="1"/>
    <row r="652" ht="16.5" customHeight="1"/>
    <row r="653" ht="16.5" customHeight="1"/>
    <row r="654" ht="16.5" customHeight="1"/>
    <row r="655" ht="16.5" customHeight="1"/>
    <row r="656" ht="16.5" customHeight="1"/>
    <row r="657" ht="16.5" customHeight="1"/>
    <row r="658" ht="16.5" customHeight="1"/>
    <row r="659" ht="16.5" customHeight="1"/>
    <row r="660" ht="16.5" customHeight="1"/>
    <row r="661" ht="16.5" customHeight="1"/>
    <row r="662" ht="16.5" customHeight="1"/>
    <row r="663" ht="16.5" customHeight="1"/>
    <row r="664" ht="16.5" customHeight="1"/>
    <row r="665" ht="16.5" customHeight="1"/>
    <row r="666" ht="16.5" customHeight="1"/>
    <row r="667" ht="16.5" customHeight="1"/>
    <row r="668" ht="16.5" customHeight="1"/>
    <row r="669" ht="16.5" customHeight="1"/>
    <row r="670" ht="16.5" customHeight="1"/>
    <row r="671" ht="16.5" customHeight="1"/>
    <row r="672" ht="16.5" customHeight="1"/>
    <row r="673" ht="16.5" customHeight="1"/>
    <row r="674" ht="16.5" customHeight="1"/>
    <row r="675" ht="16.5" customHeight="1"/>
    <row r="676" ht="16.5" customHeight="1"/>
    <row r="677" ht="16.5" customHeight="1"/>
    <row r="678" ht="16.5" customHeight="1"/>
    <row r="679" ht="16.5" customHeight="1"/>
    <row r="680" ht="16.5" customHeight="1"/>
    <row r="681" ht="16.5" customHeight="1"/>
    <row r="682" ht="16.5" customHeight="1"/>
    <row r="683" ht="16.5" customHeight="1"/>
    <row r="684" ht="16.5" customHeight="1"/>
    <row r="685" ht="16.5" customHeight="1"/>
    <row r="686" ht="16.5" customHeight="1"/>
    <row r="687" ht="16.5" customHeight="1"/>
    <row r="688" ht="16.5" customHeight="1"/>
    <row r="689" ht="16.5" customHeight="1"/>
    <row r="690" ht="16.5" customHeight="1"/>
    <row r="691" ht="16.5" customHeight="1"/>
    <row r="692" ht="16.5" customHeight="1"/>
    <row r="693" ht="16.5" customHeight="1"/>
    <row r="694" ht="16.5" customHeight="1"/>
    <row r="695" ht="16.5" customHeight="1"/>
    <row r="696" ht="16.5" customHeight="1"/>
    <row r="697" ht="16.5" customHeight="1"/>
    <row r="698" ht="16.5" customHeight="1"/>
    <row r="699" ht="16.5" customHeight="1"/>
    <row r="700" ht="16.5" customHeight="1"/>
    <row r="701" ht="16.5" customHeight="1"/>
    <row r="702" ht="16.5" customHeight="1"/>
    <row r="703" ht="16.5" customHeight="1"/>
    <row r="704" ht="16.5" customHeight="1"/>
    <row r="705" ht="16.5" customHeight="1"/>
    <row r="706" ht="16.5" customHeight="1"/>
    <row r="707" ht="16.5" customHeight="1"/>
    <row r="708" ht="16.5" customHeight="1"/>
    <row r="709" ht="16.5" customHeight="1"/>
    <row r="710" ht="16.5" customHeight="1"/>
    <row r="711" ht="16.5" customHeight="1"/>
    <row r="712" ht="16.5" customHeight="1"/>
    <row r="713" ht="16.5" customHeight="1"/>
    <row r="714" ht="16.5" customHeight="1"/>
    <row r="715" ht="16.5" customHeight="1"/>
    <row r="716" ht="16.5" customHeight="1"/>
    <row r="717" ht="16.5" customHeight="1"/>
    <row r="718" ht="16.5" customHeight="1"/>
    <row r="719" ht="16.5" customHeight="1"/>
    <row r="720" ht="16.5" customHeight="1"/>
    <row r="721" ht="16.5" customHeight="1"/>
    <row r="722" ht="16.5" customHeight="1"/>
    <row r="723" ht="16.5" customHeight="1"/>
    <row r="724" ht="16.5" customHeight="1"/>
    <row r="725" ht="16.5" customHeight="1"/>
    <row r="726" ht="16.5" customHeight="1"/>
    <row r="727" ht="16.5" customHeight="1"/>
    <row r="728" ht="16.5" customHeight="1"/>
    <row r="729" ht="16.5" customHeight="1"/>
    <row r="730" ht="16.5" customHeight="1"/>
    <row r="731" ht="16.5" customHeight="1"/>
    <row r="732" ht="16.5" customHeight="1"/>
    <row r="733" ht="16.5" customHeight="1"/>
    <row r="734" ht="16.5" customHeight="1"/>
    <row r="735" ht="16.5" customHeight="1"/>
    <row r="736" ht="16.5" customHeight="1"/>
    <row r="737" ht="16.5" customHeight="1"/>
    <row r="738" ht="16.5" customHeight="1"/>
    <row r="739" ht="16.5" customHeight="1"/>
    <row r="740" ht="16.5" customHeight="1"/>
    <row r="741" ht="16.5" customHeight="1"/>
    <row r="742" ht="16.5" customHeight="1"/>
    <row r="743" ht="16.5" customHeight="1"/>
    <row r="744" ht="16.5" customHeight="1"/>
    <row r="745" ht="16.5" customHeight="1"/>
    <row r="746" ht="16.5" customHeight="1"/>
    <row r="747" ht="16.5" customHeight="1"/>
    <row r="748" ht="16.5" customHeight="1"/>
    <row r="749" ht="16.5" customHeight="1"/>
    <row r="750" ht="16.5" customHeight="1"/>
    <row r="751" ht="16.5" customHeight="1"/>
    <row r="752" ht="16.5" customHeight="1"/>
    <row r="753" ht="16.5" customHeight="1"/>
    <row r="754" ht="16.5" customHeight="1"/>
    <row r="755" ht="16.5" customHeight="1"/>
    <row r="756" ht="16.5" customHeight="1"/>
    <row r="757" ht="16.5" customHeight="1"/>
    <row r="758" ht="16.5" customHeight="1"/>
    <row r="759" ht="16.5" customHeight="1"/>
    <row r="760" ht="16.5" customHeight="1"/>
    <row r="761" ht="16.5" customHeight="1"/>
    <row r="762" ht="16.5" customHeight="1"/>
    <row r="763" ht="16.5" customHeight="1"/>
    <row r="764" ht="16.5" customHeight="1"/>
    <row r="765" ht="16.5" customHeight="1"/>
    <row r="766" ht="16.5" customHeight="1"/>
    <row r="767" ht="16.5" customHeight="1"/>
    <row r="768" ht="16.5" customHeight="1"/>
    <row r="769" ht="16.5" customHeight="1"/>
    <row r="770" ht="16.5" customHeight="1"/>
    <row r="771" ht="16.5" customHeight="1"/>
    <row r="772" ht="16.5" customHeight="1"/>
    <row r="773" ht="16.5" customHeight="1"/>
    <row r="774" ht="16.5" customHeight="1"/>
    <row r="775" ht="16.5" customHeight="1"/>
    <row r="776" ht="16.5" customHeight="1"/>
    <row r="777" ht="16.5" customHeight="1"/>
    <row r="778" ht="16.5" customHeight="1"/>
    <row r="779" ht="16.5" customHeight="1"/>
    <row r="780" ht="16.5" customHeight="1"/>
    <row r="781" ht="16.5" customHeight="1"/>
    <row r="782" ht="16.5" customHeight="1"/>
    <row r="783" ht="16.5" customHeight="1"/>
    <row r="784" ht="16.5" customHeight="1"/>
    <row r="785" ht="16.5" customHeight="1"/>
    <row r="786" ht="16.5" customHeight="1"/>
    <row r="787" ht="16.5" customHeight="1"/>
    <row r="788" ht="16.5" customHeight="1"/>
    <row r="789" ht="16.5" customHeight="1"/>
    <row r="790" ht="16.5" customHeight="1"/>
    <row r="791" ht="16.5" customHeight="1"/>
    <row r="792" ht="16.5" customHeight="1"/>
    <row r="793" ht="16.5" customHeight="1"/>
    <row r="794" ht="16.5" customHeight="1"/>
    <row r="795" ht="16.5" customHeight="1"/>
    <row r="796" ht="16.5" customHeight="1"/>
    <row r="797" ht="16.5" customHeight="1"/>
    <row r="798" ht="16.5" customHeight="1"/>
    <row r="799" ht="16.5" customHeight="1"/>
    <row r="800" ht="16.5" customHeight="1"/>
    <row r="801" ht="16.5" customHeight="1"/>
    <row r="802" ht="16.5" customHeight="1"/>
    <row r="803" ht="16.5" customHeight="1"/>
    <row r="804" ht="16.5" customHeight="1"/>
    <row r="805" ht="16.5" customHeight="1"/>
    <row r="806" ht="16.5" customHeight="1"/>
    <row r="807" ht="16.5" customHeight="1"/>
    <row r="808" ht="16.5" customHeight="1"/>
    <row r="809" ht="16.5" customHeight="1"/>
    <row r="810" ht="16.5" customHeight="1"/>
    <row r="811" ht="16.5" customHeight="1"/>
    <row r="812" ht="16.5" customHeight="1"/>
    <row r="813" ht="16.5" customHeight="1"/>
    <row r="814" ht="16.5" customHeight="1"/>
    <row r="815" ht="16.5" customHeight="1"/>
    <row r="816" ht="16.5" customHeight="1"/>
    <row r="817" ht="16.5" customHeight="1"/>
    <row r="818" ht="16.5" customHeight="1"/>
    <row r="819" ht="16.5" customHeight="1"/>
    <row r="820" ht="16.5" customHeight="1"/>
    <row r="821" ht="16.5" customHeight="1"/>
    <row r="822" ht="16.5" customHeight="1"/>
    <row r="823" ht="16.5" customHeight="1"/>
    <row r="824" ht="16.5" customHeight="1"/>
    <row r="825" ht="16.5" customHeight="1"/>
    <row r="826" ht="16.5" customHeight="1"/>
    <row r="827" ht="16.5" customHeight="1"/>
    <row r="828" ht="16.5" customHeight="1"/>
    <row r="829" ht="16.5" customHeight="1"/>
    <row r="830" ht="16.5" customHeight="1"/>
    <row r="831" ht="16.5" customHeight="1"/>
    <row r="832" ht="16.5" customHeight="1"/>
    <row r="833" ht="16.5" customHeight="1"/>
    <row r="834" ht="16.5" customHeight="1"/>
    <row r="835" ht="16.5" customHeight="1"/>
    <row r="836" ht="16.5" customHeight="1"/>
    <row r="837" ht="16.5" customHeight="1"/>
    <row r="838" ht="16.5" customHeight="1"/>
    <row r="839" ht="16.5" customHeight="1"/>
    <row r="840" ht="16.5" customHeight="1"/>
    <row r="841" ht="16.5" customHeight="1"/>
    <row r="842" ht="16.5" customHeight="1"/>
    <row r="843" ht="16.5" customHeight="1"/>
    <row r="844" ht="16.5" customHeight="1"/>
    <row r="845" ht="16.5" customHeight="1"/>
    <row r="846" ht="16.5" customHeight="1"/>
    <row r="847" ht="16.5" customHeight="1"/>
    <row r="848" ht="16.5" customHeight="1"/>
    <row r="849" ht="16.5" customHeight="1"/>
    <row r="850" ht="16.5" customHeight="1"/>
    <row r="851" ht="16.5" customHeight="1"/>
    <row r="852" ht="16.5" customHeight="1"/>
    <row r="853" ht="16.5" customHeight="1"/>
    <row r="854" ht="16.5" customHeight="1"/>
    <row r="855" ht="16.5" customHeight="1"/>
    <row r="856" ht="16.5" customHeight="1"/>
    <row r="857" ht="16.5" customHeight="1"/>
    <row r="858" ht="16.5" customHeight="1"/>
    <row r="859" ht="16.5" customHeight="1"/>
    <row r="860" ht="16.5" customHeight="1"/>
    <row r="861" ht="16.5" customHeight="1"/>
    <row r="862" ht="16.5" customHeight="1"/>
    <row r="863" ht="16.5" customHeight="1"/>
    <row r="864" ht="16.5" customHeight="1"/>
    <row r="865" ht="16.5" customHeight="1"/>
    <row r="866" ht="16.5" customHeight="1"/>
    <row r="867" ht="16.5" customHeight="1"/>
    <row r="868" ht="16.5" customHeight="1"/>
    <row r="869" ht="16.5" customHeight="1"/>
    <row r="870" ht="16.5" customHeight="1"/>
    <row r="871" ht="16.5" customHeight="1"/>
    <row r="872" ht="16.5" customHeight="1"/>
    <row r="873" ht="16.5" customHeight="1"/>
    <row r="874" ht="16.5" customHeight="1"/>
    <row r="875" ht="16.5" customHeight="1"/>
    <row r="876" ht="16.5" customHeight="1"/>
    <row r="877" ht="16.5" customHeight="1"/>
    <row r="878" ht="16.5" customHeight="1"/>
    <row r="879" ht="16.5" customHeight="1"/>
    <row r="880" ht="16.5" customHeight="1"/>
    <row r="881" ht="16.5" customHeight="1"/>
    <row r="882" ht="16.5" customHeight="1"/>
    <row r="883" ht="16.5" customHeight="1"/>
    <row r="884" ht="16.5" customHeight="1"/>
    <row r="885" ht="16.5" customHeight="1"/>
    <row r="886" ht="16.5" customHeight="1"/>
    <row r="887" ht="16.5" customHeight="1"/>
    <row r="888" ht="16.5" customHeight="1"/>
    <row r="889" ht="16.5" customHeight="1"/>
    <row r="890" ht="16.5" customHeight="1"/>
    <row r="891" ht="16.5" customHeight="1"/>
    <row r="892" ht="16.5" customHeight="1"/>
    <row r="893" ht="16.5" customHeight="1"/>
    <row r="894" ht="16.5" customHeight="1"/>
    <row r="895" ht="16.5" customHeight="1"/>
    <row r="896" ht="16.5" customHeight="1"/>
    <row r="897" ht="16.5" customHeight="1"/>
    <row r="898" ht="16.5" customHeight="1"/>
    <row r="899" ht="16.5" customHeight="1"/>
    <row r="900" ht="16.5" customHeight="1"/>
    <row r="901" ht="16.5" customHeight="1"/>
    <row r="902" ht="16.5" customHeight="1"/>
    <row r="903" ht="16.5" customHeight="1"/>
    <row r="904" ht="16.5" customHeight="1"/>
    <row r="905" ht="16.5" customHeight="1"/>
    <row r="906" ht="16.5" customHeight="1"/>
    <row r="907" ht="16.5" customHeight="1"/>
    <row r="908" ht="16.5" customHeight="1"/>
    <row r="909" ht="16.5" customHeight="1"/>
    <row r="910" ht="16.5" customHeight="1"/>
    <row r="911" ht="16.5" customHeight="1"/>
    <row r="912" ht="16.5" customHeight="1"/>
    <row r="913" ht="16.5" customHeight="1"/>
    <row r="914" ht="16.5" customHeight="1"/>
    <row r="915" ht="16.5" customHeight="1"/>
    <row r="916" ht="16.5" customHeight="1"/>
    <row r="917" ht="16.5" customHeight="1"/>
    <row r="918" ht="16.5" customHeight="1"/>
    <row r="919" ht="16.5" customHeight="1"/>
    <row r="920" ht="16.5" customHeight="1"/>
    <row r="921" ht="16.5" customHeight="1"/>
    <row r="922" ht="16.5" customHeight="1"/>
    <row r="923" ht="16.5" customHeight="1"/>
    <row r="924" ht="16.5" customHeight="1"/>
    <row r="925" ht="16.5" customHeight="1"/>
    <row r="926" ht="16.5" customHeight="1"/>
    <row r="927" ht="16.5" customHeight="1"/>
    <row r="928" ht="16.5" customHeight="1"/>
    <row r="929" ht="16.5" customHeight="1"/>
    <row r="930" ht="16.5" customHeight="1"/>
    <row r="931" ht="16.5" customHeight="1"/>
    <row r="932" ht="16.5" customHeight="1"/>
    <row r="933" ht="16.5" customHeight="1"/>
    <row r="934" ht="16.5" customHeight="1"/>
    <row r="935" ht="16.5" customHeight="1"/>
    <row r="936" ht="16.5" customHeight="1"/>
    <row r="937" ht="16.5" customHeight="1"/>
    <row r="938" ht="16.5" customHeight="1"/>
    <row r="939" ht="16.5" customHeight="1"/>
    <row r="940" ht="16.5" customHeight="1"/>
    <row r="941" ht="16.5" customHeight="1"/>
    <row r="942" ht="16.5" customHeight="1"/>
    <row r="943" ht="16.5" customHeight="1"/>
    <row r="944" ht="16.5" customHeight="1"/>
    <row r="945" ht="16.5" customHeight="1"/>
    <row r="946" ht="16.5" customHeight="1"/>
    <row r="947" ht="16.5" customHeight="1"/>
    <row r="948" ht="16.5" customHeight="1"/>
    <row r="949" ht="16.5" customHeight="1"/>
    <row r="950" ht="16.5" customHeight="1"/>
    <row r="951" ht="16.5" customHeight="1"/>
    <row r="952" ht="16.5" customHeight="1"/>
    <row r="953" ht="16.5" customHeight="1"/>
    <row r="954" ht="16.5" customHeight="1"/>
    <row r="955" ht="16.5" customHeight="1"/>
    <row r="956" ht="16.5" customHeight="1"/>
    <row r="957" ht="16.5" customHeight="1"/>
    <row r="958" ht="16.5" customHeight="1"/>
    <row r="959" ht="16.5" customHeight="1"/>
    <row r="960" ht="16.5" customHeight="1"/>
    <row r="961" ht="16.5" customHeight="1"/>
    <row r="962" ht="16.5" customHeight="1"/>
    <row r="963" ht="16.5" customHeight="1"/>
    <row r="964" ht="16.5" customHeight="1"/>
    <row r="965" ht="16.5" customHeight="1"/>
    <row r="966" ht="16.5" customHeight="1"/>
    <row r="967" ht="16.5" customHeight="1"/>
    <row r="968" ht="16.5" customHeight="1"/>
    <row r="969" ht="16.5" customHeight="1"/>
    <row r="970" ht="16.5" customHeight="1"/>
    <row r="971" ht="16.5" customHeight="1"/>
    <row r="972" ht="16.5" customHeight="1"/>
    <row r="973" ht="16.5" customHeight="1"/>
    <row r="974" ht="16.5" customHeight="1"/>
    <row r="975" ht="16.5" customHeight="1"/>
    <row r="976" ht="16.5" customHeight="1"/>
    <row r="977" ht="16.5" customHeight="1"/>
    <row r="978" ht="16.5" customHeight="1"/>
    <row r="979" ht="16.5" customHeight="1"/>
    <row r="980" ht="16.5" customHeight="1"/>
    <row r="981" ht="16.5" customHeight="1"/>
    <row r="982" ht="16.5" customHeight="1"/>
    <row r="983" ht="16.5" customHeight="1"/>
    <row r="984" ht="16.5" customHeight="1"/>
    <row r="985" ht="16.5" customHeight="1"/>
    <row r="986" ht="16.5" customHeight="1"/>
    <row r="987" ht="16.5" customHeight="1"/>
    <row r="988" ht="16.5" customHeight="1"/>
    <row r="989" ht="16.5" customHeight="1"/>
    <row r="990" ht="16.5" customHeight="1"/>
    <row r="991" ht="16.5" customHeight="1"/>
    <row r="992" ht="16.5" customHeight="1"/>
    <row r="993" ht="16.5" customHeight="1"/>
    <row r="994" ht="16.5" customHeight="1"/>
    <row r="995" ht="16.5" customHeight="1"/>
    <row r="996" ht="16.5" customHeight="1"/>
    <row r="997" ht="16.5" customHeight="1"/>
    <row r="998" ht="16.5" customHeight="1"/>
    <row r="999" ht="16.5" customHeight="1"/>
    <row r="1000" ht="16.5" customHeight="1"/>
  </sheetData>
  <phoneticPr fontId="9" type="noConversion"/>
  <pageMargins left="0.7" right="0.7" top="0.75" bottom="0.75" header="0" footer="0"/>
  <pageSetup orientation="landscape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36</vt:i4>
      </vt:variant>
      <vt:variant>
        <vt:lpstr>具名範圍</vt:lpstr>
      </vt:variant>
      <vt:variant>
        <vt:i4>33</vt:i4>
      </vt:variant>
    </vt:vector>
  </HeadingPairs>
  <TitlesOfParts>
    <vt:vector size="69" baseType="lpstr">
      <vt:lpstr>班別參數</vt:lpstr>
      <vt:lpstr>輪休基準表</vt:lpstr>
      <vt:lpstr>統計班別</vt:lpstr>
      <vt:lpstr>休息時間登打</vt:lpstr>
      <vt:lpstr>1號</vt:lpstr>
      <vt:lpstr>2號</vt:lpstr>
      <vt:lpstr>3號</vt:lpstr>
      <vt:lpstr>4號</vt:lpstr>
      <vt:lpstr>5號</vt:lpstr>
      <vt:lpstr>6號</vt:lpstr>
      <vt:lpstr>7號</vt:lpstr>
      <vt:lpstr>8號</vt:lpstr>
      <vt:lpstr>9號</vt:lpstr>
      <vt:lpstr>10號</vt:lpstr>
      <vt:lpstr>11號</vt:lpstr>
      <vt:lpstr>12號</vt:lpstr>
      <vt:lpstr>13號</vt:lpstr>
      <vt:lpstr>14號</vt:lpstr>
      <vt:lpstr>15號</vt:lpstr>
      <vt:lpstr>16號</vt:lpstr>
      <vt:lpstr>17號</vt:lpstr>
      <vt:lpstr>18號</vt:lpstr>
      <vt:lpstr>19號</vt:lpstr>
      <vt:lpstr>20號</vt:lpstr>
      <vt:lpstr>21號</vt:lpstr>
      <vt:lpstr>22號</vt:lpstr>
      <vt:lpstr>23號</vt:lpstr>
      <vt:lpstr>24號</vt:lpstr>
      <vt:lpstr>25號</vt:lpstr>
      <vt:lpstr>26號</vt:lpstr>
      <vt:lpstr>27號</vt:lpstr>
      <vt:lpstr>28號</vt:lpstr>
      <vt:lpstr>29號</vt:lpstr>
      <vt:lpstr>30號</vt:lpstr>
      <vt:lpstr>31號</vt:lpstr>
      <vt:lpstr>訓練</vt:lpstr>
      <vt:lpstr>'10號'!Print_Area</vt:lpstr>
      <vt:lpstr>'11號'!Print_Area</vt:lpstr>
      <vt:lpstr>'12號'!Print_Area</vt:lpstr>
      <vt:lpstr>'13號'!Print_Area</vt:lpstr>
      <vt:lpstr>'14號'!Print_Area</vt:lpstr>
      <vt:lpstr>'15號'!Print_Area</vt:lpstr>
      <vt:lpstr>'16號'!Print_Area</vt:lpstr>
      <vt:lpstr>'17號'!Print_Area</vt:lpstr>
      <vt:lpstr>'18號'!Print_Area</vt:lpstr>
      <vt:lpstr>'19號'!Print_Area</vt:lpstr>
      <vt:lpstr>'1號'!Print_Area</vt:lpstr>
      <vt:lpstr>'20號'!Print_Area</vt:lpstr>
      <vt:lpstr>'21號'!Print_Area</vt:lpstr>
      <vt:lpstr>'22號'!Print_Area</vt:lpstr>
      <vt:lpstr>'23號'!Print_Area</vt:lpstr>
      <vt:lpstr>'24號'!Print_Area</vt:lpstr>
      <vt:lpstr>'25號'!Print_Area</vt:lpstr>
      <vt:lpstr>'26號'!Print_Area</vt:lpstr>
      <vt:lpstr>'27號'!Print_Area</vt:lpstr>
      <vt:lpstr>'28號'!Print_Area</vt:lpstr>
      <vt:lpstr>'29號'!Print_Area</vt:lpstr>
      <vt:lpstr>'2號'!Print_Area</vt:lpstr>
      <vt:lpstr>'30號'!Print_Area</vt:lpstr>
      <vt:lpstr>'31號'!Print_Area</vt:lpstr>
      <vt:lpstr>'3號'!Print_Area</vt:lpstr>
      <vt:lpstr>'4號'!Print_Area</vt:lpstr>
      <vt:lpstr>'5號'!Print_Area</vt:lpstr>
      <vt:lpstr>'6號'!Print_Area</vt:lpstr>
      <vt:lpstr>'7號'!Print_Area</vt:lpstr>
      <vt:lpstr>'8號'!Print_Area</vt:lpstr>
      <vt:lpstr>'9號'!Print_Area</vt:lpstr>
      <vt:lpstr>休息時間登打!Print_Area</vt:lpstr>
      <vt:lpstr>輪休基準表!Print_Area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</dc:creator>
  <cp:lastModifiedBy>坡 新</cp:lastModifiedBy>
  <cp:lastPrinted>2026-05-08T23:57:30Z</cp:lastPrinted>
  <dcterms:created xsi:type="dcterms:W3CDTF">2023-03-29T14:08:21Z</dcterms:created>
  <dcterms:modified xsi:type="dcterms:W3CDTF">2026-05-16T11:31:07Z</dcterms:modified>
</cp:coreProperties>
</file>